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群_施策実装計画" sheetId="1" r:id="rId4"/>
  </sheets>
  <definedNames/>
  <calcPr/>
  <extLst>
    <ext uri="GoogleSheetsCustomDataVersion2">
      <go:sheetsCustomData xmlns:go="http://customooxmlschemas.google.com/" r:id="rId5" roundtripDataChecksum="IZNxAtDND5c+wRT3//WtTdyNkJc2dqyw2/PwH0PvZKQ="/>
    </ext>
  </extLst>
</workbook>
</file>

<file path=xl/sharedStrings.xml><?xml version="1.0" encoding="utf-8"?>
<sst xmlns="http://schemas.openxmlformats.org/spreadsheetml/2006/main" count="58" uniqueCount="41">
  <si>
    <r>
      <rPr>
        <rFont val="Arial"/>
        <b/>
        <color rgb="FFFFFFFF"/>
        <sz val="13.0"/>
      </rPr>
      <t xml:space="preserve">SFF2026 </t>
    </r>
    <r>
      <rPr>
        <rFont val="Noto Sans CJK SC"/>
        <b/>
        <color rgb="FFFFFFFF"/>
        <sz val="13.0"/>
      </rPr>
      <t>施策実装計画シート　【</t>
    </r>
    <r>
      <rPr>
        <rFont val="Arial"/>
        <b/>
        <color rgb="FFFFFFFF"/>
        <sz val="13.0"/>
      </rPr>
      <t>A</t>
    </r>
    <r>
      <rPr>
        <rFont val="Noto Sans CJK SC"/>
        <b/>
        <color rgb="FFFFFFFF"/>
        <sz val="13.0"/>
      </rPr>
      <t>群：選手の物語・自己認識設計】</t>
    </r>
  </si>
  <si>
    <t>Grp</t>
  </si>
  <si>
    <t>施策名</t>
  </si>
  <si>
    <t>優先度</t>
  </si>
  <si>
    <t>担当</t>
  </si>
  <si>
    <t>タスクステップ（大まかな進め方）</t>
  </si>
  <si>
    <t>外注・発注</t>
  </si>
  <si>
    <t>A</t>
  </si>
  <si>
    <r>
      <rPr>
        <rFont val="Noto Sans CJK SC"/>
        <color rgb="FF000000"/>
        <sz val="10.0"/>
      </rPr>
      <t>物語ノートの導入（事前</t>
    </r>
    <r>
      <rPr>
        <rFont val="Arial"/>
        <color rgb="FF000000"/>
        <sz val="10.0"/>
      </rPr>
      <t>MTG①</t>
    </r>
    <r>
      <rPr>
        <rFont val="Noto Sans CJK SC"/>
        <color rgb="FF000000"/>
        <sz val="10.0"/>
      </rPr>
      <t>）</t>
    </r>
  </si>
  <si>
    <t>今年本番実施</t>
  </si>
  <si>
    <t>しおんさん</t>
  </si>
  <si>
    <t>①なーすけさんと「物語ノート」のコンセプト・設問構成を確認（4/13〜）
②ノートのフォーマット（設問・デザイン）を草案し、なーすけさんに最終確認
③印刷数・仕様を決定しコスト確認（しおんさん承認）→発注
④事前MTG①の進行アジェンダにノート配布＋記入タイムを組み込む
⑤MTG①で実施。記入内容を後続施策（MTG②・本番後ノート）と連動させる設計を確認</t>
  </si>
  <si>
    <r>
      <rPr>
        <rFont val="Noto Sans CJK SC"/>
        <color rgb="FF000000"/>
        <sz val="10.0"/>
      </rPr>
      <t>⚠️ ノート印刷の外注要否を確認（</t>
    </r>
    <r>
      <rPr>
        <rFont val="Arial"/>
        <color rgb="FF000000"/>
        <sz val="10.0"/>
      </rPr>
      <t>5</t>
    </r>
    <r>
      <rPr>
        <rFont val="Noto Sans CJK SC"/>
        <color rgb="FF000000"/>
        <sz val="10.0"/>
      </rPr>
      <t>月末までに発注先・部数決定）
納期余裕を持って</t>
    </r>
    <r>
      <rPr>
        <rFont val="Arial"/>
        <color rgb="FF000000"/>
        <sz val="10.0"/>
      </rPr>
      <t>7</t>
    </r>
    <r>
      <rPr>
        <rFont val="Noto Sans CJK SC"/>
        <color rgb="FF000000"/>
        <sz val="10.0"/>
      </rPr>
      <t>月中に納品完了を目標</t>
    </r>
  </si>
  <si>
    <r>
      <rPr>
        <rFont val="Noto Sans CJK SC"/>
        <color rgb="FF000000"/>
        <sz val="10.0"/>
      </rPr>
      <t>物語ノートの記入（事前</t>
    </r>
    <r>
      <rPr>
        <rFont val="Arial"/>
        <color rgb="FF000000"/>
        <sz val="10.0"/>
      </rPr>
      <t>MTG②</t>
    </r>
    <r>
      <rPr>
        <rFont val="Noto Sans CJK SC"/>
        <color rgb="FF000000"/>
        <sz val="10.0"/>
      </rPr>
      <t>・直前）</t>
    </r>
  </si>
  <si>
    <t>①事前MTG②のアジェンダに「ノート書き直しタイム」を明示的に組み込む
②MTG①の記入内容をふりかえる問いかけ設計（「あのとき書いた理由と、今の気持ちは？」等）を作成
③当日ファシリテーター（しおんさん or スタッフ）の役割分担を決定
④本番直前MTGでの実施タイミング・所要時間をスケジュールに落とし込む
⑤MTG②終了後、ノートの内容を本番演出（A-4 別室振り返り等）と接続する手順を確認</t>
  </si>
  <si>
    <t>外注なし
（スタッフ進行で完結）</t>
  </si>
  <si>
    <r>
      <rPr>
        <rFont val="Noto Sans CJK SC"/>
        <color rgb="FF000000"/>
        <sz val="10.0"/>
      </rPr>
      <t>エントリー動画を当日</t>
    </r>
    <r>
      <rPr>
        <rFont val="Arial"/>
        <color rgb="FF000000"/>
        <sz val="10.0"/>
      </rPr>
      <t>MTG</t>
    </r>
    <r>
      <rPr>
        <rFont val="Noto Sans CJK SC"/>
        <color rgb="FF000000"/>
        <sz val="10.0"/>
      </rPr>
      <t>で上映</t>
    </r>
  </si>
  <si>
    <t>おしりちゃん</t>
  </si>
  <si>
    <t>①動画コンセプト・構成をぼんちゃん・しおんさんで決定 → なーすけさん・おしりちゃんに確認
②エントリーフォームに「動画提出URL欄」を追加（ぼんちゃんと連携）
③選手への動画提出依頼メールを送付（受付期限・フォーマット明示）
④提出動画を集約・整理し、上映用まとめ映像を編集（社内ツール使用）
⑤当日MTGの上映環境（プロジェクター・音響）を会場担当と事前確認し、本番リハーサルまでに完成</t>
  </si>
  <si>
    <r>
      <rPr>
        <rFont val="Noto Sans CJK SC"/>
        <color rgb="FF000000"/>
        <sz val="10.0"/>
      </rPr>
      <t>外注なし（社内編集ツールで対応）
⚠️ 選手への動画提出締切は本番</t>
    </r>
    <r>
      <rPr>
        <rFont val="Arial"/>
        <color rgb="FF000000"/>
        <sz val="10.0"/>
      </rPr>
      <t>3</t>
    </r>
    <r>
      <rPr>
        <rFont val="Noto Sans CJK SC"/>
        <color rgb="FF000000"/>
        <sz val="10.0"/>
      </rPr>
      <t>週間前に設定推奨</t>
    </r>
  </si>
  <si>
    <t>別室での物語ノート完成（本番後）</t>
  </si>
  <si>
    <t>てんゆう</t>
  </si>
  <si>
    <t>①しおんさんと「本番後 別室振り返り」の進行フロー・問いかけ設計を確認
②会場レイアウト計画に「別室スペース」を明記（会場担当と調整）
③スタッフ向け運営マニュアルに振り返りスペースの案内フロー・声がけ文を追加
④当日スタッフ（てんゆう・佐久間）で担当を割り振り、本番リハーサルで動線確認
⑤本番後、選手が着席したら物語ノートの「本番後ページ」を静かに促す</t>
  </si>
  <si>
    <t>外注なし
（備品：テーブル・椅子・照明は会場備品で対応）</t>
  </si>
  <si>
    <t>エントリー時の出場理由の言語化</t>
  </si>
  <si>
    <t>ぼんちゃん</t>
  </si>
  <si>
    <r>
      <rPr>
        <rFont val="Noto Sans CJK SC"/>
        <color rgb="FF000000"/>
        <sz val="10.0"/>
      </rPr>
      <t>①エントリーフォームの現行項目を確認し、「なぜ出場するか（自由記述）」の設問文を草案
②しおんさん・なーすけさんに設問文の表現をレビュー依頼（</t>
    </r>
    <r>
      <rPr>
        <rFont val="Arial"/>
        <color rgb="FF000000"/>
        <sz val="10.0"/>
      </rPr>
      <t>SFF</t>
    </r>
    <r>
      <rPr>
        <rFont val="Noto Sans CJK SC"/>
        <color rgb="FF000000"/>
        <sz val="10.0"/>
      </rPr>
      <t>世界観との整合確認）
③フォームシステム（</t>
    </r>
    <r>
      <rPr>
        <rFont val="Arial"/>
        <color rgb="FF000000"/>
        <sz val="10.0"/>
      </rPr>
      <t>Salesforce/LP</t>
    </r>
    <r>
      <rPr>
        <rFont val="Noto Sans CJK SC"/>
        <color rgb="FF000000"/>
        <sz val="10.0"/>
      </rPr>
      <t>）担当と改修範囲・工数を確認し、実装スケジュールを決定
④フォームに項目追加・公開。選手への案内メール・説明会スライドに一言追記
⑤収集した言語化内容を事前</t>
    </r>
    <r>
      <rPr>
        <rFont val="Arial"/>
        <color rgb="FF000000"/>
        <sz val="10.0"/>
      </rPr>
      <t>MTG①</t>
    </r>
    <r>
      <rPr>
        <rFont val="Noto Sans CJK SC"/>
        <color rgb="FF000000"/>
        <sz val="10.0"/>
      </rPr>
      <t>（</t>
    </r>
    <r>
      <rPr>
        <rFont val="Arial"/>
        <color rgb="FF000000"/>
        <sz val="10.0"/>
      </rPr>
      <t>A-1</t>
    </r>
    <r>
      <rPr>
        <rFont val="Noto Sans CJK SC"/>
        <color rgb="FF000000"/>
        <sz val="10.0"/>
      </rPr>
      <t>）・本番後ノート（</t>
    </r>
    <r>
      <rPr>
        <rFont val="Arial"/>
        <color rgb="FF000000"/>
        <sz val="10.0"/>
      </rPr>
      <t>A-4</t>
    </r>
    <r>
      <rPr>
        <rFont val="Noto Sans CJK SC"/>
        <color rgb="FF000000"/>
        <sz val="10.0"/>
      </rPr>
      <t>）と連動させる活用フローを整備</t>
    </r>
  </si>
  <si>
    <r>
      <rPr>
        <rFont val="Noto Sans CJK SC"/>
        <color rgb="FF000000"/>
        <sz val="10.0"/>
      </rPr>
      <t>外注なし
（システム修正は社内または</t>
    </r>
    <r>
      <rPr>
        <rFont val="Arial"/>
        <color rgb="FF000000"/>
        <sz val="10.0"/>
      </rPr>
      <t>Flairnest</t>
    </r>
    <r>
      <rPr>
        <rFont val="Noto Sans CJK SC"/>
        <color rgb="FF000000"/>
        <sz val="10.0"/>
      </rPr>
      <t>連携で対応）
⚠️ エントリー開始前（</t>
    </r>
    <r>
      <rPr>
        <rFont val="Arial"/>
        <color rgb="FF000000"/>
        <sz val="10.0"/>
      </rPr>
      <t>5</t>
    </r>
    <r>
      <rPr>
        <rFont val="Noto Sans CJK SC"/>
        <color rgb="FF000000"/>
        <sz val="10.0"/>
      </rPr>
      <t>月中旬まで）に実装完了必須</t>
    </r>
  </si>
  <si>
    <t>本番後の振り返りスペース設置</t>
  </si>
  <si>
    <t>佐久間</t>
  </si>
  <si>
    <t>①しおんさんと振り返りスペースの「雰囲気・コンセプト」（静かな余韻の場）を確認
②会場レイアウト図に振り返りエリアを明記し、面積・配置を確定（会場担当と調整）
③必要備品リスト作成（椅子・テーブル・照明・BGM機器など）
  ⚠️ 備品の外部レンタルが発生する場合はしおんさんにコスト承認を取得
④設営マニュアルを作成し、当日スタッフへ共有（A-4と合わせて設計）
⑤本番リハーサルで実際の動線・雰囲気を確認し、不足備品を最終調達</t>
  </si>
  <si>
    <r>
      <rPr>
        <rFont val="Noto Sans CJK SC"/>
        <color rgb="FF000000"/>
        <sz val="10.0"/>
      </rPr>
      <t>⚠️ 特殊照明・音響レンタルが必要な場合は外注
（コスト発生時はしおんさん承認必須）
発注期限：本番</t>
    </r>
    <r>
      <rPr>
        <rFont val="Arial"/>
        <color rgb="FF000000"/>
        <sz val="10.0"/>
      </rPr>
      <t>1</t>
    </r>
    <r>
      <rPr>
        <rFont val="Noto Sans CJK SC"/>
        <color rgb="FF000000"/>
        <sz val="10.0"/>
      </rPr>
      <t>ヶ月前</t>
    </r>
  </si>
  <si>
    <t>▼ 担当者別 施策数 集計</t>
  </si>
  <si>
    <t>担当者名</t>
  </si>
  <si>
    <r>
      <rPr>
        <rFont val="Noto Sans CJK SC"/>
        <b/>
        <color rgb="FFFFFFFF"/>
        <sz val="10.0"/>
      </rPr>
      <t>施策数（</t>
    </r>
    <r>
      <rPr>
        <rFont val="Arial"/>
        <b/>
        <color rgb="FFFFFFFF"/>
        <sz val="10.0"/>
      </rPr>
      <t>A</t>
    </r>
    <r>
      <rPr>
        <rFont val="Noto Sans CJK SC"/>
        <b/>
        <color rgb="FFFFFFFF"/>
        <sz val="10.0"/>
      </rPr>
      <t>群）</t>
    </r>
  </si>
  <si>
    <t>合計</t>
  </si>
  <si>
    <t>なーすけさん</t>
  </si>
  <si>
    <t>かおんさん</t>
  </si>
  <si>
    <t>ななこちゃん</t>
  </si>
  <si>
    <t>香さん</t>
  </si>
  <si>
    <r>
      <rPr>
        <rFont val="Noto Sans CJK SC"/>
        <i/>
        <color rgb="FF444444"/>
        <sz val="9.0"/>
      </rPr>
      <t>【優先度の色について】　■今年本番実施（緑）＝本番当日に実施　■今年仕込みのみ（橙）＝今年中に設計・準備まで　■来年以降（灰）＝今期スコープ外　■条件付き</t>
    </r>
    <r>
      <rPr>
        <rFont val="Arial"/>
        <i/>
        <color rgb="FF444444"/>
        <sz val="9.0"/>
      </rPr>
      <t>OK</t>
    </r>
    <r>
      <rPr>
        <rFont val="Noto Sans CJK SC"/>
        <i/>
        <color rgb="FF444444"/>
        <sz val="9.0"/>
      </rPr>
      <t>（黄）＝特定条件が揃えば今年実施　｜【担当列】</t>
    </r>
    <r>
      <rPr>
        <rFont val="Arial"/>
        <i/>
        <color rgb="FF444444"/>
        <sz val="9.0"/>
      </rPr>
      <t>D</t>
    </r>
    <r>
      <rPr>
        <rFont val="Noto Sans CJK SC"/>
        <i/>
        <color rgb="FF444444"/>
        <sz val="9.0"/>
      </rPr>
      <t>列のセルをクリックするとドロップダウンでメンバーを選択できます（集計は自動更新）</t>
    </r>
  </si>
</sst>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3.0"/>
      <color rgb="FFFFFFFF"/>
      <name val="Arial"/>
    </font>
    <font/>
    <font>
      <b/>
      <sz val="10.0"/>
      <color rgb="FFFFFFFF"/>
      <name val="Arial"/>
    </font>
    <font>
      <b/>
      <sz val="10.0"/>
      <color rgb="FFFFFFFF"/>
      <name val="Noto Sans"/>
    </font>
    <font>
      <sz val="10.0"/>
      <color rgb="FF000000"/>
      <name val="Arial"/>
    </font>
    <font>
      <sz val="10.0"/>
      <color rgb="FF000000"/>
      <name val="Noto Sans"/>
    </font>
    <font>
      <b/>
      <sz val="10.0"/>
      <color rgb="FF375623"/>
      <name val="Noto Sans"/>
    </font>
    <font>
      <b/>
      <sz val="11.0"/>
      <color rgb="FFFFFFFF"/>
      <name val="Noto Sans"/>
    </font>
    <font>
      <i/>
      <sz val="9.0"/>
      <color rgb="FF444444"/>
      <name val="Noto Sans"/>
    </font>
  </fonts>
  <fills count="10">
    <fill>
      <patternFill patternType="none"/>
    </fill>
    <fill>
      <patternFill patternType="lightGray"/>
    </fill>
    <fill>
      <patternFill patternType="solid">
        <fgColor rgb="FF1F3864"/>
        <bgColor rgb="FF1F3864"/>
      </patternFill>
    </fill>
    <fill>
      <patternFill patternType="solid">
        <fgColor rgb="FFDDEEFF"/>
        <bgColor rgb="FFDDEEFF"/>
      </patternFill>
    </fill>
    <fill>
      <patternFill patternType="solid">
        <fgColor rgb="FFE2EFDA"/>
        <bgColor rgb="FFE2EFDA"/>
      </patternFill>
    </fill>
    <fill>
      <patternFill patternType="solid">
        <fgColor rgb="FFFFFBE6"/>
        <bgColor rgb="FFFFFBE6"/>
      </patternFill>
    </fill>
    <fill>
      <patternFill patternType="solid">
        <fgColor rgb="FF2E5090"/>
        <bgColor rgb="FF2E5090"/>
      </patternFill>
    </fill>
    <fill>
      <patternFill patternType="solid">
        <fgColor rgb="FFF5F5F5"/>
        <bgColor rgb="FFF5F5F5"/>
      </patternFill>
    </fill>
    <fill>
      <patternFill patternType="solid">
        <fgColor rgb="FFFFFFFF"/>
        <bgColor rgb="FFFFFFFF"/>
      </patternFill>
    </fill>
    <fill>
      <patternFill patternType="solid">
        <fgColor rgb="FFF0F0F0"/>
        <bgColor rgb="FFF0F0F0"/>
      </patternFill>
    </fill>
  </fills>
  <borders count="5">
    <border/>
    <border>
      <left/>
      <top/>
      <bottom/>
    </border>
    <border>
      <top/>
      <bottom/>
    </border>
    <border>
      <right/>
      <top/>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0"/>
    </xf>
    <xf borderId="2" fillId="0" fontId="2" numFmtId="0" xfId="0" applyBorder="1" applyFont="1"/>
    <xf borderId="3" fillId="0" fontId="2" numFmtId="0" xfId="0" applyBorder="1" applyFont="1"/>
    <xf borderId="4" fillId="2" fontId="3" numFmtId="0" xfId="0" applyAlignment="1" applyBorder="1" applyFont="1">
      <alignment horizontal="center" shrinkToFit="0" vertical="center" wrapText="0"/>
    </xf>
    <xf borderId="4" fillId="2" fontId="4" numFmtId="0" xfId="0" applyAlignment="1" applyBorder="1" applyFont="1">
      <alignment horizontal="center" shrinkToFit="0" vertical="center" wrapText="0"/>
    </xf>
    <xf borderId="4" fillId="3" fontId="5" numFmtId="0" xfId="0" applyAlignment="1" applyBorder="1" applyFill="1" applyFont="1">
      <alignment horizontal="center" shrinkToFit="0" vertical="center" wrapText="1"/>
    </xf>
    <xf borderId="4" fillId="3" fontId="6" numFmtId="0" xfId="0" applyAlignment="1" applyBorder="1" applyFont="1">
      <alignment horizontal="center" shrinkToFit="0" vertical="center" wrapText="1"/>
    </xf>
    <xf borderId="4" fillId="4" fontId="7" numFmtId="0" xfId="0" applyAlignment="1" applyBorder="1" applyFill="1" applyFont="1">
      <alignment horizontal="center" shrinkToFit="0" vertical="center" wrapText="1"/>
    </xf>
    <xf borderId="4" fillId="3" fontId="5" numFmtId="0" xfId="0" applyAlignment="1" applyBorder="1" applyFont="1">
      <alignment horizontal="left" readingOrder="0" shrinkToFit="0" vertical="top" wrapText="1"/>
    </xf>
    <xf borderId="4" fillId="5" fontId="6" numFmtId="0" xfId="0" applyAlignment="1" applyBorder="1" applyFill="1" applyFont="1">
      <alignment horizontal="left" shrinkToFit="0" vertical="top" wrapText="1"/>
    </xf>
    <xf borderId="4" fillId="3" fontId="6" numFmtId="0" xfId="0" applyAlignment="1" applyBorder="1" applyFont="1">
      <alignment horizontal="left" shrinkToFit="0" vertical="top" wrapText="1"/>
    </xf>
    <xf borderId="1" fillId="2" fontId="8" numFmtId="0" xfId="0" applyAlignment="1" applyBorder="1" applyFont="1">
      <alignment horizontal="left" shrinkToFit="0" vertical="center" wrapText="0"/>
    </xf>
    <xf borderId="4" fillId="6" fontId="4" numFmtId="0" xfId="0" applyAlignment="1" applyBorder="1" applyFill="1" applyFont="1">
      <alignment horizontal="center" shrinkToFit="0" vertical="center" wrapText="0"/>
    </xf>
    <xf borderId="4" fillId="7" fontId="6" numFmtId="0" xfId="0" applyAlignment="1" applyBorder="1" applyFill="1" applyFont="1">
      <alignment horizontal="left" shrinkToFit="0" vertical="top" wrapText="0"/>
    </xf>
    <xf borderId="4" fillId="7" fontId="5" numFmtId="0" xfId="0" applyAlignment="1" applyBorder="1" applyFont="1">
      <alignment horizontal="center" shrinkToFit="0" vertical="top" wrapText="0"/>
    </xf>
    <xf borderId="4" fillId="8" fontId="6" numFmtId="0" xfId="0" applyAlignment="1" applyBorder="1" applyFill="1" applyFont="1">
      <alignment horizontal="left" shrinkToFit="0" vertical="top" wrapText="0"/>
    </xf>
    <xf borderId="4" fillId="8" fontId="5" numFmtId="0" xfId="0" applyAlignment="1" applyBorder="1" applyFont="1">
      <alignment horizontal="center" shrinkToFit="0" vertical="top" wrapText="0"/>
    </xf>
    <xf borderId="1" fillId="9" fontId="9" numFmtId="0" xfId="0" applyAlignment="1" applyBorder="1" applyFill="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22.0"/>
    <col customWidth="1" min="3" max="3" width="14.0"/>
    <col customWidth="1" min="4" max="4" width="16.0"/>
    <col customWidth="1" min="5" max="5" width="79.14"/>
    <col customWidth="1" min="6" max="6" width="30.0"/>
    <col customWidth="1" min="7" max="26" width="8.71"/>
  </cols>
  <sheetData>
    <row r="1" ht="30.0" customHeight="1">
      <c r="A1" s="1" t="s">
        <v>0</v>
      </c>
      <c r="B1" s="2"/>
      <c r="C1" s="2"/>
      <c r="D1" s="2"/>
      <c r="E1" s="2"/>
      <c r="F1" s="3"/>
    </row>
    <row r="2" ht="21.75" customHeight="1">
      <c r="A2" s="4" t="s">
        <v>1</v>
      </c>
      <c r="B2" s="5" t="s">
        <v>2</v>
      </c>
      <c r="C2" s="5" t="s">
        <v>3</v>
      </c>
      <c r="D2" s="5" t="s">
        <v>4</v>
      </c>
      <c r="E2" s="5" t="s">
        <v>5</v>
      </c>
      <c r="F2" s="5" t="s">
        <v>6</v>
      </c>
    </row>
    <row r="3" ht="105.0" customHeight="1">
      <c r="A3" s="6" t="s">
        <v>7</v>
      </c>
      <c r="B3" s="7" t="s">
        <v>8</v>
      </c>
      <c r="C3" s="8" t="s">
        <v>9</v>
      </c>
      <c r="D3" s="7" t="s">
        <v>10</v>
      </c>
      <c r="E3" s="9" t="s">
        <v>11</v>
      </c>
      <c r="F3" s="10" t="s">
        <v>12</v>
      </c>
    </row>
    <row r="4" ht="105.0" customHeight="1">
      <c r="A4" s="6" t="s">
        <v>7</v>
      </c>
      <c r="B4" s="7" t="s">
        <v>13</v>
      </c>
      <c r="C4" s="8" t="s">
        <v>9</v>
      </c>
      <c r="D4" s="7" t="s">
        <v>10</v>
      </c>
      <c r="E4" s="9" t="s">
        <v>14</v>
      </c>
      <c r="F4" s="10" t="s">
        <v>15</v>
      </c>
    </row>
    <row r="5" ht="121.5" customHeight="1">
      <c r="A5" s="6" t="s">
        <v>7</v>
      </c>
      <c r="B5" s="7" t="s">
        <v>16</v>
      </c>
      <c r="C5" s="8" t="s">
        <v>9</v>
      </c>
      <c r="D5" s="7" t="s">
        <v>17</v>
      </c>
      <c r="E5" s="9" t="s">
        <v>18</v>
      </c>
      <c r="F5" s="10" t="s">
        <v>19</v>
      </c>
    </row>
    <row r="6" ht="121.5" customHeight="1">
      <c r="A6" s="6" t="s">
        <v>7</v>
      </c>
      <c r="B6" s="7" t="s">
        <v>20</v>
      </c>
      <c r="C6" s="8" t="s">
        <v>9</v>
      </c>
      <c r="D6" s="7" t="s">
        <v>21</v>
      </c>
      <c r="E6" s="11" t="s">
        <v>22</v>
      </c>
      <c r="F6" s="10" t="s">
        <v>23</v>
      </c>
    </row>
    <row r="7" ht="121.5" customHeight="1">
      <c r="A7" s="6" t="s">
        <v>7</v>
      </c>
      <c r="B7" s="7" t="s">
        <v>24</v>
      </c>
      <c r="C7" s="8" t="s">
        <v>9</v>
      </c>
      <c r="D7" s="7" t="s">
        <v>25</v>
      </c>
      <c r="E7" s="11" t="s">
        <v>26</v>
      </c>
      <c r="F7" s="10" t="s">
        <v>27</v>
      </c>
    </row>
    <row r="8" ht="121.5" customHeight="1">
      <c r="A8" s="6" t="s">
        <v>7</v>
      </c>
      <c r="B8" s="7" t="s">
        <v>28</v>
      </c>
      <c r="C8" s="8" t="s">
        <v>9</v>
      </c>
      <c r="D8" s="7" t="s">
        <v>29</v>
      </c>
      <c r="E8" s="9" t="s">
        <v>30</v>
      </c>
      <c r="F8" s="10" t="s">
        <v>31</v>
      </c>
    </row>
    <row r="11" ht="21.75" customHeight="1">
      <c r="A11" s="12" t="s">
        <v>32</v>
      </c>
      <c r="B11" s="2"/>
      <c r="C11" s="2"/>
      <c r="D11" s="2"/>
      <c r="E11" s="2"/>
      <c r="F11" s="3"/>
    </row>
    <row r="12" ht="19.5" customHeight="1">
      <c r="A12" s="13" t="s">
        <v>33</v>
      </c>
      <c r="B12" s="13" t="s">
        <v>34</v>
      </c>
      <c r="C12" s="13" t="s">
        <v>35</v>
      </c>
    </row>
    <row r="13" ht="18.0" customHeight="1">
      <c r="A13" s="14" t="s">
        <v>36</v>
      </c>
      <c r="B13" s="15">
        <f>COUNTIF(D3:D8,A13)</f>
        <v>0</v>
      </c>
      <c r="C13" s="15">
        <f t="shared" ref="C13:C21" si="1">B13</f>
        <v>0</v>
      </c>
    </row>
    <row r="14" ht="18.0" customHeight="1">
      <c r="A14" s="16" t="s">
        <v>10</v>
      </c>
      <c r="B14" s="17">
        <f>COUNTIF(D3:D8,A14)</f>
        <v>2</v>
      </c>
      <c r="C14" s="17">
        <f t="shared" si="1"/>
        <v>2</v>
      </c>
    </row>
    <row r="15" ht="18.0" customHeight="1">
      <c r="A15" s="14" t="s">
        <v>37</v>
      </c>
      <c r="B15" s="15">
        <f>COUNTIF(D3:D8,A15)</f>
        <v>0</v>
      </c>
      <c r="C15" s="15">
        <f t="shared" si="1"/>
        <v>0</v>
      </c>
    </row>
    <row r="16" ht="18.0" customHeight="1">
      <c r="A16" s="16" t="s">
        <v>17</v>
      </c>
      <c r="B16" s="17">
        <f>COUNTIF(D3:D8,A16)</f>
        <v>1</v>
      </c>
      <c r="C16" s="17">
        <f t="shared" si="1"/>
        <v>1</v>
      </c>
    </row>
    <row r="17" ht="18.0" customHeight="1">
      <c r="A17" s="14" t="s">
        <v>38</v>
      </c>
      <c r="B17" s="15">
        <f>COUNTIF(D3:D8,A17)</f>
        <v>0</v>
      </c>
      <c r="C17" s="15">
        <f t="shared" si="1"/>
        <v>0</v>
      </c>
    </row>
    <row r="18" ht="18.0" customHeight="1">
      <c r="A18" s="16" t="s">
        <v>25</v>
      </c>
      <c r="B18" s="17">
        <f>COUNTIF(D3:D8,A18)</f>
        <v>1</v>
      </c>
      <c r="C18" s="17">
        <f t="shared" si="1"/>
        <v>1</v>
      </c>
    </row>
    <row r="19" ht="18.0" customHeight="1">
      <c r="A19" s="14" t="s">
        <v>21</v>
      </c>
      <c r="B19" s="15">
        <f>COUNTIF(D3:D8,A19)</f>
        <v>1</v>
      </c>
      <c r="C19" s="15">
        <f t="shared" si="1"/>
        <v>1</v>
      </c>
    </row>
    <row r="20" ht="18.0" customHeight="1">
      <c r="A20" s="16" t="s">
        <v>29</v>
      </c>
      <c r="B20" s="17">
        <f>COUNTIF(D3:D8,A20)</f>
        <v>1</v>
      </c>
      <c r="C20" s="17">
        <f t="shared" si="1"/>
        <v>1</v>
      </c>
    </row>
    <row r="21" ht="18.0" customHeight="1">
      <c r="A21" s="14" t="s">
        <v>39</v>
      </c>
      <c r="B21" s="15">
        <f>COUNTIF(D3:D8,A21)</f>
        <v>0</v>
      </c>
      <c r="C21" s="15">
        <f t="shared" si="1"/>
        <v>0</v>
      </c>
    </row>
    <row r="22" ht="19.5" customHeight="1">
      <c r="A22" s="5" t="s">
        <v>35</v>
      </c>
      <c r="B22" s="4">
        <f t="shared" ref="B22:C22" si="2">SUM(B13:B21)</f>
        <v>6</v>
      </c>
      <c r="C22" s="4">
        <f t="shared" si="2"/>
        <v>6</v>
      </c>
    </row>
    <row r="23" ht="15.75" customHeight="1"/>
    <row r="24" ht="30.0" customHeight="1">
      <c r="A24" s="18" t="s">
        <v>40</v>
      </c>
      <c r="B24" s="2"/>
      <c r="C24" s="2"/>
      <c r="D24" s="2"/>
      <c r="E24" s="2"/>
      <c r="F24" s="3"/>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F1"/>
    <mergeCell ref="A11:F11"/>
    <mergeCell ref="A24:F24"/>
  </mergeCells>
  <dataValidations>
    <dataValidation type="list" allowBlank="1" sqref="D3:D8">
      <formula1>"なーすけさん,しおんさん,かおんさん,おしりちゃん,ななこちゃん,ぼんちゃん,てんゆう,佐久間,香さん"</formula1>
    </dataValidation>
  </dataValidation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2026-04-04T02:27:41Z</dcterms:created>
  <dc:creator>openpyxl</dc:creator>
</cp:coreProperties>
</file>

<file path=docProps/custom.xml><?xml version="1.0" encoding="utf-8"?>
<Properties xmlns="http://schemas.openxmlformats.org/officeDocument/2006/custom-properties" xmlns:vt="http://schemas.openxmlformats.org/officeDocument/2006/docPropsVTypes"/>
</file>