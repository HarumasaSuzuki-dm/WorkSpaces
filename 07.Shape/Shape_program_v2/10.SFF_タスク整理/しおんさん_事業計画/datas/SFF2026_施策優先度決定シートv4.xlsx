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施策優先度決定シート" sheetId="1" r:id="rId4"/>
    <sheet state="visible" name="凡例・使い方" sheetId="2" r:id="rId5"/>
  </sheets>
  <definedNames/>
  <calcPr/>
  <extLst>
    <ext uri="GoogleSheetsCustomDataVersion2">
      <go:sheetsCustomData xmlns:go="http://customooxmlschemas.google.com/" r:id="rId6" roundtripDataChecksum="VewNL+2y8I+8W/py0acMfCTj8B6n50cKKq5XERPxWeE="/>
    </ext>
  </extLst>
</workbook>
</file>

<file path=xl/sharedStrings.xml><?xml version="1.0" encoding="utf-8"?>
<sst xmlns="http://schemas.openxmlformats.org/spreadsheetml/2006/main" count="871" uniqueCount="305">
  <si>
    <r>
      <rPr>
        <rFont val="Arial"/>
        <b/>
        <color rgb="FF2C2C2C"/>
        <sz val="13.0"/>
      </rPr>
      <t xml:space="preserve">SFF2026 </t>
    </r>
    <r>
      <rPr>
        <rFont val="Noto Sans CJK SC"/>
        <b/>
        <color rgb="FF2C2C2C"/>
        <sz val="13.0"/>
      </rPr>
      <t>施策優先度決定シート</t>
    </r>
  </si>
  <si>
    <r>
      <rPr>
        <rFont val="Noto Sans CJK SC"/>
        <i/>
        <color rgb="FF888888"/>
        <sz val="8.0"/>
      </rPr>
      <t>【優先度の定義】　今年本番実施＝本番当日に実施　今年仕込みのみ＝今年中に設計・準備まで　来年以降＝今期スコープ外　条件付き</t>
    </r>
    <r>
      <rPr>
        <rFont val="Arial"/>
        <i/>
        <color rgb="FF888888"/>
        <sz val="8.0"/>
      </rPr>
      <t>OK</t>
    </r>
    <r>
      <rPr>
        <rFont val="Noto Sans CJK SC"/>
        <i/>
        <color rgb="FF888888"/>
        <sz val="8.0"/>
      </rPr>
      <t>＝特定条件が揃えば今年実施</t>
    </r>
  </si>
  <si>
    <t>Grp</t>
  </si>
  <si>
    <t>グループ名</t>
  </si>
  <si>
    <t>施策名</t>
  </si>
  <si>
    <t>施策概要
（何をする施策か）</t>
  </si>
  <si>
    <t>担当者
区分</t>
  </si>
  <si>
    <t>インパクト
大／中／小</t>
  </si>
  <si>
    <t>実現
難易度</t>
  </si>
  <si>
    <t>費用
低／中／高</t>
  </si>
  <si>
    <t>準備コスト
低／中／高</t>
  </si>
  <si>
    <t>当日
オペレーション
コスト
低／中／高</t>
  </si>
  <si>
    <t>今期テーマ
合致度</t>
  </si>
  <si>
    <r>
      <rPr>
        <rFont val="Noto Sans CJK SC"/>
        <b/>
        <color rgb="FFFFFFFF"/>
        <sz val="8.0"/>
      </rPr>
      <t>着手デッドライン
（</t>
    </r>
    <r>
      <rPr>
        <rFont val="Arial"/>
        <b/>
        <color rgb="FFFFFFFF"/>
        <sz val="8.0"/>
      </rPr>
      <t>WEST</t>
    </r>
    <r>
      <rPr>
        <rFont val="Noto Sans CJK SC"/>
        <b/>
        <color rgb="FFFFFFFF"/>
        <sz val="8.0"/>
      </rPr>
      <t>基準）</t>
    </r>
  </si>
  <si>
    <t>間に合うか
（現時点）</t>
  </si>
  <si>
    <r>
      <rPr>
        <rFont val="Noto Sans CJK SC"/>
        <b/>
        <color rgb="FFFFFFFF"/>
        <sz val="8.0"/>
      </rPr>
      <t>合計
スコア
（最大</t>
    </r>
    <r>
      <rPr>
        <rFont val="Arial"/>
        <b/>
        <color rgb="FFFFFFFF"/>
        <sz val="8.0"/>
      </rPr>
      <t>18</t>
    </r>
    <r>
      <rPr>
        <rFont val="Noto Sans CJK SC"/>
        <b/>
        <color rgb="FFFFFFFF"/>
        <sz val="8.0"/>
      </rPr>
      <t>）</t>
    </r>
  </si>
  <si>
    <t>優先度判定</t>
  </si>
  <si>
    <t>判断根拠
（なぜこの優先度か・引き継ぎメモ）</t>
  </si>
  <si>
    <t>F</t>
  </si>
  <si>
    <t>来場前の招待・期待形成</t>
  </si>
  <si>
    <t>選手からの招待メッセージ（テンプレ）</t>
  </si>
  <si>
    <t>選手が友人を誘うためのメッセージ文章テンプレとビジュアルを用意する。選手が送りやすくなり、口コミ来場が増える</t>
  </si>
  <si>
    <r>
      <rPr>
        <rFont val="Noto Sans CJK SC"/>
        <b/>
        <color rgb="FF2C2C2C"/>
        <sz val="8.0"/>
      </rPr>
      <t>本部</t>
    </r>
    <r>
      <rPr>
        <rFont val="Arial"/>
        <b/>
        <color rgb="FF2C2C2C"/>
        <sz val="8.0"/>
      </rPr>
      <t>1</t>
    </r>
    <r>
      <rPr>
        <rFont val="Noto Sans CJK SC"/>
        <b/>
        <color rgb="FF2C2C2C"/>
        <sz val="8.0"/>
      </rPr>
      <t>人</t>
    </r>
  </si>
  <si>
    <t>大</t>
  </si>
  <si>
    <t>低</t>
  </si>
  <si>
    <t>○</t>
  </si>
  <si>
    <t>7/1</t>
  </si>
  <si>
    <t>今年本番実施</t>
  </si>
  <si>
    <r>
      <rPr>
        <rFont val="Noto Sans CJK SC"/>
        <color rgb="FF2C2C2C"/>
        <sz val="8.0"/>
      </rPr>
      <t>来場者獲得の起点であり、コストゼロで今すぐ動ける。テンプレがあれば選手の心理的ハードルが下がり、</t>
    </r>
    <r>
      <rPr>
        <rFont val="Arial"/>
        <color rgb="FF2C2C2C"/>
        <sz val="8.0"/>
      </rPr>
      <t>SNS</t>
    </r>
    <r>
      <rPr>
        <rFont val="Noto Sans CJK SC"/>
        <color rgb="FF2C2C2C"/>
        <sz val="8.0"/>
      </rPr>
      <t>拡散にもつながる。今年必ず仕上げるべき施策。</t>
    </r>
  </si>
  <si>
    <t>初来場者向け「楽しみ方ガイド」の整備</t>
  </si>
  <si>
    <t>初めて来る人が『自分でも楽しめるか不安』を感じないよう、あらかじめ大会の楽しみ方・雰囲気を伝える情報を用意する</t>
  </si>
  <si>
    <r>
      <rPr>
        <rFont val="Noto Sans CJK SC"/>
        <b/>
        <color rgb="FF2C2C2C"/>
        <sz val="8.0"/>
      </rPr>
      <t>本部</t>
    </r>
    <r>
      <rPr>
        <rFont val="Arial"/>
        <b/>
        <color rgb="FF2C2C2C"/>
        <sz val="8.0"/>
      </rPr>
      <t>1</t>
    </r>
    <r>
      <rPr>
        <rFont val="Noto Sans CJK SC"/>
        <b/>
        <color rgb="FF2C2C2C"/>
        <sz val="8.0"/>
      </rPr>
      <t>人</t>
    </r>
  </si>
  <si>
    <t>中</t>
  </si>
  <si>
    <t>△</t>
  </si>
  <si>
    <t>来年以降</t>
  </si>
  <si>
    <r>
      <rPr>
        <rFont val="Noto Sans CJK SC"/>
        <color theme="1"/>
        <sz val="8.0"/>
      </rPr>
      <t>テーマ合致度△、かつ</t>
    </r>
    <r>
      <rPr>
        <rFont val="Arial"/>
        <color theme="1"/>
        <sz val="8.0"/>
      </rPr>
      <t>Row4</t>
    </r>
    <r>
      <rPr>
        <rFont val="Noto Sans CJK SC"/>
        <color theme="1"/>
        <sz val="8.0"/>
      </rPr>
      <t>（招待テンプレ）と機能が重なる。今年は</t>
    </r>
    <r>
      <rPr>
        <rFont val="Arial"/>
        <color theme="1"/>
        <sz val="8.0"/>
      </rPr>
      <t>Row4</t>
    </r>
    <r>
      <rPr>
        <rFont val="Noto Sans CJK SC"/>
        <color theme="1"/>
        <sz val="8.0"/>
      </rPr>
      <t>で初来場者の不安解消をカバーし、ガイドは来年より質を高めて仕込む。</t>
    </r>
  </si>
  <si>
    <t>申込フォームと導線のシンプル化</t>
  </si>
  <si>
    <t>『来ようかな』と思った人が迷わず申し込めるよう、フォームや案内ページの導線をわかりやすく整える</t>
  </si>
  <si>
    <r>
      <rPr>
        <rFont val="Noto Sans CJK SC"/>
        <b/>
        <color rgb="FF2C2C2C"/>
        <sz val="8.0"/>
      </rPr>
      <t>本部</t>
    </r>
    <r>
      <rPr>
        <rFont val="Arial"/>
        <b/>
        <color rgb="FF2C2C2C"/>
        <sz val="8.0"/>
      </rPr>
      <t>1</t>
    </r>
    <r>
      <rPr>
        <rFont val="Noto Sans CJK SC"/>
        <b/>
        <color rgb="FF2C2C2C"/>
        <sz val="8.0"/>
      </rPr>
      <t>人</t>
    </r>
  </si>
  <si>
    <t>6/1</t>
  </si>
  <si>
    <t>せっかく来場意欲が生まれても申込でつまずくとゼロになる。離脱防止として最低限整えるべきインフラ。工数も小さく、今年すぐに対処できる。</t>
  </si>
  <si>
    <t>事前リマインド＆期待感を高める連絡</t>
  </si>
  <si>
    <t>申込者に向けて当日が近づくにつれ大会の雰囲気や見どころをあらかじめ共有し、ワクワク感を積み上げる</t>
  </si>
  <si>
    <r>
      <rPr>
        <rFont val="Noto Sans CJK SC"/>
        <b/>
        <color rgb="FF2C2C2C"/>
        <sz val="8.0"/>
      </rPr>
      <t>本部</t>
    </r>
    <r>
      <rPr>
        <rFont val="Arial"/>
        <b/>
        <color rgb="FF2C2C2C"/>
        <sz val="8.0"/>
      </rPr>
      <t>1</t>
    </r>
    <r>
      <rPr>
        <rFont val="Noto Sans CJK SC"/>
        <b/>
        <color rgb="FF2C2C2C"/>
        <sz val="8.0"/>
      </rPr>
      <t>人</t>
    </r>
  </si>
  <si>
    <t>7/15</t>
  </si>
  <si>
    <r>
      <rPr>
        <rFont val="Noto Sans CJK SC"/>
        <color rgb="FF2C2C2C"/>
        <sz val="8.0"/>
      </rPr>
      <t>申込から当日まで温度感が冷えないようにするための施策。メールや</t>
    </r>
    <r>
      <rPr>
        <rFont val="Arial"/>
        <color rgb="FF2C2C2C"/>
        <sz val="8.0"/>
      </rPr>
      <t>LINE</t>
    </r>
    <r>
      <rPr>
        <rFont val="Noto Sans CJK SC"/>
        <color rgb="FF2C2C2C"/>
        <sz val="8.0"/>
      </rPr>
      <t>配信で完結でき、コスト・手間ともに小さい。体験の入口として今年必ず実施したい。</t>
    </r>
  </si>
  <si>
    <t>選手の想いで来場を誘う発信施策（別紙詳細）</t>
  </si>
  <si>
    <r>
      <rPr>
        <rFont val="Noto Sans CJK SC"/>
        <color rgb="FF2C2C2C"/>
        <sz val="8.0"/>
      </rPr>
      <t>選手自身の</t>
    </r>
    <r>
      <rPr>
        <rFont val="Arial"/>
        <color rgb="FF2C2C2C"/>
        <sz val="8.0"/>
      </rPr>
      <t>SNS</t>
    </r>
    <r>
      <rPr>
        <rFont val="Noto Sans CJK SC"/>
        <color rgb="FF2C2C2C"/>
        <sz val="8.0"/>
      </rPr>
      <t>発信や物語紹介コンテンツを通じ、まだ大会を知らない人に『行ってみたい』と感じさせる</t>
    </r>
  </si>
  <si>
    <t>本部複数</t>
  </si>
  <si>
    <t>—</t>
  </si>
  <si>
    <t>5/1</t>
  </si>
  <si>
    <t>今年仕込みのみ</t>
  </si>
  <si>
    <t>インパクトは高いが、選手ごとの発信設計・コンテンツ制作が必要で中程度の準備工数がかかる。今年は型をつくり、来年以降に精度を上げる仕込みとして位置づけるのが現実的。</t>
  </si>
  <si>
    <t>A</t>
  </si>
  <si>
    <t>選手の物語・自己認識設計</t>
  </si>
  <si>
    <r>
      <rPr>
        <rFont val="Noto Sans CJK SC"/>
        <b/>
        <color rgb="FF2C2C2C"/>
        <sz val="9.0"/>
      </rPr>
      <t>物語ノートの導入（事前</t>
    </r>
    <r>
      <rPr>
        <rFont val="Arial"/>
        <b/>
        <color rgb="FF2C2C2C"/>
        <sz val="9.0"/>
      </rPr>
      <t>MTG①</t>
    </r>
    <r>
      <rPr>
        <rFont val="Noto Sans CJK SC"/>
        <b/>
        <color rgb="FF2C2C2C"/>
        <sz val="9.0"/>
      </rPr>
      <t>）</t>
    </r>
  </si>
  <si>
    <r>
      <rPr>
        <rFont val="Noto Sans CJK SC"/>
        <color rgb="FF2C2C2C"/>
        <sz val="8.0"/>
      </rPr>
      <t>初回</t>
    </r>
    <r>
      <rPr>
        <rFont val="Arial"/>
        <color rgb="FF2C2C2C"/>
        <sz val="8.0"/>
      </rPr>
      <t>MTG</t>
    </r>
    <r>
      <rPr>
        <rFont val="Noto Sans CJK SC"/>
        <color rgb="FF2C2C2C"/>
        <sz val="8.0"/>
      </rPr>
      <t>で選手に物語ノートを渡し、自分がなぜ挑戦するのかを言葉にしてもらう。大会を単なるコンテストではなく『自分の物語の一章』として位置づける</t>
    </r>
  </si>
  <si>
    <r>
      <rPr>
        <rFont val="Noto Sans CJK SC"/>
        <b/>
        <color rgb="FF2C2C2C"/>
        <sz val="8.0"/>
      </rPr>
      <t>本部</t>
    </r>
    <r>
      <rPr>
        <rFont val="Arial"/>
        <b/>
        <color rgb="FF2C2C2C"/>
        <sz val="8.0"/>
      </rPr>
      <t>1</t>
    </r>
    <r>
      <rPr>
        <rFont val="Noto Sans CJK SC"/>
        <b/>
        <color rgb="FF2C2C2C"/>
        <sz val="8.0"/>
      </rPr>
      <t>人</t>
    </r>
  </si>
  <si>
    <t>◎</t>
  </si>
  <si>
    <t>5/15</t>
  </si>
  <si>
    <r>
      <rPr>
        <rFont val="Arial"/>
        <color rgb="FF2C2C2C"/>
        <sz val="8.0"/>
      </rPr>
      <t>SFF</t>
    </r>
    <r>
      <rPr>
        <rFont val="Noto Sans CJK SC"/>
        <color rgb="FF2C2C2C"/>
        <sz val="8.0"/>
      </rPr>
      <t>の最大の差別化が『選手の内面の物語』にある。コストほぼゼロで実施でき、選手体験の根幹をなす施策。これがなければ他の演出が上滑りになる。今年の最優先施策。</t>
    </r>
  </si>
  <si>
    <r>
      <rPr>
        <rFont val="Noto Sans CJK SC"/>
        <b/>
        <color rgb="FF2C2C2C"/>
        <sz val="9.0"/>
      </rPr>
      <t>物語ノートの記入（事前</t>
    </r>
    <r>
      <rPr>
        <rFont val="Arial"/>
        <b/>
        <color rgb="FF2C2C2C"/>
        <sz val="9.0"/>
      </rPr>
      <t>MTG②</t>
    </r>
    <r>
      <rPr>
        <rFont val="Noto Sans CJK SC"/>
        <b/>
        <color rgb="FF2C2C2C"/>
        <sz val="9.0"/>
      </rPr>
      <t>・直前）</t>
    </r>
  </si>
  <si>
    <r>
      <rPr>
        <rFont val="Noto Sans CJK SC"/>
        <color rgb="FF2C2C2C"/>
        <sz val="8.0"/>
      </rPr>
      <t>本番直前の</t>
    </r>
    <r>
      <rPr>
        <rFont val="Arial"/>
        <color rgb="FF2C2C2C"/>
        <sz val="8.0"/>
      </rPr>
      <t>MTG</t>
    </r>
    <r>
      <rPr>
        <rFont val="Noto Sans CJK SC"/>
        <color rgb="FF2C2C2C"/>
        <sz val="8.0"/>
      </rPr>
      <t>で改めてノートを書き直す時間を設ける。不安が高まる時期に『自分がなぜここにいるか』を再確認させる</t>
    </r>
  </si>
  <si>
    <r>
      <rPr>
        <rFont val="Noto Sans CJK SC"/>
        <b/>
        <color rgb="FF2C2C2C"/>
        <sz val="8.0"/>
      </rPr>
      <t>本部</t>
    </r>
    <r>
      <rPr>
        <rFont val="Arial"/>
        <b/>
        <color rgb="FF2C2C2C"/>
        <sz val="8.0"/>
      </rPr>
      <t>1</t>
    </r>
    <r>
      <rPr>
        <rFont val="Noto Sans CJK SC"/>
        <b/>
        <color rgb="FF2C2C2C"/>
        <sz val="8.0"/>
      </rPr>
      <t>人</t>
    </r>
  </si>
  <si>
    <r>
      <rPr>
        <rFont val="Noto Sans CJK SC"/>
        <color rgb="FF2C2C2C"/>
        <sz val="8.0"/>
      </rPr>
      <t>直前</t>
    </r>
    <r>
      <rPr>
        <rFont val="Arial"/>
        <color rgb="FF2C2C2C"/>
        <sz val="8.0"/>
      </rPr>
      <t>MTG</t>
    </r>
    <r>
      <rPr>
        <rFont val="Noto Sans CJK SC"/>
        <color rgb="FF2C2C2C"/>
        <sz val="8.0"/>
      </rPr>
      <t>は選手の感情が最も揺れるタイミング。ここで内省の時間を持つことが本番の没入感に直結する。追加コストゼロで今年即実施すべき施策。</t>
    </r>
  </si>
  <si>
    <r>
      <rPr>
        <rFont val="Noto Sans CJK SC"/>
        <b/>
        <color rgb="FF2C2C2C"/>
        <sz val="9.0"/>
      </rPr>
      <t>エントリー動画を当日</t>
    </r>
    <r>
      <rPr>
        <rFont val="Arial"/>
        <b/>
        <color rgb="FF2C2C2C"/>
        <sz val="9.0"/>
      </rPr>
      <t>MTG</t>
    </r>
    <r>
      <rPr>
        <rFont val="Noto Sans CJK SC"/>
        <b/>
        <color rgb="FF2C2C2C"/>
        <sz val="9.0"/>
      </rPr>
      <t>で上映</t>
    </r>
  </si>
  <si>
    <r>
      <rPr>
        <rFont val="Noto Sans CJK SC"/>
        <color rgb="FF2C2C2C"/>
        <sz val="8.0"/>
      </rPr>
      <t>エントリー時に撮った動画を本番当日の</t>
    </r>
    <r>
      <rPr>
        <rFont val="Arial"/>
        <color rgb="FF2C2C2C"/>
        <sz val="8.0"/>
      </rPr>
      <t>MTG</t>
    </r>
    <r>
      <rPr>
        <rFont val="Noto Sans CJK SC"/>
        <color rgb="FF2C2C2C"/>
        <sz val="8.0"/>
      </rPr>
      <t>で流し、『あの頃の自分』と今の自分を比べて変化と覚悟を実感させる</t>
    </r>
  </si>
  <si>
    <r>
      <rPr>
        <rFont val="Noto Sans CJK SC"/>
        <b/>
        <color rgb="FF2C2C2C"/>
        <sz val="8.0"/>
      </rPr>
      <t>本部</t>
    </r>
    <r>
      <rPr>
        <rFont val="Arial"/>
        <b/>
        <color rgb="FF2C2C2C"/>
        <sz val="8.0"/>
      </rPr>
      <t>1</t>
    </r>
    <r>
      <rPr>
        <rFont val="Noto Sans CJK SC"/>
        <b/>
        <color rgb="FF2C2C2C"/>
        <sz val="8.0"/>
      </rPr>
      <t>人</t>
    </r>
  </si>
  <si>
    <t>選手が自分の成長を視覚的に実感できる、非常に感情を動かす演出。動画の収集と上映準備だけで完結するため手間が小さく、今年すぐにできる。外せない。</t>
  </si>
  <si>
    <t>別室での物語ノート完成（本番後）</t>
  </si>
  <si>
    <t>ステージを終えた直後、感情が生々しいうちに別室で物語ノートに大会の振り返りを書いてもらう。後悔より意味づけで終われるようにする</t>
  </si>
  <si>
    <r>
      <rPr>
        <rFont val="Noto Sans CJK SC"/>
        <b/>
        <color rgb="FF2C2C2C"/>
        <sz val="8.0"/>
      </rPr>
      <t>本部</t>
    </r>
    <r>
      <rPr>
        <rFont val="Arial"/>
        <b/>
        <color rgb="FF2C2C2C"/>
        <sz val="8.0"/>
      </rPr>
      <t>1</t>
    </r>
    <r>
      <rPr>
        <rFont val="Noto Sans CJK SC"/>
        <b/>
        <color rgb="FF2C2C2C"/>
        <sz val="8.0"/>
      </rPr>
      <t>人</t>
    </r>
  </si>
  <si>
    <t>結果に関わらず選手が『意味ある挑戦だった』と感じて帰れるかどうかが、翌年以降のリピートとクチコミに直結する。部屋と時間を用意するだけで実施できる。</t>
  </si>
  <si>
    <t>エントリー時の出場理由の言語化</t>
  </si>
  <si>
    <t>申込フォームの中に『なぜ出場するか』を書く欄を設ける。大会開始前から選手が自分の軸を持てるようにする</t>
  </si>
  <si>
    <r>
      <rPr>
        <rFont val="Noto Sans CJK SC"/>
        <b/>
        <color rgb="FF2C2C2C"/>
        <sz val="8.0"/>
      </rPr>
      <t>本部</t>
    </r>
    <r>
      <rPr>
        <rFont val="Arial"/>
        <b/>
        <color rgb="FF2C2C2C"/>
        <sz val="8.0"/>
      </rPr>
      <t>1</t>
    </r>
    <r>
      <rPr>
        <rFont val="Noto Sans CJK SC"/>
        <b/>
        <color rgb="FF2C2C2C"/>
        <sz val="8.0"/>
      </rPr>
      <t>人</t>
    </r>
  </si>
  <si>
    <t>4/15</t>
  </si>
  <si>
    <r>
      <rPr>
        <rFont val="Noto Sans CJK SC"/>
        <color rgb="FF2C2C2C"/>
        <sz val="8.0"/>
      </rPr>
      <t>物語ノートの前提となる施策。フォームに</t>
    </r>
    <r>
      <rPr>
        <rFont val="Arial"/>
        <color rgb="FF2C2C2C"/>
        <sz val="8.0"/>
      </rPr>
      <t>1</t>
    </r>
    <r>
      <rPr>
        <rFont val="Noto Sans CJK SC"/>
        <color rgb="FF2C2C2C"/>
        <sz val="8.0"/>
      </rPr>
      <t>項目追加するだけで実現でき、コスト・工数ともに最小。これがあることで事前</t>
    </r>
    <r>
      <rPr>
        <rFont val="Arial"/>
        <color rgb="FF2C2C2C"/>
        <sz val="8.0"/>
      </rPr>
      <t>MTG</t>
    </r>
    <r>
      <rPr>
        <rFont val="Noto Sans CJK SC"/>
        <color rgb="FF2C2C2C"/>
        <sz val="8.0"/>
      </rPr>
      <t>の質も上がる。今年必須。</t>
    </r>
  </si>
  <si>
    <t>本番後の振り返りスペース設置</t>
  </si>
  <si>
    <t>ステージを終えた選手が達成感と悔しさを静かに整理できる場所を会場内に設ける。慌ただしく帰らせない設計</t>
  </si>
  <si>
    <r>
      <rPr>
        <rFont val="Noto Sans CJK SC"/>
        <color rgb="FF2C2C2C"/>
        <sz val="8.0"/>
      </rPr>
      <t>余韻を大切にすることが</t>
    </r>
    <r>
      <rPr>
        <rFont val="Arial"/>
        <color rgb="FF2C2C2C"/>
        <sz val="8.0"/>
      </rPr>
      <t>SFF</t>
    </r>
    <r>
      <rPr>
        <rFont val="Noto Sans CJK SC"/>
        <color rgb="FF2C2C2C"/>
        <sz val="8.0"/>
      </rPr>
      <t>の世界観。スペースと時間を意図的に設計するだけで実現でき、選手の満足度と来年への動機につながる。</t>
    </r>
  </si>
  <si>
    <t>B</t>
  </si>
  <si>
    <t>選手間の連帯・コミュニティ醸成</t>
  </si>
  <si>
    <r>
      <rPr>
        <rFont val="Noto Sans CJK SC"/>
        <b/>
        <color rgb="FF2C2C2C"/>
        <sz val="9.0"/>
      </rPr>
      <t>事前</t>
    </r>
    <r>
      <rPr>
        <rFont val="Arial"/>
        <b/>
        <color rgb="FF2C2C2C"/>
        <sz val="9.0"/>
      </rPr>
      <t>MTG</t>
    </r>
    <r>
      <rPr>
        <rFont val="Noto Sans CJK SC"/>
        <b/>
        <color rgb="FF2C2C2C"/>
        <sz val="9.0"/>
      </rPr>
      <t>でチームを組む</t>
    </r>
  </si>
  <si>
    <t>複数の選手をチームとしてグルーピングし、互いを応援し合う関係をつくる。ライバルではなく仲間として大会に臨める</t>
  </si>
  <si>
    <r>
      <rPr>
        <rFont val="Noto Sans CJK SC"/>
        <b/>
        <color rgb="FF2C2C2C"/>
        <sz val="8.0"/>
      </rPr>
      <t>本部</t>
    </r>
    <r>
      <rPr>
        <rFont val="Arial"/>
        <b/>
        <color rgb="FF2C2C2C"/>
        <sz val="8.0"/>
      </rPr>
      <t>1</t>
    </r>
    <r>
      <rPr>
        <rFont val="Noto Sans CJK SC"/>
        <b/>
        <color rgb="FF2C2C2C"/>
        <sz val="8.0"/>
      </rPr>
      <t>人</t>
    </r>
  </si>
  <si>
    <r>
      <rPr>
        <rFont val="Noto Sans CJK SC"/>
        <color rgb="FF2C2C2C"/>
        <sz val="8.0"/>
      </rPr>
      <t>『自分だけの挑戦』から『仲間の中の挑戦』に変えることで選手の緊張と孤独が大きく和らぐ。</t>
    </r>
    <r>
      <rPr>
        <rFont val="Arial"/>
        <color rgb="FF2C2C2C"/>
        <sz val="8.0"/>
      </rPr>
      <t>MTG</t>
    </r>
    <r>
      <rPr>
        <rFont val="Noto Sans CJK SC"/>
        <color rgb="FF2C2C2C"/>
        <sz val="8.0"/>
      </rPr>
      <t>の進行を少し工夫するだけで実現でき、コストゼロ。</t>
    </r>
  </si>
  <si>
    <r>
      <rPr>
        <rFont val="Noto Sans CJK SC"/>
        <b/>
        <color rgb="FF2C2C2C"/>
        <sz val="9.0"/>
      </rPr>
      <t>挑戦の過程を</t>
    </r>
    <r>
      <rPr>
        <rFont val="Arial"/>
        <b/>
        <color rgb="FF2C2C2C"/>
        <sz val="9.0"/>
      </rPr>
      <t>SNS</t>
    </r>
    <r>
      <rPr>
        <rFont val="Noto Sans CJK SC"/>
        <b/>
        <color rgb="FF2C2C2C"/>
        <sz val="9.0"/>
      </rPr>
      <t>でシェア</t>
    </r>
  </si>
  <si>
    <r>
      <rPr>
        <rFont val="Noto Sans CJK SC"/>
        <color rgb="FF2C2C2C"/>
        <sz val="8.0"/>
      </rPr>
      <t>大会前から選手の練習・想い・変化を</t>
    </r>
    <r>
      <rPr>
        <rFont val="Arial"/>
        <color rgb="FF2C2C2C"/>
        <sz val="8.0"/>
      </rPr>
      <t>SNS</t>
    </r>
    <r>
      <rPr>
        <rFont val="Noto Sans CJK SC"/>
        <color rgb="FF2C2C2C"/>
        <sz val="8.0"/>
      </rPr>
      <t>で発信してもらう。大会前から物語を積み上げ、観客・スポンサーへの期待感を高める</t>
    </r>
  </si>
  <si>
    <r>
      <rPr>
        <rFont val="Noto Sans CJK SC"/>
        <b/>
        <color rgb="FF2C2C2C"/>
        <sz val="8.0"/>
      </rPr>
      <t>本部</t>
    </r>
    <r>
      <rPr>
        <rFont val="Arial"/>
        <b/>
        <color rgb="FF2C2C2C"/>
        <sz val="8.0"/>
      </rPr>
      <t>1</t>
    </r>
    <r>
      <rPr>
        <rFont val="Noto Sans CJK SC"/>
        <b/>
        <color rgb="FF2C2C2C"/>
        <sz val="8.0"/>
      </rPr>
      <t>人</t>
    </r>
  </si>
  <si>
    <t>スポンサー提案の際に『こんな発信量・熱量がある』と見せられる材料になる。コストゼロで今年から型をつくっておくと、来年以降も使い回せる仕組みになる。</t>
  </si>
  <si>
    <r>
      <rPr>
        <rFont val="Arial"/>
        <b/>
        <color rgb="FF2C2C2C"/>
        <sz val="9.0"/>
      </rPr>
      <t>SNS</t>
    </r>
    <r>
      <rPr>
        <rFont val="Noto Sans CJK SC"/>
        <b/>
        <color rgb="FF2C2C2C"/>
        <sz val="9.0"/>
      </rPr>
      <t>で応援メッセージを募集</t>
    </r>
  </si>
  <si>
    <t>観客や知人が選手に向けて応援メッセージを送れる仕組みを用意する。選手が『自分の挑戦が誰かに届いている』と感じられる</t>
  </si>
  <si>
    <r>
      <rPr>
        <rFont val="Noto Sans CJK SC"/>
        <b/>
        <color rgb="FF2C2C2C"/>
        <sz val="8.0"/>
      </rPr>
      <t>本部</t>
    </r>
    <r>
      <rPr>
        <rFont val="Arial"/>
        <b/>
        <color rgb="FF2C2C2C"/>
        <sz val="8.0"/>
      </rPr>
      <t>1</t>
    </r>
    <r>
      <rPr>
        <rFont val="Noto Sans CJK SC"/>
        <b/>
        <color rgb="FF2C2C2C"/>
        <sz val="8.0"/>
      </rPr>
      <t>人</t>
    </r>
  </si>
  <si>
    <t>昨年も実施済みで手順が確立しており、今年もそのまま継続できる。選手の心理的なエネルギーを高める効果が高く、外す理由がない。</t>
  </si>
  <si>
    <r>
      <rPr>
        <rFont val="Noto Sans CJK SC"/>
        <b/>
        <color rgb="FF2C2C2C"/>
        <sz val="9.0"/>
      </rPr>
      <t>全選手のエントリー動画を選手</t>
    </r>
    <r>
      <rPr>
        <rFont val="Arial"/>
        <b/>
        <color rgb="FF2C2C2C"/>
        <sz val="9.0"/>
      </rPr>
      <t>MTG</t>
    </r>
    <r>
      <rPr>
        <rFont val="Noto Sans CJK SC"/>
        <b/>
        <color rgb="FF2C2C2C"/>
        <sz val="9.0"/>
      </rPr>
      <t>で流す</t>
    </r>
  </si>
  <si>
    <r>
      <rPr>
        <rFont val="Noto Sans CJK SC"/>
        <color rgb="FF2C2C2C"/>
        <sz val="8.0"/>
      </rPr>
      <t>選手</t>
    </r>
    <r>
      <rPr>
        <rFont val="Arial"/>
        <color rgb="FF2C2C2C"/>
        <sz val="8.0"/>
      </rPr>
      <t>MTG</t>
    </r>
    <r>
      <rPr>
        <rFont val="Noto Sans CJK SC"/>
        <color rgb="FF2C2C2C"/>
        <sz val="8.0"/>
      </rPr>
      <t>の場で全員のエントリー動画をまとめて流し、仲間の覚悟を見ながら自分の覚悟を確認する時間をつくる</t>
    </r>
  </si>
  <si>
    <r>
      <rPr>
        <rFont val="Noto Sans CJK SC"/>
        <b/>
        <color rgb="FF2C2C2C"/>
        <sz val="8.0"/>
      </rPr>
      <t>本部</t>
    </r>
    <r>
      <rPr>
        <rFont val="Arial"/>
        <b/>
        <color rgb="FF2C2C2C"/>
        <sz val="8.0"/>
      </rPr>
      <t>1</t>
    </r>
    <r>
      <rPr>
        <rFont val="Noto Sans CJK SC"/>
        <b/>
        <color rgb="FF2C2C2C"/>
        <sz val="8.0"/>
      </rPr>
      <t>人</t>
    </r>
  </si>
  <si>
    <t>全選手が同じ映像を見て同じ感情を共有することで、一体感が一気に生まれる。エントリー動画を収集していれば追加コストゼロ。効果対工数が非常に高い。</t>
  </si>
  <si>
    <t>開場前に全員で円陣を組む</t>
  </si>
  <si>
    <t>本番直前に選手とスタッフ全員で輪を作り、『今日は挑戦を届ける日』という共通の意識を言葉で確認する儀式</t>
  </si>
  <si>
    <t>8/1</t>
  </si>
  <si>
    <r>
      <rPr>
        <rFont val="Noto Sans CJK SC"/>
        <color rgb="FF2C2C2C"/>
        <sz val="8.0"/>
      </rPr>
      <t>全員の方向を揃え、</t>
    </r>
    <r>
      <rPr>
        <rFont val="Arial"/>
        <color rgb="FF2C2C2C"/>
        <sz val="8.0"/>
      </rPr>
      <t>Shaper</t>
    </r>
    <r>
      <rPr>
        <rFont val="Noto Sans CJK SC"/>
        <color rgb="FF2C2C2C"/>
        <sz val="8.0"/>
      </rPr>
      <t>も選手も同じ熱量で当日をスタートさせる。準備コストゼロ。今年から定番の『</t>
    </r>
    <r>
      <rPr>
        <rFont val="Arial"/>
        <color rgb="FF2C2C2C"/>
        <sz val="8.0"/>
      </rPr>
      <t>SFF</t>
    </r>
    <r>
      <rPr>
        <rFont val="Noto Sans CJK SC"/>
        <color rgb="FF2C2C2C"/>
        <sz val="8.0"/>
      </rPr>
      <t>の文化』として根付かせたい。</t>
    </r>
  </si>
  <si>
    <t>エンディングセレモニー（全員でステージへ）</t>
  </si>
  <si>
    <t>大会の最後に選手・スタッフ全員がステージに上がってあいさつをする。結果に関わらず全員が今日の主役だと伝える締めくくり</t>
  </si>
  <si>
    <r>
      <rPr>
        <rFont val="Arial"/>
        <color rgb="FF2C2C2C"/>
        <sz val="8.0"/>
      </rPr>
      <t>SFF</t>
    </r>
    <r>
      <rPr>
        <rFont val="Noto Sans CJK SC"/>
        <color rgb="FF2C2C2C"/>
        <sz val="8.0"/>
      </rPr>
      <t>らしい締め方として感情の最大化に寄与し、選手・観客・</t>
    </r>
    <r>
      <rPr>
        <rFont val="Arial"/>
        <color rgb="FF2C2C2C"/>
        <sz val="8.0"/>
      </rPr>
      <t>Shaper</t>
    </r>
    <r>
      <rPr>
        <rFont val="Noto Sans CJK SC"/>
        <color rgb="FF2C2C2C"/>
        <sz val="8.0"/>
      </rPr>
      <t>の全員に余韻を残す。追加コストなしで今すぐできる。必ず今年実施。</t>
    </r>
  </si>
  <si>
    <t>C</t>
  </si>
  <si>
    <t>観客の感情移入・共感体験設計</t>
  </si>
  <si>
    <r>
      <rPr>
        <rFont val="Arial"/>
        <b/>
        <color rgb="FF2C2C2C"/>
        <sz val="9.0"/>
      </rPr>
      <t>MC</t>
    </r>
    <r>
      <rPr>
        <rFont val="Noto Sans CJK SC"/>
        <b/>
        <color rgb="FF2C2C2C"/>
        <sz val="9.0"/>
      </rPr>
      <t>による選手の過程の実況</t>
    </r>
  </si>
  <si>
    <r>
      <rPr>
        <rFont val="Noto Sans CJK SC"/>
        <color rgb="FF2C2C2C"/>
        <sz val="8.0"/>
      </rPr>
      <t>競技中に</t>
    </r>
    <r>
      <rPr>
        <rFont val="Arial"/>
        <color rgb="FF2C2C2C"/>
        <sz val="8.0"/>
      </rPr>
      <t>MC</t>
    </r>
    <r>
      <rPr>
        <rFont val="Noto Sans CJK SC"/>
        <color rgb="FF2C2C2C"/>
        <sz val="8.0"/>
      </rPr>
      <t>が選手の背景・挑戦の理由・ここまでの道のりを紹介する。観客が選手の物語を知ることで、他人事から自分事に変わる</t>
    </r>
  </si>
  <si>
    <r>
      <rPr>
        <rFont val="Noto Sans CJK SC"/>
        <b/>
        <color rgb="FF2C2C2C"/>
        <sz val="8.0"/>
      </rPr>
      <t>本部</t>
    </r>
    <r>
      <rPr>
        <rFont val="Arial"/>
        <b/>
        <color rgb="FF2C2C2C"/>
        <sz val="8.0"/>
      </rPr>
      <t>1</t>
    </r>
    <r>
      <rPr>
        <rFont val="Noto Sans CJK SC"/>
        <b/>
        <color rgb="FF2C2C2C"/>
        <sz val="8.0"/>
      </rPr>
      <t>人</t>
    </r>
  </si>
  <si>
    <r>
      <rPr>
        <rFont val="Noto Sans CJK SC"/>
        <color rgb="FF2C2C2C"/>
        <sz val="8.0"/>
      </rPr>
      <t>低コストでありながら、観客体験を根本から変える力がある。</t>
    </r>
    <r>
      <rPr>
        <rFont val="Arial"/>
        <color rgb="FF2C2C2C"/>
        <sz val="8.0"/>
      </rPr>
      <t>MC</t>
    </r>
    <r>
      <rPr>
        <rFont val="Noto Sans CJK SC"/>
        <color rgb="FF2C2C2C"/>
        <sz val="8.0"/>
      </rPr>
      <t>へのブリーフィング資料を用意する手間はかかるが、今年絶対に実施すべき最重要施策のひとつ。</t>
    </r>
  </si>
  <si>
    <t>選手の属性・初出場割合の掲示</t>
  </si>
  <si>
    <r>
      <rPr>
        <rFont val="Noto Sans CJK SC"/>
        <color rgb="FF2C2C2C"/>
        <sz val="8.0"/>
      </rPr>
      <t>パンフレットやブースに『初出場〇〇</t>
    </r>
    <r>
      <rPr>
        <rFont val="Arial"/>
        <color rgb="FF2C2C2C"/>
        <sz val="8.0"/>
      </rPr>
      <t>%</t>
    </r>
    <r>
      <rPr>
        <rFont val="Noto Sans CJK SC"/>
        <color rgb="FF2C2C2C"/>
        <sz val="8.0"/>
      </rPr>
      <t>』『一般の会社員が〇〇人』など親近感を生むデータを掲示し、観客が選手を身近に感じられるようにする</t>
    </r>
  </si>
  <si>
    <r>
      <rPr>
        <rFont val="Noto Sans CJK SC"/>
        <b/>
        <color rgb="FF2C2C2C"/>
        <sz val="8.0"/>
      </rPr>
      <t>本部</t>
    </r>
    <r>
      <rPr>
        <rFont val="Arial"/>
        <b/>
        <color rgb="FF2C2C2C"/>
        <sz val="8.0"/>
      </rPr>
      <t>1</t>
    </r>
    <r>
      <rPr>
        <rFont val="Noto Sans CJK SC"/>
        <b/>
        <color rgb="FF2C2C2C"/>
        <sz val="8.0"/>
      </rPr>
      <t>人</t>
    </r>
  </si>
  <si>
    <t>6/15</t>
  </si>
  <si>
    <t>『すごい人の世界』に見えてしまいがちな大会の壁を数字で壊す施策。データ収集はエントリー時に一緒にやれば工数ゼロ。今年必ず入れたい。</t>
  </si>
  <si>
    <r>
      <rPr>
        <rFont val="Noto Sans CJK SC"/>
        <b/>
        <color rgb="FF2C2C2C"/>
        <sz val="9.0"/>
      </rPr>
      <t>応援の仕方レクチャー（シール・</t>
    </r>
    <r>
      <rPr>
        <rFont val="Arial"/>
        <b/>
        <color rgb="FF2C2C2C"/>
        <sz val="9.0"/>
      </rPr>
      <t>MC</t>
    </r>
    <r>
      <rPr>
        <rFont val="Noto Sans CJK SC"/>
        <b/>
        <color rgb="FF2C2C2C"/>
        <sz val="9.0"/>
      </rPr>
      <t>・動画）</t>
    </r>
  </si>
  <si>
    <t>大会序盤に観客が応援の仕方を知ることができる案内をする。シールやグッズの使い方もここで説明し、一体感の入口をつくる</t>
  </si>
  <si>
    <t>初来場者が一番戸惑うのは『どう楽しめばいいかわからない』という瞬間。これを解消するだけで会場全体の熱量が上がる。映像か口頭かで準備量が変わるが、今年必ず実施。</t>
  </si>
  <si>
    <t>出口での挑戦ボード設置</t>
  </si>
  <si>
    <t>帰り際に観客が自分の小さな挑戦を書いてボードに貼れるコーナーを設ける。大会の感動を自分ごとの行動につなげる場をつくる</t>
  </si>
  <si>
    <r>
      <rPr>
        <rFont val="Arial"/>
        <color theme="1"/>
        <sz val="8.0"/>
      </rPr>
      <t>×</t>
    </r>
    <r>
      <rPr>
        <rFont val="Noto Sans CJK SC"/>
        <color theme="1"/>
        <sz val="8.0"/>
      </rPr>
      <t>（来年以降）</t>
    </r>
  </si>
  <si>
    <t>初年度は他の施策を安定させることを優先。ボード設置のオペレーションや導線設計を今年仕込んで来年本番実施とする方が質が上がる。</t>
  </si>
  <si>
    <r>
      <rPr>
        <rFont val="Arial"/>
        <b/>
        <color rgb="FF2C2C2C"/>
        <sz val="9.0"/>
      </rPr>
      <t>SNS</t>
    </r>
    <r>
      <rPr>
        <rFont val="Noto Sans CJK SC"/>
        <b/>
        <color rgb="FF2C2C2C"/>
        <sz val="9.0"/>
      </rPr>
      <t>キャンペーン・投稿フォーマット配布</t>
    </r>
  </si>
  <si>
    <r>
      <rPr>
        <rFont val="Noto Sans CJK SC"/>
        <color rgb="FF2C2C2C"/>
        <sz val="8.0"/>
      </rPr>
      <t>大会の感動をその場で</t>
    </r>
    <r>
      <rPr>
        <rFont val="Arial"/>
        <color rgb="FF2C2C2C"/>
        <sz val="8.0"/>
      </rPr>
      <t>SNS</t>
    </r>
    <r>
      <rPr>
        <rFont val="Noto Sans CJK SC"/>
        <color rgb="FF2C2C2C"/>
        <sz val="8.0"/>
      </rPr>
      <t>に発信しやすくするフォーマットを用意し、口コミ拡散を意図的に起こす</t>
    </r>
  </si>
  <si>
    <r>
      <rPr>
        <rFont val="Noto Sans CJK SC"/>
        <b/>
        <color rgb="FF2C2C2C"/>
        <sz val="8.0"/>
      </rPr>
      <t>本部</t>
    </r>
    <r>
      <rPr>
        <rFont val="Arial"/>
        <b/>
        <color rgb="FF2C2C2C"/>
        <sz val="8.0"/>
      </rPr>
      <t>1</t>
    </r>
    <r>
      <rPr>
        <rFont val="Noto Sans CJK SC"/>
        <b/>
        <color rgb="FF2C2C2C"/>
        <sz val="8.0"/>
      </rPr>
      <t>人</t>
    </r>
  </si>
  <si>
    <r>
      <rPr>
        <rFont val="Noto Sans CJK SC"/>
        <color rgb="FF2C2C2C"/>
        <sz val="8.0"/>
      </rPr>
      <t>スポンサー企業へ『</t>
    </r>
    <r>
      <rPr>
        <rFont val="Arial"/>
        <color rgb="FF2C2C2C"/>
        <sz val="8.0"/>
      </rPr>
      <t>SNS</t>
    </r>
    <r>
      <rPr>
        <rFont val="Noto Sans CJK SC"/>
        <color rgb="FF2C2C2C"/>
        <sz val="8.0"/>
      </rPr>
      <t>上での認知効果』を数字で示せるようになる最短経路。今年は投稿フォーマットと集計の型をつくり、来年以降の提案書に使えるデータを蓄積する。</t>
    </r>
  </si>
  <si>
    <t>昨年観客→今年選手になった率のシェア</t>
  </si>
  <si>
    <t>昨年観客として来た人が今年選手として出場している事実を数字で伝える。『自分も出られる』という最強のメッセージになる</t>
  </si>
  <si>
    <r>
      <rPr>
        <rFont val="Noto Sans CJK SC"/>
        <b/>
        <color rgb="FF2C2C2C"/>
        <sz val="8.0"/>
      </rPr>
      <t>本部</t>
    </r>
    <r>
      <rPr>
        <rFont val="Arial"/>
        <b/>
        <color rgb="FF2C2C2C"/>
        <sz val="8.0"/>
      </rPr>
      <t>1</t>
    </r>
    <r>
      <rPr>
        <rFont val="Noto Sans CJK SC"/>
        <b/>
        <color rgb="FF2C2C2C"/>
        <sz val="8.0"/>
      </rPr>
      <t>人</t>
    </r>
  </si>
  <si>
    <t>スポンサー向けには『大会が人を動かす証拠』、観客向けには『来年の自分』を想像させる素材になる。データを確認するだけで使えるため、今年すぐに実施すべき。</t>
  </si>
  <si>
    <t>D</t>
  </si>
  <si>
    <t>映像・音響演出設計</t>
  </si>
  <si>
    <t>オープニング映像（選手のストーリー映像）</t>
  </si>
  <si>
    <t>大会開始時に流す映像で、出場選手がどんな人でどんな想いを持っているかを紹介する。『大会が始まる』ではなく『物語が始まる』感覚を生み出す</t>
  </si>
  <si>
    <t>専門業者</t>
  </si>
  <si>
    <t>高</t>
  </si>
  <si>
    <t>△ ギリギリ</t>
  </si>
  <si>
    <r>
      <rPr>
        <rFont val="Arial"/>
        <color rgb="FF2C2C2C"/>
        <sz val="8.0"/>
      </rPr>
      <t>SFF</t>
    </r>
    <r>
      <rPr>
        <rFont val="Noto Sans CJK SC"/>
        <color rgb="FF2C2C2C"/>
        <sz val="8.0"/>
      </rPr>
      <t>の世界観を最初の数分で一気に打ち込む最重要映像。ここで感情が乗らないと以降の演出が効かない。外注コストはかかるが、絶対に削れない投資。</t>
    </r>
  </si>
  <si>
    <t>カテゴリー登場映像・バック映像</t>
  </si>
  <si>
    <t>各選手がステージに登場するときに後ろのスクリーンに映像を流し、選手の雰囲気・テーマ・個性を演出する</t>
  </si>
  <si>
    <r>
      <rPr>
        <rFont val="Noto Sans CJK SC"/>
        <color rgb="FF2C2C2C"/>
        <sz val="8.0"/>
      </rPr>
      <t>登場の瞬間が最も感情が高まる場面。映像の有無で選手体験と観客体験の両方が大きく変わる。コストはかかるが、</t>
    </r>
    <r>
      <rPr>
        <rFont val="Arial"/>
        <color rgb="FF2C2C2C"/>
        <sz val="8.0"/>
      </rPr>
      <t>SFF</t>
    </r>
    <r>
      <rPr>
        <rFont val="Noto Sans CJK SC"/>
        <color rgb="FF2C2C2C"/>
        <sz val="8.0"/>
      </rPr>
      <t>クオリティの核心部分として今年確保すべき。</t>
    </r>
  </si>
  <si>
    <t>バックステージ中継・収録映像</t>
  </si>
  <si>
    <t>控室や舞台裏の様子をリアルタイムで会場スクリーンに映す。選手の緊張・準備の瞬間を観客が見ることで応援の気持ちが一段深まる</t>
  </si>
  <si>
    <r>
      <rPr>
        <rFont val="Arial"/>
        <color theme="1"/>
        <sz val="8.0"/>
      </rPr>
      <t>×</t>
    </r>
    <r>
      <rPr>
        <rFont val="Noto Sans CJK SC"/>
        <color theme="1"/>
        <sz val="8.0"/>
      </rPr>
      <t>（来年以降）</t>
    </r>
  </si>
  <si>
    <r>
      <rPr>
        <rFont val="Noto Sans CJK SC"/>
        <color theme="1"/>
        <sz val="8.0"/>
      </rPr>
      <t>スコア最高値（</t>
    </r>
    <r>
      <rPr>
        <rFont val="Arial"/>
        <color theme="1"/>
        <sz val="8.0"/>
      </rPr>
      <t>10</t>
    </r>
    <r>
      <rPr>
        <rFont val="Noto Sans CJK SC"/>
        <color theme="1"/>
        <sz val="8.0"/>
      </rPr>
      <t>点）かつテーマ合致度△。カメラ・中継体制が整っていない初年度に無理に入れるリスクが高い。映像・スタッフ体制が確立した来年以降に改めて判断する。</t>
    </r>
  </si>
  <si>
    <t>協賛企業のストーリー映像</t>
  </si>
  <si>
    <r>
      <rPr>
        <rFont val="Noto Sans CJK SC"/>
        <color rgb="FF2C2C2C"/>
        <sz val="8.0"/>
      </rPr>
      <t>協賛企業の紹介を単なるロゴ掲示ではなく『挑戦を支える企業の想い』として映像で伝える。企業の意義を</t>
    </r>
    <r>
      <rPr>
        <rFont val="Arial"/>
        <color rgb="FF2C2C2C"/>
        <sz val="8.0"/>
      </rPr>
      <t>SFF</t>
    </r>
    <r>
      <rPr>
        <rFont val="Noto Sans CJK SC"/>
        <color rgb="FF2C2C2C"/>
        <sz val="8.0"/>
      </rPr>
      <t>の文脈に統合する</t>
    </r>
  </si>
  <si>
    <t>スポンサーが『来年もまた出したい』と思う体験の核心。企業が『価値を一緒に届けている』と感じられる設計はスポンサー収益の仕組み化に直結する。今期テーマ最重要施策のひとつ。</t>
  </si>
  <si>
    <t>表彰・振り返り映像</t>
  </si>
  <si>
    <t>表彰のタイミングで全選手の大会当日の姿をダイジェストで流す。勝ち負けに関わらず、全員の挑戦に価値があったと伝える映像</t>
  </si>
  <si>
    <t>△ 条件次第</t>
  </si>
  <si>
    <r>
      <rPr>
        <rFont val="Noto Sans CJK SC"/>
        <color theme="1"/>
        <sz val="10.0"/>
      </rPr>
      <t>条件付き</t>
    </r>
    <r>
      <rPr>
        <rFont val="Arial"/>
        <color theme="1"/>
        <sz val="10.0"/>
      </rPr>
      <t>OK</t>
    </r>
  </si>
  <si>
    <r>
      <rPr>
        <rFont val="Noto Sans CJK SC"/>
        <color theme="1"/>
        <sz val="8.0"/>
      </rPr>
      <t>エンディング映像（</t>
    </r>
    <r>
      <rPr>
        <rFont val="Arial"/>
        <color theme="1"/>
        <sz val="8.0"/>
      </rPr>
      <t>Row32</t>
    </r>
    <r>
      <rPr>
        <rFont val="Noto Sans CJK SC"/>
        <color theme="1"/>
        <sz val="8.0"/>
      </rPr>
      <t>）で感情のピークは設計できる。映像予算に余裕がある場合のみ実施。予算が限られる場合は</t>
    </r>
    <r>
      <rPr>
        <rFont val="Arial"/>
        <color theme="1"/>
        <sz val="8.0"/>
      </rPr>
      <t>Row32</t>
    </r>
    <r>
      <rPr>
        <rFont val="Noto Sans CJK SC"/>
        <color theme="1"/>
        <sz val="8.0"/>
      </rPr>
      <t>を優先し、本施策は来年以降に回す。</t>
    </r>
  </si>
  <si>
    <t>エンディング映像（自分ごとへの橋渡し）</t>
  </si>
  <si>
    <t>大会の締めに流す映像で、選手の物語から観客自身の人生へとつなげるメッセージを伝える。『明日、何かを始めたい』と思わせるクロージング</t>
  </si>
  <si>
    <r>
      <rPr>
        <rFont val="Noto Sans CJK SC"/>
        <color rgb="FF2C2C2C"/>
        <sz val="8.0"/>
      </rPr>
      <t>観客が帰った後も余韻が続くかどうかはこのエンディングで決まる。口コミ・</t>
    </r>
    <r>
      <rPr>
        <rFont val="Arial"/>
        <color rgb="FF2C2C2C"/>
        <sz val="8.0"/>
      </rPr>
      <t>SNS</t>
    </r>
    <r>
      <rPr>
        <rFont val="Noto Sans CJK SC"/>
        <color rgb="FF2C2C2C"/>
        <sz val="8.0"/>
      </rPr>
      <t>発信・来年の来場意欲にも影響する。今年実施することで来年のスポンサー訴求にも使えるコンテンツになる。</t>
    </r>
  </si>
  <si>
    <r>
      <rPr>
        <rFont val="Noto Sans CJK SC"/>
        <b/>
        <color rgb="FF2C2C2C"/>
        <sz val="9.0"/>
      </rPr>
      <t>選手当日</t>
    </r>
    <r>
      <rPr>
        <rFont val="Arial"/>
        <b/>
        <color rgb="FF2C2C2C"/>
        <sz val="9.0"/>
      </rPr>
      <t>MTG</t>
    </r>
    <r>
      <rPr>
        <rFont val="Noto Sans CJK SC"/>
        <b/>
        <color rgb="FF2C2C2C"/>
        <sz val="9.0"/>
      </rPr>
      <t>での成長実感動画</t>
    </r>
  </si>
  <si>
    <r>
      <rPr>
        <rFont val="Noto Sans CJK SC"/>
        <color rgb="FF2C2C2C"/>
        <sz val="8.0"/>
      </rPr>
      <t>当日朝の</t>
    </r>
    <r>
      <rPr>
        <rFont val="Arial"/>
        <color rgb="FF2C2C2C"/>
        <sz val="8.0"/>
      </rPr>
      <t>MTG</t>
    </r>
    <r>
      <rPr>
        <rFont val="Noto Sans CJK SC"/>
        <color rgb="FF2C2C2C"/>
        <sz val="8.0"/>
      </rPr>
      <t>で、エントリー当初の動画と現在を比べた『</t>
    </r>
    <r>
      <rPr>
        <rFont val="Arial"/>
        <color rgb="FF2C2C2C"/>
        <sz val="8.0"/>
      </rPr>
      <t>before/after</t>
    </r>
    <r>
      <rPr>
        <rFont val="Noto Sans CJK SC"/>
        <color rgb="FF2C2C2C"/>
        <sz val="8.0"/>
      </rPr>
      <t>』映像を見せ、本番前の覚悟を引き出す</t>
    </r>
  </si>
  <si>
    <t>本番直前の選手の緊張を覚悟に変える最も効果的な施策。動画編集コストは小さく、今年すぐ実施できる。物語ノートと組み合わせることで効果が最大化する。</t>
  </si>
  <si>
    <t>E</t>
  </si>
  <si>
    <t>会場内回遊・グッズ体験設計</t>
  </si>
  <si>
    <t>パンフ・シール・応援グッズ・ショッパー配布</t>
  </si>
  <si>
    <t>入場時に応援シールやパンフレット、ショッパーを配布する。手に取った瞬間から『自分もこの空間の一部だ』という感覚を生む</t>
  </si>
  <si>
    <t>来場者の第一印象を決める物理的な体験。ショッパーを持つだけで会場全体の雰囲気が一段上がる。グッズの発注は早めに動く必要があるが、今年必ず整備すべきインフラ施策。</t>
  </si>
  <si>
    <t>協賛ブース体験・選手情報掲示の回遊設計</t>
  </si>
  <si>
    <t>開演前の時間を使って観客がブースを楽しみながら選手の情報を知れる動線をつくる。暇つぶしではなく期待感を高める体験として設計する</t>
  </si>
  <si>
    <r>
      <rPr>
        <rFont val="Arial"/>
        <color theme="1"/>
        <sz val="8.0"/>
      </rPr>
      <t>×</t>
    </r>
    <r>
      <rPr>
        <rFont val="Noto Sans CJK SC"/>
        <color theme="1"/>
        <sz val="8.0"/>
      </rPr>
      <t>（来年以降）</t>
    </r>
  </si>
  <si>
    <r>
      <rPr>
        <rFont val="Arial"/>
        <color theme="1"/>
        <sz val="8.0"/>
      </rPr>
      <t>Row34</t>
    </r>
    <r>
      <rPr>
        <rFont val="Noto Sans CJK SC"/>
        <color theme="1"/>
        <sz val="8.0"/>
      </rPr>
      <t>（グッズ配布）・</t>
    </r>
    <r>
      <rPr>
        <rFont val="Arial"/>
        <color theme="1"/>
        <sz val="8.0"/>
      </rPr>
      <t>Row37</t>
    </r>
    <r>
      <rPr>
        <rFont val="Noto Sans CJK SC"/>
        <color theme="1"/>
        <sz val="8.0"/>
      </rPr>
      <t>（推し選手導線）で開演前体験はカバーできる。ブース回遊の動線設計は協賛企業数・配置が確定してから本格的に設計すべきであり、来年以降の施策として仕込む。</t>
    </r>
  </si>
  <si>
    <t>休憩中のスタンプラリー設置</t>
  </si>
  <si>
    <r>
      <rPr>
        <rFont val="Noto Sans CJK SC"/>
        <color rgb="FF2C2C2C"/>
        <sz val="8.0"/>
      </rPr>
      <t>休憩時間にスタンプを集めながら会場を回るゲームを用意する。</t>
    </r>
    <r>
      <rPr>
        <rFont val="Arial"/>
        <color rgb="FF2C2C2C"/>
        <sz val="8.0"/>
      </rPr>
      <t>1</t>
    </r>
    <r>
      <rPr>
        <rFont val="Noto Sans CJK SC"/>
        <color rgb="FF2C2C2C"/>
        <sz val="8.0"/>
      </rPr>
      <t>人でも気軽に参加でき、複数のブースを自然と訪問できる</t>
    </r>
  </si>
  <si>
    <r>
      <rPr>
        <rFont val="Arial"/>
        <color theme="1"/>
        <sz val="8.0"/>
      </rPr>
      <t>×</t>
    </r>
    <r>
      <rPr>
        <rFont val="Noto Sans CJK SC"/>
        <color theme="1"/>
        <sz val="8.0"/>
      </rPr>
      <t>（来年以降）</t>
    </r>
  </si>
  <si>
    <t>面白い施策だが、スタンプラリーの設計・台紙制作・各ブースとの連携調整に相応の工数がかかる。今年はより優先度の高い体験施策にリソースを集中し、来年の仕込みとして準備を始める。</t>
  </si>
  <si>
    <t>推し選手を見つける導線設計</t>
  </si>
  <si>
    <t>入場から着席までの間に、観客が応援したい選手を見つけやすい情報掲示や選手紹介コーナーを設ける</t>
  </si>
  <si>
    <r>
      <rPr>
        <rFont val="Noto Sans CJK SC"/>
        <b/>
        <color rgb="FF2C2C2C"/>
        <sz val="8.0"/>
      </rPr>
      <t>本部</t>
    </r>
    <r>
      <rPr>
        <rFont val="Arial"/>
        <b/>
        <color rgb="FF2C2C2C"/>
        <sz val="8.0"/>
      </rPr>
      <t>1</t>
    </r>
    <r>
      <rPr>
        <rFont val="Noto Sans CJK SC"/>
        <b/>
        <color rgb="FF2C2C2C"/>
        <sz val="8.0"/>
      </rPr>
      <t>人</t>
    </r>
  </si>
  <si>
    <t>特定の選手に感情移入できると観客の没入度が一気に上がる。パンフや掲示物の工夫で実現でき、コストも小さい。今年の観客体験設計の基礎として整備する。</t>
  </si>
  <si>
    <t>G</t>
  </si>
  <si>
    <r>
      <rPr>
        <rFont val="Arial"/>
        <b/>
        <color rgb="FF993C1D"/>
        <sz val="8.0"/>
      </rPr>
      <t>Shaper</t>
    </r>
    <r>
      <rPr>
        <rFont val="Noto Sans CJK SC"/>
        <b/>
        <color rgb="FF993C1D"/>
        <sz val="8.0"/>
      </rPr>
      <t>の意味づけ・行動設計</t>
    </r>
  </si>
  <si>
    <r>
      <rPr>
        <rFont val="Noto Sans CJK SC"/>
        <b/>
        <color rgb="FF2C2C2C"/>
        <sz val="9.0"/>
      </rPr>
      <t>役割の意味づけ</t>
    </r>
    <r>
      <rPr>
        <rFont val="Arial"/>
        <b/>
        <color rgb="FF2C2C2C"/>
        <sz val="9.0"/>
      </rPr>
      <t>VTR</t>
    </r>
  </si>
  <si>
    <r>
      <rPr>
        <rFont val="Arial"/>
        <color rgb="FF2C2C2C"/>
        <sz val="8.0"/>
      </rPr>
      <t>Shaper</t>
    </r>
    <r>
      <rPr>
        <rFont val="Noto Sans CJK SC"/>
        <color rgb="FF2C2C2C"/>
        <sz val="8.0"/>
      </rPr>
      <t>が大会前に見る短い動画で、自分たちの存在が選手や観客にどんな影響を与えるかを伝える。『何をするか』だけでなく『なぜするか』を腹落ちさせる</t>
    </r>
  </si>
  <si>
    <r>
      <rPr>
        <rFont val="Arial"/>
        <color rgb="FF2C2C2C"/>
        <sz val="8.0"/>
      </rPr>
      <t>Shaper</t>
    </r>
    <r>
      <rPr>
        <rFont val="Noto Sans CJK SC"/>
        <color rgb="FF2C2C2C"/>
        <sz val="8.0"/>
      </rPr>
      <t>の熱量は観客・選手の体験品質に直結するが、</t>
    </r>
    <r>
      <rPr>
        <rFont val="Arial"/>
        <color rgb="FF2C2C2C"/>
        <sz val="8.0"/>
      </rPr>
      <t>VTR</t>
    </r>
    <r>
      <rPr>
        <rFont val="Noto Sans CJK SC"/>
        <color rgb="FF2C2C2C"/>
        <sz val="8.0"/>
      </rPr>
      <t>制作には台本・撮影・編集の工数がかかる。今年はスクリプトと構成を固め、来年以降毎年使える映像に仕上げる。</t>
    </r>
  </si>
  <si>
    <r>
      <rPr>
        <rFont val="Arial"/>
        <b/>
        <color rgb="FF993C1D"/>
        <sz val="8.0"/>
      </rPr>
      <t>Shaper</t>
    </r>
    <r>
      <rPr>
        <rFont val="Noto Sans CJK SC"/>
        <b/>
        <color rgb="FF993C1D"/>
        <sz val="8.0"/>
      </rPr>
      <t>の意味づけ・行動設計</t>
    </r>
  </si>
  <si>
    <t>当日朝の全体朝会での意識合わせ</t>
  </si>
  <si>
    <r>
      <rPr>
        <rFont val="Noto Sans CJK SC"/>
        <color rgb="FF2C2C2C"/>
        <sz val="8.0"/>
      </rPr>
      <t>当日朝、全</t>
    </r>
    <r>
      <rPr>
        <rFont val="Arial"/>
        <color rgb="FF2C2C2C"/>
        <sz val="8.0"/>
      </rPr>
      <t>Shaper</t>
    </r>
    <r>
      <rPr>
        <rFont val="Noto Sans CJK SC"/>
        <color rgb="FF2C2C2C"/>
        <sz val="8.0"/>
      </rPr>
      <t>が集まる場で『今日の目的』と『自分たちが活き活きすることが選手のためになる』を短く伝え、気持ちを揃える</t>
    </r>
  </si>
  <si>
    <r>
      <rPr>
        <rFont val="Noto Sans CJK SC"/>
        <b/>
        <color rgb="FF2C2C2C"/>
        <sz val="8.0"/>
      </rPr>
      <t>本部</t>
    </r>
    <r>
      <rPr>
        <rFont val="Arial"/>
        <b/>
        <color rgb="FF2C2C2C"/>
        <sz val="8.0"/>
      </rPr>
      <t>1</t>
    </r>
    <r>
      <rPr>
        <rFont val="Noto Sans CJK SC"/>
        <b/>
        <color rgb="FF2C2C2C"/>
        <sz val="8.0"/>
      </rPr>
      <t>人</t>
    </r>
  </si>
  <si>
    <r>
      <rPr>
        <rFont val="Noto Sans CJK SC"/>
        <color rgb="FF2C2C2C"/>
        <sz val="8.0"/>
      </rPr>
      <t>コストゼロで当日の熱量を揃えられる最もコスパが高い</t>
    </r>
    <r>
      <rPr>
        <rFont val="Arial"/>
        <color rgb="FF2C2C2C"/>
        <sz val="8.0"/>
      </rPr>
      <t>Shaper</t>
    </r>
    <r>
      <rPr>
        <rFont val="Noto Sans CJK SC"/>
        <color rgb="FF2C2C2C"/>
        <sz val="8.0"/>
      </rPr>
      <t>施策。</t>
    </r>
    <r>
      <rPr>
        <rFont val="Arial"/>
        <color rgb="FF2C2C2C"/>
        <sz val="8.0"/>
      </rPr>
      <t>5</t>
    </r>
    <r>
      <rPr>
        <rFont val="Noto Sans CJK SC"/>
        <color rgb="FF2C2C2C"/>
        <sz val="8.0"/>
      </rPr>
      <t>〜</t>
    </r>
    <r>
      <rPr>
        <rFont val="Arial"/>
        <color rgb="FF2C2C2C"/>
        <sz val="8.0"/>
      </rPr>
      <t>10</t>
    </r>
    <r>
      <rPr>
        <rFont val="Noto Sans CJK SC"/>
        <color rgb="FF2C2C2C"/>
        <sz val="8.0"/>
      </rPr>
      <t>分のトークで全員の方向が揃う。今年から定番の文化として必ず実施すべき。</t>
    </r>
  </si>
  <si>
    <r>
      <rPr>
        <rFont val="Arial"/>
        <b/>
        <color rgb="FF993C1D"/>
        <sz val="8.0"/>
      </rPr>
      <t>Shaper</t>
    </r>
    <r>
      <rPr>
        <rFont val="Noto Sans CJK SC"/>
        <b/>
        <color rgb="FF993C1D"/>
        <sz val="8.0"/>
      </rPr>
      <t>の意味づけ・行動設計</t>
    </r>
  </si>
  <si>
    <t>各リーダーから具体的なお礼とフィードバック</t>
  </si>
  <si>
    <t>大会終了後に各エリアのリーダーが担当メンバーに対し、具体的な良い行動を名指しで伝える。見ていてくれたという実感をつくる</t>
  </si>
  <si>
    <t>Shaper</t>
  </si>
  <si>
    <r>
      <rPr>
        <rFont val="Arial"/>
        <color rgb="FF2C2C2C"/>
        <sz val="8.0"/>
      </rPr>
      <t>Shaper</t>
    </r>
    <r>
      <rPr>
        <rFont val="Noto Sans CJK SC"/>
        <color rgb="FF2C2C2C"/>
        <sz val="8.0"/>
      </rPr>
      <t>が『関われてよかった』と感じるかどうかはリーダーの行動次第。仕組みとして設計しリーダーに伝えるだけで実現でき、来年の</t>
    </r>
    <r>
      <rPr>
        <rFont val="Arial"/>
        <color rgb="FF2C2C2C"/>
        <sz val="8.0"/>
      </rPr>
      <t>Shaper</t>
    </r>
    <r>
      <rPr>
        <rFont val="Noto Sans CJK SC"/>
        <color rgb="FF2C2C2C"/>
        <sz val="8.0"/>
      </rPr>
      <t>継続率にも影響する。</t>
    </r>
  </si>
  <si>
    <r>
      <rPr>
        <rFont val="Arial"/>
        <b/>
        <color rgb="FF993C1D"/>
        <sz val="8.0"/>
      </rPr>
      <t>Shaper</t>
    </r>
    <r>
      <rPr>
        <rFont val="Noto Sans CJK SC"/>
        <b/>
        <color rgb="FF993C1D"/>
        <sz val="8.0"/>
      </rPr>
      <t>の意味づけ・行動設計</t>
    </r>
  </si>
  <si>
    <r>
      <rPr>
        <rFont val="Arial"/>
        <b/>
        <color rgb="FF2C2C2C"/>
        <sz val="9.0"/>
      </rPr>
      <t>Roots</t>
    </r>
    <r>
      <rPr>
        <rFont val="Noto Sans CJK SC"/>
        <b/>
        <color rgb="FF2C2C2C"/>
        <sz val="9.0"/>
      </rPr>
      <t>メンバーの声かけ余白の確保</t>
    </r>
  </si>
  <si>
    <r>
      <rPr>
        <rFont val="Noto Sans CJK SC"/>
        <color rgb="FF2C2C2C"/>
        <sz val="8.0"/>
      </rPr>
      <t>コアメンバーが当日オペレーション業務を減らし、選手・観客・</t>
    </r>
    <r>
      <rPr>
        <rFont val="Arial"/>
        <color rgb="FF2C2C2C"/>
        <sz val="8.0"/>
      </rPr>
      <t>Shaper</t>
    </r>
    <r>
      <rPr>
        <rFont val="Noto Sans CJK SC"/>
        <color rgb="FF2C2C2C"/>
        <sz val="8.0"/>
      </rPr>
      <t>への声かけに時間を使えるようシフトを設計する</t>
    </r>
  </si>
  <si>
    <t>人が人に声をかける体験は、どんな演出でも代替できない。シフト設計の段階で余白を意図的に作るだけで実現でき、コストゼロ。今年のシフト設計の前提として組み込む。</t>
  </si>
  <si>
    <r>
      <rPr>
        <rFont val="Arial"/>
        <b/>
        <color rgb="FF993C1D"/>
        <sz val="8.0"/>
      </rPr>
      <t>Shaper</t>
    </r>
    <r>
      <rPr>
        <rFont val="Noto Sans CJK SC"/>
        <b/>
        <color rgb="FF993C1D"/>
        <sz val="8.0"/>
      </rPr>
      <t>の意味づけ・行動設計</t>
    </r>
  </si>
  <si>
    <t>選手アテンドの自己紹介タイム</t>
  </si>
  <si>
    <t>担当アテンドが選手に自己紹介し、名前と顔を知った関係でサポートする。控室での孤立感を和らげ、支えられている実感を生む</t>
  </si>
  <si>
    <r>
      <rPr>
        <rFont val="Noto Sans CJK SC"/>
        <color rgb="FF2C2C2C"/>
        <sz val="8.0"/>
      </rPr>
      <t>アテンドが名前を名乗るだけで選手の安心感が大きく変わる。追加コスト・工数ともにゼロ。今年から</t>
    </r>
    <r>
      <rPr>
        <rFont val="Arial"/>
        <color rgb="FF2C2C2C"/>
        <sz val="8.0"/>
      </rPr>
      <t>Shaper</t>
    </r>
    <r>
      <rPr>
        <rFont val="Noto Sans CJK SC"/>
        <color rgb="FF2C2C2C"/>
        <sz val="8.0"/>
      </rPr>
      <t>向けマニュアルに明記して徹底する。</t>
    </r>
  </si>
  <si>
    <r>
      <rPr>
        <rFont val="Arial"/>
        <b/>
        <color rgb="FF993C1D"/>
        <sz val="8.0"/>
      </rPr>
      <t>Shaper</t>
    </r>
    <r>
      <rPr>
        <rFont val="Noto Sans CJK SC"/>
        <b/>
        <color rgb="FF993C1D"/>
        <sz val="8.0"/>
      </rPr>
      <t>の意味づけ・行動設計</t>
    </r>
  </si>
  <si>
    <r>
      <rPr>
        <rFont val="Arial"/>
        <b/>
        <color rgb="FF2C2C2C"/>
        <sz val="9.0"/>
      </rPr>
      <t>Shaper</t>
    </r>
    <r>
      <rPr>
        <rFont val="Noto Sans CJK SC"/>
        <b/>
        <color rgb="FF2C2C2C"/>
        <sz val="9.0"/>
      </rPr>
      <t>による元気な迎え入れ（受付・入場時）</t>
    </r>
  </si>
  <si>
    <r>
      <rPr>
        <rFont val="Noto Sans CJK SC"/>
        <color rgb="FF2C2C2C"/>
        <sz val="8.0"/>
      </rPr>
      <t>来場者が会場に入った最初の瞬間に</t>
    </r>
    <r>
      <rPr>
        <rFont val="Arial"/>
        <color rgb="FF2C2C2C"/>
        <sz val="8.0"/>
      </rPr>
      <t>Shaper</t>
    </r>
    <r>
      <rPr>
        <rFont val="Noto Sans CJK SC"/>
        <color rgb="FF2C2C2C"/>
        <sz val="8.0"/>
      </rPr>
      <t>が笑顔と元気な声で迎える。第一印象で『あたたかい場所だ』と感じさせる</t>
    </r>
  </si>
  <si>
    <t>来場者体験の起点であり、その後の満足度全体に影響する。追加コストゼロ。朝会での意識合わせと組み合わせることで再現性が高まる。今年必ず実施。</t>
  </si>
  <si>
    <t>H</t>
  </si>
  <si>
    <t>協賛企業の大会統合設計</t>
  </si>
  <si>
    <t>協賛企業の紹介文を『挑戦を支える存在』に書き換え</t>
  </si>
  <si>
    <t>大会での企業紹介を単なるスポンサー名告知から『あなたが挑戦したいと思った時に支えてくれる企業』という文脈に変える</t>
  </si>
  <si>
    <r>
      <rPr>
        <rFont val="Noto Sans CJK SC"/>
        <b/>
        <color rgb="FF2C2C2C"/>
        <sz val="8.0"/>
      </rPr>
      <t>本部</t>
    </r>
    <r>
      <rPr>
        <rFont val="Arial"/>
        <b/>
        <color rgb="FF2C2C2C"/>
        <sz val="8.0"/>
      </rPr>
      <t>1</t>
    </r>
    <r>
      <rPr>
        <rFont val="Noto Sans CJK SC"/>
        <b/>
        <color rgb="FF2C2C2C"/>
        <sz val="8.0"/>
      </rPr>
      <t>人</t>
    </r>
  </si>
  <si>
    <t>スポンサーへの価値提供の質を変える施策でコストゼロ。企業が『ただの協賛』ではなく大会の文脈の一部として認識されることで、来年のリピートに直結する。今期テーマ最重要施策。</t>
  </si>
  <si>
    <t>ブース出展企業へのメッセージカード作成</t>
  </si>
  <si>
    <r>
      <rPr>
        <rFont val="Noto Sans CJK SC"/>
        <color rgb="FF2C2C2C"/>
        <sz val="8.0"/>
      </rPr>
      <t>当日ブースを出してくれる企業に、</t>
    </r>
    <r>
      <rPr>
        <rFont val="Arial"/>
        <color rgb="FF2C2C2C"/>
        <sz val="8.0"/>
      </rPr>
      <t>SFF</t>
    </r>
    <r>
      <rPr>
        <rFont val="Noto Sans CJK SC"/>
        <color rgb="FF2C2C2C"/>
        <sz val="8.0"/>
      </rPr>
      <t>の価値観と感謝を伝えるカードを手渡しする。企業が『仲間として関わった』と感じる接点をつくる</t>
    </r>
  </si>
  <si>
    <r>
      <rPr>
        <rFont val="Noto Sans CJK SC"/>
        <b/>
        <color rgb="FF2C2C2C"/>
        <sz val="8.0"/>
      </rPr>
      <t>本部</t>
    </r>
    <r>
      <rPr>
        <rFont val="Arial"/>
        <b/>
        <color rgb="FF2C2C2C"/>
        <sz val="8.0"/>
      </rPr>
      <t>1</t>
    </r>
    <r>
      <rPr>
        <rFont val="Noto Sans CJK SC"/>
        <b/>
        <color rgb="FF2C2C2C"/>
        <sz val="8.0"/>
      </rPr>
      <t>人</t>
    </r>
  </si>
  <si>
    <r>
      <rPr>
        <rFont val="Noto Sans CJK SC"/>
        <color rgb="FF2C2C2C"/>
        <sz val="8.0"/>
      </rPr>
      <t>カード</t>
    </r>
    <r>
      <rPr>
        <rFont val="Arial"/>
        <color rgb="FF2C2C2C"/>
        <sz val="8.0"/>
      </rPr>
      <t>1</t>
    </r>
    <r>
      <rPr>
        <rFont val="Noto Sans CJK SC"/>
        <color rgb="FF2C2C2C"/>
        <sz val="8.0"/>
      </rPr>
      <t>枚で企業の満足度・帰属感が上がり、来年のリピート率に影響する。制作コストも小さく、今年すぐに実施できる。スポンサーリピート率を上げる仕組みの第一歩。</t>
    </r>
  </si>
  <si>
    <t>全スタッフへの企業情報共有と挨拶の徹底</t>
  </si>
  <si>
    <r>
      <rPr>
        <rFont val="Noto Sans CJK SC"/>
        <color rgb="FF2C2C2C"/>
        <sz val="8.0"/>
      </rPr>
      <t>大会前に</t>
    </r>
    <r>
      <rPr>
        <rFont val="Arial"/>
        <color rgb="FF2C2C2C"/>
        <sz val="8.0"/>
      </rPr>
      <t>Shaper</t>
    </r>
    <r>
      <rPr>
        <rFont val="Noto Sans CJK SC"/>
        <color rgb="FF2C2C2C"/>
        <sz val="8.0"/>
      </rPr>
      <t>を含む全スタッフが協賛企業の商品・想いを知り、ブースで自然な挨拶ができる状態をつくる</t>
    </r>
  </si>
  <si>
    <t>企業担当者が『スタッフが自社のことを知ってくれていた』と感じるだけで満足度が大きく変わる。資料共有と朝会での一言で実現でき、スポンサー体験の底上げに直結。</t>
  </si>
  <si>
    <r>
      <rPr>
        <rFont val="Noto Sans CJK SC"/>
        <b/>
        <color rgb="FF2C2C2C"/>
        <sz val="9.0"/>
      </rPr>
      <t>協賛ブースの接客設計（</t>
    </r>
    <r>
      <rPr>
        <rFont val="Arial"/>
        <b/>
        <color rgb="FF2C2C2C"/>
        <sz val="9.0"/>
      </rPr>
      <t>SFF</t>
    </r>
    <r>
      <rPr>
        <rFont val="Noto Sans CJK SC"/>
        <b/>
        <color rgb="FF2C2C2C"/>
        <sz val="9.0"/>
      </rPr>
      <t>らしいお出迎え）</t>
    </r>
  </si>
  <si>
    <r>
      <rPr>
        <rFont val="Noto Sans CJK SC"/>
        <color rgb="FF2C2C2C"/>
        <sz val="8.0"/>
      </rPr>
      <t>ブース担当者が</t>
    </r>
    <r>
      <rPr>
        <rFont val="Arial"/>
        <color rgb="FF2C2C2C"/>
        <sz val="8.0"/>
      </rPr>
      <t>SFF</t>
    </r>
    <r>
      <rPr>
        <rFont val="Noto Sans CJK SC"/>
        <color rgb="FF2C2C2C"/>
        <sz val="8.0"/>
      </rPr>
      <t>の空気感に合った接客ができるよう、事前に簡単なブリーフィングをする。企業ブースも会場の世界観の一部になる</t>
    </r>
  </si>
  <si>
    <r>
      <rPr>
        <rFont val="Noto Sans CJK SC"/>
        <color rgb="FF2C2C2C"/>
        <sz val="8.0"/>
      </rPr>
      <t>ブースの冷たい雰囲気は大会全体の体験を下げる。ブリーフィング</t>
    </r>
    <r>
      <rPr>
        <rFont val="Arial"/>
        <color rgb="FF2C2C2C"/>
        <sz val="8.0"/>
      </rPr>
      <t>1</t>
    </r>
    <r>
      <rPr>
        <rFont val="Noto Sans CJK SC"/>
        <color rgb="FF2C2C2C"/>
        <sz val="8.0"/>
      </rPr>
      <t>回で再現性が高まり、企業・観客双方の体験が上がる。工数も小さく今年から始めたい。</t>
    </r>
  </si>
  <si>
    <t>企業コラボ事前イベント（選手と企業の接点づくり）</t>
  </si>
  <si>
    <t>大会前のどこかのタイミングで選手と協賛企業が直接交流できるイベントを開催する。企業が選手の物語を知り、大会当日により深く関われるようにする</t>
  </si>
  <si>
    <r>
      <rPr>
        <rFont val="Noto Sans CJK SC"/>
        <b/>
        <color rgb="FFFFFFFF"/>
        <sz val="9.0"/>
      </rPr>
      <t>条件付き</t>
    </r>
    <r>
      <rPr>
        <rFont val="Arial"/>
        <b/>
        <color rgb="FFFFFFFF"/>
        <sz val="9.0"/>
      </rPr>
      <t>OK</t>
    </r>
  </si>
  <si>
    <r>
      <rPr>
        <rFont val="Noto Sans CJK SC"/>
        <color rgb="FF2C2C2C"/>
        <sz val="8.0"/>
      </rPr>
      <t>スポンサーと選手の関係性を深める価値は高いが、日程調整・会場手配・運営に相応のリソースがかかる。今年はスポンサーの数と規模が確定した後、余力があれば実施。来年以降の定番施策にするための仕込みとして今年試験的に</t>
    </r>
    <r>
      <rPr>
        <rFont val="Arial"/>
        <color rgb="FF2C2C2C"/>
        <sz val="8.0"/>
      </rPr>
      <t>1</t>
    </r>
    <r>
      <rPr>
        <rFont val="Noto Sans CJK SC"/>
        <color rgb="FF2C2C2C"/>
        <sz val="8.0"/>
      </rPr>
      <t>回やれるとベスト。</t>
    </r>
  </si>
  <si>
    <t>I</t>
  </si>
  <si>
    <t>大会後の余韻・行動変容設計</t>
  </si>
  <si>
    <t>退場時の写真導線と見送り</t>
  </si>
  <si>
    <r>
      <rPr>
        <rFont val="Noto Sans CJK SC"/>
        <color rgb="FF2C2C2C"/>
        <sz val="8.0"/>
      </rPr>
      <t>帰り際に記念写真を撮りやすい場所を用意し、</t>
    </r>
    <r>
      <rPr>
        <rFont val="Arial"/>
        <color rgb="FF2C2C2C"/>
        <sz val="8.0"/>
      </rPr>
      <t>Shaper</t>
    </r>
    <r>
      <rPr>
        <rFont val="Noto Sans CJK SC"/>
        <color rgb="FF2C2C2C"/>
        <sz val="8.0"/>
      </rPr>
      <t>やスタッフが</t>
    </r>
    <r>
      <rPr>
        <rFont val="Arial"/>
        <color rgb="FF2C2C2C"/>
        <sz val="8.0"/>
      </rPr>
      <t>SNS</t>
    </r>
    <r>
      <rPr>
        <rFont val="Noto Sans CJK SC"/>
        <color rgb="FF2C2C2C"/>
        <sz val="8.0"/>
      </rPr>
      <t>投稿をすすめながら温かく見送る</t>
    </r>
  </si>
  <si>
    <r>
      <rPr>
        <rFont val="Noto Sans CJK SC"/>
        <color rgb="FF2C2C2C"/>
        <sz val="8.0"/>
      </rPr>
      <t>最後の接点で余韻を最大化し、帰った後も</t>
    </r>
    <r>
      <rPr>
        <rFont val="Arial"/>
        <color rgb="FF2C2C2C"/>
        <sz val="8.0"/>
      </rPr>
      <t>SNS</t>
    </r>
    <r>
      <rPr>
        <rFont val="Noto Sans CJK SC"/>
        <color rgb="FF2C2C2C"/>
        <sz val="8.0"/>
      </rPr>
      <t>で発信してもらう入口をつくる。コストほぼゼロ。今年から定番の文化として設計する。</t>
    </r>
  </si>
  <si>
    <r>
      <rPr>
        <rFont val="Noto Sans CJK SC"/>
        <b/>
        <color rgb="FF2C2C2C"/>
        <sz val="9.0"/>
      </rPr>
      <t>選手写真の無料提供と</t>
    </r>
    <r>
      <rPr>
        <rFont val="Arial"/>
        <b/>
        <color rgb="FF2C2C2C"/>
        <sz val="9.0"/>
      </rPr>
      <t>SNS</t>
    </r>
    <r>
      <rPr>
        <rFont val="Noto Sans CJK SC"/>
        <b/>
        <color rgb="FF2C2C2C"/>
        <sz val="9.0"/>
      </rPr>
      <t>発信促進</t>
    </r>
  </si>
  <si>
    <r>
      <rPr>
        <rFont val="Noto Sans CJK SC"/>
        <color rgb="FF2C2C2C"/>
        <sz val="8.0"/>
      </rPr>
      <t>プロが撮影した選手の当日写真を無料で提供し、積極的に</t>
    </r>
    <r>
      <rPr>
        <rFont val="Arial"/>
        <color rgb="FF2C2C2C"/>
        <sz val="8.0"/>
      </rPr>
      <t>SNS</t>
    </r>
    <r>
      <rPr>
        <rFont val="Noto Sans CJK SC"/>
        <color rgb="FF2C2C2C"/>
        <sz val="8.0"/>
      </rPr>
      <t>に投稿してもらう。大会後も選手が自然と</t>
    </r>
    <r>
      <rPr>
        <rFont val="Arial"/>
        <color rgb="FF2C2C2C"/>
        <sz val="8.0"/>
      </rPr>
      <t>SFF</t>
    </r>
    <r>
      <rPr>
        <rFont val="Noto Sans CJK SC"/>
        <color rgb="FF2C2C2C"/>
        <sz val="8.0"/>
      </rPr>
      <t>の</t>
    </r>
    <r>
      <rPr>
        <rFont val="Arial"/>
        <color rgb="FF2C2C2C"/>
        <sz val="8.0"/>
      </rPr>
      <t>PR</t>
    </r>
    <r>
      <rPr>
        <rFont val="Noto Sans CJK SC"/>
        <color rgb="FF2C2C2C"/>
        <sz val="8.0"/>
      </rPr>
      <t>担当になる</t>
    </r>
  </si>
  <si>
    <r>
      <rPr>
        <rFont val="Noto Sans CJK SC"/>
        <b/>
        <color rgb="FF2C2C2C"/>
        <sz val="8.0"/>
      </rPr>
      <t>本部</t>
    </r>
    <r>
      <rPr>
        <rFont val="Arial"/>
        <b/>
        <color rgb="FF2C2C2C"/>
        <sz val="8.0"/>
      </rPr>
      <t>1</t>
    </r>
    <r>
      <rPr>
        <rFont val="Noto Sans CJK SC"/>
        <b/>
        <color rgb="FF2C2C2C"/>
        <sz val="8.0"/>
      </rPr>
      <t>人</t>
    </r>
  </si>
  <si>
    <r>
      <rPr>
        <rFont val="Noto Sans CJK SC"/>
        <color rgb="FF2C2C2C"/>
        <sz val="8.0"/>
      </rPr>
      <t>写真は選手にとって最大のお土産であり、</t>
    </r>
    <r>
      <rPr>
        <rFont val="Arial"/>
        <color rgb="FF2C2C2C"/>
        <sz val="8.0"/>
      </rPr>
      <t>SNS</t>
    </r>
    <r>
      <rPr>
        <rFont val="Noto Sans CJK SC"/>
        <color rgb="FF2C2C2C"/>
        <sz val="8.0"/>
      </rPr>
      <t>発信の強い動機になる。来年のスポンサー提案書に『</t>
    </r>
    <r>
      <rPr>
        <rFont val="Arial"/>
        <color rgb="FF2C2C2C"/>
        <sz val="8.0"/>
      </rPr>
      <t>SNS</t>
    </r>
    <r>
      <rPr>
        <rFont val="Noto Sans CJK SC"/>
        <color rgb="FF2C2C2C"/>
        <sz val="8.0"/>
      </rPr>
      <t>リーチ数』を載せるためのデータ蓄積にもなる。今年必須。</t>
    </r>
  </si>
  <si>
    <t>選手と観客の交流タイムの設計</t>
  </si>
  <si>
    <t>大会終了後に選手と観客が自然に話せる時間と動線を用意する。誘ってくれた選手への感謝と勇姿への興奮を共有できる場をつくる</t>
  </si>
  <si>
    <r>
      <rPr>
        <rFont val="Arial"/>
        <color theme="1"/>
        <sz val="8.0"/>
      </rPr>
      <t>×</t>
    </r>
    <r>
      <rPr>
        <rFont val="Noto Sans CJK SC"/>
        <color theme="1"/>
        <sz val="8.0"/>
      </rPr>
      <t>（来年以降）</t>
    </r>
  </si>
  <si>
    <r>
      <rPr>
        <rFont val="Noto Sans CJK SC"/>
        <color theme="1"/>
        <sz val="8.0"/>
      </rPr>
      <t>大会後の自然な交流は別途設計しなくても発生する部分が大きい。今年は退場時の写真導線（</t>
    </r>
    <r>
      <rPr>
        <rFont val="Arial"/>
        <color theme="1"/>
        <sz val="8.0"/>
      </rPr>
      <t>Row49</t>
    </r>
    <r>
      <rPr>
        <rFont val="Noto Sans CJK SC"/>
        <color theme="1"/>
        <sz val="8.0"/>
      </rPr>
      <t>）・</t>
    </r>
    <r>
      <rPr>
        <rFont val="Arial"/>
        <color theme="1"/>
        <sz val="8.0"/>
      </rPr>
      <t>SNS</t>
    </r>
    <r>
      <rPr>
        <rFont val="Noto Sans CJK SC"/>
        <color theme="1"/>
        <sz val="8.0"/>
      </rPr>
      <t>発信促進（</t>
    </r>
    <r>
      <rPr>
        <rFont val="Arial"/>
        <color theme="1"/>
        <sz val="8.0"/>
      </rPr>
      <t>Row50</t>
    </r>
    <r>
      <rPr>
        <rFont val="Noto Sans CJK SC"/>
        <color theme="1"/>
        <sz val="8.0"/>
      </rPr>
      <t>・</t>
    </r>
    <r>
      <rPr>
        <rFont val="Arial"/>
        <color theme="1"/>
        <sz val="8.0"/>
      </rPr>
      <t>52</t>
    </r>
    <r>
      <rPr>
        <rFont val="Noto Sans CJK SC"/>
        <color theme="1"/>
        <sz val="8.0"/>
      </rPr>
      <t>）を優先し、来年以降に交流タイムを意図的にデザインする。</t>
    </r>
  </si>
  <si>
    <r>
      <rPr>
        <rFont val="Noto Sans CJK SC"/>
        <b/>
        <color rgb="FF2C2C2C"/>
        <sz val="9.0"/>
      </rPr>
      <t>選手の帰宅時の</t>
    </r>
    <r>
      <rPr>
        <rFont val="Arial"/>
        <b/>
        <color rgb="FF2C2C2C"/>
        <sz val="9.0"/>
      </rPr>
      <t>SNS</t>
    </r>
    <r>
      <rPr>
        <rFont val="Noto Sans CJK SC"/>
        <b/>
        <color rgb="FF2C2C2C"/>
        <sz val="9.0"/>
      </rPr>
      <t>・写真導線</t>
    </r>
  </si>
  <si>
    <r>
      <rPr>
        <rFont val="Noto Sans CJK SC"/>
        <color rgb="FF2C2C2C"/>
        <sz val="8.0"/>
      </rPr>
      <t>選手が会場を出る際に、写真の受け取り方法・</t>
    </r>
    <r>
      <rPr>
        <rFont val="Arial"/>
        <color rgb="FF2C2C2C"/>
        <sz val="8.0"/>
      </rPr>
      <t>SNS</t>
    </r>
    <r>
      <rPr>
        <rFont val="Noto Sans CJK SC"/>
        <color rgb="FF2C2C2C"/>
        <sz val="8.0"/>
      </rPr>
      <t>投稿のすすめ方を案内する。帰宅してからも発信しやすい仕組みを整える</t>
    </r>
  </si>
  <si>
    <r>
      <rPr>
        <rFont val="Noto Sans CJK SC"/>
        <b/>
        <color rgb="FF2C2C2C"/>
        <sz val="8.0"/>
      </rPr>
      <t>本部</t>
    </r>
    <r>
      <rPr>
        <rFont val="Arial"/>
        <b/>
        <color rgb="FF2C2C2C"/>
        <sz val="8.0"/>
      </rPr>
      <t>1</t>
    </r>
    <r>
      <rPr>
        <rFont val="Noto Sans CJK SC"/>
        <b/>
        <color rgb="FF2C2C2C"/>
        <sz val="8.0"/>
      </rPr>
      <t>人</t>
    </r>
  </si>
  <si>
    <r>
      <rPr>
        <rFont val="Noto Sans CJK SC"/>
        <color rgb="FF2C2C2C"/>
        <sz val="8.0"/>
      </rPr>
      <t>大会後の口コミと</t>
    </r>
    <r>
      <rPr>
        <rFont val="Arial"/>
        <color rgb="FF2C2C2C"/>
        <sz val="8.0"/>
      </rPr>
      <t>SNS</t>
    </r>
    <r>
      <rPr>
        <rFont val="Noto Sans CJK SC"/>
        <color rgb="FF2C2C2C"/>
        <sz val="8.0"/>
      </rPr>
      <t>拡散がスポンサー向け実績データになる。選手への一言案内だけで実現でき、コストゼロ。スポンサー収益の仕組み化に直結するため今年必ず実施。</t>
    </r>
  </si>
  <si>
    <t>J</t>
  </si>
  <si>
    <t>スポンサー収益の仕組み化（今期テーマ重点）</t>
  </si>
  <si>
    <t>提案書・交渉プロセスの型化と記録</t>
  </si>
  <si>
    <t>今期のスポンサー獲得活動で使った提案書・メール・交渉の流れをすべてドキュメントとして残し、来年誰が担当しても同じように動ける状態をつくる</t>
  </si>
  <si>
    <t>今期テーマの核心。しおんさん・ななこちゃんの動きが『個人の頑張り』で終わらないように、今期中に必ず型として残す。来年以降のスポンサー収益の安定化の根拠になる。</t>
  </si>
  <si>
    <t>スポンサー候補の選定基準の設定</t>
  </si>
  <si>
    <t>単に協賛額が大きい企業ではなく『来年も続けられる関係になりそうか』を優先する選定基準を言語化し、来年以降も使えるリストと判断軸を作る</t>
  </si>
  <si>
    <r>
      <rPr>
        <rFont val="Noto Sans CJK SC"/>
        <color rgb="FF2C2C2C"/>
        <sz val="8.0"/>
      </rPr>
      <t>『来年もまた出したい』と言ってもらえるスポンサーを選ぶための基準が今年なければ、来年また</t>
    </r>
    <r>
      <rPr>
        <rFont val="Arial"/>
        <color rgb="FF2C2C2C"/>
        <sz val="8.0"/>
      </rPr>
      <t>1</t>
    </r>
    <r>
      <rPr>
        <rFont val="Noto Sans CJK SC"/>
        <color rgb="FF2C2C2C"/>
        <sz val="8.0"/>
      </rPr>
      <t>から探すことになる。今期中に言語化して残すことが最優先事項。</t>
    </r>
  </si>
  <si>
    <t>大会後のアンケート収集と引き継ぎ設計</t>
  </si>
  <si>
    <r>
      <rPr>
        <rFont val="Noto Sans CJK SC"/>
        <color rgb="FF2C2C2C"/>
        <sz val="8.0"/>
      </rPr>
      <t>大会後に選手・来場者・</t>
    </r>
    <r>
      <rPr>
        <rFont val="Arial"/>
        <color rgb="FF2C2C2C"/>
        <sz val="8.0"/>
      </rPr>
      <t>Shaper</t>
    </r>
    <r>
      <rPr>
        <rFont val="Noto Sans CJK SC"/>
        <color rgb="FF2C2C2C"/>
        <sz val="8.0"/>
      </rPr>
      <t>それぞれからアンケートを取り、何が体験を動かしたかを数字と言葉で記録する。来年のチームへの引き継ぎ資料にする</t>
    </r>
  </si>
  <si>
    <t>今期テーマの成否を来年に伝える唯一の手段。スポンサー提案書に『前回の成果』として使えるデータになり、来年の協賛交渉の武器にもなる。今年必須。</t>
  </si>
  <si>
    <t>スポンサーが『来年もまた出したい』と感じる体験設計</t>
  </si>
  <si>
    <t>スポンサー企業の担当者が大会を通じて何を感じ・何を得られるかを設計する。単なる露出機会ではなく『価値を一緒に届けた実感』を与える</t>
  </si>
  <si>
    <r>
      <rPr>
        <rFont val="Noto Sans CJK SC"/>
        <color rgb="FF2C2C2C"/>
        <sz val="8.0"/>
      </rPr>
      <t>スポンサーのリピートは体験の質で決まる。今年は映像・紹介文・当日接点（</t>
    </r>
    <r>
      <rPr>
        <rFont val="Arial"/>
        <color rgb="FF2C2C2C"/>
        <sz val="8.0"/>
      </rPr>
      <t>H</t>
    </r>
    <r>
      <rPr>
        <rFont val="Noto Sans CJK SC"/>
        <color rgb="FF2C2C2C"/>
        <sz val="8.0"/>
      </rPr>
      <t>群）と連動させながら体験を設計し、来年以降の安定収益の土台を今期中に作る。</t>
    </r>
  </si>
  <si>
    <t>評価軸の記入ルール</t>
  </si>
  <si>
    <t>インパクト</t>
  </si>
  <si>
    <t>大：大会体験に直結し感情を動かす　中：補完的に機能する　小：あると良い程度</t>
  </si>
  <si>
    <t>実現難易度</t>
  </si>
  <si>
    <t>低：今のリソースでほぼ動ける　中：準備・調整が必要　高：体制・予算が未整備</t>
  </si>
  <si>
    <t>費用</t>
  </si>
  <si>
    <t>低：ほぼ無償／既存流用　中：数万〜数十万円規模　高：大型発注・外注が必要</t>
  </si>
  <si>
    <t>準備コスト</t>
  </si>
  <si>
    <r>
      <rPr>
        <rFont val="Noto Sans CJK SC"/>
        <color theme="1"/>
        <sz val="11.0"/>
      </rPr>
      <t>低：</t>
    </r>
    <r>
      <rPr>
        <rFont val="Calibri"/>
        <color theme="1"/>
        <sz val="11.0"/>
      </rPr>
      <t>1</t>
    </r>
    <r>
      <rPr>
        <rFont val="Noto Sans CJK SC"/>
        <color theme="1"/>
        <sz val="11.0"/>
      </rPr>
      <t>人が半日以内で完結　中：複数人または数日間の準備が必要　高：外部発注または</t>
    </r>
    <r>
      <rPr>
        <rFont val="Calibri"/>
        <color theme="1"/>
        <sz val="11.0"/>
      </rPr>
      <t>2</t>
    </r>
    <r>
      <rPr>
        <rFont val="Noto Sans CJK SC"/>
        <color theme="1"/>
        <sz val="11.0"/>
      </rPr>
      <t>週間以上の準備期間が必要</t>
    </r>
  </si>
  <si>
    <t>当日オペレーションコスト</t>
  </si>
  <si>
    <r>
      <rPr>
        <rFont val="Noto Sans CJK SC"/>
        <color theme="1"/>
        <sz val="11.0"/>
      </rPr>
      <t>低：流れでできる（担当者不要）　中：担当者</t>
    </r>
    <r>
      <rPr>
        <rFont val="Calibri"/>
        <color theme="1"/>
        <sz val="11.0"/>
      </rPr>
      <t>1</t>
    </r>
    <r>
      <rPr>
        <rFont val="Noto Sans CJK SC"/>
        <color theme="1"/>
        <sz val="11.0"/>
      </rPr>
      <t>〜</t>
    </r>
    <r>
      <rPr>
        <rFont val="Calibri"/>
        <color theme="1"/>
        <sz val="11.0"/>
      </rPr>
      <t>2</t>
    </r>
    <r>
      <rPr>
        <rFont val="Noto Sans CJK SC"/>
        <color theme="1"/>
        <sz val="11.0"/>
      </rPr>
      <t>名が対応　高：専門業者または専用チームが常駐必要</t>
    </r>
  </si>
  <si>
    <t>今期テーマ合致度</t>
  </si>
  <si>
    <t>◎：スポンサー収益仕組み化に直結　○：選手・観客体験に貢献　△：間接的</t>
  </si>
  <si>
    <t>優先度の定義</t>
  </si>
  <si>
    <r>
      <rPr>
        <rFont val="Arial"/>
        <color rgb="FF2C2C2C"/>
        <sz val="9.0"/>
      </rPr>
      <t>SFF2026</t>
    </r>
    <r>
      <rPr>
        <rFont val="Noto Sans CJK SC"/>
        <color rgb="FF2C2C2C"/>
        <sz val="9.0"/>
      </rPr>
      <t>本番当日・事前</t>
    </r>
    <r>
      <rPr>
        <rFont val="Arial"/>
        <color rgb="FF2C2C2C"/>
        <sz val="9.0"/>
      </rPr>
      <t>MTG</t>
    </r>
    <r>
      <rPr>
        <rFont val="Noto Sans CJK SC"/>
        <color rgb="FF2C2C2C"/>
        <sz val="9.0"/>
      </rPr>
      <t>で実際に行う施策</t>
    </r>
  </si>
  <si>
    <t>今期中に設計・準備・テストまで着手し、本番実施は来年</t>
  </si>
  <si>
    <t>今期はスコープ外。来年の仕込みとして記録しておく</t>
  </si>
  <si>
    <r>
      <rPr>
        <rFont val="Noto Sans CJK SC"/>
        <b/>
        <color rgb="FF2C2C2C"/>
        <sz val="9.0"/>
      </rPr>
      <t>条件付き</t>
    </r>
    <r>
      <rPr>
        <rFont val="Arial"/>
        <b/>
        <color rgb="FF2C2C2C"/>
        <sz val="9.0"/>
      </rPr>
      <t>OK</t>
    </r>
  </si>
  <si>
    <t>リソース・予算・人員など特定の条件が揃えば今年実施</t>
  </si>
  <si>
    <t>担当者区分の意味</t>
  </si>
  <si>
    <r>
      <rPr>
        <rFont val="Noto Sans CJK SC"/>
        <b/>
        <color rgb="FF2C2C2C"/>
        <sz val="9.0"/>
      </rPr>
      <t>本部</t>
    </r>
    <r>
      <rPr>
        <rFont val="Arial"/>
        <b/>
        <color rgb="FF2C2C2C"/>
        <sz val="9.0"/>
      </rPr>
      <t>1</t>
    </r>
    <r>
      <rPr>
        <rFont val="Noto Sans CJK SC"/>
        <b/>
        <color rgb="FF2C2C2C"/>
        <sz val="9.0"/>
      </rPr>
      <t>人</t>
    </r>
  </si>
  <si>
    <r>
      <rPr>
        <rFont val="Noto Sans CJK SC"/>
        <color rgb="FF2C2C2C"/>
        <sz val="9.0"/>
      </rPr>
      <t>なおや・はるまさ等</t>
    </r>
    <r>
      <rPr>
        <rFont val="Arial"/>
        <color rgb="FF2C2C2C"/>
        <sz val="9.0"/>
      </rPr>
      <t>1</t>
    </r>
    <r>
      <rPr>
        <rFont val="Noto Sans CJK SC"/>
        <color rgb="FF2C2C2C"/>
        <sz val="9.0"/>
      </rPr>
      <t>名で完結できる規模感</t>
    </r>
  </si>
  <si>
    <t>本部メンバー複数人の連携・分担が必要な施策</t>
  </si>
  <si>
    <t>ボランティアスタッフが主体となって動く施策</t>
  </si>
  <si>
    <t>映像・音響・印刷等の外部発注が必要な施策</t>
  </si>
  <si>
    <t>使い方（会議での進め方）</t>
  </si>
  <si>
    <t>事前</t>
  </si>
  <si>
    <r>
      <rPr>
        <rFont val="Noto Sans CJK SC"/>
        <color rgb="FF2C2C2C"/>
        <sz val="9.0"/>
      </rPr>
      <t>シートを共有し、全員が</t>
    </r>
    <r>
      <rPr>
        <rFont val="Arial"/>
        <color rgb="FF2C2C2C"/>
        <sz val="9.0"/>
      </rPr>
      <t>D</t>
    </r>
    <r>
      <rPr>
        <rFont val="Noto Sans CJK SC"/>
        <color rgb="FF2C2C2C"/>
        <sz val="9.0"/>
      </rPr>
      <t>列（概要）・</t>
    </r>
    <r>
      <rPr>
        <rFont val="Arial"/>
        <color rgb="FF2C2C2C"/>
        <sz val="9.0"/>
      </rPr>
      <t>K</t>
    </r>
    <r>
      <rPr>
        <rFont val="Noto Sans CJK SC"/>
        <color rgb="FF2C2C2C"/>
        <sz val="9.0"/>
      </rPr>
      <t>列（根拠）を読んでおく</t>
    </r>
  </si>
  <si>
    <t>会議中</t>
  </si>
  <si>
    <r>
      <rPr>
        <rFont val="Noto Sans CJK SC"/>
        <color rgb="FF2C2C2C"/>
        <sz val="9.0"/>
      </rPr>
      <t>グループ（</t>
    </r>
    <r>
      <rPr>
        <rFont val="Arial"/>
        <color rgb="FF2C2C2C"/>
        <sz val="9.0"/>
      </rPr>
      <t>A</t>
    </r>
    <r>
      <rPr>
        <rFont val="Noto Sans CJK SC"/>
        <color rgb="FF2C2C2C"/>
        <sz val="9.0"/>
      </rPr>
      <t>〜</t>
    </r>
    <r>
      <rPr>
        <rFont val="Arial"/>
        <color rgb="FF2C2C2C"/>
        <sz val="9.0"/>
      </rPr>
      <t>J</t>
    </r>
    <r>
      <rPr>
        <rFont val="Noto Sans CJK SC"/>
        <color rgb="FF2C2C2C"/>
        <sz val="9.0"/>
      </rPr>
      <t>）単位で画面共有しながら</t>
    </r>
    <r>
      <rPr>
        <rFont val="Arial"/>
        <color rgb="FF2C2C2C"/>
        <sz val="9.0"/>
      </rPr>
      <t>F</t>
    </r>
    <r>
      <rPr>
        <rFont val="Noto Sans CJK SC"/>
        <color rgb="FF2C2C2C"/>
        <sz val="9.0"/>
      </rPr>
      <t>〜</t>
    </r>
    <r>
      <rPr>
        <rFont val="Arial"/>
        <color rgb="FF2C2C2C"/>
        <sz val="9.0"/>
      </rPr>
      <t>K</t>
    </r>
    <r>
      <rPr>
        <rFont val="Noto Sans CJK SC"/>
        <color rgb="FF2C2C2C"/>
        <sz val="9.0"/>
      </rPr>
      <t>列（評価軸）・</t>
    </r>
    <r>
      <rPr>
        <rFont val="Arial"/>
        <color rgb="FF2C2C2C"/>
        <sz val="9.0"/>
      </rPr>
      <t>N</t>
    </r>
    <r>
      <rPr>
        <rFont val="Noto Sans CJK SC"/>
        <color rgb="FF2C2C2C"/>
        <sz val="9.0"/>
      </rPr>
      <t>列（合計スコア）を確認→</t>
    </r>
    <r>
      <rPr>
        <rFont val="Arial"/>
        <color rgb="FF2C2C2C"/>
        <sz val="9.0"/>
      </rPr>
      <t>O</t>
    </r>
    <r>
      <rPr>
        <rFont val="Noto Sans CJK SC"/>
        <color rgb="FF2C2C2C"/>
        <sz val="9.0"/>
      </rPr>
      <t>列（優先度判定）で意思決定</t>
    </r>
  </si>
  <si>
    <t>会議後</t>
  </si>
  <si>
    <r>
      <rPr>
        <rFont val="Noto Sans CJK SC"/>
        <color rgb="FF2C2C2C"/>
        <sz val="9.0"/>
      </rPr>
      <t>変更があれば</t>
    </r>
    <r>
      <rPr>
        <rFont val="Arial"/>
        <color rgb="FF2C2C2C"/>
        <sz val="9.0"/>
      </rPr>
      <t>K</t>
    </r>
    <r>
      <rPr>
        <rFont val="Noto Sans CJK SC"/>
        <color rgb="FF2C2C2C"/>
        <sz val="9.0"/>
      </rPr>
      <t>列を更新して保存。来年チームへの引き継ぎ資料になる</t>
    </r>
  </si>
  <si>
    <t>スコアの考え方</t>
  </si>
  <si>
    <r>
      <rPr>
        <rFont val="Noto Sans CJK SC"/>
        <color theme="1"/>
        <sz val="11.0"/>
      </rPr>
      <t>各評価軸を</t>
    </r>
    <r>
      <rPr>
        <rFont val="Calibri"/>
        <color theme="1"/>
        <sz val="11.0"/>
      </rPr>
      <t>3</t>
    </r>
    <r>
      <rPr>
        <rFont val="Noto Sans CJK SC"/>
        <color theme="1"/>
        <sz val="11.0"/>
      </rPr>
      <t>段階でスコア化し合計点（最大</t>
    </r>
    <r>
      <rPr>
        <rFont val="Calibri"/>
        <color theme="1"/>
        <sz val="11.0"/>
      </rPr>
      <t>18</t>
    </r>
    <r>
      <rPr>
        <rFont val="Noto Sans CJK SC"/>
        <color theme="1"/>
        <sz val="11.0"/>
      </rPr>
      <t>点）で優先度を判定。インパクト：大</t>
    </r>
    <r>
      <rPr>
        <rFont val="Calibri"/>
        <color theme="1"/>
        <sz val="11.0"/>
      </rPr>
      <t>=3/</t>
    </r>
    <r>
      <rPr>
        <rFont val="Noto Sans CJK SC"/>
        <color theme="1"/>
        <sz val="11.0"/>
      </rPr>
      <t>中</t>
    </r>
    <r>
      <rPr>
        <rFont val="Calibri"/>
        <color theme="1"/>
        <sz val="11.0"/>
      </rPr>
      <t>=2/</t>
    </r>
    <r>
      <rPr>
        <rFont val="Noto Sans CJK SC"/>
        <color theme="1"/>
        <sz val="11.0"/>
      </rPr>
      <t>小</t>
    </r>
    <r>
      <rPr>
        <rFont val="Calibri"/>
        <color theme="1"/>
        <sz val="11.0"/>
      </rPr>
      <t>=1</t>
    </r>
    <r>
      <rPr>
        <rFont val="Noto Sans CJK SC"/>
        <color theme="1"/>
        <sz val="11.0"/>
      </rPr>
      <t>。実現難易度・費用・準備コスト・当日オペレーションコスト：低</t>
    </r>
    <r>
      <rPr>
        <rFont val="Calibri"/>
        <color theme="1"/>
        <sz val="11.0"/>
      </rPr>
      <t>=3/</t>
    </r>
    <r>
      <rPr>
        <rFont val="Noto Sans CJK SC"/>
        <color theme="1"/>
        <sz val="11.0"/>
      </rPr>
      <t>中</t>
    </r>
    <r>
      <rPr>
        <rFont val="Calibri"/>
        <color theme="1"/>
        <sz val="11.0"/>
      </rPr>
      <t>=2/</t>
    </r>
    <r>
      <rPr>
        <rFont val="Noto Sans CJK SC"/>
        <color theme="1"/>
        <sz val="11.0"/>
      </rPr>
      <t>高</t>
    </r>
    <r>
      <rPr>
        <rFont val="Calibri"/>
        <color theme="1"/>
        <sz val="11.0"/>
      </rPr>
      <t>=1</t>
    </r>
    <r>
      <rPr>
        <rFont val="Noto Sans CJK SC"/>
        <color theme="1"/>
        <sz val="11.0"/>
      </rPr>
      <t>。今期テーマ合致度：◎</t>
    </r>
    <r>
      <rPr>
        <rFont val="Calibri"/>
        <color theme="1"/>
        <sz val="11.0"/>
      </rPr>
      <t>=3/○=2/△=1</t>
    </r>
    <r>
      <rPr>
        <rFont val="Noto Sans CJK SC"/>
        <color theme="1"/>
        <sz val="11.0"/>
      </rPr>
      <t>。当日オペレーション「—」は</t>
    </r>
    <r>
      <rPr>
        <rFont val="Calibri"/>
        <color theme="1"/>
        <sz val="11.0"/>
      </rPr>
      <t>0</t>
    </r>
    <r>
      <rPr>
        <rFont val="Noto Sans CJK SC"/>
        <color theme="1"/>
        <sz val="11.0"/>
      </rPr>
      <t>点算入。</t>
    </r>
  </si>
  <si>
    <t>着手デッドラインと「間に合うか」の見方</t>
  </si>
  <si>
    <t>今から着手すれば十分間に合う</t>
  </si>
  <si>
    <r>
      <rPr>
        <rFont val="Noto Sans CJK SC"/>
        <color theme="1"/>
        <sz val="10.0"/>
      </rPr>
      <t>今すぐ動き出せば間に合うが、遅れると来年以降になる（映像系は</t>
    </r>
    <r>
      <rPr>
        <rFont val="Arial"/>
        <color theme="1"/>
        <sz val="10.0"/>
      </rPr>
      <t>4/1</t>
    </r>
    <r>
      <rPr>
        <rFont val="Noto Sans CJK SC"/>
        <color theme="1"/>
        <sz val="10.0"/>
      </rPr>
      <t>会議後に即発注判断が必要）</t>
    </r>
  </si>
  <si>
    <t>条件（予算・スポンサー数など）が揃えば今年実施、揃わなければ来年以降に回す</t>
  </si>
  <si>
    <r>
      <rPr>
        <rFont val="Arial"/>
        <color rgb="FF9C0006"/>
        <sz val="10.0"/>
      </rPr>
      <t>×</t>
    </r>
    <r>
      <rPr>
        <rFont val="Noto Sans CJK SC"/>
        <color rgb="FF9C0006"/>
        <sz val="10.0"/>
      </rPr>
      <t>（来年以降）</t>
    </r>
  </si>
  <si>
    <t>今年はスコープ外。来年の仕込みとして記録</t>
  </si>
  <si>
    <t>スコアを使った絞り込み方</t>
  </si>
  <si>
    <r>
      <rPr>
        <rFont val="Noto Sans CJK SC"/>
        <b/>
        <color theme="1"/>
        <sz val="10.0"/>
      </rPr>
      <t>ステップ</t>
    </r>
    <r>
      <rPr>
        <rFont val="Arial"/>
        <b/>
        <color theme="1"/>
        <sz val="10.0"/>
      </rPr>
      <t>1</t>
    </r>
  </si>
  <si>
    <r>
      <rPr>
        <rFont val="Noto Sans CJK SC"/>
        <color theme="1"/>
        <sz val="10.0"/>
      </rPr>
      <t>「今年本番実施」施策の合計スコア（最大</t>
    </r>
    <r>
      <rPr>
        <rFont val="Arial"/>
        <color theme="1"/>
        <sz val="10.0"/>
      </rPr>
      <t>18</t>
    </r>
    <r>
      <rPr>
        <rFont val="Noto Sans CJK SC"/>
        <color theme="1"/>
        <sz val="10.0"/>
      </rPr>
      <t>点）を一覧で確認する</t>
    </r>
  </si>
  <si>
    <r>
      <rPr>
        <rFont val="Noto Sans CJK SC"/>
        <b/>
        <color theme="1"/>
        <sz val="10.0"/>
      </rPr>
      <t>ステップ</t>
    </r>
    <r>
      <rPr>
        <rFont val="Arial"/>
        <b/>
        <color theme="1"/>
        <sz val="10.0"/>
      </rPr>
      <t>2</t>
    </r>
  </si>
  <si>
    <t>会議でメンバーのリソース感覚をもとに「現実的に動ける上限スコア」を決める</t>
  </si>
  <si>
    <r>
      <rPr>
        <rFont val="Noto Sans CJK SC"/>
        <b/>
        <color theme="1"/>
        <sz val="10.0"/>
      </rPr>
      <t>ステップ</t>
    </r>
    <r>
      <rPr>
        <rFont val="Arial"/>
        <b/>
        <color theme="1"/>
        <sz val="10.0"/>
      </rPr>
      <t>3</t>
    </r>
  </si>
  <si>
    <t>上限を超えた施策を「来年以降」に格下げして、優先順位を確定する</t>
  </si>
  <si>
    <t>補足</t>
  </si>
  <si>
    <r>
      <rPr>
        <rFont val="Noto Sans CJK SC"/>
        <color theme="1"/>
        <sz val="10.0"/>
      </rPr>
      <t>当日オペレーションコスト「—」の施策（仕込みのみ）は</t>
    </r>
    <r>
      <rPr>
        <rFont val="Arial"/>
        <color theme="1"/>
        <sz val="10.0"/>
      </rPr>
      <t>0</t>
    </r>
    <r>
      <rPr>
        <rFont val="Noto Sans CJK SC"/>
        <color theme="1"/>
        <sz val="10.0"/>
      </rPr>
      <t>点として合計スコアに算入される</t>
    </r>
  </si>
</sst>
</file>

<file path=xl/styles.xml><?xml version="1.0" encoding="utf-8"?>
<styleSheet xmlns="http://schemas.openxmlformats.org/spreadsheetml/2006/main" xmlns:x14ac="http://schemas.microsoft.com/office/spreadsheetml/2009/9/ac" xmlns:mc="http://schemas.openxmlformats.org/markup-compatibility/2006">
  <fonts count="37">
    <font>
      <sz val="11.0"/>
      <color theme="1"/>
      <name val="Calibri"/>
      <scheme val="minor"/>
    </font>
    <font>
      <b/>
      <sz val="13.0"/>
      <color rgb="FF2C2C2C"/>
      <name val="Arial"/>
    </font>
    <font>
      <sz val="11.0"/>
      <color theme="1"/>
      <name val="Calibri"/>
    </font>
    <font>
      <i/>
      <sz val="8.0"/>
      <color rgb="FF888888"/>
      <name val="Noto Sans"/>
    </font>
    <font>
      <b/>
      <sz val="8.0"/>
      <color rgb="FFFFFFFF"/>
      <name val="Arial"/>
    </font>
    <font>
      <b/>
      <sz val="8.0"/>
      <color rgb="FFFFFFFF"/>
      <name val="Noto Sans"/>
    </font>
    <font>
      <b/>
      <sz val="11.0"/>
      <color rgb="FFFFFFFF"/>
      <name val="Arial"/>
    </font>
    <font>
      <b/>
      <sz val="8.0"/>
      <color rgb="FF185FA5"/>
      <name val="Noto Sans"/>
    </font>
    <font>
      <b/>
      <sz val="9.0"/>
      <color rgb="FF2C2C2C"/>
      <name val="Noto Sans"/>
    </font>
    <font>
      <sz val="8.0"/>
      <color rgb="FF2C2C2C"/>
      <name val="Noto Sans"/>
    </font>
    <font>
      <b/>
      <sz val="8.0"/>
      <color rgb="FF2C2C2C"/>
      <name val="Noto Sans"/>
    </font>
    <font>
      <sz val="8.0"/>
      <color theme="1"/>
      <name val="Noto Sans"/>
    </font>
    <font>
      <sz val="8.0"/>
      <color rgb="FF276221"/>
      <name val="Arial"/>
    </font>
    <font>
      <sz val="8.0"/>
      <color theme="1"/>
      <name val="Arial"/>
    </font>
    <font>
      <b/>
      <sz val="9.0"/>
      <color rgb="FFFFFFFF"/>
      <name val="Noto Sans"/>
    </font>
    <font>
      <sz val="10.0"/>
      <color theme="1"/>
      <name val="Noto Sans"/>
    </font>
    <font>
      <b/>
      <sz val="8.0"/>
      <color rgb="FF534AB7"/>
      <name val="Noto Sans"/>
    </font>
    <font>
      <sz val="8.0"/>
      <color rgb="FF2C2C2C"/>
      <name val="Arial"/>
    </font>
    <font>
      <b/>
      <sz val="9.0"/>
      <color rgb="FF2C2C2C"/>
      <name val="Arial"/>
    </font>
    <font>
      <b/>
      <sz val="8.0"/>
      <color rgb="FF0F6E56"/>
      <name val="Noto Sans"/>
    </font>
    <font>
      <sz val="8.0"/>
      <color rgb="FF9C0006"/>
      <name val="Arial"/>
    </font>
    <font>
      <b/>
      <sz val="8.0"/>
      <color rgb="FF854F0B"/>
      <name val="Noto Sans"/>
    </font>
    <font>
      <sz val="8.0"/>
      <color rgb="FF9C5700"/>
      <name val="Arial"/>
    </font>
    <font>
      <b/>
      <sz val="8.0"/>
      <color rgb="FF993C1D"/>
      <name val="Arial"/>
    </font>
    <font>
      <b/>
      <sz val="8.0"/>
      <color rgb="FF2C2C2C"/>
      <name val="Arial"/>
    </font>
    <font>
      <b/>
      <sz val="8.0"/>
      <color rgb="FF993C1D"/>
      <name val="Noto Sans"/>
    </font>
    <font>
      <b/>
      <sz val="8.0"/>
      <color rgb="FF3B6D11"/>
      <name val="Noto Sans"/>
    </font>
    <font>
      <b/>
      <sz val="8.0"/>
      <color rgb="FF5F5E5A"/>
      <name val="Noto Sans"/>
    </font>
    <font>
      <b/>
      <sz val="10.0"/>
      <color rgb="FFFFFFFF"/>
      <name val="Noto Sans"/>
    </font>
    <font/>
    <font>
      <sz val="9.0"/>
      <color rgb="FF2C2C2C"/>
      <name val="Noto Sans"/>
    </font>
    <font>
      <sz val="11.0"/>
      <color theme="1"/>
      <name val="Noto Sans"/>
    </font>
    <font>
      <sz val="9.0"/>
      <color rgb="FF2C2C2C"/>
      <name val="Arial"/>
    </font>
    <font>
      <sz val="10.0"/>
      <color rgb="FF276221"/>
      <name val="Arial"/>
    </font>
    <font>
      <sz val="10.0"/>
      <color rgb="FF9C5700"/>
      <name val="Noto Sans"/>
    </font>
    <font>
      <sz val="10.0"/>
      <color rgb="FF9C0006"/>
      <name val="Arial"/>
    </font>
    <font>
      <b/>
      <sz val="10.0"/>
      <color theme="1"/>
      <name val="Noto Sans"/>
    </font>
  </fonts>
  <fills count="35">
    <fill>
      <patternFill patternType="none"/>
    </fill>
    <fill>
      <patternFill patternType="lightGray"/>
    </fill>
    <fill>
      <patternFill patternType="solid">
        <fgColor rgb="FFF0EDF8"/>
        <bgColor rgb="FFF0EDF8"/>
      </patternFill>
    </fill>
    <fill>
      <patternFill patternType="solid">
        <fgColor rgb="FF2C2C2C"/>
        <bgColor rgb="FF2C2C2C"/>
      </patternFill>
    </fill>
    <fill>
      <patternFill patternType="solid">
        <fgColor rgb="FF185FA5"/>
        <bgColor rgb="FF185FA5"/>
      </patternFill>
    </fill>
    <fill>
      <patternFill patternType="solid">
        <fgColor rgb="FFE6F1FB"/>
        <bgColor rgb="FFE6F1FB"/>
      </patternFill>
    </fill>
    <fill>
      <patternFill patternType="solid">
        <fgColor rgb="FFFFFFFF"/>
        <bgColor rgb="FFFFFFFF"/>
      </patternFill>
    </fill>
    <fill>
      <patternFill patternType="solid">
        <fgColor rgb="FFD6E8F8"/>
        <bgColor rgb="FFD6E8F8"/>
      </patternFill>
    </fill>
    <fill>
      <patternFill patternType="solid">
        <fgColor rgb="FFC6EFCE"/>
        <bgColor rgb="FFC6EFCE"/>
      </patternFill>
    </fill>
    <fill>
      <patternFill patternType="solid">
        <fgColor rgb="FFEBF1DE"/>
        <bgColor rgb="FFEBF1DE"/>
      </patternFill>
    </fill>
    <fill>
      <patternFill patternType="solid">
        <fgColor rgb="FF1D9E75"/>
        <bgColor rgb="FF1D9E75"/>
      </patternFill>
    </fill>
    <fill>
      <patternFill patternType="solid">
        <fgColor rgb="FFD6EDD6"/>
        <bgColor rgb="FFD6EDD6"/>
      </patternFill>
    </fill>
    <fill>
      <patternFill patternType="solid">
        <fgColor rgb="FFFFF2CC"/>
        <bgColor rgb="FFFFF2CC"/>
      </patternFill>
    </fill>
    <fill>
      <patternFill patternType="solid">
        <fgColor rgb="FFBA7517"/>
        <bgColor rgb="FFBA7517"/>
      </patternFill>
    </fill>
    <fill>
      <patternFill patternType="solid">
        <fgColor rgb="FF534AB7"/>
        <bgColor rgb="FF534AB7"/>
      </patternFill>
    </fill>
    <fill>
      <patternFill patternType="solid">
        <fgColor rgb="FFE8E4F7"/>
        <bgColor rgb="FFE8E4F7"/>
      </patternFill>
    </fill>
    <fill>
      <patternFill patternType="solid">
        <fgColor rgb="FF0F6E56"/>
        <bgColor rgb="FF0F6E56"/>
      </patternFill>
    </fill>
    <fill>
      <patternFill patternType="solid">
        <fgColor rgb="FFE0F4EE"/>
        <bgColor rgb="FFE0F4EE"/>
      </patternFill>
    </fill>
    <fill>
      <patternFill patternType="solid">
        <fgColor rgb="FFFFC7CE"/>
        <bgColor rgb="FFFFC7CE"/>
      </patternFill>
    </fill>
    <fill>
      <patternFill patternType="solid">
        <fgColor rgb="FF854F0B"/>
        <bgColor rgb="FF854F0B"/>
      </patternFill>
    </fill>
    <fill>
      <patternFill patternType="solid">
        <fgColor rgb="FFFDF0D8"/>
        <bgColor rgb="FFFDF0D8"/>
      </patternFill>
    </fill>
    <fill>
      <patternFill patternType="solid">
        <fgColor rgb="FFFAE0D8"/>
        <bgColor rgb="FFFAE0D8"/>
      </patternFill>
    </fill>
    <fill>
      <patternFill patternType="solid">
        <fgColor rgb="FFFFEB9C"/>
        <bgColor rgb="FFFFEB9C"/>
      </patternFill>
    </fill>
    <fill>
      <patternFill patternType="solid">
        <fgColor rgb="FFFCE4D6"/>
        <bgColor rgb="FFFCE4D6"/>
      </patternFill>
    </fill>
    <fill>
      <patternFill patternType="solid">
        <fgColor rgb="FF378ADD"/>
        <bgColor rgb="FF378ADD"/>
      </patternFill>
    </fill>
    <fill>
      <patternFill patternType="solid">
        <fgColor rgb="FF888780"/>
        <bgColor rgb="FF888780"/>
      </patternFill>
    </fill>
    <fill>
      <patternFill patternType="solid">
        <fgColor rgb="FF993C1D"/>
        <bgColor rgb="FF993C1D"/>
      </patternFill>
    </fill>
    <fill>
      <patternFill patternType="solid">
        <fgColor rgb="FFFAE8E2"/>
        <bgColor rgb="FFFAE8E2"/>
      </patternFill>
    </fill>
    <fill>
      <patternFill patternType="solid">
        <fgColor rgb="FFFDF0C8"/>
        <bgColor rgb="FFFDF0C8"/>
      </patternFill>
    </fill>
    <fill>
      <patternFill patternType="solid">
        <fgColor rgb="FF3B6D11"/>
        <bgColor rgb="FF3B6D11"/>
      </patternFill>
    </fill>
    <fill>
      <patternFill patternType="solid">
        <fgColor rgb="FFEAF5DE"/>
        <bgColor rgb="FFEAF5DE"/>
      </patternFill>
    </fill>
    <fill>
      <patternFill patternType="solid">
        <fgColor rgb="FF5F5E5A"/>
        <bgColor rgb="FF5F5E5A"/>
      </patternFill>
    </fill>
    <fill>
      <patternFill patternType="solid">
        <fgColor rgb="FFEEEEED"/>
        <bgColor rgb="FFEEEEED"/>
      </patternFill>
    </fill>
    <fill>
      <patternFill patternType="solid">
        <fgColor rgb="FFF5F5F5"/>
        <bgColor rgb="FFF5F5F5"/>
      </patternFill>
    </fill>
    <fill>
      <patternFill patternType="solid">
        <fgColor rgb="FF1F3864"/>
        <bgColor rgb="FF1F3864"/>
      </patternFill>
    </fill>
  </fills>
  <borders count="7">
    <border/>
    <border>
      <left/>
      <right/>
      <top/>
      <bottom/>
    </border>
    <border>
      <left style="thin">
        <color rgb="FFD0D0D0"/>
      </left>
      <right style="thin">
        <color rgb="FFD0D0D0"/>
      </right>
      <top style="thin">
        <color rgb="FFD0D0D0"/>
      </top>
      <bottom style="thin">
        <color rgb="FFD0D0D0"/>
      </bottom>
    </border>
    <border>
      <left style="thin">
        <color rgb="FFD0D0D0"/>
      </left>
      <top style="thin">
        <color rgb="FFD0D0D0"/>
      </top>
      <bottom style="thin">
        <color rgb="FFD0D0D0"/>
      </bottom>
    </border>
    <border>
      <right style="thin">
        <color rgb="FFD0D0D0"/>
      </right>
      <top style="thin">
        <color rgb="FFD0D0D0"/>
      </top>
      <bottom style="thin">
        <color rgb="FFD0D0D0"/>
      </bottom>
    </border>
    <border>
      <left/>
      <top/>
      <bottom/>
    </border>
    <border>
      <right/>
      <top/>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0" fillId="0" fontId="2" numFmtId="0" xfId="0" applyAlignment="1" applyFont="1">
      <alignment shrinkToFit="0" vertical="bottom" wrapText="0"/>
    </xf>
    <xf borderId="0" fillId="0" fontId="3" numFmtId="0" xfId="0" applyAlignment="1" applyFont="1">
      <alignment horizontal="left" shrinkToFit="0" vertical="center" wrapText="0"/>
    </xf>
    <xf borderId="2" fillId="3" fontId="4" numFmtId="0" xfId="0" applyAlignment="1" applyBorder="1" applyFill="1" applyFont="1">
      <alignment horizontal="center" shrinkToFit="0" vertical="center" wrapText="1"/>
    </xf>
    <xf borderId="2" fillId="3" fontId="5" numFmtId="0" xfId="0" applyAlignment="1" applyBorder="1" applyFont="1">
      <alignment horizontal="center" shrinkToFit="0" vertical="center" wrapText="1"/>
    </xf>
    <xf borderId="2" fillId="3" fontId="5" numFmtId="0" xfId="0" applyAlignment="1" applyBorder="1" applyFont="1">
      <alignment horizontal="center" readingOrder="0" shrinkToFit="0" vertical="center" wrapText="1"/>
    </xf>
    <xf borderId="2" fillId="4" fontId="6" numFmtId="0" xfId="0" applyAlignment="1" applyBorder="1" applyFill="1" applyFont="1">
      <alignment horizontal="center" shrinkToFit="0" vertical="center" wrapText="1"/>
    </xf>
    <xf borderId="2" fillId="5" fontId="7" numFmtId="0" xfId="0" applyAlignment="1" applyBorder="1" applyFill="1" applyFont="1">
      <alignment horizontal="left" shrinkToFit="0" vertical="center" wrapText="1"/>
    </xf>
    <xf borderId="2" fillId="5" fontId="8" numFmtId="0" xfId="0" applyAlignment="1" applyBorder="1" applyFont="1">
      <alignment horizontal="left" shrinkToFit="0" vertical="center" wrapText="1"/>
    </xf>
    <xf borderId="2" fillId="6" fontId="9" numFmtId="0" xfId="0" applyAlignment="1" applyBorder="1" applyFill="1" applyFont="1">
      <alignment horizontal="left" shrinkToFit="0" vertical="center" wrapText="1"/>
    </xf>
    <xf borderId="2" fillId="7" fontId="10" numFmtId="0" xfId="0" applyAlignment="1" applyBorder="1" applyFill="1" applyFont="1">
      <alignment horizontal="center" shrinkToFit="0" vertical="center" wrapText="1"/>
    </xf>
    <xf borderId="2" fillId="0" fontId="10" numFmtId="0" xfId="0" applyAlignment="1" applyBorder="1" applyFont="1">
      <alignment horizontal="center" shrinkToFit="0" vertical="center" wrapText="1"/>
    </xf>
    <xf borderId="2" fillId="0" fontId="11" numFmtId="0" xfId="0" applyAlignment="1" applyBorder="1" applyFont="1">
      <alignment horizontal="center" shrinkToFit="0" vertical="center" wrapText="0"/>
    </xf>
    <xf borderId="2" fillId="8" fontId="12" numFmtId="0" xfId="0" applyAlignment="1" applyBorder="1" applyFill="1" applyFont="1">
      <alignment horizontal="center" shrinkToFit="0" vertical="center" wrapText="0"/>
    </xf>
    <xf borderId="2" fillId="9" fontId="13" numFmtId="0" xfId="0" applyAlignment="1" applyBorder="1" applyFill="1" applyFont="1">
      <alignment horizontal="center" shrinkToFit="0" vertical="center" wrapText="0"/>
    </xf>
    <xf borderId="2" fillId="10" fontId="14" numFmtId="0" xfId="0" applyAlignment="1" applyBorder="1" applyFill="1" applyFont="1">
      <alignment horizontal="center" shrinkToFit="0" vertical="center" wrapText="1"/>
    </xf>
    <xf borderId="2" fillId="10" fontId="15" numFmtId="0" xfId="0" applyAlignment="1" applyBorder="1" applyFont="1">
      <alignment horizontal="center" shrinkToFit="0" vertical="center" wrapText="0"/>
    </xf>
    <xf borderId="2" fillId="6" fontId="11" numFmtId="0" xfId="0" applyAlignment="1" applyBorder="1" applyFont="1">
      <alignment shrinkToFit="0" vertical="center" wrapText="1"/>
    </xf>
    <xf borderId="2" fillId="11" fontId="10" numFmtId="0" xfId="0" applyAlignment="1" applyBorder="1" applyFill="1" applyFont="1">
      <alignment horizontal="center" shrinkToFit="0" vertical="center" wrapText="1"/>
    </xf>
    <xf borderId="2" fillId="0" fontId="13" numFmtId="0" xfId="0" applyAlignment="1" applyBorder="1" applyFont="1">
      <alignment horizontal="center" shrinkToFit="0" vertical="center" wrapText="0"/>
    </xf>
    <xf borderId="2" fillId="12" fontId="13" numFmtId="0" xfId="0" applyAlignment="1" applyBorder="1" applyFill="1" applyFont="1">
      <alignment horizontal="center" shrinkToFit="0" vertical="center" wrapText="0"/>
    </xf>
    <xf borderId="2" fillId="13" fontId="14" numFmtId="0" xfId="0" applyAlignment="1" applyBorder="1" applyFill="1" applyFont="1">
      <alignment horizontal="center" shrinkToFit="0" vertical="center" wrapText="1"/>
    </xf>
    <xf borderId="2" fillId="14" fontId="6" numFmtId="0" xfId="0" applyAlignment="1" applyBorder="1" applyFill="1" applyFont="1">
      <alignment horizontal="center" shrinkToFit="0" vertical="center" wrapText="1"/>
    </xf>
    <xf borderId="2" fillId="15" fontId="16" numFmtId="0" xfId="0" applyAlignment="1" applyBorder="1" applyFill="1" applyFont="1">
      <alignment horizontal="left" shrinkToFit="0" vertical="center" wrapText="1"/>
    </xf>
    <xf borderId="2" fillId="15" fontId="8" numFmtId="0" xfId="0" applyAlignment="1" applyBorder="1" applyFont="1">
      <alignment horizontal="left" shrinkToFit="0" vertical="center" wrapText="1"/>
    </xf>
    <xf borderId="2" fillId="6" fontId="17" numFmtId="0" xfId="0" applyAlignment="1" applyBorder="1" applyFont="1">
      <alignment horizontal="left" shrinkToFit="0" vertical="center" wrapText="1"/>
    </xf>
    <xf borderId="2" fillId="15" fontId="18" numFmtId="0" xfId="0" applyAlignment="1" applyBorder="1" applyFont="1">
      <alignment horizontal="left" shrinkToFit="0" vertical="center" wrapText="1"/>
    </xf>
    <xf borderId="2" fillId="16" fontId="6" numFmtId="0" xfId="0" applyAlignment="1" applyBorder="1" applyFill="1" applyFont="1">
      <alignment horizontal="center" shrinkToFit="0" vertical="center" wrapText="1"/>
    </xf>
    <xf borderId="2" fillId="17" fontId="19" numFmtId="0" xfId="0" applyAlignment="1" applyBorder="1" applyFill="1" applyFont="1">
      <alignment horizontal="left" shrinkToFit="0" vertical="center" wrapText="1"/>
    </xf>
    <xf borderId="2" fillId="17" fontId="18" numFmtId="0" xfId="0" applyAlignment="1" applyBorder="1" applyFont="1">
      <alignment horizontal="left" shrinkToFit="0" vertical="center" wrapText="1"/>
    </xf>
    <xf borderId="2" fillId="17" fontId="8" numFmtId="0" xfId="0" applyAlignment="1" applyBorder="1" applyFont="1">
      <alignment horizontal="left" shrinkToFit="0" vertical="center" wrapText="1"/>
    </xf>
    <xf borderId="2" fillId="18" fontId="20" numFmtId="0" xfId="0" applyAlignment="1" applyBorder="1" applyFill="1" applyFont="1">
      <alignment horizontal="center" shrinkToFit="0" vertical="center" wrapText="0"/>
    </xf>
    <xf borderId="2" fillId="6" fontId="9" numFmtId="0" xfId="0" applyAlignment="1" applyBorder="1" applyFont="1">
      <alignment shrinkToFit="0" vertical="center" wrapText="1"/>
    </xf>
    <xf borderId="2" fillId="19" fontId="6" numFmtId="0" xfId="0" applyAlignment="1" applyBorder="1" applyFill="1" applyFont="1">
      <alignment horizontal="center" shrinkToFit="0" vertical="center" wrapText="1"/>
    </xf>
    <xf borderId="2" fillId="20" fontId="21" numFmtId="0" xfId="0" applyAlignment="1" applyBorder="1" applyFill="1" applyFont="1">
      <alignment horizontal="left" shrinkToFit="0" vertical="center" wrapText="1"/>
    </xf>
    <xf borderId="2" fillId="20" fontId="8" numFmtId="0" xfId="0" applyAlignment="1" applyBorder="1" applyFont="1">
      <alignment horizontal="left" shrinkToFit="0" vertical="center" wrapText="1"/>
    </xf>
    <xf borderId="2" fillId="21" fontId="10" numFmtId="0" xfId="0" applyAlignment="1" applyBorder="1" applyFill="1" applyFont="1">
      <alignment horizontal="center" shrinkToFit="0" vertical="center" wrapText="1"/>
    </xf>
    <xf borderId="2" fillId="22" fontId="22" numFmtId="0" xfId="0" applyAlignment="1" applyBorder="1" applyFill="1" applyFont="1">
      <alignment horizontal="center" shrinkToFit="0" vertical="center" wrapText="0"/>
    </xf>
    <xf borderId="2" fillId="23" fontId="13" numFmtId="0" xfId="0" applyAlignment="1" applyBorder="1" applyFill="1" applyFont="1">
      <alignment horizontal="center" shrinkToFit="0" vertical="center" wrapText="0"/>
    </xf>
    <xf borderId="2" fillId="23" fontId="11" numFmtId="0" xfId="0" applyAlignment="1" applyBorder="1" applyFont="1">
      <alignment horizontal="center" shrinkToFit="0" vertical="center" wrapText="0"/>
    </xf>
    <xf borderId="2" fillId="24" fontId="15" numFmtId="0" xfId="0" applyAlignment="1" applyBorder="1" applyFill="1" applyFont="1">
      <alignment horizontal="center" shrinkToFit="0" vertical="center" wrapText="0"/>
    </xf>
    <xf borderId="2" fillId="12" fontId="11" numFmtId="0" xfId="0" applyAlignment="1" applyBorder="1" applyFont="1">
      <alignment horizontal="center" shrinkToFit="0" vertical="center" wrapText="0"/>
    </xf>
    <xf borderId="2" fillId="6" fontId="13" numFmtId="0" xfId="0" applyAlignment="1" applyBorder="1" applyFont="1">
      <alignment shrinkToFit="0" vertical="center" wrapText="1"/>
    </xf>
    <xf borderId="2" fillId="25" fontId="14" numFmtId="0" xfId="0" applyAlignment="1" applyBorder="1" applyFill="1" applyFont="1">
      <alignment horizontal="center" shrinkToFit="0" vertical="center" wrapText="1"/>
    </xf>
    <xf borderId="2" fillId="26" fontId="6" numFmtId="0" xfId="0" applyAlignment="1" applyBorder="1" applyFill="1" applyFont="1">
      <alignment horizontal="center" shrinkToFit="0" vertical="center" wrapText="1"/>
    </xf>
    <xf borderId="2" fillId="27" fontId="23" numFmtId="0" xfId="0" applyAlignment="1" applyBorder="1" applyFill="1" applyFont="1">
      <alignment horizontal="left" shrinkToFit="0" vertical="center" wrapText="1"/>
    </xf>
    <xf borderId="2" fillId="27" fontId="8" numFmtId="0" xfId="0" applyAlignment="1" applyBorder="1" applyFont="1">
      <alignment horizontal="left" shrinkToFit="0" vertical="center" wrapText="1"/>
    </xf>
    <xf borderId="2" fillId="28" fontId="24" numFmtId="0" xfId="0" applyAlignment="1" applyBorder="1" applyFill="1" applyFont="1">
      <alignment horizontal="center" shrinkToFit="0" vertical="center" wrapText="1"/>
    </xf>
    <xf borderId="2" fillId="27" fontId="18" numFmtId="0" xfId="0" applyAlignment="1" applyBorder="1" applyFont="1">
      <alignment horizontal="left" shrinkToFit="0" vertical="center" wrapText="1"/>
    </xf>
    <xf borderId="2" fillId="27" fontId="25" numFmtId="0" xfId="0" applyAlignment="1" applyBorder="1" applyFont="1">
      <alignment horizontal="left" shrinkToFit="0" vertical="center" wrapText="1"/>
    </xf>
    <xf borderId="2" fillId="24" fontId="14" numFmtId="0" xfId="0" applyAlignment="1" applyBorder="1" applyFont="1">
      <alignment horizontal="center" shrinkToFit="0" vertical="center" wrapText="1"/>
    </xf>
    <xf borderId="2" fillId="29" fontId="6" numFmtId="0" xfId="0" applyAlignment="1" applyBorder="1" applyFill="1" applyFont="1">
      <alignment horizontal="center" shrinkToFit="0" vertical="center" wrapText="1"/>
    </xf>
    <xf borderId="2" fillId="30" fontId="26" numFmtId="0" xfId="0" applyAlignment="1" applyBorder="1" applyFill="1" applyFont="1">
      <alignment horizontal="left" shrinkToFit="0" vertical="center" wrapText="1"/>
    </xf>
    <xf borderId="2" fillId="30" fontId="8" numFmtId="0" xfId="0" applyAlignment="1" applyBorder="1" applyFont="1">
      <alignment horizontal="left" shrinkToFit="0" vertical="center" wrapText="1"/>
    </xf>
    <xf borderId="2" fillId="31" fontId="6" numFmtId="0" xfId="0" applyAlignment="1" applyBorder="1" applyFill="1" applyFont="1">
      <alignment horizontal="center" shrinkToFit="0" vertical="center" wrapText="1"/>
    </xf>
    <xf borderId="2" fillId="32" fontId="27" numFmtId="0" xfId="0" applyAlignment="1" applyBorder="1" applyFill="1" applyFont="1">
      <alignment horizontal="left" shrinkToFit="0" vertical="center" wrapText="1"/>
    </xf>
    <xf borderId="2" fillId="32" fontId="8" numFmtId="0" xfId="0" applyAlignment="1" applyBorder="1" applyFont="1">
      <alignment horizontal="left" shrinkToFit="0" vertical="center" wrapText="1"/>
    </xf>
    <xf borderId="3" fillId="3" fontId="28" numFmtId="0" xfId="0" applyAlignment="1" applyBorder="1" applyFont="1">
      <alignment shrinkToFit="0" vertical="bottom" wrapText="0"/>
    </xf>
    <xf borderId="4" fillId="0" fontId="29" numFmtId="0" xfId="0" applyBorder="1" applyFont="1"/>
    <xf borderId="2" fillId="33" fontId="8" numFmtId="0" xfId="0" applyAlignment="1" applyBorder="1" applyFill="1" applyFont="1">
      <alignment shrinkToFit="0" vertical="bottom" wrapText="0"/>
    </xf>
    <xf borderId="2" fillId="6" fontId="30" numFmtId="0" xfId="0" applyAlignment="1" applyBorder="1" applyFont="1">
      <alignment shrinkToFit="0" vertical="center" wrapText="1"/>
    </xf>
    <xf borderId="0" fillId="0" fontId="31" numFmtId="0" xfId="0" applyAlignment="1" applyFont="1">
      <alignment shrinkToFit="0" vertical="bottom" wrapText="0"/>
    </xf>
    <xf borderId="2" fillId="6" fontId="32" numFmtId="0" xfId="0" applyAlignment="1" applyBorder="1" applyFont="1">
      <alignment shrinkToFit="0" vertical="center" wrapText="1"/>
    </xf>
    <xf borderId="2" fillId="33" fontId="18" numFmtId="0" xfId="0" applyAlignment="1" applyBorder="1" applyFont="1">
      <alignment shrinkToFit="0" vertical="bottom" wrapText="0"/>
    </xf>
    <xf borderId="1" fillId="34" fontId="28" numFmtId="0" xfId="0" applyAlignment="1" applyBorder="1" applyFill="1" applyFont="1">
      <alignment shrinkToFit="0" vertical="bottom" wrapText="0"/>
    </xf>
    <xf borderId="5" fillId="34" fontId="28" numFmtId="0" xfId="0" applyAlignment="1" applyBorder="1" applyFont="1">
      <alignment shrinkToFit="0" vertical="bottom" wrapText="0"/>
    </xf>
    <xf borderId="6" fillId="0" fontId="29" numFmtId="0" xfId="0" applyBorder="1" applyFont="1"/>
    <xf borderId="1" fillId="8" fontId="33" numFmtId="0" xfId="0" applyAlignment="1" applyBorder="1" applyFont="1">
      <alignment shrinkToFit="0" vertical="bottom" wrapText="0"/>
    </xf>
    <xf borderId="1" fillId="8" fontId="15" numFmtId="0" xfId="0" applyAlignment="1" applyBorder="1" applyFont="1">
      <alignment shrinkToFit="0" vertical="bottom" wrapText="0"/>
    </xf>
    <xf borderId="1" fillId="22" fontId="34" numFmtId="0" xfId="0" applyAlignment="1" applyBorder="1" applyFont="1">
      <alignment shrinkToFit="0" vertical="bottom" wrapText="0"/>
    </xf>
    <xf borderId="1" fillId="22" fontId="15" numFmtId="0" xfId="0" applyAlignment="1" applyBorder="1" applyFont="1">
      <alignment shrinkToFit="0" vertical="center" wrapText="1"/>
    </xf>
    <xf borderId="1" fillId="18" fontId="35" numFmtId="0" xfId="0" applyAlignment="1" applyBorder="1" applyFont="1">
      <alignment shrinkToFit="0" vertical="bottom" wrapText="0"/>
    </xf>
    <xf borderId="1" fillId="18" fontId="15" numFmtId="0" xfId="0" applyAlignment="1" applyBorder="1" applyFont="1">
      <alignment shrinkToFit="0" vertical="bottom" wrapText="0"/>
    </xf>
    <xf borderId="0" fillId="0" fontId="36" numFmtId="0" xfId="0" applyAlignment="1" applyFont="1">
      <alignment shrinkToFit="0" vertical="bottom" wrapText="0"/>
    </xf>
    <xf borderId="0" fillId="0" fontId="15" numFmtId="0" xfId="0" applyAlignment="1" applyFont="1">
      <alignment shrinkToFit="0" vertical="bottom" wrapText="0"/>
    </xf>
  </cellXfs>
  <cellStyles count="1">
    <cellStyle xfId="0" name="Normal" builtinId="0"/>
  </cellStyles>
  <dxfs count="4">
    <dxf>
      <font>
        <b/>
        <color rgb="FFFFFFFF"/>
        <name val="Arial"/>
      </font>
      <fill>
        <patternFill patternType="solid">
          <fgColor rgb="FF1D9E75"/>
          <bgColor rgb="FF1D9E75"/>
        </patternFill>
      </fill>
      <border/>
    </dxf>
    <dxf>
      <font>
        <b/>
        <color rgb="FFFFFFFF"/>
        <name val="Arial"/>
      </font>
      <fill>
        <patternFill patternType="solid">
          <fgColor rgb="FFBA7517"/>
          <bgColor rgb="FFBA7517"/>
        </patternFill>
      </fill>
      <border/>
    </dxf>
    <dxf>
      <font>
        <b/>
        <color rgb="FFFFFFFF"/>
        <name val="Arial"/>
      </font>
      <fill>
        <patternFill patternType="solid">
          <fgColor rgb="FF888780"/>
          <bgColor rgb="FF888780"/>
        </patternFill>
      </fill>
      <border/>
    </dxf>
    <dxf>
      <font>
        <b/>
        <color rgb="FFFFFFFF"/>
        <name val="Arial"/>
      </font>
      <fill>
        <patternFill patternType="solid">
          <fgColor rgb="FF378ADD"/>
          <bgColor rgb="FF378AD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5.0"/>
    <col customWidth="1" min="2" max="2" width="18.0"/>
    <col customWidth="1" min="3" max="3" width="27.57"/>
    <col customWidth="1" min="4" max="4" width="42.0"/>
    <col customWidth="1" min="5" max="5" width="10.0"/>
    <col customWidth="1" min="6" max="10" width="12.71"/>
    <col customWidth="1" min="11" max="14" width="16.0"/>
    <col customWidth="1" min="15" max="15" width="14.0"/>
    <col customWidth="1" min="16" max="16" width="50.0"/>
  </cols>
  <sheetData>
    <row r="1" ht="25.5" customHeight="1">
      <c r="A1" s="1" t="s">
        <v>0</v>
      </c>
      <c r="B1" s="1"/>
      <c r="C1" s="1"/>
      <c r="D1" s="1"/>
      <c r="E1" s="1"/>
      <c r="F1" s="1"/>
      <c r="G1" s="1"/>
      <c r="H1" s="1"/>
      <c r="I1" s="1"/>
      <c r="J1" s="2"/>
      <c r="K1" s="2"/>
      <c r="L1" s="2"/>
      <c r="M1" s="2"/>
      <c r="N1" s="2"/>
      <c r="O1" s="1"/>
      <c r="P1" s="1"/>
      <c r="Q1" s="2"/>
      <c r="R1" s="2"/>
      <c r="S1" s="2"/>
      <c r="T1" s="2"/>
      <c r="U1" s="2"/>
      <c r="V1" s="2"/>
      <c r="W1" s="2"/>
      <c r="X1" s="2"/>
      <c r="Y1" s="2"/>
      <c r="Z1" s="2"/>
    </row>
    <row r="2" ht="15.75" customHeight="1">
      <c r="A2" s="3" t="s">
        <v>1</v>
      </c>
      <c r="B2" s="3"/>
      <c r="C2" s="3"/>
      <c r="D2" s="3"/>
      <c r="E2" s="3"/>
      <c r="F2" s="3"/>
      <c r="G2" s="3"/>
      <c r="H2" s="3"/>
      <c r="I2" s="3"/>
      <c r="J2" s="2"/>
      <c r="K2" s="2"/>
      <c r="L2" s="2"/>
      <c r="M2" s="2"/>
      <c r="N2" s="2"/>
      <c r="O2" s="3"/>
      <c r="P2" s="3"/>
      <c r="Q2" s="2"/>
      <c r="R2" s="2"/>
      <c r="S2" s="2"/>
      <c r="T2" s="2"/>
      <c r="U2" s="2"/>
      <c r="V2" s="2"/>
      <c r="W2" s="2"/>
      <c r="X2" s="2"/>
      <c r="Y2" s="2"/>
      <c r="Z2" s="2"/>
    </row>
    <row r="3" ht="48.0" customHeight="1">
      <c r="A3" s="4" t="s">
        <v>2</v>
      </c>
      <c r="B3" s="5" t="s">
        <v>3</v>
      </c>
      <c r="C3" s="5" t="s">
        <v>4</v>
      </c>
      <c r="D3" s="5" t="s">
        <v>5</v>
      </c>
      <c r="E3" s="5" t="s">
        <v>6</v>
      </c>
      <c r="F3" s="5" t="s">
        <v>7</v>
      </c>
      <c r="G3" s="5" t="s">
        <v>8</v>
      </c>
      <c r="H3" s="5" t="s">
        <v>9</v>
      </c>
      <c r="I3" s="5" t="s">
        <v>10</v>
      </c>
      <c r="J3" s="6" t="s">
        <v>11</v>
      </c>
      <c r="K3" s="5" t="s">
        <v>12</v>
      </c>
      <c r="L3" s="5" t="s">
        <v>13</v>
      </c>
      <c r="M3" s="5" t="s">
        <v>14</v>
      </c>
      <c r="N3" s="5" t="s">
        <v>15</v>
      </c>
      <c r="O3" s="5" t="s">
        <v>16</v>
      </c>
      <c r="P3" s="5" t="s">
        <v>17</v>
      </c>
      <c r="Q3" s="2"/>
      <c r="R3" s="2"/>
      <c r="S3" s="2"/>
      <c r="T3" s="2"/>
      <c r="U3" s="2"/>
      <c r="V3" s="2"/>
      <c r="W3" s="2"/>
      <c r="X3" s="2"/>
      <c r="Y3" s="2"/>
      <c r="Z3" s="2"/>
    </row>
    <row r="4" ht="39.75" customHeight="1">
      <c r="A4" s="7" t="s">
        <v>18</v>
      </c>
      <c r="B4" s="8" t="s">
        <v>19</v>
      </c>
      <c r="C4" s="9" t="s">
        <v>20</v>
      </c>
      <c r="D4" s="10" t="s">
        <v>21</v>
      </c>
      <c r="E4" s="11" t="s">
        <v>22</v>
      </c>
      <c r="F4" s="12" t="s">
        <v>23</v>
      </c>
      <c r="G4" s="12" t="s">
        <v>24</v>
      </c>
      <c r="H4" s="12" t="s">
        <v>24</v>
      </c>
      <c r="I4" s="12" t="s">
        <v>24</v>
      </c>
      <c r="J4" s="13" t="s">
        <v>24</v>
      </c>
      <c r="K4" s="14" t="s">
        <v>25</v>
      </c>
      <c r="L4" s="15" t="s">
        <v>26</v>
      </c>
      <c r="M4" s="15" t="s">
        <v>25</v>
      </c>
      <c r="N4" s="13">
        <f t="shared" ref="N4:N56" si="1">IF(F4="大",3,IF(F4="中",2,1))+IF(G4="低",3,IF(G4="中",2,1))+IF(H4="低",3,IF(H4="中",2,1))+IF(I4="低",3,IF(I4="中",2,1))+IF(J4="低",3,IF(J4="中",2,IF(J4="高",1,0)))+IF(K4="◎",3,IF(K4="○",2,1))</f>
        <v>17</v>
      </c>
      <c r="O4" s="16" t="s">
        <v>27</v>
      </c>
      <c r="P4" s="10" t="s">
        <v>28</v>
      </c>
      <c r="Q4" s="2"/>
      <c r="R4" s="2"/>
      <c r="S4" s="2"/>
      <c r="T4" s="2"/>
      <c r="U4" s="2"/>
      <c r="V4" s="2"/>
      <c r="W4" s="2"/>
      <c r="X4" s="2"/>
      <c r="Y4" s="2"/>
      <c r="Z4" s="2"/>
    </row>
    <row r="5" ht="39.75" customHeight="1">
      <c r="A5" s="7" t="s">
        <v>18</v>
      </c>
      <c r="B5" s="8" t="s">
        <v>19</v>
      </c>
      <c r="C5" s="9" t="s">
        <v>29</v>
      </c>
      <c r="D5" s="10" t="s">
        <v>30</v>
      </c>
      <c r="E5" s="11" t="s">
        <v>31</v>
      </c>
      <c r="F5" s="12" t="s">
        <v>32</v>
      </c>
      <c r="G5" s="12" t="s">
        <v>24</v>
      </c>
      <c r="H5" s="12" t="s">
        <v>24</v>
      </c>
      <c r="I5" s="12" t="s">
        <v>24</v>
      </c>
      <c r="J5" s="13" t="s">
        <v>24</v>
      </c>
      <c r="K5" s="14" t="s">
        <v>33</v>
      </c>
      <c r="L5" s="15" t="s">
        <v>26</v>
      </c>
      <c r="M5" s="15" t="s">
        <v>25</v>
      </c>
      <c r="N5" s="13">
        <f t="shared" si="1"/>
        <v>15</v>
      </c>
      <c r="O5" s="17" t="s">
        <v>34</v>
      </c>
      <c r="P5" s="18" t="s">
        <v>35</v>
      </c>
      <c r="Q5" s="2"/>
      <c r="R5" s="2"/>
      <c r="S5" s="2"/>
      <c r="T5" s="2"/>
      <c r="U5" s="2"/>
      <c r="V5" s="2"/>
      <c r="W5" s="2"/>
      <c r="X5" s="2"/>
      <c r="Y5" s="2"/>
      <c r="Z5" s="2"/>
    </row>
    <row r="6" ht="39.75" customHeight="1">
      <c r="A6" s="7" t="s">
        <v>18</v>
      </c>
      <c r="B6" s="8" t="s">
        <v>19</v>
      </c>
      <c r="C6" s="9" t="s">
        <v>36</v>
      </c>
      <c r="D6" s="10" t="s">
        <v>37</v>
      </c>
      <c r="E6" s="11" t="s">
        <v>38</v>
      </c>
      <c r="F6" s="12" t="s">
        <v>32</v>
      </c>
      <c r="G6" s="12" t="s">
        <v>24</v>
      </c>
      <c r="H6" s="12" t="s">
        <v>24</v>
      </c>
      <c r="I6" s="12" t="s">
        <v>24</v>
      </c>
      <c r="J6" s="13" t="s">
        <v>24</v>
      </c>
      <c r="K6" s="14" t="s">
        <v>33</v>
      </c>
      <c r="L6" s="15" t="s">
        <v>39</v>
      </c>
      <c r="M6" s="15" t="s">
        <v>25</v>
      </c>
      <c r="N6" s="13">
        <f t="shared" si="1"/>
        <v>15</v>
      </c>
      <c r="O6" s="16" t="s">
        <v>27</v>
      </c>
      <c r="P6" s="10" t="s">
        <v>40</v>
      </c>
      <c r="Q6" s="2"/>
      <c r="R6" s="2"/>
      <c r="S6" s="2"/>
      <c r="T6" s="2"/>
      <c r="U6" s="2"/>
      <c r="V6" s="2"/>
      <c r="W6" s="2"/>
      <c r="X6" s="2"/>
      <c r="Y6" s="2"/>
      <c r="Z6" s="2"/>
    </row>
    <row r="7" ht="39.75" customHeight="1">
      <c r="A7" s="7" t="s">
        <v>18</v>
      </c>
      <c r="B7" s="8" t="s">
        <v>19</v>
      </c>
      <c r="C7" s="9" t="s">
        <v>41</v>
      </c>
      <c r="D7" s="10" t="s">
        <v>42</v>
      </c>
      <c r="E7" s="11" t="s">
        <v>43</v>
      </c>
      <c r="F7" s="12" t="s">
        <v>32</v>
      </c>
      <c r="G7" s="12" t="s">
        <v>24</v>
      </c>
      <c r="H7" s="12" t="s">
        <v>24</v>
      </c>
      <c r="I7" s="12" t="s">
        <v>24</v>
      </c>
      <c r="J7" s="13" t="s">
        <v>24</v>
      </c>
      <c r="K7" s="14" t="s">
        <v>33</v>
      </c>
      <c r="L7" s="15" t="s">
        <v>44</v>
      </c>
      <c r="M7" s="15" t="s">
        <v>25</v>
      </c>
      <c r="N7" s="13">
        <f t="shared" si="1"/>
        <v>15</v>
      </c>
      <c r="O7" s="16" t="s">
        <v>27</v>
      </c>
      <c r="P7" s="10" t="s">
        <v>45</v>
      </c>
      <c r="Q7" s="2"/>
      <c r="R7" s="2"/>
      <c r="S7" s="2"/>
      <c r="T7" s="2"/>
      <c r="U7" s="2"/>
      <c r="V7" s="2"/>
      <c r="W7" s="2"/>
      <c r="X7" s="2"/>
      <c r="Y7" s="2"/>
      <c r="Z7" s="2"/>
    </row>
    <row r="8" ht="39.75" customHeight="1">
      <c r="A8" s="7" t="s">
        <v>18</v>
      </c>
      <c r="B8" s="8" t="s">
        <v>19</v>
      </c>
      <c r="C8" s="9" t="s">
        <v>46</v>
      </c>
      <c r="D8" s="10" t="s">
        <v>47</v>
      </c>
      <c r="E8" s="19" t="s">
        <v>48</v>
      </c>
      <c r="F8" s="12" t="s">
        <v>23</v>
      </c>
      <c r="G8" s="12" t="s">
        <v>32</v>
      </c>
      <c r="H8" s="12" t="s">
        <v>24</v>
      </c>
      <c r="I8" s="12" t="s">
        <v>32</v>
      </c>
      <c r="J8" s="20" t="s">
        <v>49</v>
      </c>
      <c r="K8" s="14" t="s">
        <v>25</v>
      </c>
      <c r="L8" s="21" t="s">
        <v>50</v>
      </c>
      <c r="M8" s="20" t="s">
        <v>25</v>
      </c>
      <c r="N8" s="13">
        <f t="shared" si="1"/>
        <v>12</v>
      </c>
      <c r="O8" s="22" t="s">
        <v>51</v>
      </c>
      <c r="P8" s="10" t="s">
        <v>52</v>
      </c>
      <c r="Q8" s="2"/>
      <c r="R8" s="2"/>
      <c r="S8" s="2"/>
      <c r="T8" s="2"/>
      <c r="U8" s="2"/>
      <c r="V8" s="2"/>
      <c r="W8" s="2"/>
      <c r="X8" s="2"/>
      <c r="Y8" s="2"/>
      <c r="Z8" s="2"/>
    </row>
    <row r="9" ht="39.75" customHeight="1">
      <c r="A9" s="23" t="s">
        <v>53</v>
      </c>
      <c r="B9" s="24" t="s">
        <v>54</v>
      </c>
      <c r="C9" s="25" t="s">
        <v>55</v>
      </c>
      <c r="D9" s="10" t="s">
        <v>56</v>
      </c>
      <c r="E9" s="11" t="s">
        <v>57</v>
      </c>
      <c r="F9" s="12" t="s">
        <v>23</v>
      </c>
      <c r="G9" s="12" t="s">
        <v>24</v>
      </c>
      <c r="H9" s="12" t="s">
        <v>24</v>
      </c>
      <c r="I9" s="12" t="s">
        <v>32</v>
      </c>
      <c r="J9" s="13" t="s">
        <v>24</v>
      </c>
      <c r="K9" s="14" t="s">
        <v>58</v>
      </c>
      <c r="L9" s="21" t="s">
        <v>59</v>
      </c>
      <c r="M9" s="15" t="s">
        <v>25</v>
      </c>
      <c r="N9" s="13">
        <f t="shared" si="1"/>
        <v>17</v>
      </c>
      <c r="O9" s="16" t="s">
        <v>27</v>
      </c>
      <c r="P9" s="26" t="s">
        <v>60</v>
      </c>
      <c r="Q9" s="2"/>
      <c r="R9" s="2"/>
      <c r="S9" s="2"/>
      <c r="T9" s="2"/>
      <c r="U9" s="2"/>
      <c r="V9" s="2"/>
      <c r="W9" s="2"/>
      <c r="X9" s="2"/>
      <c r="Y9" s="2"/>
      <c r="Z9" s="2"/>
    </row>
    <row r="10" ht="39.75" customHeight="1">
      <c r="A10" s="23" t="s">
        <v>53</v>
      </c>
      <c r="B10" s="24" t="s">
        <v>54</v>
      </c>
      <c r="C10" s="25" t="s">
        <v>61</v>
      </c>
      <c r="D10" s="10" t="s">
        <v>62</v>
      </c>
      <c r="E10" s="11" t="s">
        <v>63</v>
      </c>
      <c r="F10" s="12" t="s">
        <v>23</v>
      </c>
      <c r="G10" s="12" t="s">
        <v>24</v>
      </c>
      <c r="H10" s="12" t="s">
        <v>24</v>
      </c>
      <c r="I10" s="12" t="s">
        <v>24</v>
      </c>
      <c r="J10" s="13" t="s">
        <v>24</v>
      </c>
      <c r="K10" s="14" t="s">
        <v>58</v>
      </c>
      <c r="L10" s="15" t="s">
        <v>39</v>
      </c>
      <c r="M10" s="15" t="s">
        <v>25</v>
      </c>
      <c r="N10" s="13">
        <f t="shared" si="1"/>
        <v>18</v>
      </c>
      <c r="O10" s="16" t="s">
        <v>27</v>
      </c>
      <c r="P10" s="10" t="s">
        <v>64</v>
      </c>
      <c r="Q10" s="2"/>
      <c r="R10" s="2"/>
      <c r="S10" s="2"/>
      <c r="T10" s="2"/>
      <c r="U10" s="2"/>
      <c r="V10" s="2"/>
      <c r="W10" s="2"/>
      <c r="X10" s="2"/>
      <c r="Y10" s="2"/>
      <c r="Z10" s="2"/>
    </row>
    <row r="11" ht="39.75" customHeight="1">
      <c r="A11" s="23" t="s">
        <v>53</v>
      </c>
      <c r="B11" s="24" t="s">
        <v>54</v>
      </c>
      <c r="C11" s="25" t="s">
        <v>65</v>
      </c>
      <c r="D11" s="10" t="s">
        <v>66</v>
      </c>
      <c r="E11" s="11" t="s">
        <v>67</v>
      </c>
      <c r="F11" s="12" t="s">
        <v>23</v>
      </c>
      <c r="G11" s="12" t="s">
        <v>24</v>
      </c>
      <c r="H11" s="12" t="s">
        <v>24</v>
      </c>
      <c r="I11" s="12" t="s">
        <v>24</v>
      </c>
      <c r="J11" s="13" t="s">
        <v>24</v>
      </c>
      <c r="K11" s="14" t="s">
        <v>25</v>
      </c>
      <c r="L11" s="15" t="s">
        <v>39</v>
      </c>
      <c r="M11" s="15" t="s">
        <v>25</v>
      </c>
      <c r="N11" s="13">
        <f t="shared" si="1"/>
        <v>17</v>
      </c>
      <c r="O11" s="16" t="s">
        <v>27</v>
      </c>
      <c r="P11" s="10" t="s">
        <v>68</v>
      </c>
      <c r="Q11" s="2"/>
      <c r="R11" s="2"/>
      <c r="S11" s="2"/>
      <c r="T11" s="2"/>
      <c r="U11" s="2"/>
      <c r="V11" s="2"/>
      <c r="W11" s="2"/>
      <c r="X11" s="2"/>
      <c r="Y11" s="2"/>
      <c r="Z11" s="2"/>
    </row>
    <row r="12" ht="39.75" customHeight="1">
      <c r="A12" s="23" t="s">
        <v>53</v>
      </c>
      <c r="B12" s="24" t="s">
        <v>54</v>
      </c>
      <c r="C12" s="25" t="s">
        <v>69</v>
      </c>
      <c r="D12" s="10" t="s">
        <v>70</v>
      </c>
      <c r="E12" s="11" t="s">
        <v>71</v>
      </c>
      <c r="F12" s="12" t="s">
        <v>32</v>
      </c>
      <c r="G12" s="12" t="s">
        <v>24</v>
      </c>
      <c r="H12" s="12" t="s">
        <v>24</v>
      </c>
      <c r="I12" s="12" t="s">
        <v>24</v>
      </c>
      <c r="J12" s="13" t="s">
        <v>24</v>
      </c>
      <c r="K12" s="14" t="s">
        <v>25</v>
      </c>
      <c r="L12" s="15" t="s">
        <v>44</v>
      </c>
      <c r="M12" s="15" t="s">
        <v>25</v>
      </c>
      <c r="N12" s="13">
        <f t="shared" si="1"/>
        <v>16</v>
      </c>
      <c r="O12" s="16" t="s">
        <v>27</v>
      </c>
      <c r="P12" s="10" t="s">
        <v>72</v>
      </c>
      <c r="Q12" s="2"/>
      <c r="R12" s="2"/>
      <c r="S12" s="2"/>
      <c r="T12" s="2"/>
      <c r="U12" s="2"/>
      <c r="V12" s="2"/>
      <c r="W12" s="2"/>
      <c r="X12" s="2"/>
      <c r="Y12" s="2"/>
      <c r="Z12" s="2"/>
    </row>
    <row r="13" ht="39.75" customHeight="1">
      <c r="A13" s="23" t="s">
        <v>53</v>
      </c>
      <c r="B13" s="24" t="s">
        <v>54</v>
      </c>
      <c r="C13" s="25" t="s">
        <v>73</v>
      </c>
      <c r="D13" s="10" t="s">
        <v>74</v>
      </c>
      <c r="E13" s="11" t="s">
        <v>75</v>
      </c>
      <c r="F13" s="12" t="s">
        <v>23</v>
      </c>
      <c r="G13" s="12" t="s">
        <v>24</v>
      </c>
      <c r="H13" s="12" t="s">
        <v>24</v>
      </c>
      <c r="I13" s="12" t="s">
        <v>24</v>
      </c>
      <c r="J13" s="13" t="s">
        <v>24</v>
      </c>
      <c r="K13" s="14" t="s">
        <v>58</v>
      </c>
      <c r="L13" s="15" t="s">
        <v>76</v>
      </c>
      <c r="M13" s="15" t="s">
        <v>25</v>
      </c>
      <c r="N13" s="13">
        <f t="shared" si="1"/>
        <v>18</v>
      </c>
      <c r="O13" s="16" t="s">
        <v>27</v>
      </c>
      <c r="P13" s="10" t="s">
        <v>77</v>
      </c>
      <c r="Q13" s="2"/>
      <c r="R13" s="2"/>
      <c r="S13" s="2"/>
      <c r="T13" s="2"/>
      <c r="U13" s="2"/>
      <c r="V13" s="2"/>
      <c r="W13" s="2"/>
      <c r="X13" s="2"/>
      <c r="Y13" s="2"/>
      <c r="Z13" s="2"/>
    </row>
    <row r="14" ht="39.75" customHeight="1">
      <c r="A14" s="23" t="s">
        <v>53</v>
      </c>
      <c r="B14" s="24" t="s">
        <v>54</v>
      </c>
      <c r="C14" s="25" t="s">
        <v>78</v>
      </c>
      <c r="D14" s="10" t="s">
        <v>79</v>
      </c>
      <c r="E14" s="19" t="s">
        <v>48</v>
      </c>
      <c r="F14" s="12" t="s">
        <v>32</v>
      </c>
      <c r="G14" s="12" t="s">
        <v>24</v>
      </c>
      <c r="H14" s="12" t="s">
        <v>24</v>
      </c>
      <c r="I14" s="12" t="s">
        <v>24</v>
      </c>
      <c r="J14" s="13" t="s">
        <v>24</v>
      </c>
      <c r="K14" s="14" t="s">
        <v>25</v>
      </c>
      <c r="L14" s="15" t="s">
        <v>26</v>
      </c>
      <c r="M14" s="15" t="s">
        <v>25</v>
      </c>
      <c r="N14" s="13">
        <f t="shared" si="1"/>
        <v>16</v>
      </c>
      <c r="O14" s="16" t="s">
        <v>27</v>
      </c>
      <c r="P14" s="10" t="s">
        <v>80</v>
      </c>
      <c r="Q14" s="2"/>
      <c r="R14" s="2"/>
      <c r="S14" s="2"/>
      <c r="T14" s="2"/>
      <c r="U14" s="2"/>
      <c r="V14" s="2"/>
      <c r="W14" s="2"/>
      <c r="X14" s="2"/>
      <c r="Y14" s="2"/>
      <c r="Z14" s="2"/>
    </row>
    <row r="15" ht="39.75" customHeight="1">
      <c r="A15" s="23" t="s">
        <v>81</v>
      </c>
      <c r="B15" s="24" t="s">
        <v>82</v>
      </c>
      <c r="C15" s="25" t="s">
        <v>83</v>
      </c>
      <c r="D15" s="10" t="s">
        <v>84</v>
      </c>
      <c r="E15" s="11" t="s">
        <v>85</v>
      </c>
      <c r="F15" s="12" t="s">
        <v>32</v>
      </c>
      <c r="G15" s="12" t="s">
        <v>24</v>
      </c>
      <c r="H15" s="12" t="s">
        <v>24</v>
      </c>
      <c r="I15" s="12" t="s">
        <v>24</v>
      </c>
      <c r="J15" s="13" t="s">
        <v>24</v>
      </c>
      <c r="K15" s="14" t="s">
        <v>25</v>
      </c>
      <c r="L15" s="15" t="s">
        <v>59</v>
      </c>
      <c r="M15" s="15" t="s">
        <v>25</v>
      </c>
      <c r="N15" s="13">
        <f t="shared" si="1"/>
        <v>16</v>
      </c>
      <c r="O15" s="16" t="s">
        <v>27</v>
      </c>
      <c r="P15" s="10" t="s">
        <v>86</v>
      </c>
      <c r="Q15" s="2"/>
      <c r="R15" s="2"/>
      <c r="S15" s="2"/>
      <c r="T15" s="2"/>
      <c r="U15" s="2"/>
      <c r="V15" s="2"/>
      <c r="W15" s="2"/>
      <c r="X15" s="2"/>
      <c r="Y15" s="2"/>
      <c r="Z15" s="2"/>
    </row>
    <row r="16" ht="39.75" customHeight="1">
      <c r="A16" s="23" t="s">
        <v>81</v>
      </c>
      <c r="B16" s="24" t="s">
        <v>82</v>
      </c>
      <c r="C16" s="25" t="s">
        <v>87</v>
      </c>
      <c r="D16" s="10" t="s">
        <v>88</v>
      </c>
      <c r="E16" s="11" t="s">
        <v>89</v>
      </c>
      <c r="F16" s="12" t="s">
        <v>32</v>
      </c>
      <c r="G16" s="12" t="s">
        <v>24</v>
      </c>
      <c r="H16" s="12" t="s">
        <v>24</v>
      </c>
      <c r="I16" s="12" t="s">
        <v>24</v>
      </c>
      <c r="J16" s="13" t="s">
        <v>24</v>
      </c>
      <c r="K16" s="14" t="s">
        <v>25</v>
      </c>
      <c r="L16" s="15" t="s">
        <v>50</v>
      </c>
      <c r="M16" s="15" t="s">
        <v>25</v>
      </c>
      <c r="N16" s="13">
        <f t="shared" si="1"/>
        <v>16</v>
      </c>
      <c r="O16" s="16" t="s">
        <v>27</v>
      </c>
      <c r="P16" s="10" t="s">
        <v>90</v>
      </c>
      <c r="Q16" s="2"/>
      <c r="R16" s="2"/>
      <c r="S16" s="2"/>
      <c r="T16" s="2"/>
      <c r="U16" s="2"/>
      <c r="V16" s="2"/>
      <c r="W16" s="2"/>
      <c r="X16" s="2"/>
      <c r="Y16" s="2"/>
      <c r="Z16" s="2"/>
    </row>
    <row r="17" ht="39.75" customHeight="1">
      <c r="A17" s="23" t="s">
        <v>81</v>
      </c>
      <c r="B17" s="24" t="s">
        <v>82</v>
      </c>
      <c r="C17" s="27" t="s">
        <v>91</v>
      </c>
      <c r="D17" s="10" t="s">
        <v>92</v>
      </c>
      <c r="E17" s="11" t="s">
        <v>93</v>
      </c>
      <c r="F17" s="12" t="s">
        <v>32</v>
      </c>
      <c r="G17" s="12" t="s">
        <v>24</v>
      </c>
      <c r="H17" s="12" t="s">
        <v>24</v>
      </c>
      <c r="I17" s="12" t="s">
        <v>24</v>
      </c>
      <c r="J17" s="13" t="s">
        <v>24</v>
      </c>
      <c r="K17" s="14" t="s">
        <v>25</v>
      </c>
      <c r="L17" s="15" t="s">
        <v>39</v>
      </c>
      <c r="M17" s="15" t="s">
        <v>25</v>
      </c>
      <c r="N17" s="13">
        <f t="shared" si="1"/>
        <v>16</v>
      </c>
      <c r="O17" s="16" t="s">
        <v>27</v>
      </c>
      <c r="P17" s="10" t="s">
        <v>94</v>
      </c>
      <c r="Q17" s="2"/>
      <c r="R17" s="2"/>
      <c r="S17" s="2"/>
      <c r="T17" s="2"/>
      <c r="U17" s="2"/>
      <c r="V17" s="2"/>
      <c r="W17" s="2"/>
      <c r="X17" s="2"/>
      <c r="Y17" s="2"/>
      <c r="Z17" s="2"/>
    </row>
    <row r="18" ht="39.75" customHeight="1">
      <c r="A18" s="23" t="s">
        <v>81</v>
      </c>
      <c r="B18" s="24" t="s">
        <v>82</v>
      </c>
      <c r="C18" s="25" t="s">
        <v>95</v>
      </c>
      <c r="D18" s="10" t="s">
        <v>96</v>
      </c>
      <c r="E18" s="11" t="s">
        <v>97</v>
      </c>
      <c r="F18" s="12" t="s">
        <v>23</v>
      </c>
      <c r="G18" s="12" t="s">
        <v>24</v>
      </c>
      <c r="H18" s="12" t="s">
        <v>24</v>
      </c>
      <c r="I18" s="12" t="s">
        <v>24</v>
      </c>
      <c r="J18" s="13" t="s">
        <v>24</v>
      </c>
      <c r="K18" s="14" t="s">
        <v>25</v>
      </c>
      <c r="L18" s="15" t="s">
        <v>39</v>
      </c>
      <c r="M18" s="15" t="s">
        <v>25</v>
      </c>
      <c r="N18" s="13">
        <f t="shared" si="1"/>
        <v>17</v>
      </c>
      <c r="O18" s="16" t="s">
        <v>27</v>
      </c>
      <c r="P18" s="10" t="s">
        <v>98</v>
      </c>
      <c r="Q18" s="2"/>
      <c r="R18" s="2"/>
      <c r="S18" s="2"/>
      <c r="T18" s="2"/>
      <c r="U18" s="2"/>
      <c r="V18" s="2"/>
      <c r="W18" s="2"/>
      <c r="X18" s="2"/>
      <c r="Y18" s="2"/>
      <c r="Z18" s="2"/>
    </row>
    <row r="19" ht="39.75" customHeight="1">
      <c r="A19" s="23" t="s">
        <v>81</v>
      </c>
      <c r="B19" s="24" t="s">
        <v>82</v>
      </c>
      <c r="C19" s="25" t="s">
        <v>99</v>
      </c>
      <c r="D19" s="10" t="s">
        <v>100</v>
      </c>
      <c r="E19" s="19" t="s">
        <v>48</v>
      </c>
      <c r="F19" s="12" t="s">
        <v>32</v>
      </c>
      <c r="G19" s="12" t="s">
        <v>24</v>
      </c>
      <c r="H19" s="12" t="s">
        <v>24</v>
      </c>
      <c r="I19" s="12" t="s">
        <v>24</v>
      </c>
      <c r="J19" s="13" t="s">
        <v>24</v>
      </c>
      <c r="K19" s="14" t="s">
        <v>25</v>
      </c>
      <c r="L19" s="15" t="s">
        <v>101</v>
      </c>
      <c r="M19" s="15" t="s">
        <v>25</v>
      </c>
      <c r="N19" s="13">
        <f t="shared" si="1"/>
        <v>16</v>
      </c>
      <c r="O19" s="16" t="s">
        <v>27</v>
      </c>
      <c r="P19" s="10" t="s">
        <v>102</v>
      </c>
      <c r="Q19" s="2"/>
      <c r="R19" s="2"/>
      <c r="S19" s="2"/>
      <c r="T19" s="2"/>
      <c r="U19" s="2"/>
      <c r="V19" s="2"/>
      <c r="W19" s="2"/>
      <c r="X19" s="2"/>
      <c r="Y19" s="2"/>
      <c r="Z19" s="2"/>
    </row>
    <row r="20" ht="39.75" customHeight="1">
      <c r="A20" s="23" t="s">
        <v>81</v>
      </c>
      <c r="B20" s="24" t="s">
        <v>82</v>
      </c>
      <c r="C20" s="25" t="s">
        <v>103</v>
      </c>
      <c r="D20" s="10" t="s">
        <v>104</v>
      </c>
      <c r="E20" s="19" t="s">
        <v>48</v>
      </c>
      <c r="F20" s="12" t="s">
        <v>23</v>
      </c>
      <c r="G20" s="12" t="s">
        <v>24</v>
      </c>
      <c r="H20" s="12" t="s">
        <v>24</v>
      </c>
      <c r="I20" s="12" t="s">
        <v>24</v>
      </c>
      <c r="J20" s="13" t="s">
        <v>32</v>
      </c>
      <c r="K20" s="14" t="s">
        <v>25</v>
      </c>
      <c r="L20" s="15" t="s">
        <v>26</v>
      </c>
      <c r="M20" s="21" t="s">
        <v>25</v>
      </c>
      <c r="N20" s="13">
        <f t="shared" si="1"/>
        <v>16</v>
      </c>
      <c r="O20" s="16" t="s">
        <v>27</v>
      </c>
      <c r="P20" s="26" t="s">
        <v>105</v>
      </c>
      <c r="Q20" s="2"/>
      <c r="R20" s="2"/>
      <c r="S20" s="2"/>
      <c r="T20" s="2"/>
      <c r="U20" s="2"/>
      <c r="V20" s="2"/>
      <c r="W20" s="2"/>
      <c r="X20" s="2"/>
      <c r="Y20" s="2"/>
      <c r="Z20" s="2"/>
    </row>
    <row r="21" ht="39.75" customHeight="1">
      <c r="A21" s="28" t="s">
        <v>106</v>
      </c>
      <c r="B21" s="29" t="s">
        <v>107</v>
      </c>
      <c r="C21" s="30" t="s">
        <v>108</v>
      </c>
      <c r="D21" s="10" t="s">
        <v>109</v>
      </c>
      <c r="E21" s="11" t="s">
        <v>110</v>
      </c>
      <c r="F21" s="12" t="s">
        <v>23</v>
      </c>
      <c r="G21" s="12" t="s">
        <v>32</v>
      </c>
      <c r="H21" s="12" t="s">
        <v>24</v>
      </c>
      <c r="I21" s="12" t="s">
        <v>32</v>
      </c>
      <c r="J21" s="13" t="s">
        <v>32</v>
      </c>
      <c r="K21" s="14" t="s">
        <v>25</v>
      </c>
      <c r="L21" s="21" t="s">
        <v>39</v>
      </c>
      <c r="M21" s="21" t="s">
        <v>25</v>
      </c>
      <c r="N21" s="13">
        <f t="shared" si="1"/>
        <v>14</v>
      </c>
      <c r="O21" s="16" t="s">
        <v>27</v>
      </c>
      <c r="P21" s="10" t="s">
        <v>111</v>
      </c>
      <c r="Q21" s="2"/>
      <c r="R21" s="2"/>
      <c r="S21" s="2"/>
      <c r="T21" s="2"/>
      <c r="U21" s="2"/>
      <c r="V21" s="2"/>
      <c r="W21" s="2"/>
      <c r="X21" s="2"/>
      <c r="Y21" s="2"/>
      <c r="Z21" s="2"/>
    </row>
    <row r="22" ht="39.75" customHeight="1">
      <c r="A22" s="28" t="s">
        <v>106</v>
      </c>
      <c r="B22" s="29" t="s">
        <v>107</v>
      </c>
      <c r="C22" s="31" t="s">
        <v>112</v>
      </c>
      <c r="D22" s="10" t="s">
        <v>113</v>
      </c>
      <c r="E22" s="11" t="s">
        <v>114</v>
      </c>
      <c r="F22" s="12" t="s">
        <v>32</v>
      </c>
      <c r="G22" s="12" t="s">
        <v>24</v>
      </c>
      <c r="H22" s="12" t="s">
        <v>24</v>
      </c>
      <c r="I22" s="12" t="s">
        <v>24</v>
      </c>
      <c r="J22" s="13" t="s">
        <v>24</v>
      </c>
      <c r="K22" s="14" t="s">
        <v>25</v>
      </c>
      <c r="L22" s="15" t="s">
        <v>115</v>
      </c>
      <c r="M22" s="15" t="s">
        <v>25</v>
      </c>
      <c r="N22" s="13">
        <f t="shared" si="1"/>
        <v>16</v>
      </c>
      <c r="O22" s="16" t="s">
        <v>27</v>
      </c>
      <c r="P22" s="10" t="s">
        <v>116</v>
      </c>
      <c r="Q22" s="2"/>
      <c r="R22" s="2"/>
      <c r="S22" s="2"/>
      <c r="T22" s="2"/>
      <c r="U22" s="2"/>
      <c r="V22" s="2"/>
      <c r="W22" s="2"/>
      <c r="X22" s="2"/>
      <c r="Y22" s="2"/>
      <c r="Z22" s="2"/>
    </row>
    <row r="23" ht="39.75" customHeight="1">
      <c r="A23" s="28" t="s">
        <v>106</v>
      </c>
      <c r="B23" s="29" t="s">
        <v>107</v>
      </c>
      <c r="C23" s="31" t="s">
        <v>117</v>
      </c>
      <c r="D23" s="10" t="s">
        <v>118</v>
      </c>
      <c r="E23" s="19" t="s">
        <v>48</v>
      </c>
      <c r="F23" s="12" t="s">
        <v>23</v>
      </c>
      <c r="G23" s="12" t="s">
        <v>24</v>
      </c>
      <c r="H23" s="12" t="s">
        <v>24</v>
      </c>
      <c r="I23" s="12" t="s">
        <v>32</v>
      </c>
      <c r="J23" s="13" t="s">
        <v>24</v>
      </c>
      <c r="K23" s="14" t="s">
        <v>25</v>
      </c>
      <c r="L23" s="21" t="s">
        <v>115</v>
      </c>
      <c r="M23" s="15" t="s">
        <v>25</v>
      </c>
      <c r="N23" s="13">
        <f t="shared" si="1"/>
        <v>16</v>
      </c>
      <c r="O23" s="16" t="s">
        <v>27</v>
      </c>
      <c r="P23" s="10" t="s">
        <v>119</v>
      </c>
      <c r="Q23" s="2"/>
      <c r="R23" s="2"/>
      <c r="S23" s="2"/>
      <c r="T23" s="2"/>
      <c r="U23" s="2"/>
      <c r="V23" s="2"/>
      <c r="W23" s="2"/>
      <c r="X23" s="2"/>
      <c r="Y23" s="2"/>
      <c r="Z23" s="2"/>
    </row>
    <row r="24" ht="39.75" customHeight="1">
      <c r="A24" s="28" t="s">
        <v>106</v>
      </c>
      <c r="B24" s="29" t="s">
        <v>107</v>
      </c>
      <c r="C24" s="31" t="s">
        <v>120</v>
      </c>
      <c r="D24" s="10" t="s">
        <v>121</v>
      </c>
      <c r="E24" s="19" t="s">
        <v>48</v>
      </c>
      <c r="F24" s="12" t="s">
        <v>23</v>
      </c>
      <c r="G24" s="12" t="s">
        <v>24</v>
      </c>
      <c r="H24" s="12" t="s">
        <v>24</v>
      </c>
      <c r="I24" s="12" t="s">
        <v>24</v>
      </c>
      <c r="J24" s="13" t="s">
        <v>32</v>
      </c>
      <c r="K24" s="32" t="s">
        <v>25</v>
      </c>
      <c r="L24" s="15" t="s">
        <v>26</v>
      </c>
      <c r="M24" s="21" t="s">
        <v>122</v>
      </c>
      <c r="N24" s="13">
        <f t="shared" si="1"/>
        <v>16</v>
      </c>
      <c r="O24" s="17" t="s">
        <v>34</v>
      </c>
      <c r="P24" s="33" t="s">
        <v>123</v>
      </c>
      <c r="Q24" s="2"/>
      <c r="R24" s="2"/>
      <c r="S24" s="2"/>
      <c r="T24" s="2"/>
      <c r="U24" s="2"/>
      <c r="V24" s="2"/>
      <c r="W24" s="2"/>
      <c r="X24" s="2"/>
      <c r="Y24" s="2"/>
      <c r="Z24" s="2"/>
    </row>
    <row r="25" ht="39.75" customHeight="1">
      <c r="A25" s="28" t="s">
        <v>106</v>
      </c>
      <c r="B25" s="29" t="s">
        <v>107</v>
      </c>
      <c r="C25" s="30" t="s">
        <v>124</v>
      </c>
      <c r="D25" s="10" t="s">
        <v>125</v>
      </c>
      <c r="E25" s="11" t="s">
        <v>126</v>
      </c>
      <c r="F25" s="12" t="s">
        <v>32</v>
      </c>
      <c r="G25" s="12" t="s">
        <v>24</v>
      </c>
      <c r="H25" s="12" t="s">
        <v>24</v>
      </c>
      <c r="I25" s="12" t="s">
        <v>24</v>
      </c>
      <c r="J25" s="20" t="s">
        <v>49</v>
      </c>
      <c r="K25" s="14" t="s">
        <v>58</v>
      </c>
      <c r="L25" s="15" t="s">
        <v>39</v>
      </c>
      <c r="M25" s="20" t="s">
        <v>25</v>
      </c>
      <c r="N25" s="13">
        <f t="shared" si="1"/>
        <v>14</v>
      </c>
      <c r="O25" s="22" t="s">
        <v>51</v>
      </c>
      <c r="P25" s="10" t="s">
        <v>127</v>
      </c>
      <c r="Q25" s="2"/>
      <c r="R25" s="2"/>
      <c r="S25" s="2"/>
      <c r="T25" s="2"/>
      <c r="U25" s="2"/>
      <c r="V25" s="2"/>
      <c r="W25" s="2"/>
      <c r="X25" s="2"/>
      <c r="Y25" s="2"/>
      <c r="Z25" s="2"/>
    </row>
    <row r="26" ht="39.75" customHeight="1">
      <c r="A26" s="28" t="s">
        <v>106</v>
      </c>
      <c r="B26" s="29" t="s">
        <v>107</v>
      </c>
      <c r="C26" s="31" t="s">
        <v>128</v>
      </c>
      <c r="D26" s="10" t="s">
        <v>129</v>
      </c>
      <c r="E26" s="11" t="s">
        <v>130</v>
      </c>
      <c r="F26" s="12" t="s">
        <v>23</v>
      </c>
      <c r="G26" s="12" t="s">
        <v>24</v>
      </c>
      <c r="H26" s="12" t="s">
        <v>24</v>
      </c>
      <c r="I26" s="12" t="s">
        <v>24</v>
      </c>
      <c r="J26" s="13" t="s">
        <v>24</v>
      </c>
      <c r="K26" s="14" t="s">
        <v>58</v>
      </c>
      <c r="L26" s="15" t="s">
        <v>39</v>
      </c>
      <c r="M26" s="15" t="s">
        <v>25</v>
      </c>
      <c r="N26" s="13">
        <f t="shared" si="1"/>
        <v>18</v>
      </c>
      <c r="O26" s="16" t="s">
        <v>27</v>
      </c>
      <c r="P26" s="10" t="s">
        <v>131</v>
      </c>
      <c r="Q26" s="2"/>
      <c r="R26" s="2"/>
      <c r="S26" s="2"/>
      <c r="T26" s="2"/>
      <c r="U26" s="2"/>
      <c r="V26" s="2"/>
      <c r="W26" s="2"/>
      <c r="X26" s="2"/>
      <c r="Y26" s="2"/>
      <c r="Z26" s="2"/>
    </row>
    <row r="27" ht="39.75" customHeight="1">
      <c r="A27" s="34" t="s">
        <v>132</v>
      </c>
      <c r="B27" s="35" t="s">
        <v>133</v>
      </c>
      <c r="C27" s="36" t="s">
        <v>134</v>
      </c>
      <c r="D27" s="10" t="s">
        <v>135</v>
      </c>
      <c r="E27" s="37" t="s">
        <v>136</v>
      </c>
      <c r="F27" s="12" t="s">
        <v>23</v>
      </c>
      <c r="G27" s="12" t="s">
        <v>32</v>
      </c>
      <c r="H27" s="12" t="s">
        <v>137</v>
      </c>
      <c r="I27" s="12" t="s">
        <v>137</v>
      </c>
      <c r="J27" s="13" t="s">
        <v>137</v>
      </c>
      <c r="K27" s="38" t="s">
        <v>25</v>
      </c>
      <c r="L27" s="39" t="s">
        <v>59</v>
      </c>
      <c r="M27" s="40" t="s">
        <v>138</v>
      </c>
      <c r="N27" s="13">
        <f t="shared" si="1"/>
        <v>10</v>
      </c>
      <c r="O27" s="16" t="s">
        <v>27</v>
      </c>
      <c r="P27" s="26" t="s">
        <v>139</v>
      </c>
      <c r="Q27" s="2"/>
      <c r="R27" s="2"/>
      <c r="S27" s="2"/>
      <c r="T27" s="2"/>
      <c r="U27" s="2"/>
      <c r="V27" s="2"/>
      <c r="W27" s="2"/>
      <c r="X27" s="2"/>
      <c r="Y27" s="2"/>
      <c r="Z27" s="2"/>
    </row>
    <row r="28" ht="39.75" customHeight="1">
      <c r="A28" s="34" t="s">
        <v>132</v>
      </c>
      <c r="B28" s="35" t="s">
        <v>133</v>
      </c>
      <c r="C28" s="36" t="s">
        <v>140</v>
      </c>
      <c r="D28" s="10" t="s">
        <v>141</v>
      </c>
      <c r="E28" s="37" t="s">
        <v>136</v>
      </c>
      <c r="F28" s="12" t="s">
        <v>23</v>
      </c>
      <c r="G28" s="12" t="s">
        <v>32</v>
      </c>
      <c r="H28" s="12" t="s">
        <v>137</v>
      </c>
      <c r="I28" s="12" t="s">
        <v>137</v>
      </c>
      <c r="J28" s="13" t="s">
        <v>137</v>
      </c>
      <c r="K28" s="38" t="s">
        <v>25</v>
      </c>
      <c r="L28" s="39" t="s">
        <v>59</v>
      </c>
      <c r="M28" s="40" t="s">
        <v>138</v>
      </c>
      <c r="N28" s="13">
        <f t="shared" si="1"/>
        <v>10</v>
      </c>
      <c r="O28" s="16" t="s">
        <v>27</v>
      </c>
      <c r="P28" s="10" t="s">
        <v>142</v>
      </c>
      <c r="Q28" s="2"/>
      <c r="R28" s="2"/>
      <c r="S28" s="2"/>
      <c r="T28" s="2"/>
      <c r="U28" s="2"/>
      <c r="V28" s="2"/>
      <c r="W28" s="2"/>
      <c r="X28" s="2"/>
      <c r="Y28" s="2"/>
      <c r="Z28" s="2"/>
    </row>
    <row r="29" ht="39.75" customHeight="1">
      <c r="A29" s="34" t="s">
        <v>132</v>
      </c>
      <c r="B29" s="35" t="s">
        <v>133</v>
      </c>
      <c r="C29" s="36" t="s">
        <v>143</v>
      </c>
      <c r="D29" s="10" t="s">
        <v>144</v>
      </c>
      <c r="E29" s="37" t="s">
        <v>136</v>
      </c>
      <c r="F29" s="12" t="s">
        <v>32</v>
      </c>
      <c r="G29" s="12" t="s">
        <v>137</v>
      </c>
      <c r="H29" s="12" t="s">
        <v>32</v>
      </c>
      <c r="I29" s="12" t="s">
        <v>137</v>
      </c>
      <c r="J29" s="13" t="s">
        <v>137</v>
      </c>
      <c r="K29" s="32" t="s">
        <v>33</v>
      </c>
      <c r="L29" s="39" t="s">
        <v>50</v>
      </c>
      <c r="M29" s="39" t="s">
        <v>145</v>
      </c>
      <c r="N29" s="13">
        <f t="shared" si="1"/>
        <v>8</v>
      </c>
      <c r="O29" s="41" t="s">
        <v>34</v>
      </c>
      <c r="P29" s="18" t="s">
        <v>146</v>
      </c>
      <c r="Q29" s="2"/>
      <c r="R29" s="2"/>
      <c r="S29" s="2"/>
      <c r="T29" s="2"/>
      <c r="U29" s="2"/>
      <c r="V29" s="2"/>
      <c r="W29" s="2"/>
      <c r="X29" s="2"/>
      <c r="Y29" s="2"/>
      <c r="Z29" s="2"/>
    </row>
    <row r="30" ht="39.75" customHeight="1">
      <c r="A30" s="34" t="s">
        <v>132</v>
      </c>
      <c r="B30" s="35" t="s">
        <v>133</v>
      </c>
      <c r="C30" s="36" t="s">
        <v>147</v>
      </c>
      <c r="D30" s="10" t="s">
        <v>148</v>
      </c>
      <c r="E30" s="37" t="s">
        <v>136</v>
      </c>
      <c r="F30" s="12" t="s">
        <v>23</v>
      </c>
      <c r="G30" s="12" t="s">
        <v>32</v>
      </c>
      <c r="H30" s="12" t="s">
        <v>32</v>
      </c>
      <c r="I30" s="12" t="s">
        <v>137</v>
      </c>
      <c r="J30" s="13" t="s">
        <v>32</v>
      </c>
      <c r="K30" s="38" t="s">
        <v>58</v>
      </c>
      <c r="L30" s="39" t="s">
        <v>59</v>
      </c>
      <c r="M30" s="42" t="s">
        <v>138</v>
      </c>
      <c r="N30" s="13">
        <f t="shared" si="1"/>
        <v>13</v>
      </c>
      <c r="O30" s="16" t="s">
        <v>27</v>
      </c>
      <c r="P30" s="10" t="s">
        <v>149</v>
      </c>
      <c r="Q30" s="2"/>
      <c r="R30" s="2"/>
      <c r="S30" s="2"/>
      <c r="T30" s="2"/>
      <c r="U30" s="2"/>
      <c r="V30" s="2"/>
      <c r="W30" s="2"/>
      <c r="X30" s="2"/>
      <c r="Y30" s="2"/>
      <c r="Z30" s="2"/>
    </row>
    <row r="31" ht="39.75" customHeight="1">
      <c r="A31" s="34" t="s">
        <v>132</v>
      </c>
      <c r="B31" s="35" t="s">
        <v>133</v>
      </c>
      <c r="C31" s="36" t="s">
        <v>150</v>
      </c>
      <c r="D31" s="10" t="s">
        <v>151</v>
      </c>
      <c r="E31" s="37" t="s">
        <v>136</v>
      </c>
      <c r="F31" s="12" t="s">
        <v>23</v>
      </c>
      <c r="G31" s="12" t="s">
        <v>32</v>
      </c>
      <c r="H31" s="12" t="s">
        <v>32</v>
      </c>
      <c r="I31" s="12" t="s">
        <v>137</v>
      </c>
      <c r="J31" s="13" t="s">
        <v>32</v>
      </c>
      <c r="K31" s="38" t="s">
        <v>25</v>
      </c>
      <c r="L31" s="39" t="s">
        <v>59</v>
      </c>
      <c r="M31" s="42" t="s">
        <v>152</v>
      </c>
      <c r="N31" s="13">
        <f t="shared" si="1"/>
        <v>12</v>
      </c>
      <c r="O31" s="17" t="s">
        <v>153</v>
      </c>
      <c r="P31" s="18" t="s">
        <v>154</v>
      </c>
      <c r="Q31" s="2"/>
      <c r="R31" s="2"/>
      <c r="S31" s="2"/>
      <c r="T31" s="2"/>
      <c r="U31" s="2"/>
      <c r="V31" s="2"/>
      <c r="W31" s="2"/>
      <c r="X31" s="2"/>
      <c r="Y31" s="2"/>
      <c r="Z31" s="2"/>
    </row>
    <row r="32" ht="39.75" customHeight="1">
      <c r="A32" s="34" t="s">
        <v>132</v>
      </c>
      <c r="B32" s="35" t="s">
        <v>133</v>
      </c>
      <c r="C32" s="36" t="s">
        <v>155</v>
      </c>
      <c r="D32" s="10" t="s">
        <v>156</v>
      </c>
      <c r="E32" s="37" t="s">
        <v>136</v>
      </c>
      <c r="F32" s="12" t="s">
        <v>23</v>
      </c>
      <c r="G32" s="12" t="s">
        <v>32</v>
      </c>
      <c r="H32" s="12" t="s">
        <v>32</v>
      </c>
      <c r="I32" s="12" t="s">
        <v>137</v>
      </c>
      <c r="J32" s="13" t="s">
        <v>32</v>
      </c>
      <c r="K32" s="38" t="s">
        <v>25</v>
      </c>
      <c r="L32" s="39" t="s">
        <v>59</v>
      </c>
      <c r="M32" s="42" t="s">
        <v>138</v>
      </c>
      <c r="N32" s="13">
        <f t="shared" si="1"/>
        <v>12</v>
      </c>
      <c r="O32" s="16" t="s">
        <v>27</v>
      </c>
      <c r="P32" s="10" t="s">
        <v>157</v>
      </c>
      <c r="Q32" s="2"/>
      <c r="R32" s="2"/>
      <c r="S32" s="2"/>
      <c r="T32" s="2"/>
      <c r="U32" s="2"/>
      <c r="V32" s="2"/>
      <c r="W32" s="2"/>
      <c r="X32" s="2"/>
      <c r="Y32" s="2"/>
      <c r="Z32" s="2"/>
    </row>
    <row r="33" ht="39.75" customHeight="1">
      <c r="A33" s="34" t="s">
        <v>132</v>
      </c>
      <c r="B33" s="35" t="s">
        <v>133</v>
      </c>
      <c r="C33" s="36" t="s">
        <v>158</v>
      </c>
      <c r="D33" s="10" t="s">
        <v>159</v>
      </c>
      <c r="E33" s="37" t="s">
        <v>136</v>
      </c>
      <c r="F33" s="12" t="s">
        <v>23</v>
      </c>
      <c r="G33" s="12" t="s">
        <v>24</v>
      </c>
      <c r="H33" s="12" t="s">
        <v>24</v>
      </c>
      <c r="I33" s="12" t="s">
        <v>32</v>
      </c>
      <c r="J33" s="13" t="s">
        <v>24</v>
      </c>
      <c r="K33" s="14" t="s">
        <v>25</v>
      </c>
      <c r="L33" s="21" t="s">
        <v>26</v>
      </c>
      <c r="M33" s="15" t="s">
        <v>25</v>
      </c>
      <c r="N33" s="13">
        <f t="shared" si="1"/>
        <v>16</v>
      </c>
      <c r="O33" s="16" t="s">
        <v>27</v>
      </c>
      <c r="P33" s="10" t="s">
        <v>160</v>
      </c>
      <c r="Q33" s="2"/>
      <c r="R33" s="2"/>
      <c r="S33" s="2"/>
      <c r="T33" s="2"/>
      <c r="U33" s="2"/>
      <c r="V33" s="2"/>
      <c r="W33" s="2"/>
      <c r="X33" s="2"/>
      <c r="Y33" s="2"/>
      <c r="Z33" s="2"/>
    </row>
    <row r="34" ht="39.75" customHeight="1">
      <c r="A34" s="28" t="s">
        <v>161</v>
      </c>
      <c r="B34" s="29" t="s">
        <v>162</v>
      </c>
      <c r="C34" s="31" t="s">
        <v>163</v>
      </c>
      <c r="D34" s="10" t="s">
        <v>164</v>
      </c>
      <c r="E34" s="19" t="s">
        <v>48</v>
      </c>
      <c r="F34" s="12" t="s">
        <v>23</v>
      </c>
      <c r="G34" s="12" t="s">
        <v>24</v>
      </c>
      <c r="H34" s="12" t="s">
        <v>32</v>
      </c>
      <c r="I34" s="12" t="s">
        <v>137</v>
      </c>
      <c r="J34" s="13" t="s">
        <v>32</v>
      </c>
      <c r="K34" s="14" t="s">
        <v>25</v>
      </c>
      <c r="L34" s="39" t="s">
        <v>115</v>
      </c>
      <c r="M34" s="21" t="s">
        <v>25</v>
      </c>
      <c r="N34" s="13">
        <f t="shared" si="1"/>
        <v>13</v>
      </c>
      <c r="O34" s="16" t="s">
        <v>27</v>
      </c>
      <c r="P34" s="10" t="s">
        <v>165</v>
      </c>
      <c r="Q34" s="2"/>
      <c r="R34" s="2"/>
      <c r="S34" s="2"/>
      <c r="T34" s="2"/>
      <c r="U34" s="2"/>
      <c r="V34" s="2"/>
      <c r="W34" s="2"/>
      <c r="X34" s="2"/>
      <c r="Y34" s="2"/>
      <c r="Z34" s="2"/>
    </row>
    <row r="35" ht="39.75" customHeight="1">
      <c r="A35" s="28" t="s">
        <v>161</v>
      </c>
      <c r="B35" s="29" t="s">
        <v>162</v>
      </c>
      <c r="C35" s="31" t="s">
        <v>166</v>
      </c>
      <c r="D35" s="10" t="s">
        <v>167</v>
      </c>
      <c r="E35" s="19" t="s">
        <v>48</v>
      </c>
      <c r="F35" s="12" t="s">
        <v>32</v>
      </c>
      <c r="G35" s="12" t="s">
        <v>32</v>
      </c>
      <c r="H35" s="12" t="s">
        <v>24</v>
      </c>
      <c r="I35" s="12" t="s">
        <v>32</v>
      </c>
      <c r="J35" s="13" t="s">
        <v>32</v>
      </c>
      <c r="K35" s="32" t="s">
        <v>25</v>
      </c>
      <c r="L35" s="21" t="s">
        <v>115</v>
      </c>
      <c r="M35" s="21" t="s">
        <v>168</v>
      </c>
      <c r="N35" s="13">
        <f t="shared" si="1"/>
        <v>13</v>
      </c>
      <c r="O35" s="17" t="s">
        <v>34</v>
      </c>
      <c r="P35" s="43" t="s">
        <v>169</v>
      </c>
      <c r="Q35" s="2"/>
      <c r="R35" s="2"/>
      <c r="S35" s="2"/>
      <c r="T35" s="2"/>
      <c r="U35" s="2"/>
      <c r="V35" s="2"/>
      <c r="W35" s="2"/>
      <c r="X35" s="2"/>
      <c r="Y35" s="2"/>
      <c r="Z35" s="2"/>
    </row>
    <row r="36" ht="39.75" customHeight="1">
      <c r="A36" s="28" t="s">
        <v>161</v>
      </c>
      <c r="B36" s="29" t="s">
        <v>162</v>
      </c>
      <c r="C36" s="31" t="s">
        <v>170</v>
      </c>
      <c r="D36" s="10" t="s">
        <v>171</v>
      </c>
      <c r="E36" s="19" t="s">
        <v>48</v>
      </c>
      <c r="F36" s="12" t="s">
        <v>32</v>
      </c>
      <c r="G36" s="12" t="s">
        <v>32</v>
      </c>
      <c r="H36" s="12" t="s">
        <v>32</v>
      </c>
      <c r="I36" s="12" t="s">
        <v>137</v>
      </c>
      <c r="J36" s="13" t="s">
        <v>32</v>
      </c>
      <c r="K36" s="32" t="s">
        <v>33</v>
      </c>
      <c r="L36" s="40" t="s">
        <v>34</v>
      </c>
      <c r="M36" s="21" t="s">
        <v>172</v>
      </c>
      <c r="N36" s="13">
        <f t="shared" si="1"/>
        <v>10</v>
      </c>
      <c r="O36" s="44" t="s">
        <v>34</v>
      </c>
      <c r="P36" s="10" t="s">
        <v>173</v>
      </c>
      <c r="Q36" s="2"/>
      <c r="R36" s="2"/>
      <c r="S36" s="2"/>
      <c r="T36" s="2"/>
      <c r="U36" s="2"/>
      <c r="V36" s="2"/>
      <c r="W36" s="2"/>
      <c r="X36" s="2"/>
      <c r="Y36" s="2"/>
      <c r="Z36" s="2"/>
    </row>
    <row r="37" ht="39.75" customHeight="1">
      <c r="A37" s="28" t="s">
        <v>161</v>
      </c>
      <c r="B37" s="29" t="s">
        <v>162</v>
      </c>
      <c r="C37" s="31" t="s">
        <v>174</v>
      </c>
      <c r="D37" s="10" t="s">
        <v>175</v>
      </c>
      <c r="E37" s="11" t="s">
        <v>176</v>
      </c>
      <c r="F37" s="12" t="s">
        <v>32</v>
      </c>
      <c r="G37" s="12" t="s">
        <v>24</v>
      </c>
      <c r="H37" s="12" t="s">
        <v>24</v>
      </c>
      <c r="I37" s="12" t="s">
        <v>24</v>
      </c>
      <c r="J37" s="13" t="s">
        <v>24</v>
      </c>
      <c r="K37" s="14" t="s">
        <v>25</v>
      </c>
      <c r="L37" s="15" t="s">
        <v>26</v>
      </c>
      <c r="M37" s="15" t="s">
        <v>25</v>
      </c>
      <c r="N37" s="13">
        <f t="shared" si="1"/>
        <v>16</v>
      </c>
      <c r="O37" s="16" t="s">
        <v>27</v>
      </c>
      <c r="P37" s="10" t="s">
        <v>177</v>
      </c>
      <c r="Q37" s="2"/>
      <c r="R37" s="2"/>
      <c r="S37" s="2"/>
      <c r="T37" s="2"/>
      <c r="U37" s="2"/>
      <c r="V37" s="2"/>
      <c r="W37" s="2"/>
      <c r="X37" s="2"/>
      <c r="Y37" s="2"/>
      <c r="Z37" s="2"/>
    </row>
    <row r="38" ht="39.75" customHeight="1">
      <c r="A38" s="45" t="s">
        <v>178</v>
      </c>
      <c r="B38" s="46" t="s">
        <v>179</v>
      </c>
      <c r="C38" s="47" t="s">
        <v>180</v>
      </c>
      <c r="D38" s="26" t="s">
        <v>181</v>
      </c>
      <c r="E38" s="37" t="s">
        <v>136</v>
      </c>
      <c r="F38" s="12" t="s">
        <v>32</v>
      </c>
      <c r="G38" s="12" t="s">
        <v>32</v>
      </c>
      <c r="H38" s="12" t="s">
        <v>32</v>
      </c>
      <c r="I38" s="12" t="s">
        <v>137</v>
      </c>
      <c r="J38" s="20" t="s">
        <v>49</v>
      </c>
      <c r="K38" s="38" t="s">
        <v>25</v>
      </c>
      <c r="L38" s="39" t="s">
        <v>59</v>
      </c>
      <c r="M38" s="13" t="s">
        <v>138</v>
      </c>
      <c r="N38" s="13">
        <f t="shared" si="1"/>
        <v>9</v>
      </c>
      <c r="O38" s="22" t="s">
        <v>51</v>
      </c>
      <c r="P38" s="26" t="s">
        <v>182</v>
      </c>
      <c r="Q38" s="2"/>
      <c r="R38" s="2"/>
      <c r="S38" s="2"/>
      <c r="T38" s="2"/>
      <c r="U38" s="2"/>
      <c r="V38" s="2"/>
      <c r="W38" s="2"/>
      <c r="X38" s="2"/>
      <c r="Y38" s="2"/>
      <c r="Z38" s="2"/>
    </row>
    <row r="39" ht="39.75" customHeight="1">
      <c r="A39" s="45" t="s">
        <v>178</v>
      </c>
      <c r="B39" s="46" t="s">
        <v>183</v>
      </c>
      <c r="C39" s="47" t="s">
        <v>184</v>
      </c>
      <c r="D39" s="10" t="s">
        <v>185</v>
      </c>
      <c r="E39" s="11" t="s">
        <v>186</v>
      </c>
      <c r="F39" s="12" t="s">
        <v>23</v>
      </c>
      <c r="G39" s="12" t="s">
        <v>24</v>
      </c>
      <c r="H39" s="12" t="s">
        <v>24</v>
      </c>
      <c r="I39" s="12" t="s">
        <v>24</v>
      </c>
      <c r="J39" s="13" t="s">
        <v>24</v>
      </c>
      <c r="K39" s="14" t="s">
        <v>25</v>
      </c>
      <c r="L39" s="15" t="s">
        <v>101</v>
      </c>
      <c r="M39" s="15" t="s">
        <v>25</v>
      </c>
      <c r="N39" s="13">
        <f t="shared" si="1"/>
        <v>17</v>
      </c>
      <c r="O39" s="16" t="s">
        <v>27</v>
      </c>
      <c r="P39" s="10" t="s">
        <v>187</v>
      </c>
      <c r="Q39" s="2"/>
      <c r="R39" s="2"/>
      <c r="S39" s="2"/>
      <c r="T39" s="2"/>
      <c r="U39" s="2"/>
      <c r="V39" s="2"/>
      <c r="W39" s="2"/>
      <c r="X39" s="2"/>
      <c r="Y39" s="2"/>
      <c r="Z39" s="2"/>
    </row>
    <row r="40" ht="39.75" customHeight="1">
      <c r="A40" s="45" t="s">
        <v>178</v>
      </c>
      <c r="B40" s="46" t="s">
        <v>188</v>
      </c>
      <c r="C40" s="47" t="s">
        <v>189</v>
      </c>
      <c r="D40" s="10" t="s">
        <v>190</v>
      </c>
      <c r="E40" s="48" t="s">
        <v>191</v>
      </c>
      <c r="F40" s="12" t="s">
        <v>32</v>
      </c>
      <c r="G40" s="12" t="s">
        <v>24</v>
      </c>
      <c r="H40" s="12" t="s">
        <v>24</v>
      </c>
      <c r="I40" s="12" t="s">
        <v>24</v>
      </c>
      <c r="J40" s="13" t="s">
        <v>24</v>
      </c>
      <c r="K40" s="14" t="s">
        <v>25</v>
      </c>
      <c r="L40" s="15" t="s">
        <v>44</v>
      </c>
      <c r="M40" s="15" t="s">
        <v>25</v>
      </c>
      <c r="N40" s="13">
        <f t="shared" si="1"/>
        <v>16</v>
      </c>
      <c r="O40" s="16" t="s">
        <v>27</v>
      </c>
      <c r="P40" s="26" t="s">
        <v>192</v>
      </c>
      <c r="Q40" s="2"/>
      <c r="R40" s="2"/>
      <c r="S40" s="2"/>
      <c r="T40" s="2"/>
      <c r="U40" s="2"/>
      <c r="V40" s="2"/>
      <c r="W40" s="2"/>
      <c r="X40" s="2"/>
      <c r="Y40" s="2"/>
      <c r="Z40" s="2"/>
    </row>
    <row r="41" ht="39.75" customHeight="1">
      <c r="A41" s="45" t="s">
        <v>178</v>
      </c>
      <c r="B41" s="46" t="s">
        <v>193</v>
      </c>
      <c r="C41" s="49" t="s">
        <v>194</v>
      </c>
      <c r="D41" s="10" t="s">
        <v>195</v>
      </c>
      <c r="E41" s="19" t="s">
        <v>48</v>
      </c>
      <c r="F41" s="12" t="s">
        <v>32</v>
      </c>
      <c r="G41" s="12" t="s">
        <v>24</v>
      </c>
      <c r="H41" s="12" t="s">
        <v>24</v>
      </c>
      <c r="I41" s="12" t="s">
        <v>24</v>
      </c>
      <c r="J41" s="13" t="s">
        <v>24</v>
      </c>
      <c r="K41" s="14" t="s">
        <v>25</v>
      </c>
      <c r="L41" s="15" t="s">
        <v>44</v>
      </c>
      <c r="M41" s="15" t="s">
        <v>25</v>
      </c>
      <c r="N41" s="13">
        <f t="shared" si="1"/>
        <v>16</v>
      </c>
      <c r="O41" s="16" t="s">
        <v>27</v>
      </c>
      <c r="P41" s="10" t="s">
        <v>196</v>
      </c>
      <c r="Q41" s="2"/>
      <c r="R41" s="2"/>
      <c r="S41" s="2"/>
      <c r="T41" s="2"/>
      <c r="U41" s="2"/>
      <c r="V41" s="2"/>
      <c r="W41" s="2"/>
      <c r="X41" s="2"/>
      <c r="Y41" s="2"/>
      <c r="Z41" s="2"/>
    </row>
    <row r="42" ht="39.75" customHeight="1">
      <c r="A42" s="45" t="s">
        <v>178</v>
      </c>
      <c r="B42" s="46" t="s">
        <v>197</v>
      </c>
      <c r="C42" s="47" t="s">
        <v>198</v>
      </c>
      <c r="D42" s="10" t="s">
        <v>199</v>
      </c>
      <c r="E42" s="48" t="s">
        <v>191</v>
      </c>
      <c r="F42" s="12" t="s">
        <v>32</v>
      </c>
      <c r="G42" s="12" t="s">
        <v>24</v>
      </c>
      <c r="H42" s="12" t="s">
        <v>24</v>
      </c>
      <c r="I42" s="12" t="s">
        <v>24</v>
      </c>
      <c r="J42" s="13" t="s">
        <v>24</v>
      </c>
      <c r="K42" s="14" t="s">
        <v>25</v>
      </c>
      <c r="L42" s="15" t="s">
        <v>101</v>
      </c>
      <c r="M42" s="15" t="s">
        <v>25</v>
      </c>
      <c r="N42" s="13">
        <f t="shared" si="1"/>
        <v>16</v>
      </c>
      <c r="O42" s="16" t="s">
        <v>27</v>
      </c>
      <c r="P42" s="10" t="s">
        <v>200</v>
      </c>
      <c r="Q42" s="2"/>
      <c r="R42" s="2"/>
      <c r="S42" s="2"/>
      <c r="T42" s="2"/>
      <c r="U42" s="2"/>
      <c r="V42" s="2"/>
      <c r="W42" s="2"/>
      <c r="X42" s="2"/>
      <c r="Y42" s="2"/>
      <c r="Z42" s="2"/>
    </row>
    <row r="43" ht="39.75" customHeight="1">
      <c r="A43" s="45" t="s">
        <v>178</v>
      </c>
      <c r="B43" s="46" t="s">
        <v>201</v>
      </c>
      <c r="C43" s="49" t="s">
        <v>202</v>
      </c>
      <c r="D43" s="10" t="s">
        <v>203</v>
      </c>
      <c r="E43" s="48" t="s">
        <v>191</v>
      </c>
      <c r="F43" s="12" t="s">
        <v>23</v>
      </c>
      <c r="G43" s="12" t="s">
        <v>24</v>
      </c>
      <c r="H43" s="12" t="s">
        <v>24</v>
      </c>
      <c r="I43" s="12" t="s">
        <v>24</v>
      </c>
      <c r="J43" s="13" t="s">
        <v>24</v>
      </c>
      <c r="K43" s="14" t="s">
        <v>25</v>
      </c>
      <c r="L43" s="15" t="s">
        <v>44</v>
      </c>
      <c r="M43" s="15" t="s">
        <v>25</v>
      </c>
      <c r="N43" s="13">
        <f t="shared" si="1"/>
        <v>17</v>
      </c>
      <c r="O43" s="16" t="s">
        <v>27</v>
      </c>
      <c r="P43" s="10" t="s">
        <v>204</v>
      </c>
      <c r="Q43" s="2"/>
      <c r="R43" s="2"/>
      <c r="S43" s="2"/>
      <c r="T43" s="2"/>
      <c r="U43" s="2"/>
      <c r="V43" s="2"/>
      <c r="W43" s="2"/>
      <c r="X43" s="2"/>
      <c r="Y43" s="2"/>
      <c r="Z43" s="2"/>
    </row>
    <row r="44" ht="39.75" customHeight="1">
      <c r="A44" s="45" t="s">
        <v>205</v>
      </c>
      <c r="B44" s="50" t="s">
        <v>206</v>
      </c>
      <c r="C44" s="47" t="s">
        <v>207</v>
      </c>
      <c r="D44" s="10" t="s">
        <v>208</v>
      </c>
      <c r="E44" s="11" t="s">
        <v>209</v>
      </c>
      <c r="F44" s="12" t="s">
        <v>23</v>
      </c>
      <c r="G44" s="12" t="s">
        <v>24</v>
      </c>
      <c r="H44" s="12" t="s">
        <v>24</v>
      </c>
      <c r="I44" s="12" t="s">
        <v>24</v>
      </c>
      <c r="J44" s="13" t="s">
        <v>24</v>
      </c>
      <c r="K44" s="14" t="s">
        <v>58</v>
      </c>
      <c r="L44" s="15" t="s">
        <v>50</v>
      </c>
      <c r="M44" s="15" t="s">
        <v>25</v>
      </c>
      <c r="N44" s="13">
        <f t="shared" si="1"/>
        <v>18</v>
      </c>
      <c r="O44" s="16" t="s">
        <v>27</v>
      </c>
      <c r="P44" s="10" t="s">
        <v>210</v>
      </c>
      <c r="Q44" s="2"/>
      <c r="R44" s="2"/>
      <c r="S44" s="2"/>
      <c r="T44" s="2"/>
      <c r="U44" s="2"/>
      <c r="V44" s="2"/>
      <c r="W44" s="2"/>
      <c r="X44" s="2"/>
      <c r="Y44" s="2"/>
      <c r="Z44" s="2"/>
    </row>
    <row r="45" ht="39.75" customHeight="1">
      <c r="A45" s="45" t="s">
        <v>205</v>
      </c>
      <c r="B45" s="50" t="s">
        <v>206</v>
      </c>
      <c r="C45" s="47" t="s">
        <v>211</v>
      </c>
      <c r="D45" s="10" t="s">
        <v>212</v>
      </c>
      <c r="E45" s="11" t="s">
        <v>213</v>
      </c>
      <c r="F45" s="12" t="s">
        <v>32</v>
      </c>
      <c r="G45" s="12" t="s">
        <v>24</v>
      </c>
      <c r="H45" s="12" t="s">
        <v>24</v>
      </c>
      <c r="I45" s="12" t="s">
        <v>24</v>
      </c>
      <c r="J45" s="13" t="s">
        <v>24</v>
      </c>
      <c r="K45" s="14" t="s">
        <v>58</v>
      </c>
      <c r="L45" s="15" t="s">
        <v>26</v>
      </c>
      <c r="M45" s="15" t="s">
        <v>25</v>
      </c>
      <c r="N45" s="13">
        <f t="shared" si="1"/>
        <v>17</v>
      </c>
      <c r="O45" s="16" t="s">
        <v>27</v>
      </c>
      <c r="P45" s="10" t="s">
        <v>214</v>
      </c>
      <c r="Q45" s="2"/>
      <c r="R45" s="2"/>
      <c r="S45" s="2"/>
      <c r="T45" s="2"/>
      <c r="U45" s="2"/>
      <c r="V45" s="2"/>
      <c r="W45" s="2"/>
      <c r="X45" s="2"/>
      <c r="Y45" s="2"/>
      <c r="Z45" s="2"/>
    </row>
    <row r="46" ht="39.75" customHeight="1">
      <c r="A46" s="45" t="s">
        <v>205</v>
      </c>
      <c r="B46" s="50" t="s">
        <v>206</v>
      </c>
      <c r="C46" s="47" t="s">
        <v>215</v>
      </c>
      <c r="D46" s="10" t="s">
        <v>216</v>
      </c>
      <c r="E46" s="19" t="s">
        <v>48</v>
      </c>
      <c r="F46" s="12" t="s">
        <v>23</v>
      </c>
      <c r="G46" s="12" t="s">
        <v>24</v>
      </c>
      <c r="H46" s="12" t="s">
        <v>24</v>
      </c>
      <c r="I46" s="12" t="s">
        <v>24</v>
      </c>
      <c r="J46" s="13" t="s">
        <v>24</v>
      </c>
      <c r="K46" s="14" t="s">
        <v>58</v>
      </c>
      <c r="L46" s="15" t="s">
        <v>101</v>
      </c>
      <c r="M46" s="15" t="s">
        <v>25</v>
      </c>
      <c r="N46" s="13">
        <f t="shared" si="1"/>
        <v>18</v>
      </c>
      <c r="O46" s="16" t="s">
        <v>27</v>
      </c>
      <c r="P46" s="10" t="s">
        <v>217</v>
      </c>
      <c r="Q46" s="2"/>
      <c r="R46" s="2"/>
      <c r="S46" s="2"/>
      <c r="T46" s="2"/>
      <c r="U46" s="2"/>
      <c r="V46" s="2"/>
      <c r="W46" s="2"/>
      <c r="X46" s="2"/>
      <c r="Y46" s="2"/>
      <c r="Z46" s="2"/>
    </row>
    <row r="47" ht="39.75" customHeight="1">
      <c r="A47" s="45" t="s">
        <v>205</v>
      </c>
      <c r="B47" s="50" t="s">
        <v>206</v>
      </c>
      <c r="C47" s="47" t="s">
        <v>218</v>
      </c>
      <c r="D47" s="10" t="s">
        <v>219</v>
      </c>
      <c r="E47" s="19" t="s">
        <v>48</v>
      </c>
      <c r="F47" s="12" t="s">
        <v>32</v>
      </c>
      <c r="G47" s="12" t="s">
        <v>24</v>
      </c>
      <c r="H47" s="12" t="s">
        <v>24</v>
      </c>
      <c r="I47" s="12" t="s">
        <v>24</v>
      </c>
      <c r="J47" s="13" t="s">
        <v>32</v>
      </c>
      <c r="K47" s="14" t="s">
        <v>25</v>
      </c>
      <c r="L47" s="15" t="s">
        <v>44</v>
      </c>
      <c r="M47" s="21" t="s">
        <v>25</v>
      </c>
      <c r="N47" s="13">
        <f t="shared" si="1"/>
        <v>15</v>
      </c>
      <c r="O47" s="16" t="s">
        <v>27</v>
      </c>
      <c r="P47" s="10" t="s">
        <v>220</v>
      </c>
      <c r="Q47" s="2"/>
      <c r="R47" s="2"/>
      <c r="S47" s="2"/>
      <c r="T47" s="2"/>
      <c r="U47" s="2"/>
      <c r="V47" s="2"/>
      <c r="W47" s="2"/>
      <c r="X47" s="2"/>
      <c r="Y47" s="2"/>
      <c r="Z47" s="2"/>
    </row>
    <row r="48" ht="39.75" customHeight="1">
      <c r="A48" s="45" t="s">
        <v>205</v>
      </c>
      <c r="B48" s="50" t="s">
        <v>206</v>
      </c>
      <c r="C48" s="47" t="s">
        <v>221</v>
      </c>
      <c r="D48" s="10" t="s">
        <v>222</v>
      </c>
      <c r="E48" s="19" t="s">
        <v>48</v>
      </c>
      <c r="F48" s="12" t="s">
        <v>32</v>
      </c>
      <c r="G48" s="12" t="s">
        <v>137</v>
      </c>
      <c r="H48" s="12" t="s">
        <v>32</v>
      </c>
      <c r="I48" s="12" t="s">
        <v>137</v>
      </c>
      <c r="J48" s="13" t="s">
        <v>137</v>
      </c>
      <c r="K48" s="38" t="s">
        <v>58</v>
      </c>
      <c r="L48" s="39" t="s">
        <v>50</v>
      </c>
      <c r="M48" s="40" t="s">
        <v>152</v>
      </c>
      <c r="N48" s="13">
        <f t="shared" si="1"/>
        <v>10</v>
      </c>
      <c r="O48" s="51" t="s">
        <v>223</v>
      </c>
      <c r="P48" s="10" t="s">
        <v>224</v>
      </c>
      <c r="Q48" s="2"/>
      <c r="R48" s="2"/>
      <c r="S48" s="2"/>
      <c r="T48" s="2"/>
      <c r="U48" s="2"/>
      <c r="V48" s="2"/>
      <c r="W48" s="2"/>
      <c r="X48" s="2"/>
      <c r="Y48" s="2"/>
      <c r="Z48" s="2"/>
    </row>
    <row r="49" ht="39.75" customHeight="1">
      <c r="A49" s="52" t="s">
        <v>225</v>
      </c>
      <c r="B49" s="53" t="s">
        <v>226</v>
      </c>
      <c r="C49" s="54" t="s">
        <v>227</v>
      </c>
      <c r="D49" s="10" t="s">
        <v>228</v>
      </c>
      <c r="E49" s="48" t="s">
        <v>191</v>
      </c>
      <c r="F49" s="12" t="s">
        <v>23</v>
      </c>
      <c r="G49" s="12" t="s">
        <v>24</v>
      </c>
      <c r="H49" s="12" t="s">
        <v>24</v>
      </c>
      <c r="I49" s="12" t="s">
        <v>24</v>
      </c>
      <c r="J49" s="13" t="s">
        <v>24</v>
      </c>
      <c r="K49" s="14" t="s">
        <v>25</v>
      </c>
      <c r="L49" s="15" t="s">
        <v>101</v>
      </c>
      <c r="M49" s="15" t="s">
        <v>25</v>
      </c>
      <c r="N49" s="13">
        <f t="shared" si="1"/>
        <v>17</v>
      </c>
      <c r="O49" s="16" t="s">
        <v>27</v>
      </c>
      <c r="P49" s="10" t="s">
        <v>229</v>
      </c>
      <c r="Q49" s="2"/>
      <c r="R49" s="2"/>
      <c r="S49" s="2"/>
      <c r="T49" s="2"/>
      <c r="U49" s="2"/>
      <c r="V49" s="2"/>
      <c r="W49" s="2"/>
      <c r="X49" s="2"/>
      <c r="Y49" s="2"/>
      <c r="Z49" s="2"/>
    </row>
    <row r="50" ht="39.75" customHeight="1">
      <c r="A50" s="52" t="s">
        <v>225</v>
      </c>
      <c r="B50" s="53" t="s">
        <v>226</v>
      </c>
      <c r="C50" s="54" t="s">
        <v>230</v>
      </c>
      <c r="D50" s="10" t="s">
        <v>231</v>
      </c>
      <c r="E50" s="11" t="s">
        <v>232</v>
      </c>
      <c r="F50" s="12" t="s">
        <v>23</v>
      </c>
      <c r="G50" s="12" t="s">
        <v>24</v>
      </c>
      <c r="H50" s="12" t="s">
        <v>24</v>
      </c>
      <c r="I50" s="12" t="s">
        <v>24</v>
      </c>
      <c r="J50" s="13" t="s">
        <v>24</v>
      </c>
      <c r="K50" s="14" t="s">
        <v>58</v>
      </c>
      <c r="L50" s="15" t="s">
        <v>39</v>
      </c>
      <c r="M50" s="15" t="s">
        <v>25</v>
      </c>
      <c r="N50" s="13">
        <f t="shared" si="1"/>
        <v>18</v>
      </c>
      <c r="O50" s="16" t="s">
        <v>27</v>
      </c>
      <c r="P50" s="10" t="s">
        <v>233</v>
      </c>
      <c r="Q50" s="2"/>
      <c r="R50" s="2"/>
      <c r="S50" s="2"/>
      <c r="T50" s="2"/>
      <c r="U50" s="2"/>
      <c r="V50" s="2"/>
      <c r="W50" s="2"/>
      <c r="X50" s="2"/>
      <c r="Y50" s="2"/>
      <c r="Z50" s="2"/>
    </row>
    <row r="51" ht="39.75" customHeight="1">
      <c r="A51" s="52" t="s">
        <v>225</v>
      </c>
      <c r="B51" s="53" t="s">
        <v>226</v>
      </c>
      <c r="C51" s="54" t="s">
        <v>234</v>
      </c>
      <c r="D51" s="10" t="s">
        <v>235</v>
      </c>
      <c r="E51" s="19" t="s">
        <v>48</v>
      </c>
      <c r="F51" s="12" t="s">
        <v>32</v>
      </c>
      <c r="G51" s="12" t="s">
        <v>24</v>
      </c>
      <c r="H51" s="12" t="s">
        <v>24</v>
      </c>
      <c r="I51" s="12" t="s">
        <v>24</v>
      </c>
      <c r="J51" s="13" t="s">
        <v>32</v>
      </c>
      <c r="K51" s="32" t="s">
        <v>25</v>
      </c>
      <c r="L51" s="15" t="s">
        <v>26</v>
      </c>
      <c r="M51" s="21" t="s">
        <v>236</v>
      </c>
      <c r="N51" s="13">
        <f t="shared" si="1"/>
        <v>15</v>
      </c>
      <c r="O51" s="17" t="s">
        <v>34</v>
      </c>
      <c r="P51" s="18" t="s">
        <v>237</v>
      </c>
      <c r="Q51" s="2"/>
      <c r="R51" s="2"/>
      <c r="S51" s="2"/>
      <c r="T51" s="2"/>
      <c r="U51" s="2"/>
      <c r="V51" s="2"/>
      <c r="W51" s="2"/>
      <c r="X51" s="2"/>
      <c r="Y51" s="2"/>
      <c r="Z51" s="2"/>
    </row>
    <row r="52" ht="39.75" customHeight="1">
      <c r="A52" s="52" t="s">
        <v>225</v>
      </c>
      <c r="B52" s="53" t="s">
        <v>226</v>
      </c>
      <c r="C52" s="54" t="s">
        <v>238</v>
      </c>
      <c r="D52" s="10" t="s">
        <v>239</v>
      </c>
      <c r="E52" s="11" t="s">
        <v>240</v>
      </c>
      <c r="F52" s="12" t="s">
        <v>32</v>
      </c>
      <c r="G52" s="12" t="s">
        <v>24</v>
      </c>
      <c r="H52" s="12" t="s">
        <v>24</v>
      </c>
      <c r="I52" s="12" t="s">
        <v>24</v>
      </c>
      <c r="J52" s="13" t="s">
        <v>24</v>
      </c>
      <c r="K52" s="14" t="s">
        <v>58</v>
      </c>
      <c r="L52" s="15" t="s">
        <v>44</v>
      </c>
      <c r="M52" s="15" t="s">
        <v>25</v>
      </c>
      <c r="N52" s="13">
        <f t="shared" si="1"/>
        <v>17</v>
      </c>
      <c r="O52" s="16" t="s">
        <v>27</v>
      </c>
      <c r="P52" s="10" t="s">
        <v>241</v>
      </c>
      <c r="Q52" s="2"/>
      <c r="R52" s="2"/>
      <c r="S52" s="2"/>
      <c r="T52" s="2"/>
      <c r="U52" s="2"/>
      <c r="V52" s="2"/>
      <c r="W52" s="2"/>
      <c r="X52" s="2"/>
      <c r="Y52" s="2"/>
      <c r="Z52" s="2"/>
    </row>
    <row r="53" ht="39.75" customHeight="1">
      <c r="A53" s="55" t="s">
        <v>242</v>
      </c>
      <c r="B53" s="56" t="s">
        <v>243</v>
      </c>
      <c r="C53" s="57" t="s">
        <v>244</v>
      </c>
      <c r="D53" s="10" t="s">
        <v>245</v>
      </c>
      <c r="E53" s="19" t="s">
        <v>48</v>
      </c>
      <c r="F53" s="12" t="s">
        <v>23</v>
      </c>
      <c r="G53" s="12" t="s">
        <v>32</v>
      </c>
      <c r="H53" s="12" t="s">
        <v>24</v>
      </c>
      <c r="I53" s="12" t="s">
        <v>32</v>
      </c>
      <c r="J53" s="13" t="s">
        <v>24</v>
      </c>
      <c r="K53" s="14" t="s">
        <v>58</v>
      </c>
      <c r="L53" s="21" t="s">
        <v>76</v>
      </c>
      <c r="M53" s="15" t="s">
        <v>25</v>
      </c>
      <c r="N53" s="13">
        <f t="shared" si="1"/>
        <v>16</v>
      </c>
      <c r="O53" s="16" t="s">
        <v>27</v>
      </c>
      <c r="P53" s="10" t="s">
        <v>246</v>
      </c>
      <c r="Q53" s="2"/>
      <c r="R53" s="2"/>
      <c r="S53" s="2"/>
      <c r="T53" s="2"/>
      <c r="U53" s="2"/>
      <c r="V53" s="2"/>
      <c r="W53" s="2"/>
      <c r="X53" s="2"/>
      <c r="Y53" s="2"/>
      <c r="Z53" s="2"/>
    </row>
    <row r="54" ht="39.75" customHeight="1">
      <c r="A54" s="55" t="s">
        <v>242</v>
      </c>
      <c r="B54" s="56" t="s">
        <v>243</v>
      </c>
      <c r="C54" s="57" t="s">
        <v>247</v>
      </c>
      <c r="D54" s="10" t="s">
        <v>248</v>
      </c>
      <c r="E54" s="19" t="s">
        <v>48</v>
      </c>
      <c r="F54" s="12" t="s">
        <v>23</v>
      </c>
      <c r="G54" s="12" t="s">
        <v>24</v>
      </c>
      <c r="H54" s="12" t="s">
        <v>24</v>
      </c>
      <c r="I54" s="12" t="s">
        <v>32</v>
      </c>
      <c r="J54" s="13" t="s">
        <v>24</v>
      </c>
      <c r="K54" s="14" t="s">
        <v>58</v>
      </c>
      <c r="L54" s="21" t="s">
        <v>76</v>
      </c>
      <c r="M54" s="15" t="s">
        <v>25</v>
      </c>
      <c r="N54" s="13">
        <f t="shared" si="1"/>
        <v>17</v>
      </c>
      <c r="O54" s="16" t="s">
        <v>27</v>
      </c>
      <c r="P54" s="10" t="s">
        <v>249</v>
      </c>
      <c r="Q54" s="2"/>
      <c r="R54" s="2"/>
      <c r="S54" s="2"/>
      <c r="T54" s="2"/>
      <c r="U54" s="2"/>
      <c r="V54" s="2"/>
      <c r="W54" s="2"/>
      <c r="X54" s="2"/>
      <c r="Y54" s="2"/>
      <c r="Z54" s="2"/>
    </row>
    <row r="55" ht="39.75" customHeight="1">
      <c r="A55" s="55" t="s">
        <v>242</v>
      </c>
      <c r="B55" s="56" t="s">
        <v>243</v>
      </c>
      <c r="C55" s="57" t="s">
        <v>250</v>
      </c>
      <c r="D55" s="10" t="s">
        <v>251</v>
      </c>
      <c r="E55" s="19" t="s">
        <v>48</v>
      </c>
      <c r="F55" s="12" t="s">
        <v>23</v>
      </c>
      <c r="G55" s="12" t="s">
        <v>24</v>
      </c>
      <c r="H55" s="12" t="s">
        <v>24</v>
      </c>
      <c r="I55" s="12" t="s">
        <v>24</v>
      </c>
      <c r="J55" s="13" t="s">
        <v>32</v>
      </c>
      <c r="K55" s="14" t="s">
        <v>58</v>
      </c>
      <c r="L55" s="15" t="s">
        <v>26</v>
      </c>
      <c r="M55" s="21" t="s">
        <v>25</v>
      </c>
      <c r="N55" s="13">
        <f t="shared" si="1"/>
        <v>17</v>
      </c>
      <c r="O55" s="16" t="s">
        <v>27</v>
      </c>
      <c r="P55" s="10" t="s">
        <v>252</v>
      </c>
      <c r="Q55" s="2"/>
      <c r="R55" s="2"/>
      <c r="S55" s="2"/>
      <c r="T55" s="2"/>
      <c r="U55" s="2"/>
      <c r="V55" s="2"/>
      <c r="W55" s="2"/>
      <c r="X55" s="2"/>
      <c r="Y55" s="2"/>
      <c r="Z55" s="2"/>
    </row>
    <row r="56" ht="39.75" customHeight="1">
      <c r="A56" s="55" t="s">
        <v>242</v>
      </c>
      <c r="B56" s="56" t="s">
        <v>243</v>
      </c>
      <c r="C56" s="57" t="s">
        <v>253</v>
      </c>
      <c r="D56" s="10" t="s">
        <v>254</v>
      </c>
      <c r="E56" s="19" t="s">
        <v>48</v>
      </c>
      <c r="F56" s="12" t="s">
        <v>23</v>
      </c>
      <c r="G56" s="12" t="s">
        <v>32</v>
      </c>
      <c r="H56" s="12" t="s">
        <v>32</v>
      </c>
      <c r="I56" s="12" t="s">
        <v>137</v>
      </c>
      <c r="J56" s="20" t="s">
        <v>49</v>
      </c>
      <c r="K56" s="14" t="s">
        <v>58</v>
      </c>
      <c r="L56" s="39" t="s">
        <v>50</v>
      </c>
      <c r="M56" s="20" t="s">
        <v>25</v>
      </c>
      <c r="N56" s="13">
        <f t="shared" si="1"/>
        <v>11</v>
      </c>
      <c r="O56" s="22" t="s">
        <v>51</v>
      </c>
      <c r="P56" s="10" t="s">
        <v>255</v>
      </c>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O4:O56">
    <cfRule type="containsText" dxfId="0" priority="1" operator="containsText" text="今年本番実施">
      <formula>NOT(ISERROR(SEARCH(("今年本番実施"),(O4))))</formula>
    </cfRule>
  </conditionalFormatting>
  <conditionalFormatting sqref="O4:O56">
    <cfRule type="containsText" dxfId="1" priority="2" operator="containsText" text="今年仕込みのみ">
      <formula>NOT(ISERROR(SEARCH(("今年仕込みのみ"),(O4))))</formula>
    </cfRule>
  </conditionalFormatting>
  <conditionalFormatting sqref="O4:O56">
    <cfRule type="containsText" dxfId="2" priority="3" operator="containsText" text="来年以降">
      <formula>NOT(ISERROR(SEARCH(("来年以降"),(O4))))</formula>
    </cfRule>
  </conditionalFormatting>
  <conditionalFormatting sqref="O4:O56">
    <cfRule type="containsText" dxfId="3" priority="4" operator="containsText" text="条件付きOK">
      <formula>NOT(ISERROR(SEARCH(("条件付きOK"),(O4))))</formula>
    </cfRule>
  </conditionalFormatting>
  <dataValidations>
    <dataValidation type="list" allowBlank="1" sqref="G4:J56">
      <formula1>"低,中,高,—"</formula1>
    </dataValidation>
    <dataValidation type="list" allowBlank="1" sqref="E4:E56">
      <formula1>"本部1人,本部複数,Shaper,専門業者"</formula1>
    </dataValidation>
    <dataValidation type="list" allowBlank="1" sqref="F4:F56">
      <formula1>"大,中,小,ー"</formula1>
    </dataValidation>
    <dataValidation type="list" allowBlank="1" sqref="O4:O56">
      <formula1>"今年本番実施,今年仕込みのみ,来年以降,条件付きOK"</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60.0"/>
    <col customWidth="1" min="3" max="6" width="8.71"/>
  </cols>
  <sheetData>
    <row r="1" ht="21.75" customHeight="1">
      <c r="A1" s="58" t="s">
        <v>256</v>
      </c>
      <c r="B1" s="59"/>
      <c r="C1" s="2"/>
      <c r="D1" s="2"/>
      <c r="E1" s="2"/>
      <c r="F1" s="2"/>
      <c r="G1" s="2"/>
      <c r="H1" s="2"/>
      <c r="I1" s="2"/>
      <c r="J1" s="2"/>
      <c r="K1" s="2"/>
      <c r="L1" s="2"/>
      <c r="M1" s="2"/>
      <c r="N1" s="2"/>
      <c r="O1" s="2"/>
      <c r="P1" s="2"/>
      <c r="Q1" s="2"/>
      <c r="R1" s="2"/>
      <c r="S1" s="2"/>
      <c r="T1" s="2"/>
      <c r="U1" s="2"/>
      <c r="V1" s="2"/>
      <c r="W1" s="2"/>
      <c r="X1" s="2"/>
      <c r="Y1" s="2"/>
      <c r="Z1" s="2"/>
    </row>
    <row r="2" ht="21.75" customHeight="1">
      <c r="A2" s="60" t="s">
        <v>257</v>
      </c>
      <c r="B2" s="61" t="s">
        <v>258</v>
      </c>
      <c r="C2" s="2"/>
      <c r="D2" s="2"/>
      <c r="E2" s="2"/>
      <c r="F2" s="2"/>
      <c r="G2" s="2"/>
      <c r="H2" s="2"/>
      <c r="I2" s="2"/>
      <c r="J2" s="2"/>
      <c r="K2" s="2"/>
      <c r="L2" s="2"/>
      <c r="M2" s="2"/>
      <c r="N2" s="2"/>
      <c r="O2" s="2"/>
      <c r="P2" s="2"/>
      <c r="Q2" s="2"/>
      <c r="R2" s="2"/>
      <c r="S2" s="2"/>
      <c r="T2" s="2"/>
      <c r="U2" s="2"/>
      <c r="V2" s="2"/>
      <c r="W2" s="2"/>
      <c r="X2" s="2"/>
      <c r="Y2" s="2"/>
      <c r="Z2" s="2"/>
    </row>
    <row r="3" ht="21.75" customHeight="1">
      <c r="A3" s="60" t="s">
        <v>259</v>
      </c>
      <c r="B3" s="61" t="s">
        <v>260</v>
      </c>
      <c r="C3" s="2"/>
      <c r="D3" s="2"/>
      <c r="E3" s="2"/>
      <c r="F3" s="2"/>
      <c r="G3" s="2"/>
      <c r="H3" s="2"/>
      <c r="I3" s="2"/>
      <c r="J3" s="2"/>
      <c r="K3" s="2"/>
      <c r="L3" s="2"/>
      <c r="M3" s="2"/>
      <c r="N3" s="2"/>
      <c r="O3" s="2"/>
      <c r="P3" s="2"/>
      <c r="Q3" s="2"/>
      <c r="R3" s="2"/>
      <c r="S3" s="2"/>
      <c r="T3" s="2"/>
      <c r="U3" s="2"/>
      <c r="V3" s="2"/>
      <c r="W3" s="2"/>
      <c r="X3" s="2"/>
      <c r="Y3" s="2"/>
      <c r="Z3" s="2"/>
    </row>
    <row r="4" ht="21.75" customHeight="1">
      <c r="A4" s="60" t="s">
        <v>261</v>
      </c>
      <c r="B4" s="61" t="s">
        <v>262</v>
      </c>
      <c r="C4" s="2"/>
      <c r="D4" s="2"/>
      <c r="E4" s="2"/>
      <c r="F4" s="2"/>
      <c r="G4" s="2"/>
      <c r="H4" s="2"/>
      <c r="I4" s="2"/>
      <c r="J4" s="2"/>
      <c r="K4" s="2"/>
      <c r="L4" s="2"/>
      <c r="M4" s="2"/>
      <c r="N4" s="2"/>
      <c r="O4" s="2"/>
      <c r="P4" s="2"/>
      <c r="Q4" s="2"/>
      <c r="R4" s="2"/>
      <c r="S4" s="2"/>
      <c r="T4" s="2"/>
      <c r="U4" s="2"/>
      <c r="V4" s="2"/>
      <c r="W4" s="2"/>
      <c r="X4" s="2"/>
      <c r="Y4" s="2"/>
      <c r="Z4" s="2"/>
    </row>
    <row r="5" ht="21.75" customHeight="1">
      <c r="A5" s="62" t="s">
        <v>263</v>
      </c>
      <c r="B5" s="62" t="s">
        <v>264</v>
      </c>
    </row>
    <row r="6" ht="21.75" customHeight="1">
      <c r="A6" s="62" t="s">
        <v>265</v>
      </c>
      <c r="B6" s="62" t="s">
        <v>266</v>
      </c>
    </row>
    <row r="7" ht="21.75" customHeight="1">
      <c r="A7" s="60" t="s">
        <v>267</v>
      </c>
      <c r="B7" s="61" t="s">
        <v>268</v>
      </c>
      <c r="C7" s="2"/>
      <c r="D7" s="2"/>
      <c r="E7" s="2"/>
      <c r="F7" s="2"/>
      <c r="G7" s="2"/>
      <c r="H7" s="2"/>
      <c r="I7" s="2"/>
      <c r="J7" s="2"/>
      <c r="K7" s="2"/>
      <c r="L7" s="2"/>
      <c r="M7" s="2"/>
      <c r="N7" s="2"/>
      <c r="O7" s="2"/>
      <c r="P7" s="2"/>
      <c r="Q7" s="2"/>
      <c r="R7" s="2"/>
      <c r="S7" s="2"/>
      <c r="T7" s="2"/>
      <c r="U7" s="2"/>
      <c r="V7" s="2"/>
      <c r="W7" s="2"/>
      <c r="X7" s="2"/>
      <c r="Y7" s="2"/>
      <c r="Z7" s="2"/>
    </row>
    <row r="8" ht="21.75" customHeight="1">
      <c r="A8" s="60"/>
      <c r="B8" s="61"/>
      <c r="C8" s="2"/>
      <c r="D8" s="2"/>
      <c r="E8" s="2"/>
      <c r="F8" s="2"/>
      <c r="G8" s="2"/>
      <c r="H8" s="2"/>
      <c r="I8" s="2"/>
      <c r="J8" s="2"/>
      <c r="K8" s="2"/>
      <c r="L8" s="2"/>
      <c r="M8" s="2"/>
      <c r="N8" s="2"/>
      <c r="O8" s="2"/>
      <c r="P8" s="2"/>
      <c r="Q8" s="2"/>
      <c r="R8" s="2"/>
      <c r="S8" s="2"/>
      <c r="T8" s="2"/>
      <c r="U8" s="2"/>
      <c r="V8" s="2"/>
      <c r="W8" s="2"/>
      <c r="X8" s="2"/>
      <c r="Y8" s="2"/>
      <c r="Z8" s="2"/>
    </row>
    <row r="9" ht="21.75" customHeight="1">
      <c r="A9" s="58" t="s">
        <v>269</v>
      </c>
      <c r="B9" s="59"/>
      <c r="C9" s="2"/>
      <c r="D9" s="2"/>
      <c r="E9" s="2"/>
      <c r="F9" s="2"/>
      <c r="G9" s="2"/>
      <c r="H9" s="2"/>
      <c r="I9" s="2"/>
      <c r="J9" s="2"/>
      <c r="K9" s="2"/>
      <c r="L9" s="2"/>
      <c r="M9" s="2"/>
      <c r="N9" s="2"/>
      <c r="O9" s="2"/>
      <c r="P9" s="2"/>
      <c r="Q9" s="2"/>
      <c r="R9" s="2"/>
      <c r="S9" s="2"/>
      <c r="T9" s="2"/>
      <c r="U9" s="2"/>
      <c r="V9" s="2"/>
      <c r="W9" s="2"/>
      <c r="X9" s="2"/>
      <c r="Y9" s="2"/>
      <c r="Z9" s="2"/>
    </row>
    <row r="10" ht="21.75" customHeight="1">
      <c r="A10" s="60" t="s">
        <v>27</v>
      </c>
      <c r="B10" s="63" t="s">
        <v>270</v>
      </c>
      <c r="C10" s="2"/>
      <c r="D10" s="2"/>
      <c r="E10" s="2"/>
      <c r="F10" s="2"/>
      <c r="G10" s="2"/>
      <c r="H10" s="2"/>
      <c r="I10" s="2"/>
      <c r="J10" s="2"/>
      <c r="K10" s="2"/>
      <c r="L10" s="2"/>
      <c r="M10" s="2"/>
      <c r="N10" s="2"/>
      <c r="O10" s="2"/>
      <c r="P10" s="2"/>
      <c r="Q10" s="2"/>
      <c r="R10" s="2"/>
      <c r="S10" s="2"/>
      <c r="T10" s="2"/>
      <c r="U10" s="2"/>
      <c r="V10" s="2"/>
      <c r="W10" s="2"/>
      <c r="X10" s="2"/>
      <c r="Y10" s="2"/>
      <c r="Z10" s="2"/>
    </row>
    <row r="11" ht="21.75" customHeight="1">
      <c r="A11" s="60" t="s">
        <v>51</v>
      </c>
      <c r="B11" s="61" t="s">
        <v>271</v>
      </c>
      <c r="C11" s="2"/>
      <c r="D11" s="2"/>
      <c r="E11" s="2"/>
      <c r="F11" s="2"/>
      <c r="G11" s="2"/>
      <c r="H11" s="2"/>
      <c r="I11" s="2"/>
      <c r="J11" s="2"/>
      <c r="K11" s="2"/>
      <c r="L11" s="2"/>
      <c r="M11" s="2"/>
      <c r="N11" s="2"/>
      <c r="O11" s="2"/>
      <c r="P11" s="2"/>
      <c r="Q11" s="2"/>
      <c r="R11" s="2"/>
      <c r="S11" s="2"/>
      <c r="T11" s="2"/>
      <c r="U11" s="2"/>
      <c r="V11" s="2"/>
      <c r="W11" s="2"/>
      <c r="X11" s="2"/>
      <c r="Y11" s="2"/>
      <c r="Z11" s="2"/>
    </row>
    <row r="12" ht="21.75" customHeight="1">
      <c r="A12" s="60" t="s">
        <v>34</v>
      </c>
      <c r="B12" s="61" t="s">
        <v>272</v>
      </c>
      <c r="C12" s="2"/>
      <c r="D12" s="2"/>
      <c r="E12" s="2"/>
      <c r="F12" s="2"/>
      <c r="G12" s="2"/>
      <c r="H12" s="2"/>
      <c r="I12" s="2"/>
      <c r="J12" s="2"/>
      <c r="K12" s="2"/>
      <c r="L12" s="2"/>
      <c r="M12" s="2"/>
      <c r="N12" s="2"/>
      <c r="O12" s="2"/>
      <c r="P12" s="2"/>
      <c r="Q12" s="2"/>
      <c r="R12" s="2"/>
      <c r="S12" s="2"/>
      <c r="T12" s="2"/>
      <c r="U12" s="2"/>
      <c r="V12" s="2"/>
      <c r="W12" s="2"/>
      <c r="X12" s="2"/>
      <c r="Y12" s="2"/>
      <c r="Z12" s="2"/>
    </row>
    <row r="13" ht="21.75" customHeight="1">
      <c r="A13" s="60" t="s">
        <v>273</v>
      </c>
      <c r="B13" s="61" t="s">
        <v>274</v>
      </c>
      <c r="C13" s="2"/>
      <c r="D13" s="2"/>
      <c r="E13" s="2"/>
      <c r="F13" s="2"/>
      <c r="G13" s="2"/>
      <c r="H13" s="2"/>
      <c r="I13" s="2"/>
      <c r="J13" s="2"/>
      <c r="K13" s="2"/>
      <c r="L13" s="2"/>
      <c r="M13" s="2"/>
      <c r="N13" s="2"/>
      <c r="O13" s="2"/>
      <c r="P13" s="2"/>
      <c r="Q13" s="2"/>
      <c r="R13" s="2"/>
      <c r="S13" s="2"/>
      <c r="T13" s="2"/>
      <c r="U13" s="2"/>
      <c r="V13" s="2"/>
      <c r="W13" s="2"/>
      <c r="X13" s="2"/>
      <c r="Y13" s="2"/>
      <c r="Z13" s="2"/>
    </row>
    <row r="14" ht="21.75" customHeight="1">
      <c r="A14" s="60"/>
      <c r="B14" s="61"/>
      <c r="C14" s="2"/>
      <c r="D14" s="2"/>
      <c r="E14" s="2"/>
      <c r="F14" s="2"/>
      <c r="G14" s="2"/>
      <c r="H14" s="2"/>
      <c r="I14" s="2"/>
      <c r="J14" s="2"/>
      <c r="K14" s="2"/>
      <c r="L14" s="2"/>
      <c r="M14" s="2"/>
      <c r="N14" s="2"/>
      <c r="O14" s="2"/>
      <c r="P14" s="2"/>
      <c r="Q14" s="2"/>
      <c r="R14" s="2"/>
      <c r="S14" s="2"/>
      <c r="T14" s="2"/>
      <c r="U14" s="2"/>
      <c r="V14" s="2"/>
      <c r="W14" s="2"/>
      <c r="X14" s="2"/>
      <c r="Y14" s="2"/>
      <c r="Z14" s="2"/>
    </row>
    <row r="15" ht="21.75" customHeight="1">
      <c r="A15" s="58" t="s">
        <v>275</v>
      </c>
      <c r="B15" s="59"/>
      <c r="C15" s="2"/>
      <c r="D15" s="2"/>
      <c r="E15" s="2"/>
      <c r="F15" s="2"/>
      <c r="G15" s="2"/>
      <c r="H15" s="2"/>
      <c r="I15" s="2"/>
      <c r="J15" s="2"/>
      <c r="K15" s="2"/>
      <c r="L15" s="2"/>
      <c r="M15" s="2"/>
      <c r="N15" s="2"/>
      <c r="O15" s="2"/>
      <c r="P15" s="2"/>
      <c r="Q15" s="2"/>
      <c r="R15" s="2"/>
      <c r="S15" s="2"/>
      <c r="T15" s="2"/>
      <c r="U15" s="2"/>
      <c r="V15" s="2"/>
      <c r="W15" s="2"/>
      <c r="X15" s="2"/>
      <c r="Y15" s="2"/>
      <c r="Z15" s="2"/>
    </row>
    <row r="16" ht="21.75" customHeight="1">
      <c r="A16" s="60" t="s">
        <v>276</v>
      </c>
      <c r="B16" s="61" t="s">
        <v>277</v>
      </c>
      <c r="C16" s="2"/>
      <c r="D16" s="2"/>
      <c r="E16" s="2"/>
      <c r="F16" s="2"/>
      <c r="G16" s="2"/>
      <c r="H16" s="2"/>
      <c r="I16" s="2"/>
      <c r="J16" s="2"/>
      <c r="K16" s="2"/>
      <c r="L16" s="2"/>
      <c r="M16" s="2"/>
      <c r="N16" s="2"/>
      <c r="O16" s="2"/>
      <c r="P16" s="2"/>
      <c r="Q16" s="2"/>
      <c r="R16" s="2"/>
      <c r="S16" s="2"/>
      <c r="T16" s="2"/>
      <c r="U16" s="2"/>
      <c r="V16" s="2"/>
      <c r="W16" s="2"/>
      <c r="X16" s="2"/>
      <c r="Y16" s="2"/>
      <c r="Z16" s="2"/>
    </row>
    <row r="17" ht="21.75" customHeight="1">
      <c r="A17" s="60" t="s">
        <v>48</v>
      </c>
      <c r="B17" s="61" t="s">
        <v>278</v>
      </c>
      <c r="C17" s="2"/>
      <c r="D17" s="2"/>
      <c r="E17" s="2"/>
      <c r="F17" s="2"/>
      <c r="G17" s="2"/>
      <c r="H17" s="2"/>
      <c r="I17" s="2"/>
      <c r="J17" s="2"/>
      <c r="K17" s="2"/>
      <c r="L17" s="2"/>
      <c r="M17" s="2"/>
      <c r="N17" s="2"/>
      <c r="O17" s="2"/>
      <c r="P17" s="2"/>
      <c r="Q17" s="2"/>
      <c r="R17" s="2"/>
      <c r="S17" s="2"/>
      <c r="T17" s="2"/>
      <c r="U17" s="2"/>
      <c r="V17" s="2"/>
      <c r="W17" s="2"/>
      <c r="X17" s="2"/>
      <c r="Y17" s="2"/>
      <c r="Z17" s="2"/>
    </row>
    <row r="18" ht="21.75" customHeight="1">
      <c r="A18" s="64" t="s">
        <v>191</v>
      </c>
      <c r="B18" s="61" t="s">
        <v>279</v>
      </c>
      <c r="C18" s="2"/>
      <c r="D18" s="2"/>
      <c r="E18" s="2"/>
      <c r="F18" s="2"/>
      <c r="G18" s="2"/>
      <c r="H18" s="2"/>
      <c r="I18" s="2"/>
      <c r="J18" s="2"/>
      <c r="K18" s="2"/>
      <c r="L18" s="2"/>
      <c r="M18" s="2"/>
      <c r="N18" s="2"/>
      <c r="O18" s="2"/>
      <c r="P18" s="2"/>
      <c r="Q18" s="2"/>
      <c r="R18" s="2"/>
      <c r="S18" s="2"/>
      <c r="T18" s="2"/>
      <c r="U18" s="2"/>
      <c r="V18" s="2"/>
      <c r="W18" s="2"/>
      <c r="X18" s="2"/>
      <c r="Y18" s="2"/>
      <c r="Z18" s="2"/>
    </row>
    <row r="19" ht="21.75" customHeight="1">
      <c r="A19" s="60" t="s">
        <v>136</v>
      </c>
      <c r="B19" s="61" t="s">
        <v>280</v>
      </c>
      <c r="C19" s="2"/>
      <c r="D19" s="2"/>
      <c r="E19" s="2"/>
      <c r="F19" s="2"/>
      <c r="G19" s="2"/>
      <c r="H19" s="2"/>
      <c r="I19" s="2"/>
      <c r="J19" s="2"/>
      <c r="K19" s="2"/>
      <c r="L19" s="2"/>
      <c r="M19" s="2"/>
      <c r="N19" s="2"/>
      <c r="O19" s="2"/>
      <c r="P19" s="2"/>
      <c r="Q19" s="2"/>
      <c r="R19" s="2"/>
      <c r="S19" s="2"/>
      <c r="T19" s="2"/>
      <c r="U19" s="2"/>
      <c r="V19" s="2"/>
      <c r="W19" s="2"/>
      <c r="X19" s="2"/>
      <c r="Y19" s="2"/>
      <c r="Z19" s="2"/>
    </row>
    <row r="20" ht="21.75" customHeight="1">
      <c r="A20" s="60"/>
      <c r="B20" s="61"/>
      <c r="C20" s="2"/>
      <c r="D20" s="2"/>
      <c r="E20" s="2"/>
      <c r="F20" s="2"/>
      <c r="G20" s="2"/>
      <c r="H20" s="2"/>
      <c r="I20" s="2"/>
      <c r="J20" s="2"/>
      <c r="K20" s="2"/>
      <c r="L20" s="2"/>
      <c r="M20" s="2"/>
      <c r="N20" s="2"/>
      <c r="O20" s="2"/>
      <c r="P20" s="2"/>
      <c r="Q20" s="2"/>
      <c r="R20" s="2"/>
      <c r="S20" s="2"/>
      <c r="T20" s="2"/>
      <c r="U20" s="2"/>
      <c r="V20" s="2"/>
      <c r="W20" s="2"/>
      <c r="X20" s="2"/>
      <c r="Y20" s="2"/>
      <c r="Z20" s="2"/>
    </row>
    <row r="21" ht="21.75" customHeight="1">
      <c r="A21" s="58" t="s">
        <v>281</v>
      </c>
      <c r="B21" s="59"/>
      <c r="C21" s="2"/>
      <c r="D21" s="2"/>
      <c r="E21" s="2"/>
      <c r="F21" s="2"/>
      <c r="G21" s="2"/>
      <c r="H21" s="2"/>
      <c r="I21" s="2"/>
      <c r="J21" s="2"/>
      <c r="K21" s="2"/>
      <c r="L21" s="2"/>
      <c r="M21" s="2"/>
      <c r="N21" s="2"/>
      <c r="O21" s="2"/>
      <c r="P21" s="2"/>
      <c r="Q21" s="2"/>
      <c r="R21" s="2"/>
      <c r="S21" s="2"/>
      <c r="T21" s="2"/>
      <c r="U21" s="2"/>
      <c r="V21" s="2"/>
      <c r="W21" s="2"/>
      <c r="X21" s="2"/>
      <c r="Y21" s="2"/>
      <c r="Z21" s="2"/>
    </row>
    <row r="22" ht="21.75" customHeight="1">
      <c r="A22" s="60" t="s">
        <v>282</v>
      </c>
      <c r="B22" s="61" t="s">
        <v>283</v>
      </c>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60" t="s">
        <v>284</v>
      </c>
      <c r="B23" s="61" t="s">
        <v>285</v>
      </c>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60" t="s">
        <v>286</v>
      </c>
      <c r="B24" s="61" t="s">
        <v>287</v>
      </c>
      <c r="C24" s="2"/>
      <c r="D24" s="2"/>
      <c r="E24" s="2"/>
      <c r="F24" s="2"/>
      <c r="G24" s="2"/>
      <c r="H24" s="2"/>
      <c r="I24" s="2"/>
      <c r="J24" s="2"/>
      <c r="K24" s="2"/>
      <c r="L24" s="2"/>
      <c r="M24" s="2"/>
      <c r="N24" s="2"/>
      <c r="O24" s="2"/>
      <c r="P24" s="2"/>
      <c r="Q24" s="2"/>
      <c r="R24" s="2"/>
      <c r="S24" s="2"/>
      <c r="T24" s="2"/>
      <c r="U24" s="2"/>
      <c r="V24" s="2"/>
      <c r="W24" s="2"/>
      <c r="X24" s="2"/>
      <c r="Y24" s="2"/>
      <c r="Z24" s="2"/>
    </row>
    <row r="25" ht="15.75" customHeight="1">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65" t="s">
        <v>288</v>
      </c>
      <c r="B26" s="62" t="s">
        <v>289</v>
      </c>
      <c r="C26" s="2"/>
      <c r="D26" s="2"/>
      <c r="E26" s="2"/>
      <c r="F26" s="2"/>
      <c r="G26" s="2"/>
      <c r="H26" s="2"/>
      <c r="I26" s="2"/>
      <c r="J26" s="2"/>
      <c r="K26" s="2"/>
      <c r="L26" s="2"/>
      <c r="M26" s="2"/>
      <c r="N26" s="2"/>
      <c r="O26" s="2"/>
      <c r="P26" s="2"/>
      <c r="Q26" s="2"/>
      <c r="R26" s="2"/>
      <c r="S26" s="2"/>
      <c r="T26" s="2"/>
      <c r="U26" s="2"/>
      <c r="V26" s="2"/>
      <c r="W26" s="2"/>
      <c r="X26" s="2"/>
      <c r="Y26" s="2"/>
      <c r="Z26" s="2"/>
    </row>
    <row r="27" ht="15.75" customHeight="1">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66" t="s">
        <v>290</v>
      </c>
      <c r="B28" s="67"/>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68" t="s">
        <v>25</v>
      </c>
      <c r="B29" s="69" t="s">
        <v>291</v>
      </c>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70" t="s">
        <v>138</v>
      </c>
      <c r="B30" s="71" t="s">
        <v>292</v>
      </c>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70" t="s">
        <v>152</v>
      </c>
      <c r="B31" s="71" t="s">
        <v>293</v>
      </c>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72" t="s">
        <v>294</v>
      </c>
      <c r="B32" s="73" t="s">
        <v>295</v>
      </c>
      <c r="C32" s="2"/>
      <c r="D32" s="2"/>
      <c r="E32" s="2"/>
      <c r="F32" s="2"/>
      <c r="G32" s="2"/>
      <c r="H32" s="2"/>
      <c r="I32" s="2"/>
      <c r="J32" s="2"/>
      <c r="K32" s="2"/>
      <c r="L32" s="2"/>
      <c r="M32" s="2"/>
      <c r="N32" s="2"/>
      <c r="O32" s="2"/>
      <c r="P32" s="2"/>
      <c r="Q32" s="2"/>
      <c r="R32" s="2"/>
      <c r="S32" s="2"/>
      <c r="T32" s="2"/>
      <c r="U32" s="2"/>
      <c r="V32" s="2"/>
      <c r="W32" s="2"/>
      <c r="X32" s="2"/>
      <c r="Y32" s="2"/>
      <c r="Z32" s="2"/>
    </row>
    <row r="33" ht="15.75" customHeight="1">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66" t="s">
        <v>296</v>
      </c>
      <c r="B34" s="67"/>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74" t="s">
        <v>297</v>
      </c>
      <c r="B35" s="75" t="s">
        <v>298</v>
      </c>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74" t="s">
        <v>299</v>
      </c>
      <c r="B36" s="75" t="s">
        <v>300</v>
      </c>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74" t="s">
        <v>301</v>
      </c>
      <c r="B37" s="75" t="s">
        <v>302</v>
      </c>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74" t="s">
        <v>303</v>
      </c>
      <c r="B38" s="75" t="s">
        <v>304</v>
      </c>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21.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34.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34.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21.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21.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21.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21.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21.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21.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21.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B1"/>
    <mergeCell ref="A9:B9"/>
    <mergeCell ref="A15:B15"/>
    <mergeCell ref="A21:B21"/>
    <mergeCell ref="A28:B28"/>
    <mergeCell ref="A34:B34"/>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2026-03-27T21:02:55Z</dcterms:created>
  <dc:creator>openpyxl</dc:creator>
</cp:coreProperties>
</file>

<file path=docProps/custom.xml><?xml version="1.0" encoding="utf-8"?>
<Properties xmlns="http://schemas.openxmlformats.org/officeDocument/2006/custom-properties" xmlns:vt="http://schemas.openxmlformats.org/officeDocument/2006/docPropsVTypes"/>
</file>