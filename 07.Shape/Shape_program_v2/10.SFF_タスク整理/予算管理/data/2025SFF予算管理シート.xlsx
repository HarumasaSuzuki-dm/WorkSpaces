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F（全体予算）" sheetId="1" r:id="rId5"/>
    <sheet state="visible" name="SFF（全体結果）" sheetId="2" r:id="rId6"/>
    <sheet state="visible" name="SFF①（日野市民会館）" sheetId="3" r:id="rId7"/>
    <sheet state="visible" name="SFF②（パピヨン24ガスホール）" sheetId="4" r:id="rId8"/>
    <sheet state="visible" name="SFF③（大阪国際交流センター）" sheetId="5" r:id="rId9"/>
    <sheet state="visible" name="SFF④（青葉の森公園芸術文化ホール） " sheetId="6" r:id="rId10"/>
    <sheet state="visible" name="SFF⑤（松田町生涯学習センター） " sheetId="7" r:id="rId11"/>
    <sheet state="visible" name="SFF⑥（ALL草加市文化会館）" sheetId="8" r:id="rId12"/>
    <sheet state="visible" name="購入品リスト" sheetId="9" r:id="rId13"/>
    <sheet state="visible" name="協賛金計算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tc={45902baa-76a1-41ed-8403-a8253acf1a0a}</author>
    <author>tc={5d0502bc-365d-45c3-9bf5-6f8dc53d38e9}</author>
    <author>tc={726d7f3e-c0d5-4bd6-aa7c-5bbed07a1d18}</author>
  </authors>
  <commentList>
    <comment authorId="0" xr:uid="{45902baa-76a1-41ed-8403-a8253acf1a0a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トップ、ダイアモンド、プラチナまで
</t>
      </text>
    </comment>
    <comment authorId="1" xr:uid="{5d0502bc-365d-45c3-9bf5-6f8dc53d38e9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TOPのみ
</t>
      </text>
    </comment>
    <comment authorId="2" xr:uid="{726d7f3e-c0d5-4bd6-aa7c-5bbed07a1d18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226人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tc={581e900f-b590-4454-b536-ac582811d4d8}</author>
    <author>tc={7a58bdf6-82a4-475b-b3df-890e8f68b08b}</author>
    <author>tc={db3d9da9-1773-4dac-8151-e72fa4b9154c}</author>
  </authors>
  <commentList>
    <comment authorId="0" xr:uid="{581e900f-b590-4454-b536-ac582811d4d8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123人
</t>
      </text>
    </comment>
    <comment authorId="1" xr:uid="{7a58bdf6-82a4-475b-b3df-890e8f68b08b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トップのみ
</t>
      </text>
    </comment>
    <comment authorId="2" xr:uid="{db3d9da9-1773-4dac-8151-e72fa4b9154c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トップ、ダイアモンド、プラチナ
</t>
      </text>
    </comment>
  </commentList>
</comments>
</file>

<file path=xl/sharedStrings.xml><?xml version="1.0" encoding="utf-8"?>
<sst xmlns="http://schemas.openxmlformats.org/spreadsheetml/2006/main" count="533" uniqueCount="141">
  <si>
    <t>項目</t>
  </si>
  <si>
    <t>売上</t>
  </si>
  <si>
    <t>売上80％</t>
  </si>
  <si>
    <t>前年度参考予想</t>
  </si>
  <si>
    <t>売上120％</t>
  </si>
  <si>
    <t>出場費</t>
  </si>
  <si>
    <t>客席代</t>
  </si>
  <si>
    <t>バックサポート代</t>
  </si>
  <si>
    <t>カラーリング代</t>
  </si>
  <si>
    <t>アパレル売上</t>
  </si>
  <si>
    <t>写真売上</t>
  </si>
  <si>
    <t>動画販売</t>
  </si>
  <si>
    <t>協賛金</t>
  </si>
  <si>
    <t>売上合計</t>
  </si>
  <si>
    <t>経費</t>
  </si>
  <si>
    <t>出場チケット手数料（3.6%)</t>
  </si>
  <si>
    <t>客席チケット手数料（3.6%)</t>
  </si>
  <si>
    <t>バックサポートチケット手数料（3.6%)</t>
  </si>
  <si>
    <t>カラーリングチケット手数料（3.2%）</t>
  </si>
  <si>
    <t>動画手数料（3.6%）</t>
  </si>
  <si>
    <t>アパレル仕入れ</t>
  </si>
  <si>
    <t>演出費</t>
  </si>
  <si>
    <t>人件費（審査員）</t>
  </si>
  <si>
    <t>人件費（MC）</t>
  </si>
  <si>
    <t>人件費（カメラ）</t>
  </si>
  <si>
    <t>人件費（運営スタッフ）</t>
  </si>
  <si>
    <t>メダルトロフィー代</t>
  </si>
  <si>
    <t>会場費</t>
  </si>
  <si>
    <t>備品消耗品費</t>
  </si>
  <si>
    <t>運搬費</t>
  </si>
  <si>
    <t>旅費交通費</t>
  </si>
  <si>
    <t>高速代は計算に入れていない、新幹線や飛行機代の分。</t>
  </si>
  <si>
    <t>打ち上げ代</t>
  </si>
  <si>
    <t>通信費</t>
  </si>
  <si>
    <t>スタッフTシャツ代</t>
  </si>
  <si>
    <t>経費合計</t>
  </si>
  <si>
    <t>利益合計</t>
  </si>
  <si>
    <t>利益率</t>
  </si>
  <si>
    <t>設定</t>
  </si>
  <si>
    <t>単価</t>
  </si>
  <si>
    <t>5/25 東京
日野市民会館</t>
  </si>
  <si>
    <t>実数値</t>
  </si>
  <si>
    <t>300人定員　200人と仮定</t>
  </si>
  <si>
    <r>
      <rPr>
        <rFont val="Arial"/>
        <color theme="1"/>
      </rPr>
      <t>1,000席内訳：S142席、A581席、B338席の</t>
    </r>
    <r>
      <rPr>
        <rFont val="Arial"/>
        <color rgb="FFFF0000"/>
      </rPr>
      <t>７割想定</t>
    </r>
    <r>
      <rPr>
        <rFont val="Arial"/>
        <color theme="1"/>
      </rPr>
      <t xml:space="preserve">
価格：S7,000円、A6,000円、B5,000円</t>
    </r>
  </si>
  <si>
    <t>出場者40％想定</t>
  </si>
  <si>
    <t>出場者40%人想定(23年度Tokyo大会参考) 25%フィー</t>
  </si>
  <si>
    <t>23年度Tokyo大会参考</t>
  </si>
  <si>
    <t>出場者40％想定＊3.2%</t>
  </si>
  <si>
    <t>23年度3大会アパレル仕入れを/3</t>
  </si>
  <si>
    <t>2/17見積（舞台監督費用含む）【東京】株式会社Shape Fit御中_ShapeFitFestival東京大会　日野市民会館_見積書_Q-0000000003.pdf</t>
  </si>
  <si>
    <t>5名</t>
  </si>
  <si>
    <t>えいみーさん（5万円＋交通費）</t>
  </si>
  <si>
    <t>23年度1大会あたり</t>
  </si>
  <si>
    <t>25人想定（東京大会最大30人弱のため）</t>
  </si>
  <si>
    <t>23年度3大会仕入れを/3</t>
  </si>
  <si>
    <t>すでに301,510円支払(23年度参考)</t>
  </si>
  <si>
    <t>23年度参考（トランシーバー20,000円、リストバンド等50,000円）</t>
  </si>
  <si>
    <t>荷物集荷（往復）</t>
  </si>
  <si>
    <t>下見等（往復2,000＊6人）</t>
  </si>
  <si>
    <t>審査員ご飯、打ち上げあり</t>
  </si>
  <si>
    <t>6/14　福岡
パピヨン24ガスホール</t>
  </si>
  <si>
    <t>200人キャパのため100人想定</t>
  </si>
  <si>
    <r>
      <rPr>
        <rFont val="Arial"/>
        <color theme="1"/>
      </rPr>
      <t>1,000席内訳：S91席、A132席、B188席の</t>
    </r>
    <r>
      <rPr>
        <rFont val="Arial"/>
        <color rgb="FFFF0000"/>
      </rPr>
      <t>７割想定</t>
    </r>
    <r>
      <rPr>
        <rFont val="Arial"/>
        <color theme="1"/>
      </rPr>
      <t xml:space="preserve">
価格：S7,000円、A6,000円、B5,000円</t>
    </r>
  </si>
  <si>
    <t>※当日現金払い</t>
  </si>
  <si>
    <t>2/17見積（舞台監督費用含む）＋宿泊費交通費別途のため見積もりプラスで見積もり【福岡】株式会社Shape Fit御中_ShapeFitFestival福岡大会　パピヨン24ガスホール_見積書_Q-0000000004.pdf</t>
  </si>
  <si>
    <t>関東2名（40,000円）、関西1名（35,000円）</t>
  </si>
  <si>
    <t>ぷり（3万＋交通費）</t>
  </si>
  <si>
    <t>23年度1大会あたり＋（交通費30,000円＊5人）</t>
  </si>
  <si>
    <t>20人想定（外部13人＋7人）交通費含む</t>
  </si>
  <si>
    <t>メダルトロフィー、バッチ代</t>
  </si>
  <si>
    <t>すでに313,005円支払(23年度参考)</t>
  </si>
  <si>
    <t>荷物集荷（往復）＊東京の1.5倍の</t>
  </si>
  <si>
    <t>下見等（往復30,000人*2）＋宿泊費（23年大阪参考：140,000円）</t>
  </si>
  <si>
    <t>宿泊費</t>
  </si>
  <si>
    <t>移動費</t>
  </si>
  <si>
    <t>7/27　大阪        
大阪国際交流センター</t>
  </si>
  <si>
    <t>180~220想定のため、200人と仮定</t>
  </si>
  <si>
    <r>
      <rPr>
        <rFont val="Arial"/>
        <color theme="1"/>
      </rPr>
      <t>1,000席内訳：S154席、A260席、B560席の</t>
    </r>
    <r>
      <rPr>
        <rFont val="Arial"/>
        <color rgb="FFFF0000"/>
      </rPr>
      <t>７割想定</t>
    </r>
    <r>
      <rPr>
        <rFont val="Arial"/>
        <color theme="1"/>
      </rPr>
      <t xml:space="preserve">
価格：S7,000円、A6,000円、B5,000円</t>
    </r>
  </si>
  <si>
    <t>2/17見積（舞台監督費用含む）【大阪】株式会社Shape Fit御中_ShapeFitFestival大阪大会　大阪国際交流センター_見積書_Q-0000000005.pdf</t>
  </si>
  <si>
    <t>おのっち（3万＋交通費）</t>
  </si>
  <si>
    <t>23年度1大会あたり+（交通費20,000円＊5人）</t>
  </si>
  <si>
    <t>23年度参考</t>
  </si>
  <si>
    <t>下見等（往復20,000＊2人）＋宿泊費（23年大阪参考：140,000円）</t>
  </si>
  <si>
    <t>8/11　千葉        
青葉の森公園芸術文化ホール</t>
  </si>
  <si>
    <r>
      <rPr>
        <rFont val="Arial"/>
        <color theme="1"/>
      </rPr>
      <t>1,000席内訳：S163席、A376席、B310席の</t>
    </r>
    <r>
      <rPr>
        <rFont val="Arial"/>
        <color rgb="FFFF0000"/>
      </rPr>
      <t>７割想定</t>
    </r>
    <r>
      <rPr>
        <rFont val="Arial"/>
        <color theme="1"/>
      </rPr>
      <t xml:space="preserve">
価格：S7,000円、A6,000円、B5,000円</t>
    </r>
  </si>
  <si>
    <t>23年度Tokyo大会参考(10%は会場支払のため９割で計算)</t>
  </si>
  <si>
    <t>2/17見積（舞台監督費用含む）【千葉】株式会社Shape Fit御中_ShapeFitFestival千葉大会　青葉の森公園芸術文化ホール_見積書_Q-00000000.pdf</t>
  </si>
  <si>
    <t>神奈川大会</t>
  </si>
  <si>
    <r>
      <rPr>
        <rFont val="Arial"/>
        <color theme="1"/>
      </rPr>
      <t>1,000席内訳：S146席、A510席、B326席の</t>
    </r>
    <r>
      <rPr>
        <rFont val="Arial"/>
        <color rgb="FFFF0000"/>
      </rPr>
      <t>７割想定</t>
    </r>
    <r>
      <rPr>
        <rFont val="Arial"/>
        <color theme="1"/>
      </rPr>
      <t xml:space="preserve">
価格：S7,000円、A6,000円、B5,000円</t>
    </r>
  </si>
  <si>
    <t>2/17見積（舞台監督費用含む）【神奈川】株式会社Shape Fit御中_ShapeFitFestival神奈川大会　松田町生涯学習センター_見積書_Q-0000000010.pdf</t>
  </si>
  <si>
    <t>全国大会</t>
  </si>
  <si>
    <r>
      <rPr>
        <rFont val="Arial"/>
        <color theme="1"/>
      </rPr>
      <t>1,000席内訳：S162席、A389席、B644席の</t>
    </r>
    <r>
      <rPr>
        <rFont val="Arial"/>
        <color rgb="FFFF0000"/>
      </rPr>
      <t>７割想定</t>
    </r>
    <r>
      <rPr>
        <rFont val="Arial"/>
        <color theme="1"/>
      </rPr>
      <t xml:space="preserve">
価格：S7,000円、A6,000円、B5,000円</t>
    </r>
  </si>
  <si>
    <t>2/17見積（舞台監督費用含む）【全国（埼玉）】株式会社Shape Fit御中_ShapeFitFestival全国大会　草加市文化会館_見積書_Q-0000000008.pdf</t>
  </si>
  <si>
    <t>ぷり（３万＋交通費）</t>
  </si>
  <si>
    <t>日付</t>
  </si>
  <si>
    <t>購入品</t>
  </si>
  <si>
    <t>大会名</t>
  </si>
  <si>
    <t>金額（税込）</t>
  </si>
  <si>
    <t>説明会用スリッパ</t>
  </si>
  <si>
    <t>全体</t>
  </si>
  <si>
    <t>WTBメダルサンプル</t>
  </si>
  <si>
    <t>バッジ番号修正</t>
  </si>
  <si>
    <t>銀銅メダル</t>
  </si>
  <si>
    <t>交通費　神奈川メンバー</t>
  </si>
  <si>
    <t>福岡</t>
  </si>
  <si>
    <t>交通保険　神奈川メンバー</t>
  </si>
  <si>
    <t>金メダル</t>
  </si>
  <si>
    <t>カメラ機材</t>
  </si>
  <si>
    <t>予選用バッジ</t>
  </si>
  <si>
    <t>カメラ機材（テザーツール）</t>
  </si>
  <si>
    <t>リストバンド、45L袋</t>
  </si>
  <si>
    <t>￥24,813</t>
  </si>
  <si>
    <t>カメラマン指導</t>
  </si>
  <si>
    <t>スタンプラリーシール</t>
  </si>
  <si>
    <t>ｃ</t>
  </si>
  <si>
    <t>TOP</t>
  </si>
  <si>
    <t>DIAMOND</t>
  </si>
  <si>
    <t>PLATINUM</t>
  </si>
  <si>
    <t>GOLD</t>
  </si>
  <si>
    <t>SILVER</t>
  </si>
  <si>
    <t>BRONZE</t>
  </si>
  <si>
    <t>東京大会</t>
  </si>
  <si>
    <t>AMBiQUE</t>
  </si>
  <si>
    <t>VEATM</t>
  </si>
  <si>
    <t>VOLIX</t>
  </si>
  <si>
    <t>極洋</t>
  </si>
  <si>
    <t>株式会社ALAWAY
ステディジャパン
issin</t>
  </si>
  <si>
    <t>福岡大会</t>
  </si>
  <si>
    <t>ペコダック</t>
  </si>
  <si>
    <t>大阪大会OK</t>
  </si>
  <si>
    <t>痛みのクリニック</t>
  </si>
  <si>
    <t>千葉大会</t>
  </si>
  <si>
    <t>VITAS</t>
  </si>
  <si>
    <t>ペコダック
トラストワーク</t>
  </si>
  <si>
    <t>ALL</t>
  </si>
  <si>
    <t>ペコダック
Power LIfe</t>
  </si>
  <si>
    <t>トラストワーク</t>
  </si>
  <si>
    <t>ステディジャパン</t>
  </si>
  <si>
    <t>issin</t>
  </si>
  <si>
    <t>Power LIfe</t>
  </si>
  <si>
    <t>中村さん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</si>
</sst>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¥-411]#,##0"/>
    <numFmt numFmtId="165" formatCode="&quot;¥&quot;#,##0"/>
    <numFmt numFmtId="166" formatCode="人"/>
    <numFmt numFmtId="167" formatCode="yyyy年m月d日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FF"/>
      <name val="Arial"/>
    </font>
    <font>
      <color rgb="FF000000"/>
      <name val="Arial"/>
    </font>
    <font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&quot;Hiragino Kaku Gothic ProN&quot;"/>
    </font>
    <font>
      <sz val="8.0"/>
      <color rgb="FF000000"/>
      <name val="&quot;Hiragino Kaku Gothic ProN&quot;"/>
    </font>
    <font>
      <sz val="10.0"/>
      <color theme="1"/>
      <name val="Arial"/>
      <scheme val="minor"/>
    </font>
    <font>
      <u/>
      <color theme="1"/>
      <name val="Arial"/>
    </font>
    <font>
      <color rgb="FFFF0000"/>
      <name val="Arial"/>
    </font>
    <font>
      <color rgb="FF0000FF"/>
      <name val="Arial"/>
      <scheme val="minor"/>
    </font>
    <font>
      <sz val="8.0"/>
      <color rgb="FF000000"/>
      <name val="Arial"/>
    </font>
    <font>
      <u/>
      <color theme="1"/>
      <name val="Arial"/>
    </font>
    <font>
      <b/>
      <color rgb="FFFF0000"/>
      <name val="Arial"/>
    </font>
    <font>
      <color rgb="FFFF0000"/>
      <name val="Arial"/>
      <scheme val="minor"/>
    </font>
    <font>
      <b/>
      <color rgb="FFCC0000"/>
      <name val="Arial"/>
    </font>
    <font>
      <b/>
      <color rgb="FF741B47"/>
      <name val="Arial"/>
    </font>
    <font>
      <b/>
      <color rgb="FF3D85C6"/>
      <name val="Arial"/>
    </font>
    <font>
      <b/>
      <color rgb="FFFFD966"/>
      <name val="Arial"/>
    </font>
    <font>
      <b/>
      <color rgb="FFB7B7B7"/>
      <name val="Arial"/>
    </font>
    <font>
      <b/>
      <color rgb="FFB45F0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D9EBD3"/>
        <bgColor rgb="FFD9EB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</fills>
  <borders count="89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top style="hair">
        <color rgb="FF000000"/>
      </top>
    </border>
    <border>
      <left style="medium">
        <color rgb="FF000000"/>
      </left>
      <right style="thick">
        <color rgb="FF000000"/>
      </right>
      <bottom style="hair">
        <color rgb="FF000000"/>
      </bottom>
    </border>
    <border>
      <left style="thick">
        <color rgb="FF000000"/>
      </left>
    </border>
    <border>
      <left style="thick">
        <color rgb="FF000000"/>
      </left>
      <top style="double">
        <color rgb="FFFF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ck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</border>
    <border>
      <left style="medium">
        <color rgb="FF000000"/>
      </left>
      <top style="double">
        <color rgb="FFFF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double">
        <color rgb="FFFF0000"/>
      </top>
      <bottom style="hair">
        <color rgb="FF000000"/>
      </bottom>
    </border>
    <border>
      <top style="double">
        <color rgb="FFFF0000"/>
      </top>
      <bottom style="hair">
        <color rgb="FF000000"/>
      </bottom>
    </border>
    <border>
      <right style="medium">
        <color rgb="FF000000"/>
      </right>
      <top style="double">
        <color rgb="FFFF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readingOrder="0" vertical="center"/>
    </xf>
    <xf borderId="2" fillId="2" fontId="1" numFmtId="3" xfId="0" applyAlignment="1" applyBorder="1" applyFont="1" applyNumberFormat="1">
      <alignment horizontal="center" readingOrder="0"/>
    </xf>
    <xf borderId="3" fillId="2" fontId="1" numFmtId="3" xfId="0" applyAlignment="1" applyBorder="1" applyFont="1" applyNumberFormat="1">
      <alignment horizontal="center" readingOrder="0"/>
    </xf>
    <xf borderId="4" fillId="2" fontId="1" numFmtId="3" xfId="0" applyAlignment="1" applyBorder="1" applyFont="1" applyNumberFormat="1">
      <alignment horizontal="center" readingOrder="0"/>
    </xf>
    <xf borderId="0" fillId="0" fontId="2" numFmtId="3" xfId="0" applyAlignment="1" applyFont="1" applyNumberFormat="1">
      <alignment vertical="bottom"/>
    </xf>
    <xf borderId="0" fillId="2" fontId="1" numFmtId="3" xfId="0" applyAlignment="1" applyFont="1" applyNumberFormat="1">
      <alignment horizontal="center" readingOrder="0"/>
    </xf>
    <xf borderId="5" fillId="3" fontId="3" numFmtId="3" xfId="0" applyAlignment="1" applyBorder="1" applyFill="1" applyFont="1" applyNumberFormat="1">
      <alignment readingOrder="0"/>
    </xf>
    <xf borderId="6" fillId="3" fontId="1" numFmtId="3" xfId="0" applyAlignment="1" applyBorder="1" applyFont="1" applyNumberFormat="1">
      <alignment horizontal="center" readingOrder="0"/>
    </xf>
    <xf borderId="7" fillId="3" fontId="1" numFmtId="3" xfId="0" applyAlignment="1" applyBorder="1" applyFont="1" applyNumberFormat="1">
      <alignment horizontal="center" readingOrder="0"/>
    </xf>
    <xf borderId="8" fillId="3" fontId="1" numFmtId="3" xfId="0" applyAlignment="1" applyBorder="1" applyFont="1" applyNumberFormat="1">
      <alignment horizontal="center" readingOrder="0"/>
    </xf>
    <xf borderId="0" fillId="2" fontId="1" numFmtId="3" xfId="0" applyAlignment="1" applyFont="1" applyNumberFormat="1">
      <alignment readingOrder="0"/>
    </xf>
    <xf borderId="9" fillId="0" fontId="1" numFmtId="3" xfId="0" applyAlignment="1" applyBorder="1" applyFont="1" applyNumberFormat="1">
      <alignment readingOrder="0"/>
    </xf>
    <xf borderId="10" fillId="4" fontId="1" numFmtId="3" xfId="0" applyAlignment="1" applyBorder="1" applyFill="1" applyFont="1" applyNumberFormat="1">
      <alignment readingOrder="0"/>
    </xf>
    <xf borderId="11" fillId="4" fontId="1" numFmtId="3" xfId="0" applyAlignment="1" applyBorder="1" applyFont="1" applyNumberFormat="1">
      <alignment readingOrder="0"/>
    </xf>
    <xf borderId="12" fillId="4" fontId="1" numFmtId="3" xfId="0" applyAlignment="1" applyBorder="1" applyFont="1" applyNumberFormat="1">
      <alignment readingOrder="0"/>
    </xf>
    <xf borderId="0" fillId="0" fontId="2" numFmtId="3" xfId="0" applyAlignment="1" applyFont="1" applyNumberFormat="1">
      <alignment readingOrder="0" vertical="bottom"/>
    </xf>
    <xf borderId="9" fillId="5" fontId="2" numFmtId="3" xfId="0" applyAlignment="1" applyBorder="1" applyFill="1" applyFont="1" applyNumberFormat="1">
      <alignment readingOrder="0" vertical="bottom"/>
    </xf>
    <xf borderId="0" fillId="2" fontId="2" numFmtId="3" xfId="0" applyAlignment="1" applyFont="1" applyNumberFormat="1">
      <alignment vertical="bottom"/>
    </xf>
    <xf borderId="0" fillId="2" fontId="2" numFmtId="3" xfId="0" applyAlignment="1" applyFont="1" applyNumberFormat="1">
      <alignment readingOrder="0" vertical="bottom"/>
    </xf>
    <xf borderId="9" fillId="0" fontId="2" numFmtId="3" xfId="0" applyAlignment="1" applyBorder="1" applyFont="1" applyNumberFormat="1">
      <alignment readingOrder="0" vertical="bottom"/>
    </xf>
    <xf borderId="13" fillId="0" fontId="2" numFmtId="3" xfId="0" applyAlignment="1" applyBorder="1" applyFont="1" applyNumberFormat="1">
      <alignment readingOrder="0" vertical="bottom"/>
    </xf>
    <xf borderId="14" fillId="3" fontId="1" numFmtId="3" xfId="0" applyAlignment="1" applyBorder="1" applyFont="1" applyNumberFormat="1">
      <alignment readingOrder="0"/>
    </xf>
    <xf borderId="15" fillId="3" fontId="1" numFmtId="3" xfId="0" applyAlignment="1" applyBorder="1" applyFont="1" applyNumberFormat="1">
      <alignment readingOrder="0"/>
    </xf>
    <xf borderId="16" fillId="3" fontId="1" numFmtId="3" xfId="0" applyAlignment="1" applyBorder="1" applyFont="1" applyNumberFormat="1">
      <alignment readingOrder="0"/>
    </xf>
    <xf borderId="17" fillId="3" fontId="1" numFmtId="3" xfId="0" applyAlignment="1" applyBorder="1" applyFont="1" applyNumberFormat="1">
      <alignment readingOrder="0"/>
    </xf>
    <xf borderId="18" fillId="6" fontId="3" numFmtId="3" xfId="0" applyAlignment="1" applyBorder="1" applyFill="1" applyFont="1" applyNumberFormat="1">
      <alignment readingOrder="0"/>
    </xf>
    <xf borderId="19" fillId="6" fontId="1" numFmtId="3" xfId="0" applyAlignment="1" applyBorder="1" applyFont="1" applyNumberFormat="1">
      <alignment readingOrder="0"/>
    </xf>
    <xf borderId="20" fillId="6" fontId="1" numFmtId="3" xfId="0" applyAlignment="1" applyBorder="1" applyFont="1" applyNumberFormat="1">
      <alignment readingOrder="0"/>
    </xf>
    <xf borderId="21" fillId="6" fontId="1" numFmtId="3" xfId="0" applyAlignment="1" applyBorder="1" applyFont="1" applyNumberFormat="1">
      <alignment readingOrder="0"/>
    </xf>
    <xf borderId="22" fillId="0" fontId="1" numFmtId="3" xfId="0" applyAlignment="1" applyBorder="1" applyFont="1" applyNumberFormat="1">
      <alignment readingOrder="0"/>
    </xf>
    <xf borderId="23" fillId="0" fontId="1" numFmtId="3" xfId="0" applyAlignment="1" applyBorder="1" applyFont="1" applyNumberFormat="1">
      <alignment readingOrder="0"/>
    </xf>
    <xf borderId="22" fillId="0" fontId="2" numFmtId="3" xfId="0" applyAlignment="1" applyBorder="1" applyFont="1" applyNumberFormat="1">
      <alignment vertical="bottom"/>
    </xf>
    <xf borderId="9" fillId="0" fontId="2" numFmtId="3" xfId="0" applyAlignment="1" applyBorder="1" applyFont="1" applyNumberFormat="1">
      <alignment vertical="bottom"/>
    </xf>
    <xf borderId="24" fillId="0" fontId="2" numFmtId="3" xfId="0" applyAlignment="1" applyBorder="1" applyFont="1" applyNumberFormat="1">
      <alignment readingOrder="0" vertical="bottom"/>
    </xf>
    <xf borderId="9" fillId="0" fontId="4" numFmtId="3" xfId="0" applyAlignment="1" applyBorder="1" applyFont="1" applyNumberFormat="1">
      <alignment readingOrder="0" vertical="bottom"/>
    </xf>
    <xf borderId="25" fillId="0" fontId="4" numFmtId="3" xfId="0" applyAlignment="1" applyBorder="1" applyFont="1" applyNumberFormat="1">
      <alignment readingOrder="0" vertical="bottom"/>
    </xf>
    <xf borderId="26" fillId="0" fontId="5" numFmtId="3" xfId="0" applyAlignment="1" applyBorder="1" applyFont="1" applyNumberFormat="1">
      <alignment readingOrder="0" vertical="bottom"/>
    </xf>
    <xf borderId="22" fillId="0" fontId="4" numFmtId="3" xfId="0" applyAlignment="1" applyBorder="1" applyFont="1" applyNumberFormat="1">
      <alignment readingOrder="0" vertical="bottom"/>
    </xf>
    <xf borderId="22" fillId="0" fontId="5" numFmtId="3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23" fillId="6" fontId="1" numFmtId="3" xfId="0" applyAlignment="1" applyBorder="1" applyFont="1" applyNumberFormat="1">
      <alignment readingOrder="0"/>
    </xf>
    <xf borderId="27" fillId="6" fontId="6" numFmtId="3" xfId="0" applyAlignment="1" applyBorder="1" applyFont="1" applyNumberFormat="1">
      <alignment readingOrder="0"/>
    </xf>
    <xf borderId="28" fillId="6" fontId="6" numFmtId="3" xfId="0" applyAlignment="1" applyBorder="1" applyFont="1" applyNumberFormat="1">
      <alignment readingOrder="0"/>
    </xf>
    <xf borderId="29" fillId="6" fontId="6" numFmtId="3" xfId="0" applyAlignment="1" applyBorder="1" applyFont="1" applyNumberFormat="1">
      <alignment readingOrder="0"/>
    </xf>
    <xf borderId="2" fillId="7" fontId="1" numFmtId="3" xfId="0" applyAlignment="1" applyBorder="1" applyFill="1" applyFont="1" applyNumberFormat="1">
      <alignment readingOrder="0"/>
    </xf>
    <xf borderId="30" fillId="7" fontId="1" numFmtId="3" xfId="0" applyAlignment="1" applyBorder="1" applyFont="1" applyNumberFormat="1">
      <alignment readingOrder="0"/>
    </xf>
    <xf borderId="3" fillId="7" fontId="1" numFmtId="3" xfId="0" applyAlignment="1" applyBorder="1" applyFont="1" applyNumberFormat="1">
      <alignment readingOrder="0"/>
    </xf>
    <xf borderId="31" fillId="7" fontId="1" numFmtId="3" xfId="0" applyAlignment="1" applyBorder="1" applyFont="1" applyNumberFormat="1">
      <alignment readingOrder="0"/>
    </xf>
    <xf borderId="32" fillId="8" fontId="7" numFmtId="0" xfId="0" applyAlignment="1" applyBorder="1" applyFill="1" applyFont="1">
      <alignment readingOrder="0" vertical="top"/>
    </xf>
    <xf borderId="33" fillId="8" fontId="8" numFmtId="10" xfId="0" applyAlignment="1" applyBorder="1" applyFont="1" applyNumberFormat="1">
      <alignment readingOrder="0" vertical="top"/>
    </xf>
    <xf borderId="34" fillId="8" fontId="8" numFmtId="10" xfId="0" applyAlignment="1" applyBorder="1" applyFont="1" applyNumberFormat="1">
      <alignment readingOrder="0" vertical="top"/>
    </xf>
    <xf borderId="35" fillId="8" fontId="8" numFmtId="10" xfId="0" applyAlignment="1" applyBorder="1" applyFont="1" applyNumberFormat="1">
      <alignment readingOrder="0" vertical="top"/>
    </xf>
    <xf borderId="0" fillId="2" fontId="9" numFmtId="3" xfId="0" applyAlignment="1" applyFont="1" applyNumberFormat="1">
      <alignment readingOrder="0" vertical="top"/>
    </xf>
    <xf borderId="0" fillId="2" fontId="1" numFmtId="0" xfId="0" applyFont="1"/>
    <xf borderId="0" fillId="2" fontId="9" numFmtId="0" xfId="0" applyAlignment="1" applyFont="1">
      <alignment readingOrder="0" vertical="top"/>
    </xf>
    <xf borderId="0" fillId="9" fontId="1" numFmtId="3" xfId="0" applyAlignment="1" applyFill="1" applyFont="1" applyNumberFormat="1">
      <alignment readingOrder="0"/>
    </xf>
    <xf borderId="0" fillId="9" fontId="1" numFmtId="0" xfId="0" applyFont="1"/>
    <xf borderId="0" fillId="9" fontId="2" numFmtId="3" xfId="0" applyAlignment="1" applyFont="1" applyNumberFormat="1">
      <alignment readingOrder="0" vertical="bottom"/>
    </xf>
    <xf borderId="0" fillId="9" fontId="2" numFmtId="3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9" fontId="5" numFmtId="3" xfId="0" applyAlignment="1" applyFont="1" applyNumberFormat="1">
      <alignment horizontal="left" readingOrder="0"/>
    </xf>
    <xf borderId="0" fillId="9" fontId="1" numFmtId="3" xfId="0" applyFont="1" applyNumberFormat="1"/>
    <xf borderId="0" fillId="9" fontId="10" numFmtId="3" xfId="0" applyAlignment="1" applyFont="1" applyNumberFormat="1">
      <alignment readingOrder="0"/>
    </xf>
    <xf borderId="0" fillId="9" fontId="7" numFmtId="3" xfId="0" applyAlignment="1" applyFont="1" applyNumberFormat="1">
      <alignment readingOrder="0" vertical="top"/>
    </xf>
    <xf borderId="0" fillId="9" fontId="7" numFmtId="0" xfId="0" applyAlignment="1" applyFont="1">
      <alignment readingOrder="0" vertical="top"/>
    </xf>
    <xf borderId="0" fillId="9" fontId="8" numFmtId="0" xfId="0" applyAlignment="1" applyFont="1">
      <alignment readingOrder="0" vertical="top"/>
    </xf>
    <xf borderId="0" fillId="9" fontId="7" numFmtId="3" xfId="0" applyAlignment="1" applyFont="1" applyNumberFormat="1">
      <alignment horizontal="right" readingOrder="0"/>
    </xf>
    <xf borderId="36" fillId="2" fontId="1" numFmtId="3" xfId="0" applyAlignment="1" applyBorder="1" applyFont="1" applyNumberFormat="1">
      <alignment horizontal="center" readingOrder="0" vertical="center"/>
    </xf>
    <xf borderId="37" fillId="2" fontId="1" numFmtId="3" xfId="0" applyAlignment="1" applyBorder="1" applyFont="1" applyNumberFormat="1">
      <alignment horizontal="center" readingOrder="0" vertical="center"/>
    </xf>
    <xf borderId="38" fillId="2" fontId="1" numFmtId="3" xfId="0" applyAlignment="1" applyBorder="1" applyFont="1" applyNumberFormat="1">
      <alignment horizontal="center" readingOrder="0" vertical="center"/>
    </xf>
    <xf borderId="39" fillId="10" fontId="1" numFmtId="3" xfId="0" applyAlignment="1" applyBorder="1" applyFill="1" applyFont="1" applyNumberFormat="1">
      <alignment horizontal="center" readingOrder="0"/>
    </xf>
    <xf borderId="40" fillId="10" fontId="1" numFmtId="3" xfId="0" applyAlignment="1" applyBorder="1" applyFont="1" applyNumberFormat="1">
      <alignment horizontal="center" readingOrder="0"/>
    </xf>
    <xf borderId="41" fillId="10" fontId="1" numFmtId="3" xfId="0" applyAlignment="1" applyBorder="1" applyFont="1" applyNumberFormat="1">
      <alignment horizontal="center" readingOrder="0"/>
    </xf>
    <xf borderId="42" fillId="3" fontId="3" numFmtId="3" xfId="0" applyAlignment="1" applyBorder="1" applyFont="1" applyNumberFormat="1">
      <alignment readingOrder="0"/>
    </xf>
    <xf borderId="43" fillId="3" fontId="1" numFmtId="3" xfId="0" applyAlignment="1" applyBorder="1" applyFont="1" applyNumberFormat="1">
      <alignment readingOrder="0"/>
    </xf>
    <xf borderId="44" fillId="3" fontId="1" numFmtId="3" xfId="0" applyAlignment="1" applyBorder="1" applyFont="1" applyNumberFormat="1">
      <alignment readingOrder="0"/>
    </xf>
    <xf borderId="43" fillId="3" fontId="1" numFmtId="3" xfId="0" applyAlignment="1" applyBorder="1" applyFont="1" applyNumberFormat="1">
      <alignment horizontal="center" readingOrder="0"/>
    </xf>
    <xf borderId="21" fillId="3" fontId="1" numFmtId="3" xfId="0" applyAlignment="1" applyBorder="1" applyFont="1" applyNumberFormat="1">
      <alignment horizontal="center" readingOrder="0"/>
    </xf>
    <xf borderId="0" fillId="11" fontId="2" numFmtId="3" xfId="0" applyAlignment="1" applyFill="1" applyFont="1" applyNumberFormat="1">
      <alignment readingOrder="0" vertical="bottom"/>
    </xf>
    <xf borderId="24" fillId="0" fontId="1" numFmtId="3" xfId="0" applyAlignment="1" applyBorder="1" applyFont="1" applyNumberFormat="1">
      <alignment readingOrder="0"/>
    </xf>
    <xf borderId="11" fillId="0" fontId="1" numFmtId="3" xfId="0" applyAlignment="1" applyBorder="1" applyFont="1" applyNumberFormat="1">
      <alignment readingOrder="0"/>
    </xf>
    <xf borderId="45" fillId="0" fontId="1" numFmtId="3" xfId="0" applyAlignment="1" applyBorder="1" applyFont="1" applyNumberFormat="1">
      <alignment readingOrder="0"/>
    </xf>
    <xf borderId="46" fillId="4" fontId="1" numFmtId="3" xfId="0" applyAlignment="1" applyBorder="1" applyFont="1" applyNumberFormat="1">
      <alignment readingOrder="0"/>
    </xf>
    <xf borderId="24" fillId="5" fontId="2" numFmtId="3" xfId="0" applyAlignment="1" applyBorder="1" applyFont="1" applyNumberFormat="1">
      <alignment readingOrder="0" vertical="bottom"/>
    </xf>
    <xf borderId="11" fillId="5" fontId="2" numFmtId="3" xfId="0" applyAlignment="1" applyBorder="1" applyFont="1" applyNumberFormat="1">
      <alignment readingOrder="0" vertical="bottom"/>
    </xf>
    <xf borderId="45" fillId="5" fontId="2" numFmtId="3" xfId="0" applyAlignment="1" applyBorder="1" applyFont="1" applyNumberFormat="1">
      <alignment readingOrder="0" vertical="bottom"/>
    </xf>
    <xf borderId="11" fillId="5" fontId="2" numFmtId="3" xfId="0" applyAlignment="1" applyBorder="1" applyFont="1" applyNumberFormat="1">
      <alignment vertical="bottom"/>
    </xf>
    <xf borderId="46" fillId="5" fontId="2" numFmtId="3" xfId="0" applyAlignment="1" applyBorder="1" applyFont="1" applyNumberFormat="1">
      <alignment vertical="bottom"/>
    </xf>
    <xf borderId="11" fillId="0" fontId="2" numFmtId="3" xfId="0" applyAlignment="1" applyBorder="1" applyFont="1" applyNumberFormat="1">
      <alignment readingOrder="0" vertical="bottom"/>
    </xf>
    <xf borderId="45" fillId="0" fontId="2" numFmtId="3" xfId="0" applyAlignment="1" applyBorder="1" applyFont="1" applyNumberFormat="1">
      <alignment readingOrder="0" vertical="bottom"/>
    </xf>
    <xf borderId="11" fillId="4" fontId="2" numFmtId="3" xfId="0" applyAlignment="1" applyBorder="1" applyFont="1" applyNumberFormat="1">
      <alignment readingOrder="0" vertical="bottom"/>
    </xf>
    <xf borderId="46" fillId="4" fontId="2" numFmtId="3" xfId="0" applyAlignment="1" applyBorder="1" applyFont="1" applyNumberFormat="1">
      <alignment readingOrder="0" vertical="bottom"/>
    </xf>
    <xf borderId="47" fillId="0" fontId="2" numFmtId="3" xfId="0" applyAlignment="1" applyBorder="1" applyFont="1" applyNumberFormat="1">
      <alignment readingOrder="0" vertical="bottom"/>
    </xf>
    <xf borderId="48" fillId="0" fontId="2" numFmtId="3" xfId="0" applyAlignment="1" applyBorder="1" applyFont="1" applyNumberFormat="1">
      <alignment readingOrder="0" vertical="bottom"/>
    </xf>
    <xf borderId="0" fillId="4" fontId="2" numFmtId="3" xfId="0" applyAlignment="1" applyFont="1" applyNumberFormat="1">
      <alignment readingOrder="0" vertical="bottom"/>
    </xf>
    <xf borderId="47" fillId="2" fontId="1" numFmtId="3" xfId="0" applyAlignment="1" applyBorder="1" applyFont="1" applyNumberFormat="1">
      <alignment readingOrder="0"/>
    </xf>
    <xf borderId="48" fillId="2" fontId="1" numFmtId="3" xfId="0" applyAlignment="1" applyBorder="1" applyFont="1" applyNumberFormat="1">
      <alignment readingOrder="0"/>
    </xf>
    <xf borderId="0" fillId="2" fontId="1" numFmtId="164" xfId="0" applyAlignment="1" applyFont="1" applyNumberFormat="1">
      <alignment readingOrder="0"/>
    </xf>
    <xf borderId="46" fillId="2" fontId="1" numFmtId="3" xfId="0" applyAlignment="1" applyBorder="1" applyFont="1" applyNumberFormat="1">
      <alignment readingOrder="0"/>
    </xf>
    <xf borderId="0" fillId="0" fontId="2" numFmtId="164" xfId="0" applyAlignment="1" applyFont="1" applyNumberFormat="1">
      <alignment vertical="bottom"/>
    </xf>
    <xf borderId="49" fillId="3" fontId="1" numFmtId="3" xfId="0" applyAlignment="1" applyBorder="1" applyFont="1" applyNumberFormat="1">
      <alignment readingOrder="0"/>
    </xf>
    <xf borderId="50" fillId="3" fontId="1" numFmtId="3" xfId="0" applyAlignment="1" applyBorder="1" applyFont="1" applyNumberFormat="1">
      <alignment readingOrder="0"/>
    </xf>
    <xf borderId="51" fillId="6" fontId="3" numFmtId="3" xfId="0" applyAlignment="1" applyBorder="1" applyFont="1" applyNumberFormat="1">
      <alignment readingOrder="0"/>
    </xf>
    <xf borderId="52" fillId="6" fontId="1" numFmtId="3" xfId="0" applyAlignment="1" applyBorder="1" applyFont="1" applyNumberFormat="1">
      <alignment readingOrder="0"/>
    </xf>
    <xf borderId="53" fillId="0" fontId="1" numFmtId="3" xfId="0" applyAlignment="1" applyBorder="1" applyFont="1" applyNumberFormat="1">
      <alignment readingOrder="0"/>
    </xf>
    <xf borderId="54" fillId="0" fontId="1" numFmtId="3" xfId="0" applyAlignment="1" applyBorder="1" applyFont="1" applyNumberFormat="1">
      <alignment readingOrder="0"/>
    </xf>
    <xf borderId="55" fillId="0" fontId="1" numFmtId="3" xfId="0" applyAlignment="1" applyBorder="1" applyFont="1" applyNumberFormat="1">
      <alignment readingOrder="0"/>
    </xf>
    <xf borderId="54" fillId="4" fontId="1" numFmtId="3" xfId="0" applyAlignment="1" applyBorder="1" applyFont="1" applyNumberFormat="1">
      <alignment readingOrder="0"/>
    </xf>
    <xf borderId="56" fillId="0" fontId="1" numFmtId="3" xfId="0" applyAlignment="1" applyBorder="1" applyFont="1" applyNumberFormat="1">
      <alignment readingOrder="0"/>
    </xf>
    <xf borderId="28" fillId="0" fontId="1" numFmtId="3" xfId="0" applyAlignment="1" applyBorder="1" applyFont="1" applyNumberFormat="1">
      <alignment readingOrder="0"/>
    </xf>
    <xf borderId="57" fillId="0" fontId="1" numFmtId="3" xfId="0" applyAlignment="1" applyBorder="1" applyFont="1" applyNumberFormat="1">
      <alignment readingOrder="0"/>
    </xf>
    <xf borderId="28" fillId="4" fontId="2" numFmtId="3" xfId="0" applyAlignment="1" applyBorder="1" applyFont="1" applyNumberFormat="1">
      <alignment readingOrder="0" vertical="bottom"/>
    </xf>
    <xf borderId="29" fillId="4" fontId="2" numFmtId="3" xfId="0" applyAlignment="1" applyBorder="1" applyFont="1" applyNumberFormat="1">
      <alignment readingOrder="0" vertical="bottom"/>
    </xf>
    <xf borderId="53" fillId="0" fontId="2" numFmtId="3" xfId="0" applyAlignment="1" applyBorder="1" applyFont="1" applyNumberFormat="1">
      <alignment vertical="bottom"/>
    </xf>
    <xf borderId="54" fillId="0" fontId="2" numFmtId="3" xfId="0" applyAlignment="1" applyBorder="1" applyFont="1" applyNumberFormat="1">
      <alignment readingOrder="0" vertical="bottom"/>
    </xf>
    <xf borderId="55" fillId="0" fontId="2" numFmtId="3" xfId="0" applyAlignment="1" applyBorder="1" applyFont="1" applyNumberFormat="1">
      <alignment vertical="bottom"/>
    </xf>
    <xf borderId="54" fillId="4" fontId="2" numFmtId="3" xfId="0" applyAlignment="1" applyBorder="1" applyFont="1" applyNumberFormat="1">
      <alignment readingOrder="0" vertical="bottom"/>
    </xf>
    <xf borderId="24" fillId="0" fontId="2" numFmtId="3" xfId="0" applyAlignment="1" applyBorder="1" applyFont="1" applyNumberFormat="1">
      <alignment vertical="bottom"/>
    </xf>
    <xf borderId="11" fillId="0" fontId="11" numFmtId="3" xfId="0" applyAlignment="1" applyBorder="1" applyFont="1" applyNumberFormat="1">
      <alignment readingOrder="0" vertical="bottom"/>
    </xf>
    <xf borderId="45" fillId="0" fontId="2" numFmtId="3" xfId="0" applyAlignment="1" applyBorder="1" applyFont="1" applyNumberFormat="1">
      <alignment vertical="bottom"/>
    </xf>
    <xf borderId="12" fillId="4" fontId="2" numFmtId="3" xfId="0" applyAlignment="1" applyBorder="1" applyFont="1" applyNumberFormat="1">
      <alignment readingOrder="0" vertical="bottom"/>
    </xf>
    <xf borderId="11" fillId="4" fontId="12" numFmtId="3" xfId="0" applyAlignment="1" applyBorder="1" applyFont="1" applyNumberFormat="1">
      <alignment readingOrder="0" vertical="bottom"/>
    </xf>
    <xf borderId="24" fillId="0" fontId="4" numFmtId="3" xfId="0" applyAlignment="1" applyBorder="1" applyFont="1" applyNumberFormat="1">
      <alignment readingOrder="0" vertical="bottom"/>
    </xf>
    <xf borderId="11" fillId="0" fontId="4" numFmtId="3" xfId="0" applyAlignment="1" applyBorder="1" applyFont="1" applyNumberFormat="1">
      <alignment readingOrder="0" vertical="bottom"/>
    </xf>
    <xf borderId="13" fillId="0" fontId="13" numFmtId="3" xfId="0" applyAlignment="1" applyBorder="1" applyFont="1" applyNumberFormat="1">
      <alignment readingOrder="0"/>
    </xf>
    <xf borderId="58" fillId="4" fontId="4" numFmtId="3" xfId="0" applyAlignment="1" applyBorder="1" applyFont="1" applyNumberFormat="1">
      <alignment readingOrder="0" vertical="bottom"/>
    </xf>
    <xf borderId="11" fillId="4" fontId="4" numFmtId="3" xfId="0" applyAlignment="1" applyBorder="1" applyFont="1" applyNumberFormat="1">
      <alignment readingOrder="0" vertical="bottom"/>
    </xf>
    <xf borderId="46" fillId="4" fontId="4" numFmtId="3" xfId="0" applyAlignment="1" applyBorder="1" applyFont="1" applyNumberFormat="1">
      <alignment readingOrder="0" vertical="bottom"/>
    </xf>
    <xf borderId="13" fillId="0" fontId="4" numFmtId="3" xfId="0" applyAlignment="1" applyBorder="1" applyFont="1" applyNumberFormat="1">
      <alignment readingOrder="0" vertical="bottom"/>
    </xf>
    <xf borderId="48" fillId="0" fontId="4" numFmtId="3" xfId="0" applyAlignment="1" applyBorder="1" applyFont="1" applyNumberFormat="1">
      <alignment readingOrder="0" vertical="bottom"/>
    </xf>
    <xf borderId="0" fillId="4" fontId="4" numFmtId="3" xfId="0" applyAlignment="1" applyFont="1" applyNumberFormat="1">
      <alignment readingOrder="0" vertical="bottom"/>
    </xf>
    <xf borderId="59" fillId="0" fontId="5" numFmtId="3" xfId="0" applyAlignment="1" applyBorder="1" applyFont="1" applyNumberFormat="1">
      <alignment readingOrder="0" vertical="bottom"/>
    </xf>
    <xf borderId="60" fillId="0" fontId="5" numFmtId="3" xfId="0" applyAlignment="1" applyBorder="1" applyFont="1" applyNumberFormat="1">
      <alignment readingOrder="0" vertical="bottom"/>
    </xf>
    <xf borderId="61" fillId="4" fontId="5" numFmtId="3" xfId="0" applyAlignment="1" applyBorder="1" applyFont="1" applyNumberFormat="1">
      <alignment readingOrder="0" vertical="bottom"/>
    </xf>
    <xf borderId="62" fillId="4" fontId="5" numFmtId="3" xfId="0" applyAlignment="1" applyBorder="1" applyFont="1" applyNumberFormat="1">
      <alignment readingOrder="0" vertical="bottom"/>
    </xf>
    <xf borderId="63" fillId="0" fontId="4" numFmtId="3" xfId="0" applyAlignment="1" applyBorder="1" applyFont="1" applyNumberFormat="1">
      <alignment readingOrder="0" vertical="bottom"/>
    </xf>
    <xf borderId="55" fillId="0" fontId="4" numFmtId="3" xfId="0" applyAlignment="1" applyBorder="1" applyFont="1" applyNumberFormat="1">
      <alignment readingOrder="0" vertical="bottom"/>
    </xf>
    <xf borderId="54" fillId="4" fontId="4" numFmtId="3" xfId="0" applyAlignment="1" applyBorder="1" applyFont="1" applyNumberFormat="1">
      <alignment readingOrder="0" vertical="bottom"/>
    </xf>
    <xf borderId="64" fillId="4" fontId="4" numFmtId="3" xfId="0" applyAlignment="1" applyBorder="1" applyFont="1" applyNumberFormat="1">
      <alignment readingOrder="0" vertical="bottom"/>
    </xf>
    <xf borderId="53" fillId="0" fontId="5" numFmtId="3" xfId="0" applyAlignment="1" applyBorder="1" applyFont="1" applyNumberFormat="1">
      <alignment readingOrder="0" vertical="bottom"/>
    </xf>
    <xf borderId="54" fillId="0" fontId="5" numFmtId="3" xfId="0" applyAlignment="1" applyBorder="1" applyFont="1" applyNumberFormat="1">
      <alignment readingOrder="0" vertical="bottom"/>
    </xf>
    <xf borderId="55" fillId="0" fontId="5" numFmtId="3" xfId="0" applyAlignment="1" applyBorder="1" applyFont="1" applyNumberFormat="1">
      <alignment readingOrder="0" vertical="bottom"/>
    </xf>
    <xf borderId="54" fillId="4" fontId="5" numFmtId="3" xfId="0" applyAlignment="1" applyBorder="1" applyFont="1" applyNumberFormat="1">
      <alignment readingOrder="0" vertical="bottom"/>
    </xf>
    <xf borderId="64" fillId="4" fontId="5" numFmtId="3" xfId="0" applyAlignment="1" applyBorder="1" applyFont="1" applyNumberFormat="1">
      <alignment readingOrder="0" vertical="bottom"/>
    </xf>
    <xf borderId="11" fillId="0" fontId="2" numFmtId="3" xfId="0" applyAlignment="1" applyBorder="1" applyFont="1" applyNumberFormat="1">
      <alignment vertical="bottom"/>
    </xf>
    <xf borderId="13" fillId="0" fontId="2" numFmtId="3" xfId="0" applyAlignment="1" applyBorder="1" applyFont="1" applyNumberFormat="1">
      <alignment vertical="bottom"/>
    </xf>
    <xf borderId="58" fillId="4" fontId="2" numFmtId="3" xfId="0" applyAlignment="1" applyBorder="1" applyFont="1" applyNumberFormat="1">
      <alignment vertical="bottom"/>
    </xf>
    <xf borderId="65" fillId="4" fontId="2" numFmtId="3" xfId="0" applyAlignment="1" applyBorder="1" applyFont="1" applyNumberFormat="1">
      <alignment vertical="bottom"/>
    </xf>
    <xf borderId="46" fillId="4" fontId="2" numFmtId="3" xfId="0" applyAlignment="1" applyBorder="1" applyFont="1" applyNumberFormat="1">
      <alignment vertical="bottom"/>
    </xf>
    <xf borderId="56" fillId="6" fontId="1" numFmtId="3" xfId="0" applyAlignment="1" applyBorder="1" applyFont="1" applyNumberFormat="1">
      <alignment readingOrder="0"/>
    </xf>
    <xf borderId="57" fillId="6" fontId="6" numFmtId="3" xfId="0" applyAlignment="1" applyBorder="1" applyFont="1" applyNumberFormat="1">
      <alignment readingOrder="0"/>
    </xf>
    <xf borderId="46" fillId="6" fontId="6" numFmtId="3" xfId="0" applyAlignment="1" applyBorder="1" applyFont="1" applyNumberFormat="1">
      <alignment readingOrder="0"/>
    </xf>
    <xf borderId="66" fillId="7" fontId="1" numFmtId="3" xfId="0" applyAlignment="1" applyBorder="1" applyFont="1" applyNumberFormat="1">
      <alignment readingOrder="0"/>
    </xf>
    <xf borderId="67" fillId="8" fontId="14" numFmtId="0" xfId="0" applyAlignment="1" applyBorder="1" applyFont="1">
      <alignment readingOrder="0" vertical="top"/>
    </xf>
    <xf borderId="67" fillId="8" fontId="8" numFmtId="10" xfId="0" applyAlignment="1" applyBorder="1" applyFont="1" applyNumberFormat="1">
      <alignment readingOrder="0" vertical="top"/>
    </xf>
    <xf borderId="68" fillId="8" fontId="8" numFmtId="10" xfId="0" applyAlignment="1" applyBorder="1" applyFont="1" applyNumberFormat="1">
      <alignment readingOrder="0" vertical="top"/>
    </xf>
    <xf borderId="0" fillId="2" fontId="14" numFmtId="0" xfId="0" applyAlignment="1" applyFont="1">
      <alignment readingOrder="0" vertical="top"/>
    </xf>
    <xf borderId="39" fillId="12" fontId="1" numFmtId="3" xfId="0" applyAlignment="1" applyBorder="1" applyFill="1" applyFont="1" applyNumberFormat="1">
      <alignment horizontal="center" readingOrder="0"/>
    </xf>
    <xf borderId="40" fillId="12" fontId="1" numFmtId="3" xfId="0" applyAlignment="1" applyBorder="1" applyFont="1" applyNumberFormat="1">
      <alignment horizontal="center" readingOrder="0"/>
    </xf>
    <xf borderId="41" fillId="12" fontId="1" numFmtId="3" xfId="0" applyAlignment="1" applyBorder="1" applyFont="1" applyNumberFormat="1">
      <alignment horizontal="center" readingOrder="0"/>
    </xf>
    <xf borderId="11" fillId="0" fontId="15" numFmtId="3" xfId="0" applyAlignment="1" applyBorder="1" applyFont="1" applyNumberFormat="1">
      <alignment readingOrder="0" shrinkToFit="0" vertical="bottom" wrapText="1"/>
    </xf>
    <xf borderId="39" fillId="13" fontId="1" numFmtId="3" xfId="0" applyAlignment="1" applyBorder="1" applyFill="1" applyFont="1" applyNumberFormat="1">
      <alignment horizontal="center" readingOrder="0"/>
    </xf>
    <xf borderId="40" fillId="13" fontId="1" numFmtId="3" xfId="0" applyAlignment="1" applyBorder="1" applyFont="1" applyNumberFormat="1">
      <alignment horizontal="center" readingOrder="0"/>
    </xf>
    <xf borderId="41" fillId="13" fontId="1" numFmtId="3" xfId="0" applyAlignment="1" applyBorder="1" applyFont="1" applyNumberFormat="1">
      <alignment horizontal="center" readingOrder="0"/>
    </xf>
    <xf borderId="11" fillId="2" fontId="1" numFmtId="3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56" fillId="5" fontId="1" numFmtId="3" xfId="0" applyAlignment="1" applyBorder="1" applyFont="1" applyNumberFormat="1">
      <alignment readingOrder="0"/>
    </xf>
    <xf borderId="28" fillId="5" fontId="1" numFmtId="3" xfId="0" applyAlignment="1" applyBorder="1" applyFont="1" applyNumberFormat="1">
      <alignment readingOrder="0"/>
    </xf>
    <xf borderId="57" fillId="5" fontId="1" numFmtId="3" xfId="0" applyAlignment="1" applyBorder="1" applyFont="1" applyNumberFormat="1">
      <alignment readingOrder="0"/>
    </xf>
    <xf borderId="28" fillId="5" fontId="2" numFmtId="3" xfId="0" applyAlignment="1" applyBorder="1" applyFont="1" applyNumberFormat="1">
      <alignment readingOrder="0" vertical="bottom"/>
    </xf>
    <xf borderId="29" fillId="5" fontId="2" numFmtId="3" xfId="0" applyAlignment="1" applyBorder="1" applyFont="1" applyNumberFormat="1">
      <alignment readingOrder="0" vertical="bottom"/>
    </xf>
    <xf borderId="39" fillId="14" fontId="1" numFmtId="3" xfId="0" applyAlignment="1" applyBorder="1" applyFill="1" applyFont="1" applyNumberFormat="1">
      <alignment horizontal="center" readingOrder="0"/>
    </xf>
    <xf borderId="40" fillId="14" fontId="1" numFmtId="3" xfId="0" applyAlignment="1" applyBorder="1" applyFont="1" applyNumberFormat="1">
      <alignment horizontal="center" readingOrder="0"/>
    </xf>
    <xf borderId="41" fillId="14" fontId="1" numFmtId="3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readingOrder="0"/>
    </xf>
    <xf borderId="64" fillId="4" fontId="2" numFmtId="3" xfId="0" applyAlignment="1" applyBorder="1" applyFont="1" applyNumberFormat="1">
      <alignment readingOrder="0" vertical="bottom"/>
    </xf>
    <xf borderId="69" fillId="2" fontId="1" numFmtId="3" xfId="0" applyAlignment="1" applyBorder="1" applyFont="1" applyNumberFormat="1">
      <alignment readingOrder="0"/>
    </xf>
    <xf borderId="11" fillId="4" fontId="16" numFmtId="3" xfId="0" applyAlignment="1" applyBorder="1" applyFont="1" applyNumberFormat="1">
      <alignment readingOrder="0" vertical="bottom"/>
    </xf>
    <xf borderId="12" fillId="4" fontId="16" numFmtId="3" xfId="0" applyAlignment="1" applyBorder="1" applyFont="1" applyNumberFormat="1">
      <alignment readingOrder="0" vertical="bottom"/>
    </xf>
    <xf borderId="0" fillId="4" fontId="16" numFmtId="3" xfId="0" applyAlignment="1" applyFont="1" applyNumberFormat="1">
      <alignment readingOrder="0" vertical="bottom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70" fillId="7" fontId="1" numFmtId="0" xfId="0" applyAlignment="1" applyBorder="1" applyFont="1">
      <alignment horizontal="center" readingOrder="0"/>
    </xf>
    <xf borderId="71" fillId="4" fontId="1" numFmtId="0" xfId="0" applyAlignment="1" applyBorder="1" applyFont="1">
      <alignment horizontal="center" readingOrder="0"/>
    </xf>
    <xf borderId="71" fillId="3" fontId="1" numFmtId="0" xfId="0" applyAlignment="1" applyBorder="1" applyFont="1">
      <alignment horizontal="center" readingOrder="0"/>
    </xf>
    <xf borderId="72" fillId="15" fontId="1" numFmtId="0" xfId="0" applyAlignment="1" applyBorder="1" applyFill="1" applyFont="1">
      <alignment horizontal="center" readingOrder="0"/>
    </xf>
    <xf borderId="0" fillId="0" fontId="17" numFmtId="167" xfId="0" applyAlignment="1" applyFont="1" applyNumberFormat="1">
      <alignment readingOrder="0"/>
    </xf>
    <xf borderId="52" fillId="0" fontId="17" numFmtId="167" xfId="0" applyAlignment="1" applyBorder="1" applyFont="1" applyNumberFormat="1">
      <alignment readingOrder="0"/>
    </xf>
    <xf borderId="73" fillId="0" fontId="17" numFmtId="0" xfId="0" applyAlignment="1" applyBorder="1" applyFont="1">
      <alignment readingOrder="0"/>
    </xf>
    <xf borderId="74" fillId="0" fontId="17" numFmtId="164" xfId="0" applyAlignment="1" applyBorder="1" applyFont="1" applyNumberFormat="1">
      <alignment readingOrder="0"/>
    </xf>
    <xf borderId="52" fillId="0" fontId="6" numFmtId="167" xfId="0" applyAlignment="1" applyBorder="1" applyFont="1" applyNumberFormat="1">
      <alignment readingOrder="0"/>
    </xf>
    <xf borderId="75" fillId="0" fontId="1" numFmtId="0" xfId="0" applyAlignment="1" applyBorder="1" applyFont="1">
      <alignment readingOrder="0"/>
    </xf>
    <xf borderId="73" fillId="0" fontId="1" numFmtId="0" xfId="0" applyAlignment="1" applyBorder="1" applyFont="1">
      <alignment readingOrder="0"/>
    </xf>
    <xf borderId="76" fillId="0" fontId="1" numFmtId="164" xfId="0" applyAlignment="1" applyBorder="1" applyFont="1" applyNumberFormat="1">
      <alignment readingOrder="0"/>
    </xf>
    <xf borderId="46" fillId="2" fontId="7" numFmtId="164" xfId="0" applyAlignment="1" applyBorder="1" applyFont="1" applyNumberFormat="1">
      <alignment horizontal="right" readingOrder="0"/>
    </xf>
    <xf borderId="0" fillId="2" fontId="8" numFmtId="0" xfId="0" applyAlignment="1" applyFont="1">
      <alignment horizontal="right" readingOrder="0"/>
    </xf>
    <xf borderId="76" fillId="0" fontId="1" numFmtId="3" xfId="0" applyAlignment="1" applyBorder="1" applyFont="1" applyNumberFormat="1">
      <alignment readingOrder="0"/>
    </xf>
    <xf borderId="75" fillId="0" fontId="1" numFmtId="0" xfId="0" applyBorder="1" applyFont="1"/>
    <xf borderId="76" fillId="0" fontId="1" numFmtId="0" xfId="0" applyBorder="1" applyFont="1"/>
    <xf borderId="77" fillId="0" fontId="1" numFmtId="0" xfId="0" applyBorder="1" applyFont="1"/>
    <xf borderId="78" fillId="0" fontId="1" numFmtId="0" xfId="0" applyBorder="1" applyFont="1"/>
    <xf borderId="79" fillId="0" fontId="1" numFmtId="0" xfId="0" applyAlignment="1" applyBorder="1" applyFont="1">
      <alignment readingOrder="0"/>
    </xf>
    <xf borderId="80" fillId="0" fontId="1" numFmtId="0" xfId="0" applyBorder="1" applyFont="1"/>
    <xf borderId="81" fillId="2" fontId="2" numFmtId="0" xfId="0" applyAlignment="1" applyBorder="1" applyFont="1">
      <alignment vertical="bottom"/>
    </xf>
    <xf borderId="82" fillId="2" fontId="2" numFmtId="0" xfId="0" applyAlignment="1" applyBorder="1" applyFont="1">
      <alignment vertical="bottom"/>
    </xf>
    <xf borderId="83" fillId="2" fontId="18" numFmtId="0" xfId="0" applyAlignment="1" applyBorder="1" applyFont="1">
      <alignment horizontal="center" vertical="bottom"/>
    </xf>
    <xf borderId="84" fillId="2" fontId="19" numFmtId="0" xfId="0" applyAlignment="1" applyBorder="1" applyFont="1">
      <alignment horizontal="center" vertical="bottom"/>
    </xf>
    <xf borderId="84" fillId="2" fontId="20" numFmtId="0" xfId="0" applyAlignment="1" applyBorder="1" applyFont="1">
      <alignment horizontal="center" vertical="bottom"/>
    </xf>
    <xf borderId="84" fillId="2" fontId="21" numFmtId="0" xfId="0" applyAlignment="1" applyBorder="1" applyFont="1">
      <alignment horizontal="center" vertical="bottom"/>
    </xf>
    <xf borderId="84" fillId="2" fontId="22" numFmtId="0" xfId="0" applyAlignment="1" applyBorder="1" applyFont="1">
      <alignment horizontal="center" vertical="bottom"/>
    </xf>
    <xf borderId="84" fillId="2" fontId="23" numFmtId="0" xfId="0" applyAlignment="1" applyBorder="1" applyFont="1">
      <alignment horizontal="center" vertical="bottom"/>
    </xf>
    <xf borderId="85" fillId="2" fontId="2" numFmtId="0" xfId="0" applyAlignment="1" applyBorder="1" applyFont="1">
      <alignment vertical="bottom"/>
    </xf>
    <xf borderId="86" fillId="4" fontId="2" numFmtId="164" xfId="0" applyAlignment="1" applyBorder="1" applyFont="1" applyNumberFormat="1">
      <alignment horizontal="center"/>
    </xf>
    <xf borderId="87" fillId="4" fontId="2" numFmtId="164" xfId="0" applyAlignment="1" applyBorder="1" applyFont="1" applyNumberFormat="1">
      <alignment horizontal="center"/>
    </xf>
    <xf borderId="73" fillId="16" fontId="2" numFmtId="164" xfId="0" applyBorder="1" applyFill="1" applyFont="1" applyNumberFormat="1"/>
    <xf borderId="73" fillId="4" fontId="2" numFmtId="164" xfId="0" applyAlignment="1" applyBorder="1" applyFont="1" applyNumberFormat="1">
      <alignment horizontal="center" readingOrder="0"/>
    </xf>
    <xf borderId="73" fillId="5" fontId="2" numFmtId="164" xfId="0" applyAlignment="1" applyBorder="1" applyFont="1" applyNumberFormat="1">
      <alignment horizontal="center"/>
    </xf>
    <xf borderId="73" fillId="2" fontId="2" numFmtId="164" xfId="0" applyAlignment="1" applyBorder="1" applyFont="1" applyNumberFormat="1">
      <alignment readingOrder="0"/>
    </xf>
    <xf borderId="73" fillId="2" fontId="2" numFmtId="164" xfId="0" applyBorder="1" applyFont="1" applyNumberFormat="1"/>
    <xf borderId="0" fillId="9" fontId="12" numFmtId="164" xfId="0" applyAlignment="1" applyFont="1" applyNumberFormat="1">
      <alignment horizontal="center"/>
    </xf>
    <xf borderId="0" fillId="9" fontId="2" numFmtId="164" xfId="0" applyFont="1" applyNumberFormat="1"/>
    <xf borderId="0" fillId="9" fontId="2" numFmtId="164" xfId="0" applyAlignment="1" applyFont="1" applyNumberFormat="1">
      <alignment horizontal="center"/>
    </xf>
    <xf borderId="73" fillId="4" fontId="2" numFmtId="164" xfId="0" applyAlignment="1" applyBorder="1" applyFont="1" applyNumberFormat="1">
      <alignment horizontal="center"/>
    </xf>
    <xf borderId="87" fillId="2" fontId="2" numFmtId="164" xfId="0" applyBorder="1" applyFont="1" applyNumberFormat="1"/>
    <xf borderId="85" fillId="8" fontId="2" numFmtId="0" xfId="0" applyAlignment="1" applyBorder="1" applyFont="1">
      <alignment vertical="bottom"/>
    </xf>
    <xf borderId="73" fillId="4" fontId="2" numFmtId="164" xfId="0" applyAlignment="1" applyBorder="1" applyFont="1" applyNumberFormat="1">
      <alignment readingOrder="0"/>
    </xf>
    <xf borderId="88" fillId="8" fontId="2" numFmtId="0" xfId="0" applyAlignment="1" applyBorder="1" applyFont="1">
      <alignment vertical="bottom"/>
    </xf>
    <xf borderId="86" fillId="4" fontId="2" numFmtId="164" xfId="0" applyBorder="1" applyFont="1" applyNumberFormat="1"/>
    <xf borderId="75" fillId="4" fontId="2" numFmtId="164" xfId="0" applyAlignment="1" applyBorder="1" applyFont="1" applyNumberFormat="1">
      <alignment readingOrder="0"/>
    </xf>
    <xf borderId="87" fillId="4" fontId="2" numFmtId="164" xfId="0" applyAlignment="1" applyBorder="1" applyFont="1" applyNumberFormat="1">
      <alignment horizontal="center" readingOrder="0"/>
    </xf>
    <xf borderId="86" fillId="2" fontId="2" numFmtId="164" xfId="0" applyAlignment="1" applyBorder="1" applyFont="1" applyNumberFormat="1">
      <alignment horizontal="right" readingOrder="0"/>
    </xf>
    <xf borderId="87" fillId="4" fontId="2" numFmtId="164" xfId="0" applyAlignment="1" applyBorder="1" applyFont="1" applyNumberFormat="1">
      <alignment horizontal="right" readingOrder="0"/>
    </xf>
    <xf borderId="73" fillId="2" fontId="2" numFmtId="164" xfId="0" applyAlignment="1" applyBorder="1" applyFont="1" applyNumberFormat="1">
      <alignment horizontal="right" readingOrder="0"/>
    </xf>
    <xf borderId="73" fillId="4" fontId="2" numFmtId="164" xfId="0" applyAlignment="1" applyBorder="1" applyFont="1" applyNumberFormat="1">
      <alignment horizontal="right" readingOrder="0"/>
    </xf>
    <xf borderId="0" fillId="0" fontId="1" numFmtId="164" xfId="0" applyFont="1" applyNumberFormat="1"/>
    <xf borderId="87" fillId="2" fontId="2" numFmtId="164" xfId="0" applyAlignment="1" applyBorder="1" applyFont="1" applyNumberFormat="1">
      <alignment horizontal="right" readingOrder="0"/>
    </xf>
    <xf borderId="86" fillId="4" fontId="2" numFmtId="164" xfId="0" applyAlignment="1" applyBorder="1" applyFont="1" applyNumberFormat="1">
      <alignment horizontal="right" readingOrder="0"/>
    </xf>
    <xf borderId="75" fillId="4" fontId="2" numFmtId="164" xfId="0" applyAlignment="1" applyBorder="1" applyFont="1" applyNumberFormat="1">
      <alignment horizontal="right" readingOrder="0"/>
    </xf>
    <xf borderId="0" fillId="0" fontId="1" numFmtId="0" xfId="0" applyFont="1"/>
    <xf borderId="20" fillId="0" fontId="1" numFmtId="0" xfId="0" applyAlignment="1" applyBorder="1" applyFont="1">
      <alignment readingOrder="0"/>
    </xf>
    <xf borderId="20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天池紫音" id="{04a23198-12b0-4afb-8ebe-f97a826c2d2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" dT="2025-02-17T12:11:06.00" personId="{04a23198-12b0-4afb-8ebe-f97a826c2d25}" id="{45902baa-76a1-41ed-8403-a8253acf1a0a}" done="0">
    <x18tc:text xml:space="preserve">トップ、ダイアモンド、プラチナまで</x18tc:text>
  </x18tc:threadedComment>
  <x18tc:threadedComment ref="E10" dT="2025-02-17T12:10:16.00" personId="{04a23198-12b0-4afb-8ebe-f97a826c2d25}" id="{5d0502bc-365d-45c3-9bf5-6f8dc53d38e9}" done="0">
    <x18tc:text xml:space="preserve">TOPのみ</x18tc:text>
  </x18tc:threadedComment>
  <x18tc:threadedComment ref="G3" dT="2025-02-27T09:29:27.00" personId="{04a23198-12b0-4afb-8ebe-f97a826c2d25}" id="{726d7f3e-c0d5-4bd6-aa7c-5bbed07a1d18}" done="0">
    <x18tc:text xml:space="preserve">226人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" dT="2025-02-17T12:15:10.00" personId="{04a23198-12b0-4afb-8ebe-f97a826c2d25}" id="{7a58bdf6-82a4-475b-b3df-890e8f68b08b}" done="0">
    <x18tc:text xml:space="preserve">トップのみ</x18tc:text>
  </x18tc:threadedComment>
  <x18tc:threadedComment ref="G3" dT="2025-04-04T10:01:12.00" personId="{04a23198-12b0-4afb-8ebe-f97a826c2d25}" id="{581e900f-b590-4454-b536-ac582811d4d8}" done="0">
    <x18tc:text xml:space="preserve">123人</x18tc:text>
  </x18tc:threadedComment>
  <x18tc:threadedComment ref="F10" dT="2025-02-17T12:14:58.00" personId="{04a23198-12b0-4afb-8ebe-f97a826c2d25}" id="{db3d9da9-1773-4dac-8151-e72fa4b9154c}" done="0">
    <x18tc:text xml:space="preserve">トップ、ダイアモンド、プラチナ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ywz4C1U-ceRPjIl1sGaa7G4Xvr_a0JUU/view?usp=drive_link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file/d/1El16L2Iv_oMBjHQS9barEaxpPBOLGlFx/view?usp=drive_link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_qGi7Zd2Zt_Bf6mqvuKF4G0wiVt3y-P/view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KJI3vTwEePSOuG_VhdstadJVtKuFCjm/view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FL-Xai3SG51WbHs_WrPGoqxrnKgXbx-/view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hPQfBQ3izWmyzcpQiYmEvVh1kOpcvD9/view?usp=drive_lin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2.88"/>
    <col customWidth="1" min="3" max="3" width="18.75"/>
    <col customWidth="1" min="4" max="4" width="13.25"/>
    <col customWidth="1" min="5" max="5" width="10.38"/>
    <col customWidth="1" min="6" max="6" width="20.13"/>
    <col customWidth="1" min="7" max="7" width="20.88"/>
    <col customWidth="1" min="8" max="8" width="26.75"/>
    <col customWidth="1" min="9" max="16" width="17.5"/>
  </cols>
  <sheetData>
    <row r="1" ht="39.75" customHeight="1">
      <c r="A1" s="1" t="s">
        <v>0</v>
      </c>
      <c r="B1" s="2"/>
      <c r="C1" s="3"/>
      <c r="D1" s="4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</row>
    <row r="2">
      <c r="A2" s="7" t="s">
        <v>1</v>
      </c>
      <c r="B2" s="8" t="s">
        <v>2</v>
      </c>
      <c r="C2" s="9" t="s">
        <v>3</v>
      </c>
      <c r="D2" s="10" t="s">
        <v>4</v>
      </c>
      <c r="E2" s="5"/>
      <c r="F2" s="5"/>
      <c r="G2" s="11"/>
      <c r="H2" s="11"/>
      <c r="I2" s="6"/>
      <c r="J2" s="6"/>
      <c r="K2" s="6"/>
      <c r="L2" s="6"/>
      <c r="M2" s="6"/>
      <c r="N2" s="6"/>
      <c r="O2" s="6"/>
      <c r="P2" s="6"/>
    </row>
    <row r="3">
      <c r="A3" s="12" t="s">
        <v>5</v>
      </c>
      <c r="B3" s="13">
        <f>'SFF①（日野市民会館）'!D3+'SFF②（パピヨン24ガスホール）'!D3+'SFF③（大阪国際交流センター）'!D3+'SFF④（青葉の森公園芸術文化ホール） '!D3+'SFF⑤（松田町生涯学習センター） '!D3+'SFF⑥（ALL草加市文化会館）'!D3</f>
        <v>4240000</v>
      </c>
      <c r="C3" s="14">
        <f>'SFF①（日野市民会館）'!E3+'SFF②（パピヨン24ガスホール）'!E3+'SFF③（大阪国際交流センター）'!E3+'SFF④（青葉の森公園芸術文化ホール） '!E3+'SFF⑤（松田町生涯学習センター） '!E3+'SFF⑥（ALL草加市文化会館）'!E3</f>
        <v>5300000</v>
      </c>
      <c r="D3" s="15">
        <f>'SFF①（日野市民会館）'!F3+'SFF②（パピヨン24ガスホール）'!F3+'SFF③（大阪国際交流センター）'!F3+'SFF④（青葉の森公園芸術文化ホール） '!F3+'SFF⑤（松田町生涯学習センター） '!F3+'SFF⑥（ALL草加市文化会館）'!F3</f>
        <v>6360000</v>
      </c>
      <c r="E3" s="16"/>
      <c r="F3" s="5"/>
      <c r="G3" s="11"/>
      <c r="H3" s="11"/>
      <c r="I3" s="11"/>
      <c r="J3" s="11"/>
      <c r="K3" s="11"/>
      <c r="L3" s="11"/>
      <c r="M3" s="11"/>
      <c r="N3" s="11"/>
      <c r="O3" s="11"/>
      <c r="P3" s="11"/>
    </row>
    <row r="4">
      <c r="A4" s="12" t="s">
        <v>6</v>
      </c>
      <c r="B4" s="13">
        <f>'SFF①（日野市民会館）'!D4+'SFF②（パピヨン24ガスホール）'!D4+'SFF③（大阪国際交流センター）'!D4+'SFF④（青葉の森公園芸術文化ホール） '!D4+'SFF⑤（松田町生涯学習センター） '!D4+'SFF⑥（ALL草加市文化会館）'!D4</f>
        <v>19295584</v>
      </c>
      <c r="C4" s="14">
        <f>'SFF①（日野市民会館）'!E4+'SFF②（パピヨン24ガスホール）'!E4+'SFF③（大阪国際交流センター）'!E4+'SFF④（青葉の森公園芸術文化ホール） '!E4+'SFF⑤（松田町生涯学習センター） '!E4+'SFF⑥（ALL草加市文化会館）'!E4</f>
        <v>24119480</v>
      </c>
      <c r="D4" s="15">
        <f>'SFF①（日野市民会館）'!F4+'SFF②（パピヨン24ガスホール）'!F4+'SFF③（大阪国際交流センター）'!F4+'SFF④（青葉の森公園芸術文化ホール） '!F4+'SFF⑤（松田町生涯学習センター） '!F4+'SFF⑥（ALL草加市文化会館）'!F4</f>
        <v>28943376</v>
      </c>
      <c r="E4" s="5"/>
      <c r="F4" s="5"/>
      <c r="G4" s="11"/>
      <c r="H4" s="11"/>
      <c r="I4" s="11"/>
      <c r="J4" s="11"/>
      <c r="K4" s="11"/>
      <c r="L4" s="11"/>
      <c r="M4" s="11"/>
      <c r="N4" s="11"/>
      <c r="O4" s="11"/>
      <c r="P4" s="11"/>
    </row>
    <row r="5">
      <c r="A5" s="12" t="s">
        <v>7</v>
      </c>
      <c r="B5" s="13">
        <f>'SFF①（日野市民会館）'!D5+'SFF②（パピヨン24ガスホール）'!D5+'SFF③（大阪国際交流センター）'!D5+'SFF④（青葉の森公園芸術文化ホール） '!D5+'SFF⑤（松田町生涯学習センター） '!D5+'SFF⑥（ALL草加市文化会館）'!D5</f>
        <v>1161600</v>
      </c>
      <c r="C5" s="14">
        <f>'SFF①（日野市民会館）'!E5+'SFF②（パピヨン24ガスホール）'!E5+'SFF③（大阪国際交流センター）'!E5+'SFF④（青葉の森公園芸術文化ホール） '!E5+'SFF⑤（松田町生涯学習センター） '!E5+'SFF⑥（ALL草加市文化会館）'!E5</f>
        <v>1452000</v>
      </c>
      <c r="D5" s="15">
        <f>'SFF①（日野市民会館）'!F5+'SFF②（パピヨン24ガスホール）'!F5+'SFF③（大阪国際交流センター）'!F5+'SFF④（青葉の森公園芸術文化ホール） '!F5+'SFF⑤（松田町生涯学習センター） '!F5+'SFF⑥（ALL草加市文化会館）'!F5</f>
        <v>1742400</v>
      </c>
      <c r="E5" s="5"/>
      <c r="F5" s="5"/>
      <c r="G5" s="11"/>
      <c r="H5" s="11"/>
      <c r="I5" s="11"/>
      <c r="J5" s="11"/>
      <c r="K5" s="11"/>
      <c r="L5" s="11"/>
      <c r="M5" s="11"/>
      <c r="N5" s="11"/>
      <c r="O5" s="11"/>
      <c r="P5" s="11"/>
    </row>
    <row r="6">
      <c r="A6" s="17" t="s">
        <v>8</v>
      </c>
      <c r="B6" s="13">
        <f>'SFF①（日野市民会館）'!D6+'SFF②（パピヨン24ガスホール）'!D6+'SFF③（大阪国際交流センター）'!D6+'SFF④（青葉の森公園芸術文化ホール） '!D6+'SFF⑤（松田町生涯学習センター） '!D6+'SFF⑥（ALL草加市文化会館）'!D6</f>
        <v>1056000</v>
      </c>
      <c r="C6" s="14">
        <f>'SFF①（日野市民会館）'!E6+'SFF②（パピヨン24ガスホール）'!E6+'SFF③（大阪国際交流センター）'!E6+'SFF④（青葉の森公園芸術文化ホール） '!E6+'SFF⑤（松田町生涯学習センター） '!E6+'SFF⑥（ALL草加市文化会館）'!E6</f>
        <v>1320000</v>
      </c>
      <c r="D6" s="15">
        <f>'SFF①（日野市民会館）'!F6+'SFF②（パピヨン24ガスホール）'!F6+'SFF③（大阪国際交流センター）'!F6+'SFF④（青葉の森公園芸術文化ホール） '!F6+'SFF⑤（松田町生涯学習センター） '!F6+'SFF⑥（ALL草加市文化会館）'!F6</f>
        <v>1584000</v>
      </c>
      <c r="E6" s="5"/>
      <c r="F6" s="5"/>
      <c r="G6" s="18"/>
      <c r="H6" s="19"/>
      <c r="I6" s="18"/>
      <c r="J6" s="18"/>
      <c r="K6" s="18"/>
      <c r="L6" s="18"/>
      <c r="M6" s="18"/>
      <c r="N6" s="18"/>
      <c r="O6" s="18"/>
      <c r="P6" s="18"/>
    </row>
    <row r="7">
      <c r="A7" s="20" t="s">
        <v>9</v>
      </c>
      <c r="B7" s="13">
        <f>'SFF①（日野市民会館）'!D7+'SFF②（パピヨン24ガスホール）'!D7+'SFF③（大阪国際交流センター）'!D7+'SFF④（青葉の森公園芸術文化ホール） '!D7+'SFF⑤（松田町生涯学習センター） '!D7+'SFF⑥（ALL草加市文化会館）'!D7</f>
        <v>928000</v>
      </c>
      <c r="C7" s="14">
        <f>'SFF①（日野市民会館）'!E7+'SFF②（パピヨン24ガスホール）'!E7+'SFF③（大阪国際交流センター）'!E7+'SFF④（青葉の森公園芸術文化ホール） '!E7+'SFF⑤（松田町生涯学習センター） '!E7+'SFF⑥（ALL草加市文化会館）'!E7</f>
        <v>1160000</v>
      </c>
      <c r="D7" s="15">
        <f>'SFF①（日野市民会館）'!F7+'SFF②（パピヨン24ガスホール）'!F7+'SFF③（大阪国際交流センター）'!F7+'SFF④（青葉の森公園芸術文化ホール） '!F7+'SFF⑤（松田町生涯学習センター） '!F7+'SFF⑥（ALL草加市文化会館）'!F7</f>
        <v>1392000</v>
      </c>
      <c r="E7" s="5"/>
      <c r="F7" s="5"/>
      <c r="G7" s="19"/>
      <c r="H7" s="19"/>
      <c r="I7" s="19"/>
      <c r="J7" s="19"/>
      <c r="K7" s="19"/>
      <c r="L7" s="19"/>
      <c r="M7" s="19"/>
      <c r="N7" s="19"/>
      <c r="O7" s="19"/>
      <c r="P7" s="19"/>
    </row>
    <row r="8">
      <c r="A8" s="20" t="s">
        <v>10</v>
      </c>
      <c r="B8" s="13">
        <f>'SFF①（日野市民会館）'!D8+'SFF②（パピヨン24ガスホール）'!D8+'SFF③（大阪国際交流センター）'!D8+'SFF④（青葉の森公園芸術文化ホール） '!D8+'SFF⑤（松田町生涯学習センター） '!D8+'SFF⑥（ALL草加市文化会館）'!D8</f>
        <v>2256000</v>
      </c>
      <c r="C8" s="14">
        <f>'SFF①（日野市民会館）'!E8+'SFF②（パピヨン24ガスホール）'!E8+'SFF③（大阪国際交流センター）'!E8+'SFF④（青葉の森公園芸術文化ホール） '!E8+'SFF⑤（松田町生涯学習センター） '!E8+'SFF⑥（ALL草加市文化会館）'!E8</f>
        <v>2820000</v>
      </c>
      <c r="D8" s="15">
        <f>'SFF①（日野市民会館）'!F8+'SFF②（パピヨン24ガスホール）'!F8+'SFF③（大阪国際交流センター）'!F8+'SFF④（青葉の森公園芸術文化ホール） '!F8+'SFF⑤（松田町生涯学習センター） '!F8+'SFF⑥（ALL草加市文化会館）'!F8</f>
        <v>3384000</v>
      </c>
      <c r="E8" s="5"/>
      <c r="F8" s="5"/>
      <c r="G8" s="19"/>
      <c r="H8" s="19"/>
      <c r="I8" s="19"/>
      <c r="J8" s="19"/>
      <c r="K8" s="19"/>
      <c r="L8" s="19"/>
      <c r="M8" s="19"/>
      <c r="N8" s="19"/>
      <c r="O8" s="19"/>
      <c r="P8" s="19"/>
    </row>
    <row r="9">
      <c r="A9" s="21" t="s">
        <v>11</v>
      </c>
      <c r="B9" s="13">
        <f>'SFF①（日野市民会館）'!D9+'SFF②（パピヨン24ガスホール）'!D9+'SFF③（大阪国際交流センター）'!D9+'SFF④（青葉の森公園芸術文化ホール） '!D9+'SFF⑤（松田町生涯学習センター） '!D9+'SFF⑥（ALL草加市文化会館）'!D9</f>
        <v>720000</v>
      </c>
      <c r="C9" s="14">
        <f>'SFF①（日野市民会館）'!E9+'SFF②（パピヨン24ガスホール）'!E9+'SFF③（大阪国際交流センター）'!E9+'SFF④（青葉の森公園芸術文化ホール） '!E9+'SFF⑤（松田町生涯学習センター） '!E9+'SFF⑥（ALL草加市文化会館）'!E9</f>
        <v>900000</v>
      </c>
      <c r="D9" s="15">
        <f>'SFF①（日野市民会館）'!F9+'SFF②（パピヨン24ガスホール）'!F9+'SFF③（大阪国際交流センター）'!F9+'SFF④（青葉の森公園芸術文化ホール） '!F9+'SFF⑤（松田町生涯学習センター） '!F9+'SFF⑥（ALL草加市文化会館）'!F9</f>
        <v>1080000</v>
      </c>
      <c r="E9" s="5"/>
      <c r="F9" s="5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>
      <c r="A10" s="12" t="s">
        <v>12</v>
      </c>
      <c r="B10" s="13">
        <f>'SFF①（日野市民会館）'!D10+'SFF②（パピヨン24ガスホール）'!D10+'SFF③（大阪国際交流センター）'!D10+'SFF④（青葉の森公園芸術文化ホール） '!D10+'SFF⑤（松田町生涯学習センター） '!D10+'SFF⑥（ALL草加市文化会館）'!D10</f>
        <v>8170000</v>
      </c>
      <c r="C10" s="14">
        <f>'SFF①（日野市民会館）'!E10+'SFF②（パピヨン24ガスホール）'!E10+'SFF③（大阪国際交流センター）'!E10+'SFF④（青葉の森公園芸術文化ホール） '!E10+'SFF⑤（松田町生涯学習センター） '!E10+'SFF⑥（ALL草加市文化会館）'!E10</f>
        <v>8170000</v>
      </c>
      <c r="D10" s="15">
        <f>'SFF①（日野市民会館）'!F10+'SFF②（パピヨン24ガスホール）'!F10+'SFF③（大阪国際交流センター）'!F10+'SFF④（青葉の森公園芸術文化ホール） '!F10+'SFF⑤（松田町生涯学習センター） '!F10+'SFF⑥（ALL草加市文化会館）'!F10</f>
        <v>11900000</v>
      </c>
      <c r="E10" s="11"/>
      <c r="F10" s="11"/>
      <c r="G10" s="18"/>
      <c r="H10" s="18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>
      <c r="A11" s="22" t="s">
        <v>13</v>
      </c>
      <c r="B11" s="23">
        <f t="shared" ref="B11:D11" si="1">SUM(B3:B10)</f>
        <v>37827184</v>
      </c>
      <c r="C11" s="24">
        <f t="shared" si="1"/>
        <v>45241480</v>
      </c>
      <c r="D11" s="25">
        <f t="shared" si="1"/>
        <v>56385776</v>
      </c>
      <c r="E11" s="5"/>
      <c r="F11" s="5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>
      <c r="A12" s="26" t="s">
        <v>14</v>
      </c>
      <c r="B12" s="27"/>
      <c r="C12" s="28"/>
      <c r="D12" s="29"/>
      <c r="E12" s="5"/>
      <c r="F12" s="5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>
      <c r="A13" s="12" t="s">
        <v>15</v>
      </c>
      <c r="B13" s="13">
        <f>'SFF①（日野市民会館）'!D13+'SFF②（パピヨン24ガスホール）'!D13+'SFF③（大阪国際交流センター）'!D13+'SFF④（青葉の森公園芸術文化ホール） '!D13+'SFF⑤（松田町生涯学習センター） '!D13+'SFF⑥（ALL草加市文化会館）'!D13</f>
        <v>152640</v>
      </c>
      <c r="C13" s="14">
        <f>'SFF①（日野市民会館）'!E13+'SFF②（パピヨン24ガスホール）'!E13+'SFF③（大阪国際交流センター）'!E13+'SFF④（青葉の森公園芸術文化ホール） '!E13+'SFF⑤（松田町生涯学習センター） '!E13+'SFF⑥（ALL草加市文化会館）'!E13</f>
        <v>190800</v>
      </c>
      <c r="D13" s="15">
        <f>'SFF①（日野市民会館）'!F13+'SFF②（パピヨン24ガスホール）'!F13+'SFF③（大阪国際交流センター）'!F13+'SFF④（青葉の森公園芸術文化ホール） '!F13+'SFF⑤（松田町生涯学習センター） '!F13+'SFF⑥（ALL草加市文化会館）'!F13</f>
        <v>228960</v>
      </c>
      <c r="E13" s="5"/>
      <c r="F13" s="5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30" t="s">
        <v>16</v>
      </c>
      <c r="B14" s="13">
        <f>'SFF①（日野市民会館）'!D14+'SFF②（パピヨン24ガスホール）'!D14+'SFF③（大阪国際交流センター）'!D14+'SFF④（青葉の森公園芸術文化ホール） '!D14+'SFF⑤（松田町生涯学習センター） '!D14+'SFF⑥（ALL草加市文化会館）'!D14</f>
        <v>694641.024</v>
      </c>
      <c r="C14" s="14">
        <f>'SFF①（日野市民会館）'!E14+'SFF②（パピヨン24ガスホール）'!E14+'SFF③（大阪国際交流センター）'!E14+'SFF④（青葉の森公園芸術文化ホール） '!E14+'SFF⑤（松田町生涯学習センター） '!E14+'SFF⑥（ALL草加市文化会館）'!E14</f>
        <v>868301.28</v>
      </c>
      <c r="D14" s="15">
        <f>'SFF①（日野市民会館）'!F14+'SFF②（パピヨン24ガスホール）'!F14+'SFF③（大阪国際交流センター）'!F14+'SFF④（青葉の森公園芸術文化ホール） '!F14+'SFF⑤（松田町生涯学習センター） '!F14+'SFF⑥（ALL草加市文化会館）'!F14</f>
        <v>1041961.536</v>
      </c>
      <c r="E14" s="5"/>
      <c r="F14" s="5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30" t="s">
        <v>17</v>
      </c>
      <c r="B15" s="13">
        <f>'SFF①（日野市民会館）'!D15+'SFF②（パピヨン24ガスホール）'!D15+'SFF③（大阪国際交流センター）'!D15+'SFF④（青葉の森公園芸術文化ホール） '!D15+'SFF⑤（松田町生涯学習センター） '!D15+'SFF⑥（ALL草加市文化会館）'!D15</f>
        <v>41817.6</v>
      </c>
      <c r="C15" s="14">
        <f>'SFF①（日野市民会館）'!E15+'SFF②（パピヨン24ガスホール）'!E15+'SFF③（大阪国際交流センター）'!E15+'SFF④（青葉の森公園芸術文化ホール） '!E15+'SFF⑤（松田町生涯学習センター） '!E15+'SFF⑥（ALL草加市文化会館）'!E15</f>
        <v>52272</v>
      </c>
      <c r="D15" s="15">
        <f>'SFF①（日野市民会館）'!F15+'SFF②（パピヨン24ガスホール）'!F15+'SFF③（大阪国際交流センター）'!F15+'SFF④（青葉の森公園芸術文化ホール） '!F15+'SFF⑤（松田町生涯学習センター） '!F15+'SFF⑥（ALL草加市文化会館）'!F15</f>
        <v>62726.4</v>
      </c>
      <c r="E15" s="5"/>
      <c r="F15" s="5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31" t="s">
        <v>18</v>
      </c>
      <c r="B16" s="13">
        <f>'SFF①（日野市民会館）'!D16+'SFF②（パピヨン24ガスホール）'!D16+'SFF③（大阪国際交流センター）'!D16+'SFF④（青葉の森公園芸術文化ホール） '!D16+'SFF⑤（松田町生涯学習センター） '!D16+'SFF⑥（ALL草加市文化会館）'!D16</f>
        <v>0</v>
      </c>
      <c r="C16" s="14">
        <f>'SFF①（日野市民会館）'!E16+'SFF②（パピヨン24ガスホール）'!E16+'SFF③（大阪国際交流センター）'!E16+'SFF④（青葉の森公園芸術文化ホール） '!E16+'SFF⑤（松田町生涯学習センター） '!E16+'SFF⑥（ALL草加市文化会館）'!E16</f>
        <v>0</v>
      </c>
      <c r="D16" s="15">
        <f>'SFF①（日野市民会館）'!F16+'SFF②（パピヨン24ガスホール）'!F16+'SFF③（大阪国際交流センター）'!F16+'SFF④（青葉の森公園芸術文化ホール） '!F16+'SFF⑤（松田町生涯学習センター） '!F16+'SFF⑥（ALL草加市文化会館）'!F16</f>
        <v>0</v>
      </c>
      <c r="E16" s="5"/>
      <c r="F16" s="5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>
      <c r="A17" s="31" t="s">
        <v>19</v>
      </c>
      <c r="B17" s="13">
        <f>'SFF①（日野市民会館）'!D17+'SFF②（パピヨン24ガスホール）'!D17+'SFF③（大阪国際交流センター）'!D17+'SFF④（青葉の森公園芸術文化ホール） '!D17+'SFF⑤（松田町生涯学習センター） '!D17+'SFF⑥（ALL草加市文化会館）'!D17</f>
        <v>25920</v>
      </c>
      <c r="C17" s="14">
        <f>'SFF①（日野市民会館）'!E17+'SFF②（パピヨン24ガスホール）'!E17+'SFF③（大阪国際交流センター）'!E17+'SFF④（青葉の森公園芸術文化ホール） '!E17+'SFF⑤（松田町生涯学習センター） '!E17+'SFF⑥（ALL草加市文化会館）'!E17</f>
        <v>32400</v>
      </c>
      <c r="D17" s="15">
        <f>'SFF①（日野市民会館）'!F17+'SFF②（パピヨン24ガスホール）'!F17+'SFF③（大阪国際交流センター）'!F17+'SFF④（青葉の森公園芸術文化ホール） '!F17+'SFF⑤（松田町生涯学習センター） '!F17+'SFF⑥（ALL草加市文化会館）'!F17</f>
        <v>38880</v>
      </c>
      <c r="E17" s="5"/>
      <c r="F17" s="5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>
      <c r="A18" s="32" t="s">
        <v>20</v>
      </c>
      <c r="B18" s="13">
        <f>'SFF①（日野市民会館）'!D18+'SFF②（パピヨン24ガスホール）'!D18+'SFF③（大阪国際交流センター）'!D18+'SFF④（青葉の森公園芸術文化ホール） '!D18+'SFF⑤（松田町生涯学習センター） '!D18+'SFF⑥（ALL草加市文化会館）'!D18</f>
        <v>1400000</v>
      </c>
      <c r="C18" s="14">
        <f>'SFF①（日野市民会館）'!E18+'SFF②（パピヨン24ガスホール）'!E18+'SFF③（大阪国際交流センター）'!E18+'SFF④（青葉の森公園芸術文化ホール） '!E18+'SFF⑤（松田町生涯学習センター） '!E18+'SFF⑥（ALL草加市文化会館）'!E18</f>
        <v>1400000</v>
      </c>
      <c r="D18" s="15">
        <f>'SFF①（日野市民会館）'!F18+'SFF②（パピヨン24ガスホール）'!F18+'SFF③（大阪国際交流センター）'!F18+'SFF④（青葉の森公園芸術文化ホール） '!F18+'SFF⑤（松田町生涯学習センター） '!F18+'SFF⑥（ALL草加市文化会館）'!F18</f>
        <v>1400000</v>
      </c>
      <c r="E18" s="5"/>
      <c r="F18" s="5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>
      <c r="A19" s="33" t="s">
        <v>21</v>
      </c>
      <c r="B19" s="13">
        <f>'SFF①（日野市民会館）'!D19+'SFF②（パピヨン24ガスホール）'!D19+'SFF③（大阪国際交流センター）'!D19+'SFF④（青葉の森公園芸術文化ホール） '!D19+'SFF⑤（松田町生涯学習センター） '!D19+'SFF⑥（ALL草加市文化会館）'!D19</f>
        <v>7909300</v>
      </c>
      <c r="C19" s="14">
        <f>'SFF①（日野市民会館）'!E19+'SFF②（パピヨン24ガスホール）'!E19+'SFF③（大阪国際交流センター）'!E19+'SFF④（青葉の森公園芸術文化ホール） '!E19+'SFF⑤（松田町生涯学習センター） '!E19+'SFF⑥（ALL草加市文化会館）'!E19</f>
        <v>7909300</v>
      </c>
      <c r="D19" s="15">
        <f>'SFF①（日野市民会館）'!F19+'SFF②（パピヨン24ガスホール）'!F19+'SFF③（大阪国際交流センター）'!F19+'SFF④（青葉の森公園芸術文化ホール） '!F19+'SFF⑤（松田町生涯学習センター） '!F19+'SFF⑥（ALL草加市文化会館）'!F19</f>
        <v>7909300</v>
      </c>
      <c r="E19" s="5"/>
      <c r="F19" s="5"/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>
      <c r="A20" s="20" t="s">
        <v>22</v>
      </c>
      <c r="B20" s="13">
        <f>'SFF①（日野市民会館）'!D20+'SFF②（パピヨン24ガスホール）'!D20+'SFF③（大阪国際交流センター）'!D20+'SFF④（青葉の森公園芸術文化ホール） '!D20+'SFF⑤（松田町生涯学習センター） '!D20+'SFF⑥（ALL草加市文化会館）'!D20</f>
        <v>300000</v>
      </c>
      <c r="C20" s="14">
        <f>'SFF①（日野市民会館）'!E20+'SFF②（パピヨン24ガスホール）'!E20+'SFF③（大阪国際交流センター）'!E20+'SFF④（青葉の森公園芸術文化ホール） '!E20+'SFF⑤（松田町生涯学習センター） '!E20+'SFF⑥（ALL草加市文化会館）'!E20</f>
        <v>300000</v>
      </c>
      <c r="D20" s="15">
        <f>'SFF①（日野市民会館）'!F20+'SFF②（パピヨン24ガスホール）'!F20+'SFF③（大阪国際交流センター）'!F20+'SFF④（青葉の森公園芸術文化ホール） '!F20+'SFF⑤（松田町生涯学習センター） '!F20+'SFF⑥（ALL草加市文化会館）'!F20</f>
        <v>300000</v>
      </c>
      <c r="E20" s="16"/>
      <c r="F20" s="5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>
      <c r="A21" s="34" t="s">
        <v>23</v>
      </c>
      <c r="B21" s="13">
        <f>'SFF①（日野市民会館）'!D21+'SFF②（パピヨン24ガスホール）'!D21+'SFF③（大阪国際交流センター）'!D21+'SFF④（青葉の森公園芸術文化ホール） '!D21+'SFF⑤（松田町生涯学習センター） '!D21+'SFF⑥（ALL草加市文化会館）'!D21</f>
        <v>0</v>
      </c>
      <c r="C21" s="14">
        <f>'SFF①（日野市民会館）'!E21+'SFF②（パピヨン24ガスホール）'!E21+'SFF③（大阪国際交流センター）'!E21+'SFF④（青葉の森公園芸術文化ホール） '!E21+'SFF⑤（松田町生涯学習センター） '!E21+'SFF⑥（ALL草加市文化会館）'!E21</f>
        <v>296000</v>
      </c>
      <c r="D21" s="15">
        <f>'SFF①（日野市民会館）'!F21+'SFF②（パピヨン24ガスホール）'!F21+'SFF③（大阪国際交流センター）'!F21+'SFF④（青葉の森公園芸術文化ホール） '!F21+'SFF⑤（松田町生涯学習センター） '!F21+'SFF⑥（ALL草加市文化会館）'!F21</f>
        <v>0</v>
      </c>
      <c r="E21" s="16"/>
      <c r="F21" s="5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>
      <c r="A22" s="20" t="s">
        <v>24</v>
      </c>
      <c r="B22" s="13">
        <f>'SFF①（日野市民会館）'!D22+'SFF②（パピヨン24ガスホール）'!D22+'SFF③（大阪国際交流センター）'!D22+'SFF④（青葉の森公園芸術文化ホール） '!D22+'SFF⑤（松田町生涯学習センター） '!D22+'SFF⑥（ALL草加市文化会館）'!D22</f>
        <v>2350000</v>
      </c>
      <c r="C22" s="14">
        <f>'SFF①（日野市民会館）'!E22+'SFF②（パピヨン24ガスホール）'!E22+'SFF③（大阪国際交流センター）'!E22+'SFF④（青葉の森公園芸術文化ホール） '!E22+'SFF⑤（松田町生涯学習センター） '!E22+'SFF⑥（ALL草加市文化会館）'!E22</f>
        <v>2350000</v>
      </c>
      <c r="D22" s="15">
        <f>'SFF①（日野市民会館）'!F22+'SFF②（パピヨン24ガスホール）'!F22+'SFF③（大阪国際交流センター）'!F22+'SFF④（青葉の森公園芸術文化ホール） '!F22+'SFF⑤（松田町生涯学習センター） '!F22+'SFF⑥（ALL草加市文化会館）'!F22</f>
        <v>2350000</v>
      </c>
      <c r="E22" s="16">
        <f>'購入品リスト'!E11+'購入品リスト'!E13</f>
        <v>690162</v>
      </c>
      <c r="F22" s="5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>
      <c r="A23" s="35" t="s">
        <v>25</v>
      </c>
      <c r="B23" s="13">
        <f>'SFF①（日野市民会館）'!D23+'SFF②（パピヨン24ガスホール）'!D23+'SFF③（大阪国際交流センター）'!D23+'SFF④（青葉の森公園芸術文化ホール） '!D23+'SFF⑤（松田町生涯学習センター） '!D23+'SFF⑥（ALL草加市文化会館）'!D23</f>
        <v>2300000</v>
      </c>
      <c r="C23" s="14">
        <f>'SFF①（日野市民会館）'!E23+'SFF②（パピヨン24ガスホール）'!E23+'SFF③（大阪国際交流センター）'!E23+'SFF④（青葉の森公園芸術文化ホール） '!E23+'SFF⑤（松田町生涯学習センター） '!E23+'SFF⑥（ALL草加市文化会館）'!E23</f>
        <v>2300000</v>
      </c>
      <c r="D23" s="15">
        <f>'SFF①（日野市民会館）'!F23+'SFF②（パピヨン24ガスホール）'!F23+'SFF③（大阪国際交流センター）'!F23+'SFF④（青葉の森公園芸術文化ホール） '!F23+'SFF⑤（松田町生涯学習センター） '!F23+'SFF⑥（ALL草加市文化会館）'!F23</f>
        <v>2300000</v>
      </c>
      <c r="E23" s="16"/>
      <c r="F23" s="5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>
      <c r="A24" s="33" t="s">
        <v>26</v>
      </c>
      <c r="B24" s="13">
        <f>'SFF①（日野市民会館）'!D24+'SFF②（パピヨン24ガスホール）'!D24+'SFF③（大阪国際交流センター）'!D24+'SFF④（青葉の森公園芸術文化ホール） '!D24+'SFF⑤（松田町生涯学習センター） '!D24+'SFF⑥（ALL草加市文化会館）'!D24</f>
        <v>1200000</v>
      </c>
      <c r="C24" s="14">
        <f>'SFF①（日野市民会館）'!E24+'SFF②（パピヨン24ガスホール）'!E24+'SFF③（大阪国際交流センター）'!E24+'SFF④（青葉の森公園芸術文化ホール） '!E24+'SFF⑤（松田町生涯学習センター） '!E24+'SFF⑥（ALL草加市文化会館）'!E24</f>
        <v>1200000</v>
      </c>
      <c r="D24" s="15">
        <f>'SFF①（日野市民会館）'!F24+'SFF②（パピヨン24ガスホール）'!F24+'SFF③（大阪国際交流センター）'!F24+'SFF④（青葉の森公園芸術文化ホール） '!F24+'SFF⑤（松田町生涯学習センター） '!F24+'SFF⑥（ALL草加市文化会館）'!F24</f>
        <v>1200000</v>
      </c>
      <c r="E24" s="5">
        <f>'購入品リスト'!E4+'購入品リスト'!E5+'購入品リスト'!E6+'購入品リスト'!E7+'購入品リスト'!E10+'購入品リスト'!E12</f>
        <v>643745</v>
      </c>
      <c r="F24" s="5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>
      <c r="A25" s="36" t="s">
        <v>27</v>
      </c>
      <c r="B25" s="13">
        <f>'SFF①（日野市民会館）'!D25+'SFF②（パピヨン24ガスホール）'!D25+'SFF③（大阪国際交流センター）'!D25+'SFF④（青葉の森公園芸術文化ホール） '!D25+'SFF⑤（松田町生涯学習センター） '!D25+'SFF⑥（ALL草加市文化会館）'!D25</f>
        <v>5800000</v>
      </c>
      <c r="C25" s="14">
        <f>'SFF①（日野市民会館）'!E25+'SFF②（パピヨン24ガスホール）'!E25+'SFF③（大阪国際交流センター）'!E25+'SFF④（青葉の森公園芸術文化ホール） '!E25+'SFF⑤（松田町生涯学習センター） '!E25+'SFF⑥（ALL草加市文化会館）'!E25</f>
        <v>5800000</v>
      </c>
      <c r="D25" s="15">
        <f>'SFF①（日野市民会館）'!F25+'SFF②（パピヨン24ガスホール）'!F25+'SFF③（大阪国際交流センター）'!F25+'SFF④（青葉の森公園芸術文化ホール） '!F25+'SFF⑤（松田町生涯学習センター） '!F25+'SFF⑥（ALL草加市文化会館）'!F25</f>
        <v>5800000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>
      <c r="A26" s="37" t="s">
        <v>28</v>
      </c>
      <c r="B26" s="13">
        <f>'SFF①（日野市民会館）'!D26+'SFF②（パピヨン24ガスホール）'!D26+'SFF③（大阪国際交流センター）'!D26+'SFF④（青葉の森公園芸術文化ホール） '!D26+'SFF⑤（松田町生涯学習センター） '!D26+'SFF⑥（ALL草加市文化会館）'!D26</f>
        <v>390000</v>
      </c>
      <c r="C26" s="14">
        <f>'SFF①（日野市民会館）'!E26+'SFF②（パピヨン24ガスホール）'!E26+'SFF③（大阪国際交流センター）'!E26+'SFF④（青葉の森公園芸術文化ホール） '!E26+'SFF⑤（松田町生涯学習センター） '!E26+'SFF⑥（ALL草加市文化会館）'!E26</f>
        <v>390000</v>
      </c>
      <c r="D26" s="15">
        <f>'SFF①（日野市民会館）'!F26+'SFF②（パピヨン24ガスホール）'!F26+'SFF③（大阪国際交流センター）'!F26+'SFF④（青葉の森公園芸術文化ホール） '!F26+'SFF⑤（松田町生涯学習センター） '!F26+'SFF⑥（ALL草加市文化会館）'!F26</f>
        <v>390000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>
      <c r="A27" s="38" t="s">
        <v>29</v>
      </c>
      <c r="B27" s="13">
        <f>'SFF①（日野市民会館）'!D27+'SFF②（パピヨン24ガスホール）'!D27+'SFF③（大阪国際交流センター）'!D27+'SFF④（青葉の森公園芸術文化ホール） '!D27+'SFF⑤（松田町生涯学習センター） '!D27+'SFF⑥（ALL草加市文化会館）'!D27</f>
        <v>350000</v>
      </c>
      <c r="C27" s="14">
        <f>'SFF①（日野市民会館）'!E27+'SFF②（パピヨン24ガスホール）'!E27+'SFF③（大阪国際交流センター）'!E27+'SFF④（青葉の森公園芸術文化ホール） '!E27+'SFF⑤（松田町生涯学習センター） '!E27+'SFF⑥（ALL草加市文化会館）'!E27</f>
        <v>350000</v>
      </c>
      <c r="D27" s="15">
        <f>'SFF①（日野市民会館）'!F27+'SFF②（パピヨン24ガスホール）'!F27+'SFF③（大阪国際交流センター）'!F27+'SFF④（青葉の森公園芸術文化ホール） '!F27+'SFF⑤（松田町生涯学習センター） '!F27+'SFF⑥（ALL草加市文化会館）'!F27</f>
        <v>350000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>
      <c r="A28" s="38" t="s">
        <v>30</v>
      </c>
      <c r="B28" s="13">
        <f>'SFF①（日野市民会館）'!D28+'SFF②（パピヨン24ガスホール）'!D28+'SFF③（大阪国際交流センター）'!D28+'SFF④（青葉の森公園芸術文化ホール） '!D28+'SFF⑤（松田町生涯学習センター） '!D28+'SFF⑥（ALL草加市文化会館）'!D28</f>
        <v>428000</v>
      </c>
      <c r="C28" s="14">
        <f>'SFF①（日野市民会館）'!E28+'SFF②（パピヨン24ガスホール）'!E28+'SFF③（大阪国際交流センター）'!E28+'SFF④（青葉の森公園芸術文化ホール） '!E28+'SFF⑤（松田町生涯学習センター） '!E28+'SFF⑥（ALL草加市文化会館）'!E28</f>
        <v>428000</v>
      </c>
      <c r="D28" s="15">
        <f>'SFF①（日野市民会館）'!F28+'SFF②（パピヨン24ガスホール）'!F28+'SFF③（大阪国際交流センター）'!F28+'SFF④（青葉の森公園芸術文化ホール） '!F28+'SFF⑤（松田町生涯学習センター） '!F28+'SFF⑥（ALL草加市文化会館）'!F28</f>
        <v>428000</v>
      </c>
      <c r="E28" s="19" t="s">
        <v>31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>
      <c r="A29" s="38" t="s">
        <v>32</v>
      </c>
      <c r="B29" s="13">
        <f>'SFF①（日野市民会館）'!D29+'SFF②（パピヨン24ガスホール）'!D29+'SFF③（大阪国際交流センター）'!D29+'SFF④（青葉の森公園芸術文化ホール） '!D29+'SFF⑤（松田町生涯学習センター） '!D29+'SFF⑥（ALL草加市文化会館）'!D29</f>
        <v>180000</v>
      </c>
      <c r="C29" s="14">
        <f>'SFF①（日野市民会館）'!E29+'SFF②（パピヨン24ガスホール）'!E29+'SFF③（大阪国際交流センター）'!E29+'SFF④（青葉の森公園芸術文化ホール） '!E29+'SFF⑤（松田町生涯学習センター） '!E29+'SFF⑥（ALL草加市文化会館）'!E29</f>
        <v>180000</v>
      </c>
      <c r="D29" s="15">
        <f>'SFF①（日野市民会館）'!F29+'SFF②（パピヨン24ガスホール）'!F29+'SFF③（大阪国際交流センター）'!F29+'SFF④（青葉の森公園芸術文化ホール） '!F29+'SFF⑤（松田町生涯学習センター） '!F29+'SFF⑥（ALL草加市文化会館）'!F29</f>
        <v>180000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>
      <c r="A30" s="39" t="s">
        <v>33</v>
      </c>
      <c r="B30" s="13">
        <f>'SFF①（日野市民会館）'!D30+'SFF②（パピヨン24ガスホール）'!D30+'SFF③（大阪国際交流センター）'!D30+'SFF④（青葉の森公園芸術文化ホール） '!D30+'SFF⑤（松田町生涯学習センター） '!D30+'SFF⑥（ALL草加市文化会館）'!D30</f>
        <v>300000</v>
      </c>
      <c r="C30" s="14">
        <f>'SFF①（日野市民会館）'!E30+'SFF②（パピヨン24ガスホール）'!E30+'SFF③（大阪国際交流センター）'!E30+'SFF④（青葉の森公園芸術文化ホール） '!E30+'SFF⑤（松田町生涯学習センター） '!E30+'SFF⑥（ALL草加市文化会館）'!E30</f>
        <v>300000</v>
      </c>
      <c r="D30" s="15">
        <f>'SFF①（日野市民会館）'!F30+'SFF②（パピヨン24ガスホール）'!F30+'SFF③（大阪国際交流センター）'!F30+'SFF④（青葉の森公園芸術文化ホール） '!F30+'SFF⑤（松田町生涯学習センター） '!F30+'SFF⑥（ALL草加市文化会館）'!F30</f>
        <v>300000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>
      <c r="A31" s="35" t="s">
        <v>34</v>
      </c>
      <c r="B31" s="13">
        <f>'SFF①（日野市民会館）'!D31+'SFF②（パピヨン24ガスホール）'!D31+'SFF③（大阪国際交流センター）'!D31+'SFF④（青葉の森公園芸術文化ホール） '!D31+'SFF⑤（松田町生涯学習センター） '!D31+'SFF⑥（ALL草加市文化会館）'!D31</f>
        <v>0</v>
      </c>
      <c r="C31" s="14">
        <f>'SFF①（日野市民会館）'!E31+'SFF②（パピヨン24ガスホール）'!E31+'SFF③（大阪国際交流センター）'!E31+'SFF④（青葉の森公園芸術文化ホール） '!E31+'SFF⑤（松田町生涯学習センター） '!E31+'SFF⑥（ALL草加市文化会館）'!E31</f>
        <v>0</v>
      </c>
      <c r="D31" s="15">
        <f>'SFF①（日野市民会館）'!F31+'SFF②（パピヨン24ガスホール）'!F31+'SFF③（大阪国際交流センター）'!F31+'SFF④（青葉の森公園芸術文化ホール） '!F31+'SFF⑤（松田町生涯学習センター） '!F31+'SFF⑥（ALL草加市文化会館）'!F31</f>
        <v>0</v>
      </c>
      <c r="E31" s="5"/>
      <c r="F31" s="5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>
      <c r="A32" s="41" t="s">
        <v>35</v>
      </c>
      <c r="B32" s="42">
        <f t="shared" ref="B32:D32" si="2">SUM(B13:B31)</f>
        <v>23822318.62</v>
      </c>
      <c r="C32" s="43">
        <f t="shared" si="2"/>
        <v>24347073.28</v>
      </c>
      <c r="D32" s="44">
        <f t="shared" si="2"/>
        <v>24279827.94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>
      <c r="A33" s="45" t="s">
        <v>36</v>
      </c>
      <c r="B33" s="46">
        <f t="shared" ref="B33:D33" si="3">B11-B32</f>
        <v>14004865.38</v>
      </c>
      <c r="C33" s="47">
        <f t="shared" si="3"/>
        <v>20894406.72</v>
      </c>
      <c r="D33" s="48">
        <f t="shared" si="3"/>
        <v>32105948.06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>
      <c r="A34" s="49" t="s">
        <v>37</v>
      </c>
      <c r="B34" s="50">
        <f t="shared" ref="B34:D34" si="4">B33/B11</f>
        <v>0.3702328298</v>
      </c>
      <c r="C34" s="51">
        <f t="shared" si="4"/>
        <v>0.4618418036</v>
      </c>
      <c r="D34" s="52">
        <f t="shared" si="4"/>
        <v>0.5693979997</v>
      </c>
      <c r="E34" s="53"/>
      <c r="F34" s="53"/>
      <c r="G34" s="54"/>
      <c r="H34" s="54"/>
      <c r="I34" s="54"/>
      <c r="J34" s="54"/>
      <c r="K34" s="54"/>
      <c r="L34" s="54"/>
      <c r="M34" s="54"/>
      <c r="N34" s="54"/>
      <c r="O34" s="54"/>
      <c r="P34" s="54"/>
    </row>
    <row r="35">
      <c r="A35" s="55"/>
      <c r="B35" s="53"/>
      <c r="C35" s="53"/>
      <c r="D35" s="53"/>
      <c r="E35" s="53"/>
      <c r="F35" s="53"/>
    </row>
    <row r="36">
      <c r="A36" s="56"/>
      <c r="B36" s="56"/>
      <c r="C36" s="56"/>
      <c r="D36" s="56"/>
      <c r="E36" s="56"/>
      <c r="F36" s="56"/>
      <c r="G36" s="57"/>
      <c r="H36" s="57"/>
    </row>
    <row r="37">
      <c r="A37" s="56"/>
      <c r="B37" s="56"/>
      <c r="C37" s="56"/>
      <c r="D37" s="56"/>
      <c r="E37" s="56"/>
      <c r="F37" s="56"/>
      <c r="G37" s="57"/>
      <c r="H37" s="57"/>
    </row>
    <row r="38">
      <c r="A38" s="56"/>
      <c r="B38" s="58"/>
      <c r="C38" s="58"/>
      <c r="D38" s="58"/>
      <c r="E38" s="58"/>
      <c r="F38" s="58"/>
      <c r="G38" s="59"/>
      <c r="H38" s="59"/>
      <c r="J38" s="60"/>
      <c r="K38" s="60"/>
      <c r="L38" s="60"/>
      <c r="M38" s="60"/>
      <c r="N38" s="60"/>
      <c r="O38" s="60"/>
      <c r="P38" s="60"/>
    </row>
    <row r="39">
      <c r="A39" s="56"/>
      <c r="B39" s="58"/>
      <c r="C39" s="58"/>
      <c r="D39" s="58"/>
      <c r="E39" s="58"/>
      <c r="F39" s="58"/>
      <c r="G39" s="58"/>
      <c r="H39" s="58"/>
    </row>
    <row r="40">
      <c r="A40" s="56"/>
      <c r="B40" s="58"/>
      <c r="C40" s="58"/>
      <c r="D40" s="58"/>
      <c r="E40" s="58"/>
      <c r="F40" s="58"/>
      <c r="G40" s="58"/>
      <c r="H40" s="58"/>
    </row>
    <row r="41">
      <c r="A41" s="56"/>
      <c r="B41" s="58"/>
      <c r="C41" s="58"/>
      <c r="D41" s="58"/>
      <c r="E41" s="58"/>
      <c r="F41" s="58"/>
      <c r="G41" s="59"/>
      <c r="H41" s="59"/>
    </row>
    <row r="42">
      <c r="A42" s="56"/>
      <c r="B42" s="56"/>
      <c r="C42" s="56"/>
      <c r="D42" s="56"/>
      <c r="E42" s="56"/>
      <c r="F42" s="56"/>
      <c r="G42" s="59"/>
      <c r="H42" s="59"/>
    </row>
    <row r="43">
      <c r="A43" s="56"/>
      <c r="B43" s="56"/>
      <c r="C43" s="56"/>
      <c r="D43" s="56"/>
      <c r="E43" s="56"/>
      <c r="F43" s="56"/>
      <c r="G43" s="58"/>
      <c r="H43" s="58"/>
    </row>
    <row r="44">
      <c r="A44" s="56"/>
      <c r="B44" s="56"/>
      <c r="C44" s="56"/>
      <c r="D44" s="56"/>
      <c r="E44" s="56"/>
      <c r="F44" s="56"/>
      <c r="G44" s="58"/>
      <c r="H44" s="58"/>
    </row>
    <row r="45">
      <c r="A45" s="56"/>
      <c r="B45" s="56"/>
      <c r="C45" s="56"/>
      <c r="D45" s="56"/>
      <c r="E45" s="56"/>
      <c r="F45" s="56"/>
      <c r="G45" s="59"/>
      <c r="H45" s="59"/>
    </row>
    <row r="46">
      <c r="A46" s="56"/>
      <c r="B46" s="56"/>
      <c r="C46" s="56"/>
      <c r="D46" s="56"/>
      <c r="E46" s="56"/>
      <c r="F46" s="56"/>
      <c r="G46" s="58"/>
      <c r="H46" s="58"/>
    </row>
    <row r="47">
      <c r="A47" s="61"/>
      <c r="B47" s="56"/>
      <c r="C47" s="56"/>
      <c r="D47" s="56"/>
      <c r="E47" s="56"/>
      <c r="F47" s="56"/>
      <c r="G47" s="58"/>
      <c r="H47" s="58"/>
    </row>
    <row r="48">
      <c r="A48" s="56"/>
      <c r="B48" s="56"/>
      <c r="C48" s="56"/>
      <c r="D48" s="56"/>
      <c r="E48" s="56"/>
      <c r="F48" s="56"/>
      <c r="G48" s="59"/>
      <c r="H48" s="59"/>
    </row>
    <row r="49">
      <c r="A49" s="56"/>
      <c r="B49" s="56"/>
      <c r="C49" s="56"/>
      <c r="D49" s="56"/>
      <c r="E49" s="56"/>
      <c r="F49" s="56"/>
      <c r="G49" s="58"/>
      <c r="H49" s="58"/>
    </row>
    <row r="50">
      <c r="A50" s="56"/>
      <c r="B50" s="56"/>
      <c r="C50" s="56"/>
      <c r="D50" s="56"/>
      <c r="E50" s="56"/>
      <c r="F50" s="56"/>
      <c r="G50" s="58"/>
      <c r="H50" s="58"/>
    </row>
    <row r="51">
      <c r="A51" s="56"/>
      <c r="B51" s="56"/>
      <c r="C51" s="56"/>
      <c r="D51" s="56"/>
      <c r="E51" s="56"/>
      <c r="F51" s="56"/>
      <c r="G51" s="58"/>
      <c r="H51" s="58"/>
    </row>
    <row r="52">
      <c r="A52" s="56"/>
      <c r="B52" s="56"/>
      <c r="C52" s="56"/>
      <c r="D52" s="56"/>
      <c r="E52" s="56"/>
      <c r="F52" s="56"/>
      <c r="G52" s="59"/>
      <c r="H52" s="59"/>
    </row>
    <row r="53">
      <c r="A53" s="56"/>
      <c r="B53" s="62"/>
      <c r="C53" s="62"/>
      <c r="D53" s="62"/>
      <c r="E53" s="62"/>
      <c r="F53" s="62"/>
      <c r="G53" s="57"/>
      <c r="H53" s="57"/>
    </row>
    <row r="54">
      <c r="A54" s="63"/>
      <c r="B54" s="63"/>
      <c r="C54" s="63"/>
      <c r="D54" s="63"/>
      <c r="E54" s="63"/>
      <c r="F54" s="63"/>
      <c r="G54" s="57"/>
      <c r="H54" s="57"/>
    </row>
    <row r="55">
      <c r="A55" s="64"/>
      <c r="B55" s="64"/>
      <c r="C55" s="64"/>
      <c r="D55" s="64"/>
      <c r="E55" s="64"/>
      <c r="F55" s="64"/>
      <c r="G55" s="57"/>
      <c r="H55" s="57"/>
    </row>
    <row r="56">
      <c r="A56" s="65"/>
      <c r="B56" s="64"/>
      <c r="C56" s="64"/>
      <c r="D56" s="64"/>
      <c r="E56" s="64"/>
      <c r="F56" s="64"/>
      <c r="G56" s="57"/>
      <c r="H56" s="57"/>
    </row>
    <row r="57">
      <c r="A57" s="66"/>
      <c r="B57" s="64"/>
      <c r="C57" s="64"/>
      <c r="D57" s="64"/>
      <c r="E57" s="64"/>
      <c r="F57" s="64"/>
      <c r="G57" s="57"/>
      <c r="H57" s="57"/>
    </row>
    <row r="58">
      <c r="A58" s="65"/>
      <c r="B58" s="67"/>
      <c r="C58" s="67"/>
      <c r="D58" s="67"/>
      <c r="E58" s="67"/>
      <c r="F58" s="67"/>
      <c r="G58" s="57"/>
      <c r="H58" s="5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2.88"/>
    <col customWidth="1" min="3" max="3" width="18.75"/>
    <col customWidth="1" min="4" max="4" width="13.25"/>
    <col customWidth="1" min="5" max="5" width="10.38"/>
    <col customWidth="1" min="6" max="6" width="20.13"/>
    <col customWidth="1" min="7" max="7" width="20.88"/>
    <col customWidth="1" min="8" max="8" width="26.75"/>
    <col customWidth="1" min="9" max="16" width="17.5"/>
  </cols>
  <sheetData>
    <row r="1" ht="39.75" customHeight="1">
      <c r="A1" s="1" t="s">
        <v>0</v>
      </c>
      <c r="B1" s="2"/>
      <c r="C1" s="3"/>
      <c r="D1" s="4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</row>
    <row r="2">
      <c r="A2" s="7" t="s">
        <v>1</v>
      </c>
      <c r="B2" s="8" t="s">
        <v>2</v>
      </c>
      <c r="C2" s="9" t="s">
        <v>3</v>
      </c>
      <c r="D2" s="10" t="s">
        <v>4</v>
      </c>
      <c r="E2" s="5"/>
      <c r="F2" s="5"/>
      <c r="G2" s="11"/>
      <c r="H2" s="11"/>
      <c r="I2" s="6"/>
      <c r="J2" s="6"/>
      <c r="K2" s="6"/>
      <c r="L2" s="6"/>
      <c r="M2" s="6"/>
      <c r="N2" s="6"/>
      <c r="O2" s="6"/>
      <c r="P2" s="6"/>
    </row>
    <row r="3">
      <c r="A3" s="12" t="s">
        <v>5</v>
      </c>
      <c r="B3" s="13">
        <f>'SFF①（日野市民会館）'!D3+'SFF②（パピヨン24ガスホール）'!D3+'SFF③（大阪国際交流センター）'!D3+'SFF④（青葉の森公園芸術文化ホール） '!D3+'SFF⑤（松田町生涯学習センター） '!D3+'SFF⑥（ALL草加市文化会館）'!D3</f>
        <v>4240000</v>
      </c>
      <c r="C3" s="14">
        <f>'SFF①（日野市民会館）'!E3+'SFF②（パピヨン24ガスホール）'!E3+'SFF③（大阪国際交流センター）'!E3+'SFF④（青葉の森公園芸術文化ホール） '!E3+'SFF⑤（松田町生涯学習センター） '!E3+'SFF⑥（ALL草加市文化会館）'!E3</f>
        <v>5300000</v>
      </c>
      <c r="D3" s="15">
        <f>'SFF①（日野市民会館）'!F3+'SFF②（パピヨン24ガスホール）'!F3+'SFF③（大阪国際交流センター）'!F3+'SFF④（青葉の森公園芸術文化ホール） '!F3+'SFF⑤（松田町生涯学習センター） '!F3+'SFF⑥（ALL草加市文化会館）'!F3</f>
        <v>6360000</v>
      </c>
      <c r="E3" s="16"/>
      <c r="F3" s="5"/>
      <c r="G3" s="11"/>
      <c r="H3" s="11"/>
      <c r="I3" s="11"/>
      <c r="J3" s="11"/>
      <c r="K3" s="11"/>
      <c r="L3" s="11"/>
      <c r="M3" s="11"/>
      <c r="N3" s="11"/>
      <c r="O3" s="11"/>
      <c r="P3" s="11"/>
    </row>
    <row r="4">
      <c r="A4" s="12" t="s">
        <v>6</v>
      </c>
      <c r="B4" s="13">
        <f>'SFF①（日野市民会館）'!D4+'SFF②（パピヨン24ガスホール）'!D4+'SFF③（大阪国際交流センター）'!D4+'SFF④（青葉の森公園芸術文化ホール） '!D4+'SFF⑤（松田町生涯学習センター） '!D4+'SFF⑥（ALL草加市文化会館）'!D4</f>
        <v>19295584</v>
      </c>
      <c r="C4" s="14">
        <f>'SFF①（日野市民会館）'!E4+'SFF②（パピヨン24ガスホール）'!E4+'SFF③（大阪国際交流センター）'!E4+'SFF④（青葉の森公園芸術文化ホール） '!E4+'SFF⑤（松田町生涯学習センター） '!E4+'SFF⑥（ALL草加市文化会館）'!E4</f>
        <v>24119480</v>
      </c>
      <c r="D4" s="15">
        <f>'SFF①（日野市民会館）'!F4+'SFF②（パピヨン24ガスホール）'!F4+'SFF③（大阪国際交流センター）'!F4+'SFF④（青葉の森公園芸術文化ホール） '!F4+'SFF⑤（松田町生涯学習センター） '!F4+'SFF⑥（ALL草加市文化会館）'!F4</f>
        <v>28943376</v>
      </c>
      <c r="E4" s="5"/>
      <c r="F4" s="5"/>
      <c r="G4" s="11"/>
      <c r="H4" s="11"/>
      <c r="I4" s="11"/>
      <c r="J4" s="11"/>
      <c r="K4" s="11"/>
      <c r="L4" s="11"/>
      <c r="M4" s="11"/>
      <c r="N4" s="11"/>
      <c r="O4" s="11"/>
      <c r="P4" s="11"/>
    </row>
    <row r="5">
      <c r="A5" s="12" t="s">
        <v>7</v>
      </c>
      <c r="B5" s="13">
        <f>'SFF①（日野市民会館）'!D5+'SFF②（パピヨン24ガスホール）'!D5+'SFF③（大阪国際交流センター）'!D5+'SFF④（青葉の森公園芸術文化ホール） '!D5+'SFF⑤（松田町生涯学習センター） '!D5+'SFF⑥（ALL草加市文化会館）'!D5</f>
        <v>1161600</v>
      </c>
      <c r="C5" s="14">
        <f>'SFF①（日野市民会館）'!E5+'SFF②（パピヨン24ガスホール）'!E5+'SFF③（大阪国際交流センター）'!E5+'SFF④（青葉の森公園芸術文化ホール） '!E5+'SFF⑤（松田町生涯学習センター） '!E5+'SFF⑥（ALL草加市文化会館）'!E5</f>
        <v>1452000</v>
      </c>
      <c r="D5" s="15">
        <f>'SFF①（日野市民会館）'!F5+'SFF②（パピヨン24ガスホール）'!F5+'SFF③（大阪国際交流センター）'!F5+'SFF④（青葉の森公園芸術文化ホール） '!F5+'SFF⑤（松田町生涯学習センター） '!F5+'SFF⑥（ALL草加市文化会館）'!F5</f>
        <v>1742400</v>
      </c>
      <c r="E5" s="5"/>
      <c r="F5" s="5"/>
      <c r="G5" s="11"/>
      <c r="H5" s="11"/>
      <c r="I5" s="11"/>
      <c r="J5" s="11"/>
      <c r="K5" s="11"/>
      <c r="L5" s="11"/>
      <c r="M5" s="11"/>
      <c r="N5" s="11"/>
      <c r="O5" s="11"/>
      <c r="P5" s="11"/>
    </row>
    <row r="6">
      <c r="A6" s="17" t="s">
        <v>8</v>
      </c>
      <c r="B6" s="13">
        <f>'SFF①（日野市民会館）'!D6+'SFF②（パピヨン24ガスホール）'!D6+'SFF③（大阪国際交流センター）'!D6+'SFF④（青葉の森公園芸術文化ホール） '!D6+'SFF⑤（松田町生涯学習センター） '!D6+'SFF⑥（ALL草加市文化会館）'!D6</f>
        <v>1056000</v>
      </c>
      <c r="C6" s="14">
        <f>'SFF①（日野市民会館）'!E6+'SFF②（パピヨン24ガスホール）'!E6+'SFF③（大阪国際交流センター）'!E6+'SFF④（青葉の森公園芸術文化ホール） '!E6+'SFF⑤（松田町生涯学習センター） '!E6+'SFF⑥（ALL草加市文化会館）'!E6</f>
        <v>1320000</v>
      </c>
      <c r="D6" s="15">
        <f>'SFF①（日野市民会館）'!F6+'SFF②（パピヨン24ガスホール）'!F6+'SFF③（大阪国際交流センター）'!F6+'SFF④（青葉の森公園芸術文化ホール） '!F6+'SFF⑤（松田町生涯学習センター） '!F6+'SFF⑥（ALL草加市文化会館）'!F6</f>
        <v>1584000</v>
      </c>
      <c r="E6" s="5"/>
      <c r="F6" s="5"/>
      <c r="G6" s="18"/>
      <c r="H6" s="19"/>
      <c r="I6" s="18"/>
      <c r="J6" s="18"/>
      <c r="K6" s="18"/>
      <c r="L6" s="18"/>
      <c r="M6" s="18"/>
      <c r="N6" s="18"/>
      <c r="O6" s="18"/>
      <c r="P6" s="18"/>
    </row>
    <row r="7">
      <c r="A7" s="20" t="s">
        <v>9</v>
      </c>
      <c r="B7" s="13">
        <f>'SFF①（日野市民会館）'!D7+'SFF②（パピヨン24ガスホール）'!D7+'SFF③（大阪国際交流センター）'!D7+'SFF④（青葉の森公園芸術文化ホール） '!D7+'SFF⑤（松田町生涯学習センター） '!D7+'SFF⑥（ALL草加市文化会館）'!D7</f>
        <v>928000</v>
      </c>
      <c r="C7" s="14">
        <f>'SFF①（日野市民会館）'!E7+'SFF②（パピヨン24ガスホール）'!E7+'SFF③（大阪国際交流センター）'!E7+'SFF④（青葉の森公園芸術文化ホール） '!E7+'SFF⑤（松田町生涯学習センター） '!E7+'SFF⑥（ALL草加市文化会館）'!E7</f>
        <v>1160000</v>
      </c>
      <c r="D7" s="15">
        <f>'SFF①（日野市民会館）'!F7+'SFF②（パピヨン24ガスホール）'!F7+'SFF③（大阪国際交流センター）'!F7+'SFF④（青葉の森公園芸術文化ホール） '!F7+'SFF⑤（松田町生涯学習センター） '!F7+'SFF⑥（ALL草加市文化会館）'!F7</f>
        <v>1392000</v>
      </c>
      <c r="E7" s="5"/>
      <c r="F7" s="5"/>
      <c r="G7" s="19"/>
      <c r="H7" s="19"/>
      <c r="I7" s="19"/>
      <c r="J7" s="19"/>
      <c r="K7" s="19"/>
      <c r="L7" s="19"/>
      <c r="M7" s="19"/>
      <c r="N7" s="19"/>
      <c r="O7" s="19"/>
      <c r="P7" s="19"/>
    </row>
    <row r="8">
      <c r="A8" s="20" t="s">
        <v>10</v>
      </c>
      <c r="B8" s="13">
        <f>'SFF①（日野市民会館）'!D8+'SFF②（パピヨン24ガスホール）'!D8+'SFF③（大阪国際交流センター）'!D8+'SFF④（青葉の森公園芸術文化ホール） '!D8+'SFF⑤（松田町生涯学習センター） '!D8+'SFF⑥（ALL草加市文化会館）'!D8</f>
        <v>2256000</v>
      </c>
      <c r="C8" s="14">
        <f>'SFF①（日野市民会館）'!E8+'SFF②（パピヨン24ガスホール）'!E8+'SFF③（大阪国際交流センター）'!E8+'SFF④（青葉の森公園芸術文化ホール） '!E8+'SFF⑤（松田町生涯学習センター） '!E8+'SFF⑥（ALL草加市文化会館）'!E8</f>
        <v>2820000</v>
      </c>
      <c r="D8" s="15">
        <f>'SFF①（日野市民会館）'!F8+'SFF②（パピヨン24ガスホール）'!F8+'SFF③（大阪国際交流センター）'!F8+'SFF④（青葉の森公園芸術文化ホール） '!F8+'SFF⑤（松田町生涯学習センター） '!F8+'SFF⑥（ALL草加市文化会館）'!F8</f>
        <v>3384000</v>
      </c>
      <c r="E8" s="5"/>
      <c r="F8" s="5"/>
      <c r="G8" s="19"/>
      <c r="H8" s="19"/>
      <c r="I8" s="19"/>
      <c r="J8" s="19"/>
      <c r="K8" s="19"/>
      <c r="L8" s="19"/>
      <c r="M8" s="19"/>
      <c r="N8" s="19"/>
      <c r="O8" s="19"/>
      <c r="P8" s="19"/>
    </row>
    <row r="9">
      <c r="A9" s="21" t="s">
        <v>11</v>
      </c>
      <c r="B9" s="13">
        <f>'SFF①（日野市民会館）'!D9+'SFF②（パピヨン24ガスホール）'!D9+'SFF③（大阪国際交流センター）'!D9+'SFF④（青葉の森公園芸術文化ホール） '!D9+'SFF⑤（松田町生涯学習センター） '!D9+'SFF⑥（ALL草加市文化会館）'!D9</f>
        <v>720000</v>
      </c>
      <c r="C9" s="14">
        <f>'SFF①（日野市民会館）'!E9+'SFF②（パピヨン24ガスホール）'!E9+'SFF③（大阪国際交流センター）'!E9+'SFF④（青葉の森公園芸術文化ホール） '!E9+'SFF⑤（松田町生涯学習センター） '!E9+'SFF⑥（ALL草加市文化会館）'!E9</f>
        <v>900000</v>
      </c>
      <c r="D9" s="15">
        <f>'SFF①（日野市民会館）'!F9+'SFF②（パピヨン24ガスホール）'!F9+'SFF③（大阪国際交流センター）'!F9+'SFF④（青葉の森公園芸術文化ホール） '!F9+'SFF⑤（松田町生涯学習センター） '!F9+'SFF⑥（ALL草加市文化会館）'!F9</f>
        <v>1080000</v>
      </c>
      <c r="E9" s="5"/>
      <c r="F9" s="5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>
      <c r="A10" s="12" t="s">
        <v>12</v>
      </c>
      <c r="B10" s="13">
        <f>'SFF①（日野市民会館）'!D10+'SFF②（パピヨン24ガスホール）'!D10+'SFF③（大阪国際交流センター）'!D10+'SFF④（青葉の森公園芸術文化ホール） '!D10+'SFF⑤（松田町生涯学習センター） '!D10+'SFF⑥（ALL草加市文化会館）'!D10</f>
        <v>8170000</v>
      </c>
      <c r="C10" s="14">
        <f>'SFF①（日野市民会館）'!E10+'SFF②（パピヨン24ガスホール）'!E10+'SFF③（大阪国際交流センター）'!E10+'SFF④（青葉の森公園芸術文化ホール） '!E10+'SFF⑤（松田町生涯学習センター） '!E10+'SFF⑥（ALL草加市文化会館）'!E10</f>
        <v>8170000</v>
      </c>
      <c r="D10" s="15">
        <f>'SFF①（日野市民会館）'!F10+'SFF②（パピヨン24ガスホール）'!F10+'SFF③（大阪国際交流センター）'!F10+'SFF④（青葉の森公園芸術文化ホール） '!F10+'SFF⑤（松田町生涯学習センター） '!F10+'SFF⑥（ALL草加市文化会館）'!F10</f>
        <v>11900000</v>
      </c>
      <c r="E10" s="11"/>
      <c r="F10" s="11"/>
      <c r="G10" s="18"/>
      <c r="H10" s="18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>
      <c r="A11" s="22" t="s">
        <v>13</v>
      </c>
      <c r="B11" s="23">
        <f t="shared" ref="B11:D11" si="1">SUM(B3:B10)</f>
        <v>37827184</v>
      </c>
      <c r="C11" s="24">
        <f t="shared" si="1"/>
        <v>45241480</v>
      </c>
      <c r="D11" s="25">
        <f t="shared" si="1"/>
        <v>56385776</v>
      </c>
      <c r="E11" s="5"/>
      <c r="F11" s="5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>
      <c r="A12" s="26" t="s">
        <v>14</v>
      </c>
      <c r="B12" s="27"/>
      <c r="C12" s="28"/>
      <c r="D12" s="29"/>
      <c r="E12" s="5"/>
      <c r="F12" s="5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>
      <c r="A13" s="12" t="s">
        <v>15</v>
      </c>
      <c r="B13" s="13">
        <f>'SFF①（日野市民会館）'!D13+'SFF②（パピヨン24ガスホール）'!D13+'SFF③（大阪国際交流センター）'!D13+'SFF④（青葉の森公園芸術文化ホール） '!D13+'SFF⑤（松田町生涯学習センター） '!D13+'SFF⑥（ALL草加市文化会館）'!D13</f>
        <v>152640</v>
      </c>
      <c r="C13" s="14">
        <f>'SFF①（日野市民会館）'!E13+'SFF②（パピヨン24ガスホール）'!E13+'SFF③（大阪国際交流センター）'!E13+'SFF④（青葉の森公園芸術文化ホール） '!E13+'SFF⑤（松田町生涯学習センター） '!E13+'SFF⑥（ALL草加市文化会館）'!E13</f>
        <v>190800</v>
      </c>
      <c r="D13" s="15">
        <f>'SFF①（日野市民会館）'!F13+'SFF②（パピヨン24ガスホール）'!F13+'SFF③（大阪国際交流センター）'!F13+'SFF④（青葉の森公園芸術文化ホール） '!F13+'SFF⑤（松田町生涯学習センター） '!F13+'SFF⑥（ALL草加市文化会館）'!F13</f>
        <v>228960</v>
      </c>
      <c r="E13" s="5"/>
      <c r="F13" s="5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30" t="s">
        <v>16</v>
      </c>
      <c r="B14" s="13">
        <f>'SFF①（日野市民会館）'!D14+'SFF②（パピヨン24ガスホール）'!D14+'SFF③（大阪国際交流センター）'!D14+'SFF④（青葉の森公園芸術文化ホール） '!D14+'SFF⑤（松田町生涯学習センター） '!D14+'SFF⑥（ALL草加市文化会館）'!D14</f>
        <v>694641.024</v>
      </c>
      <c r="C14" s="14">
        <f>'SFF①（日野市民会館）'!E14+'SFF②（パピヨン24ガスホール）'!E14+'SFF③（大阪国際交流センター）'!E14+'SFF④（青葉の森公園芸術文化ホール） '!E14+'SFF⑤（松田町生涯学習センター） '!E14+'SFF⑥（ALL草加市文化会館）'!E14</f>
        <v>868301.28</v>
      </c>
      <c r="D14" s="15">
        <f>'SFF①（日野市民会館）'!F14+'SFF②（パピヨン24ガスホール）'!F14+'SFF③（大阪国際交流センター）'!F14+'SFF④（青葉の森公園芸術文化ホール） '!F14+'SFF⑤（松田町生涯学習センター） '!F14+'SFF⑥（ALL草加市文化会館）'!F14</f>
        <v>1041961.536</v>
      </c>
      <c r="E14" s="5"/>
      <c r="F14" s="5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30" t="s">
        <v>17</v>
      </c>
      <c r="B15" s="13">
        <f>'SFF①（日野市民会館）'!D15+'SFF②（パピヨン24ガスホール）'!D15+'SFF③（大阪国際交流センター）'!D15+'SFF④（青葉の森公園芸術文化ホール） '!D15+'SFF⑤（松田町生涯学習センター） '!D15+'SFF⑥（ALL草加市文化会館）'!D15</f>
        <v>41817.6</v>
      </c>
      <c r="C15" s="14">
        <f>'SFF①（日野市民会館）'!E15+'SFF②（パピヨン24ガスホール）'!E15+'SFF③（大阪国際交流センター）'!E15+'SFF④（青葉の森公園芸術文化ホール） '!E15+'SFF⑤（松田町生涯学習センター） '!E15+'SFF⑥（ALL草加市文化会館）'!E15</f>
        <v>52272</v>
      </c>
      <c r="D15" s="15">
        <f>'SFF①（日野市民会館）'!F15+'SFF②（パピヨン24ガスホール）'!F15+'SFF③（大阪国際交流センター）'!F15+'SFF④（青葉の森公園芸術文化ホール） '!F15+'SFF⑤（松田町生涯学習センター） '!F15+'SFF⑥（ALL草加市文化会館）'!F15</f>
        <v>62726.4</v>
      </c>
      <c r="E15" s="5"/>
      <c r="F15" s="5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31" t="s">
        <v>18</v>
      </c>
      <c r="B16" s="13">
        <f>'SFF①（日野市民会館）'!D16+'SFF②（パピヨン24ガスホール）'!D16+'SFF③（大阪国際交流センター）'!D16+'SFF④（青葉の森公園芸術文化ホール） '!D16+'SFF⑤（松田町生涯学習センター） '!D16+'SFF⑥（ALL草加市文化会館）'!D16</f>
        <v>0</v>
      </c>
      <c r="C16" s="14">
        <f>'SFF①（日野市民会館）'!E16+'SFF②（パピヨン24ガスホール）'!E16+'SFF③（大阪国際交流センター）'!E16+'SFF④（青葉の森公園芸術文化ホール） '!E16+'SFF⑤（松田町生涯学習センター） '!E16+'SFF⑥（ALL草加市文化会館）'!E16</f>
        <v>0</v>
      </c>
      <c r="D16" s="15">
        <f>'SFF①（日野市民会館）'!F16+'SFF②（パピヨン24ガスホール）'!F16+'SFF③（大阪国際交流センター）'!F16+'SFF④（青葉の森公園芸術文化ホール） '!F16+'SFF⑤（松田町生涯学習センター） '!F16+'SFF⑥（ALL草加市文化会館）'!F16</f>
        <v>0</v>
      </c>
      <c r="E16" s="5"/>
      <c r="F16" s="5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>
      <c r="A17" s="31" t="s">
        <v>19</v>
      </c>
      <c r="B17" s="13">
        <f>'SFF①（日野市民会館）'!D17+'SFF②（パピヨン24ガスホール）'!D17+'SFF③（大阪国際交流センター）'!D17+'SFF④（青葉の森公園芸術文化ホール） '!D17+'SFF⑤（松田町生涯学習センター） '!D17+'SFF⑥（ALL草加市文化会館）'!D17</f>
        <v>25920</v>
      </c>
      <c r="C17" s="14">
        <f>'SFF①（日野市民会館）'!E17+'SFF②（パピヨン24ガスホール）'!E17+'SFF③（大阪国際交流センター）'!E17+'SFF④（青葉の森公園芸術文化ホール） '!E17+'SFF⑤（松田町生涯学習センター） '!E17+'SFF⑥（ALL草加市文化会館）'!E17</f>
        <v>32400</v>
      </c>
      <c r="D17" s="15">
        <f>'SFF①（日野市民会館）'!F17+'SFF②（パピヨン24ガスホール）'!F17+'SFF③（大阪国際交流センター）'!F17+'SFF④（青葉の森公園芸術文化ホール） '!F17+'SFF⑤（松田町生涯学習センター） '!F17+'SFF⑥（ALL草加市文化会館）'!F17</f>
        <v>38880</v>
      </c>
      <c r="E17" s="5"/>
      <c r="F17" s="5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>
      <c r="A18" s="32" t="s">
        <v>20</v>
      </c>
      <c r="B18" s="13">
        <f>'SFF①（日野市民会館）'!D18+'SFF②（パピヨン24ガスホール）'!D18+'SFF③（大阪国際交流センター）'!D18+'SFF④（青葉の森公園芸術文化ホール） '!D18+'SFF⑤（松田町生涯学習センター） '!D18+'SFF⑥（ALL草加市文化会館）'!D18</f>
        <v>1400000</v>
      </c>
      <c r="C18" s="14">
        <f>'SFF①（日野市民会館）'!E18+'SFF②（パピヨン24ガスホール）'!E18+'SFF③（大阪国際交流センター）'!E18+'SFF④（青葉の森公園芸術文化ホール） '!E18+'SFF⑤（松田町生涯学習センター） '!E18+'SFF⑥（ALL草加市文化会館）'!E18</f>
        <v>1400000</v>
      </c>
      <c r="D18" s="15">
        <f>'SFF①（日野市民会館）'!F18+'SFF②（パピヨン24ガスホール）'!F18+'SFF③（大阪国際交流センター）'!F18+'SFF④（青葉の森公園芸術文化ホール） '!F18+'SFF⑤（松田町生涯学習センター） '!F18+'SFF⑥（ALL草加市文化会館）'!F18</f>
        <v>1400000</v>
      </c>
      <c r="E18" s="5"/>
      <c r="F18" s="5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>
      <c r="A19" s="33" t="s">
        <v>21</v>
      </c>
      <c r="B19" s="13">
        <f>'SFF①（日野市民会館）'!D19+'SFF②（パピヨン24ガスホール）'!D19+'SFF③（大阪国際交流センター）'!D19+'SFF④（青葉の森公園芸術文化ホール） '!D19+'SFF⑤（松田町生涯学習センター） '!D19+'SFF⑥（ALL草加市文化会館）'!D19</f>
        <v>7909300</v>
      </c>
      <c r="C19" s="14">
        <f>'SFF①（日野市民会館）'!E19+'SFF②（パピヨン24ガスホール）'!E19+'SFF③（大阪国際交流センター）'!E19+'SFF④（青葉の森公園芸術文化ホール） '!E19+'SFF⑤（松田町生涯学習センター） '!E19+'SFF⑥（ALL草加市文化会館）'!E19</f>
        <v>7909300</v>
      </c>
      <c r="D19" s="15">
        <f>'SFF①（日野市民会館）'!F19+'SFF②（パピヨン24ガスホール）'!F19+'SFF③（大阪国際交流センター）'!F19+'SFF④（青葉の森公園芸術文化ホール） '!F19+'SFF⑤（松田町生涯学習センター） '!F19+'SFF⑥（ALL草加市文化会館）'!F19</f>
        <v>7909300</v>
      </c>
      <c r="E19" s="5"/>
      <c r="F19" s="5"/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>
      <c r="A20" s="20" t="s">
        <v>22</v>
      </c>
      <c r="B20" s="13">
        <f>'SFF①（日野市民会館）'!D20+'SFF②（パピヨン24ガスホール）'!D20+'SFF③（大阪国際交流センター）'!D20+'SFF④（青葉の森公園芸術文化ホール） '!D20+'SFF⑤（松田町生涯学習センター） '!D20+'SFF⑥（ALL草加市文化会館）'!D20</f>
        <v>300000</v>
      </c>
      <c r="C20" s="14">
        <f>'SFF①（日野市民会館）'!E20+'SFF②（パピヨン24ガスホール）'!E20+'SFF③（大阪国際交流センター）'!E20+'SFF④（青葉の森公園芸術文化ホール） '!E20+'SFF⑤（松田町生涯学習センター） '!E20+'SFF⑥（ALL草加市文化会館）'!E20</f>
        <v>300000</v>
      </c>
      <c r="D20" s="15">
        <f>'SFF①（日野市民会館）'!F20+'SFF②（パピヨン24ガスホール）'!F20+'SFF③（大阪国際交流センター）'!F20+'SFF④（青葉の森公園芸術文化ホール） '!F20+'SFF⑤（松田町生涯学習センター） '!F20+'SFF⑥（ALL草加市文化会館）'!F20</f>
        <v>300000</v>
      </c>
      <c r="E20" s="16"/>
      <c r="F20" s="5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>
      <c r="A21" s="34" t="s">
        <v>23</v>
      </c>
      <c r="B21" s="13">
        <f>'SFF①（日野市民会館）'!D21+'SFF②（パピヨン24ガスホール）'!D21+'SFF③（大阪国際交流センター）'!D21+'SFF④（青葉の森公園芸術文化ホール） '!D21+'SFF⑤（松田町生涯学習センター） '!D21+'SFF⑥（ALL草加市文化会館）'!D21</f>
        <v>0</v>
      </c>
      <c r="C21" s="14">
        <f>'SFF①（日野市民会館）'!E21+'SFF②（パピヨン24ガスホール）'!E21+'SFF③（大阪国際交流センター）'!E21+'SFF④（青葉の森公園芸術文化ホール） '!E21+'SFF⑤（松田町生涯学習センター） '!E21+'SFF⑥（ALL草加市文化会館）'!E21</f>
        <v>296000</v>
      </c>
      <c r="D21" s="15">
        <f>'SFF①（日野市民会館）'!F21+'SFF②（パピヨン24ガスホール）'!F21+'SFF③（大阪国際交流センター）'!F21+'SFF④（青葉の森公園芸術文化ホール） '!F21+'SFF⑤（松田町生涯学習センター） '!F21+'SFF⑥（ALL草加市文化会館）'!F21</f>
        <v>0</v>
      </c>
      <c r="E21" s="16"/>
      <c r="F21" s="5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>
      <c r="A22" s="20" t="s">
        <v>24</v>
      </c>
      <c r="B22" s="13">
        <f>'SFF①（日野市民会館）'!D22+'SFF②（パピヨン24ガスホール）'!D22+'SFF③（大阪国際交流センター）'!D22+'SFF④（青葉の森公園芸術文化ホール） '!D22+'SFF⑤（松田町生涯学習センター） '!D22+'SFF⑥（ALL草加市文化会館）'!D22</f>
        <v>2350000</v>
      </c>
      <c r="C22" s="14">
        <f>'SFF①（日野市民会館）'!E22+'SFF②（パピヨン24ガスホール）'!E22+'SFF③（大阪国際交流センター）'!E22+'SFF④（青葉の森公園芸術文化ホール） '!E22+'SFF⑤（松田町生涯学習センター） '!E22+'SFF⑥（ALL草加市文化会館）'!E22</f>
        <v>2350000</v>
      </c>
      <c r="D22" s="15">
        <f>'SFF①（日野市民会館）'!F22+'SFF②（パピヨン24ガスホール）'!F22+'SFF③（大阪国際交流センター）'!F22+'SFF④（青葉の森公園芸術文化ホール） '!F22+'SFF⑤（松田町生涯学習センター） '!F22+'SFF⑥（ALL草加市文化会館）'!F22</f>
        <v>2350000</v>
      </c>
      <c r="E22" s="16">
        <f>'購入品リスト'!E11+'購入品リスト'!E13</f>
        <v>690162</v>
      </c>
      <c r="F22" s="5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>
      <c r="A23" s="35" t="s">
        <v>25</v>
      </c>
      <c r="B23" s="13">
        <f>'SFF①（日野市民会館）'!D23+'SFF②（パピヨン24ガスホール）'!D23+'SFF③（大阪国際交流センター）'!D23+'SFF④（青葉の森公園芸術文化ホール） '!D23+'SFF⑤（松田町生涯学習センター） '!D23+'SFF⑥（ALL草加市文化会館）'!D23</f>
        <v>2300000</v>
      </c>
      <c r="C23" s="14">
        <f>'SFF①（日野市民会館）'!E23+'SFF②（パピヨン24ガスホール）'!E23+'SFF③（大阪国際交流センター）'!E23+'SFF④（青葉の森公園芸術文化ホール） '!E23+'SFF⑤（松田町生涯学習センター） '!E23+'SFF⑥（ALL草加市文化会館）'!E23</f>
        <v>2300000</v>
      </c>
      <c r="D23" s="15">
        <f>'SFF①（日野市民会館）'!F23+'SFF②（パピヨン24ガスホール）'!F23+'SFF③（大阪国際交流センター）'!F23+'SFF④（青葉の森公園芸術文化ホール） '!F23+'SFF⑤（松田町生涯学習センター） '!F23+'SFF⑥（ALL草加市文化会館）'!F23</f>
        <v>2300000</v>
      </c>
      <c r="E23" s="16"/>
      <c r="F23" s="5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>
      <c r="A24" s="33" t="s">
        <v>26</v>
      </c>
      <c r="B24" s="13">
        <f>'SFF①（日野市民会館）'!D24+'SFF②（パピヨン24ガスホール）'!D24+'SFF③（大阪国際交流センター）'!D24+'SFF④（青葉の森公園芸術文化ホール） '!D24+'SFF⑤（松田町生涯学習センター） '!D24+'SFF⑥（ALL草加市文化会館）'!D24</f>
        <v>1200000</v>
      </c>
      <c r="C24" s="14">
        <f>'SFF①（日野市民会館）'!E24+'SFF②（パピヨン24ガスホール）'!E24+'SFF③（大阪国際交流センター）'!E24+'SFF④（青葉の森公園芸術文化ホール） '!E24+'SFF⑤（松田町生涯学習センター） '!E24+'SFF⑥（ALL草加市文化会館）'!E24</f>
        <v>1200000</v>
      </c>
      <c r="D24" s="15">
        <f>'SFF①（日野市民会館）'!F24+'SFF②（パピヨン24ガスホール）'!F24+'SFF③（大阪国際交流センター）'!F24+'SFF④（青葉の森公園芸術文化ホール） '!F24+'SFF⑤（松田町生涯学習センター） '!F24+'SFF⑥（ALL草加市文化会館）'!F24</f>
        <v>1200000</v>
      </c>
      <c r="E24" s="5">
        <f>'購入品リスト'!E4+'購入品リスト'!E5+'購入品リスト'!E6+'購入品リスト'!E7+'購入品リスト'!E10+'購入品リスト'!E12</f>
        <v>643745</v>
      </c>
      <c r="F24" s="5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>
      <c r="A25" s="36" t="s">
        <v>27</v>
      </c>
      <c r="B25" s="13">
        <f>'SFF①（日野市民会館）'!D25+'SFF②（パピヨン24ガスホール）'!D25+'SFF③（大阪国際交流センター）'!D25+'SFF④（青葉の森公園芸術文化ホール） '!D25+'SFF⑤（松田町生涯学習センター） '!D25+'SFF⑥（ALL草加市文化会館）'!D25</f>
        <v>5800000</v>
      </c>
      <c r="C25" s="14">
        <f>'SFF①（日野市民会館）'!E25+'SFF②（パピヨン24ガスホール）'!E25+'SFF③（大阪国際交流センター）'!E25+'SFF④（青葉の森公園芸術文化ホール） '!E25+'SFF⑤（松田町生涯学習センター） '!E25+'SFF⑥（ALL草加市文化会館）'!E25</f>
        <v>5800000</v>
      </c>
      <c r="D25" s="15">
        <f>'SFF①（日野市民会館）'!F25+'SFF②（パピヨン24ガスホール）'!F25+'SFF③（大阪国際交流センター）'!F25+'SFF④（青葉の森公園芸術文化ホール） '!F25+'SFF⑤（松田町生涯学習センター） '!F25+'SFF⑥（ALL草加市文化会館）'!F25</f>
        <v>5800000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>
      <c r="A26" s="37" t="s">
        <v>28</v>
      </c>
      <c r="B26" s="13">
        <f>'SFF①（日野市民会館）'!D26+'SFF②（パピヨン24ガスホール）'!D26+'SFF③（大阪国際交流センター）'!D26+'SFF④（青葉の森公園芸術文化ホール） '!D26+'SFF⑤（松田町生涯学習センター） '!D26+'SFF⑥（ALL草加市文化会館）'!D26</f>
        <v>390000</v>
      </c>
      <c r="C26" s="14">
        <f>'SFF①（日野市民会館）'!E26+'SFF②（パピヨン24ガスホール）'!E26+'SFF③（大阪国際交流センター）'!E26+'SFF④（青葉の森公園芸術文化ホール） '!E26+'SFF⑤（松田町生涯学習センター） '!E26+'SFF⑥（ALL草加市文化会館）'!E26</f>
        <v>390000</v>
      </c>
      <c r="D26" s="15">
        <f>'SFF①（日野市民会館）'!F26+'SFF②（パピヨン24ガスホール）'!F26+'SFF③（大阪国際交流センター）'!F26+'SFF④（青葉の森公園芸術文化ホール） '!F26+'SFF⑤（松田町生涯学習センター） '!F26+'SFF⑥（ALL草加市文化会館）'!F26</f>
        <v>390000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>
      <c r="A27" s="38" t="s">
        <v>29</v>
      </c>
      <c r="B27" s="13">
        <f>'SFF①（日野市民会館）'!D27+'SFF②（パピヨン24ガスホール）'!D27+'SFF③（大阪国際交流センター）'!D27+'SFF④（青葉の森公園芸術文化ホール） '!D27+'SFF⑤（松田町生涯学習センター） '!D27+'SFF⑥（ALL草加市文化会館）'!D27</f>
        <v>350000</v>
      </c>
      <c r="C27" s="14">
        <f>'SFF①（日野市民会館）'!E27+'SFF②（パピヨン24ガスホール）'!E27+'SFF③（大阪国際交流センター）'!E27+'SFF④（青葉の森公園芸術文化ホール） '!E27+'SFF⑤（松田町生涯学習センター） '!E27+'SFF⑥（ALL草加市文化会館）'!E27</f>
        <v>350000</v>
      </c>
      <c r="D27" s="15">
        <f>'SFF①（日野市民会館）'!F27+'SFF②（パピヨン24ガスホール）'!F27+'SFF③（大阪国際交流センター）'!F27+'SFF④（青葉の森公園芸術文化ホール） '!F27+'SFF⑤（松田町生涯学習センター） '!F27+'SFF⑥（ALL草加市文化会館）'!F27</f>
        <v>350000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>
      <c r="A28" s="38" t="s">
        <v>30</v>
      </c>
      <c r="B28" s="13">
        <f>'SFF①（日野市民会館）'!D28+'SFF②（パピヨン24ガスホール）'!D28+'SFF③（大阪国際交流センター）'!D28+'SFF④（青葉の森公園芸術文化ホール） '!D28+'SFF⑤（松田町生涯学習センター） '!D28+'SFF⑥（ALL草加市文化会館）'!D28</f>
        <v>428000</v>
      </c>
      <c r="C28" s="14">
        <f>'SFF①（日野市民会館）'!E28+'SFF②（パピヨン24ガスホール）'!E28+'SFF③（大阪国際交流センター）'!E28+'SFF④（青葉の森公園芸術文化ホール） '!E28+'SFF⑤（松田町生涯学習センター） '!E28+'SFF⑥（ALL草加市文化会館）'!E28</f>
        <v>428000</v>
      </c>
      <c r="D28" s="15">
        <f>'SFF①（日野市民会館）'!F28+'SFF②（パピヨン24ガスホール）'!F28+'SFF③（大阪国際交流センター）'!F28+'SFF④（青葉の森公園芸術文化ホール） '!F28+'SFF⑤（松田町生涯学習センター） '!F28+'SFF⑥（ALL草加市文化会館）'!F28</f>
        <v>428000</v>
      </c>
      <c r="E28" s="19" t="s">
        <v>31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>
      <c r="A29" s="38" t="s">
        <v>32</v>
      </c>
      <c r="B29" s="13">
        <f>'SFF①（日野市民会館）'!D29+'SFF②（パピヨン24ガスホール）'!D29+'SFF③（大阪国際交流センター）'!D29+'SFF④（青葉の森公園芸術文化ホール） '!D29+'SFF⑤（松田町生涯学習センター） '!D29+'SFF⑥（ALL草加市文化会館）'!D29</f>
        <v>180000</v>
      </c>
      <c r="C29" s="14">
        <f>'SFF①（日野市民会館）'!E29+'SFF②（パピヨン24ガスホール）'!E29+'SFF③（大阪国際交流センター）'!E29+'SFF④（青葉の森公園芸術文化ホール） '!E29+'SFF⑤（松田町生涯学習センター） '!E29+'SFF⑥（ALL草加市文化会館）'!E29</f>
        <v>180000</v>
      </c>
      <c r="D29" s="15">
        <f>'SFF①（日野市民会館）'!F29+'SFF②（パピヨン24ガスホール）'!F29+'SFF③（大阪国際交流センター）'!F29+'SFF④（青葉の森公園芸術文化ホール） '!F29+'SFF⑤（松田町生涯学習センター） '!F29+'SFF⑥（ALL草加市文化会館）'!F29</f>
        <v>180000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>
      <c r="A30" s="39" t="s">
        <v>33</v>
      </c>
      <c r="B30" s="13">
        <f>'SFF①（日野市民会館）'!D30+'SFF②（パピヨン24ガスホール）'!D30+'SFF③（大阪国際交流センター）'!D30+'SFF④（青葉の森公園芸術文化ホール） '!D30+'SFF⑤（松田町生涯学習センター） '!D30+'SFF⑥（ALL草加市文化会館）'!D30</f>
        <v>300000</v>
      </c>
      <c r="C30" s="14">
        <f>'SFF①（日野市民会館）'!E30+'SFF②（パピヨン24ガスホール）'!E30+'SFF③（大阪国際交流センター）'!E30+'SFF④（青葉の森公園芸術文化ホール） '!E30+'SFF⑤（松田町生涯学習センター） '!E30+'SFF⑥（ALL草加市文化会館）'!E30</f>
        <v>300000</v>
      </c>
      <c r="D30" s="15">
        <f>'SFF①（日野市民会館）'!F30+'SFF②（パピヨン24ガスホール）'!F30+'SFF③（大阪国際交流センター）'!F30+'SFF④（青葉の森公園芸術文化ホール） '!F30+'SFF⑤（松田町生涯学習センター） '!F30+'SFF⑥（ALL草加市文化会館）'!F30</f>
        <v>300000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>
      <c r="A31" s="35" t="s">
        <v>34</v>
      </c>
      <c r="B31" s="13">
        <f>'SFF①（日野市民会館）'!D31+'SFF②（パピヨン24ガスホール）'!D31+'SFF③（大阪国際交流センター）'!D31+'SFF④（青葉の森公園芸術文化ホール） '!D31+'SFF⑤（松田町生涯学習センター） '!D31+'SFF⑥（ALL草加市文化会館）'!D31</f>
        <v>0</v>
      </c>
      <c r="C31" s="14">
        <f>'SFF①（日野市民会館）'!E31+'SFF②（パピヨン24ガスホール）'!E31+'SFF③（大阪国際交流センター）'!E31+'SFF④（青葉の森公園芸術文化ホール） '!E31+'SFF⑤（松田町生涯学習センター） '!E31+'SFF⑥（ALL草加市文化会館）'!E31</f>
        <v>0</v>
      </c>
      <c r="D31" s="15">
        <f>'SFF①（日野市民会館）'!F31+'SFF②（パピヨン24ガスホール）'!F31+'SFF③（大阪国際交流センター）'!F31+'SFF④（青葉の森公園芸術文化ホール） '!F31+'SFF⑤（松田町生涯学習センター） '!F31+'SFF⑥（ALL草加市文化会館）'!F31</f>
        <v>0</v>
      </c>
      <c r="E31" s="5"/>
      <c r="F31" s="5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>
      <c r="A32" s="41" t="s">
        <v>35</v>
      </c>
      <c r="B32" s="42">
        <f t="shared" ref="B32:D32" si="2">SUM(B13:B31)</f>
        <v>23822318.62</v>
      </c>
      <c r="C32" s="43">
        <f t="shared" si="2"/>
        <v>24347073.28</v>
      </c>
      <c r="D32" s="44">
        <f t="shared" si="2"/>
        <v>24279827.94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>
      <c r="A33" s="45" t="s">
        <v>36</v>
      </c>
      <c r="B33" s="46">
        <f t="shared" ref="B33:D33" si="3">B11-B32</f>
        <v>14004865.38</v>
      </c>
      <c r="C33" s="47">
        <f t="shared" si="3"/>
        <v>20894406.72</v>
      </c>
      <c r="D33" s="48">
        <f t="shared" si="3"/>
        <v>32105948.06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>
      <c r="A34" s="49" t="s">
        <v>37</v>
      </c>
      <c r="B34" s="50">
        <f t="shared" ref="B34:D34" si="4">B33/B11</f>
        <v>0.3702328298</v>
      </c>
      <c r="C34" s="51">
        <f t="shared" si="4"/>
        <v>0.4618418036</v>
      </c>
      <c r="D34" s="52">
        <f t="shared" si="4"/>
        <v>0.5693979997</v>
      </c>
      <c r="E34" s="53"/>
      <c r="F34" s="53"/>
      <c r="G34" s="54"/>
      <c r="H34" s="54"/>
      <c r="I34" s="54"/>
      <c r="J34" s="54"/>
      <c r="K34" s="54"/>
      <c r="L34" s="54"/>
      <c r="M34" s="54"/>
      <c r="N34" s="54"/>
      <c r="O34" s="54"/>
      <c r="P34" s="54"/>
    </row>
    <row r="35">
      <c r="A35" s="55"/>
      <c r="B35" s="53"/>
      <c r="C35" s="53"/>
      <c r="D35" s="53"/>
      <c r="E35" s="53"/>
      <c r="F35" s="53"/>
    </row>
    <row r="36">
      <c r="A36" s="56"/>
      <c r="B36" s="56"/>
      <c r="C36" s="56"/>
      <c r="D36" s="56"/>
      <c r="E36" s="56"/>
      <c r="F36" s="56"/>
      <c r="G36" s="57"/>
      <c r="H36" s="57"/>
    </row>
    <row r="37">
      <c r="A37" s="56"/>
      <c r="B37" s="56"/>
      <c r="C37" s="56"/>
      <c r="D37" s="56"/>
      <c r="E37" s="56"/>
      <c r="F37" s="56"/>
      <c r="G37" s="57"/>
      <c r="H37" s="57"/>
    </row>
    <row r="38">
      <c r="A38" s="56"/>
      <c r="B38" s="58"/>
      <c r="C38" s="58"/>
      <c r="D38" s="58"/>
      <c r="E38" s="58"/>
      <c r="F38" s="58"/>
      <c r="G38" s="59"/>
      <c r="H38" s="59"/>
      <c r="J38" s="60"/>
      <c r="K38" s="60"/>
      <c r="L38" s="60"/>
      <c r="M38" s="60"/>
      <c r="N38" s="60"/>
      <c r="O38" s="60"/>
      <c r="P38" s="60"/>
    </row>
    <row r="39">
      <c r="A39" s="56"/>
      <c r="B39" s="58"/>
      <c r="C39" s="58"/>
      <c r="D39" s="58"/>
      <c r="E39" s="58"/>
      <c r="F39" s="58"/>
      <c r="G39" s="58"/>
      <c r="H39" s="58"/>
    </row>
    <row r="40">
      <c r="A40" s="56"/>
      <c r="B40" s="58"/>
      <c r="C40" s="58"/>
      <c r="D40" s="58"/>
      <c r="E40" s="58"/>
      <c r="F40" s="58"/>
      <c r="G40" s="58"/>
      <c r="H40" s="58"/>
    </row>
    <row r="41">
      <c r="A41" s="56"/>
      <c r="B41" s="58"/>
      <c r="C41" s="58"/>
      <c r="D41" s="58"/>
      <c r="E41" s="58"/>
      <c r="F41" s="58"/>
      <c r="G41" s="59"/>
      <c r="H41" s="59"/>
    </row>
    <row r="42">
      <c r="A42" s="56"/>
      <c r="B42" s="56"/>
      <c r="C42" s="56"/>
      <c r="D42" s="56"/>
      <c r="E42" s="56"/>
      <c r="F42" s="56"/>
      <c r="G42" s="59"/>
      <c r="H42" s="59"/>
    </row>
    <row r="43">
      <c r="A43" s="56"/>
      <c r="B43" s="56"/>
      <c r="C43" s="56"/>
      <c r="D43" s="56"/>
      <c r="E43" s="56"/>
      <c r="F43" s="56"/>
      <c r="G43" s="58"/>
      <c r="H43" s="58"/>
    </row>
    <row r="44">
      <c r="A44" s="56"/>
      <c r="B44" s="56"/>
      <c r="C44" s="56"/>
      <c r="D44" s="56"/>
      <c r="E44" s="56"/>
      <c r="F44" s="56"/>
      <c r="G44" s="58"/>
      <c r="H44" s="58"/>
    </row>
    <row r="45">
      <c r="A45" s="56"/>
      <c r="B45" s="56"/>
      <c r="C45" s="56"/>
      <c r="D45" s="56"/>
      <c r="E45" s="56"/>
      <c r="F45" s="56"/>
      <c r="G45" s="59"/>
      <c r="H45" s="59"/>
    </row>
    <row r="46">
      <c r="A46" s="56"/>
      <c r="B46" s="56"/>
      <c r="C46" s="56"/>
      <c r="D46" s="56"/>
      <c r="E46" s="56"/>
      <c r="F46" s="56"/>
      <c r="G46" s="58"/>
      <c r="H46" s="58"/>
    </row>
    <row r="47">
      <c r="A47" s="61"/>
      <c r="B47" s="56"/>
      <c r="C47" s="56"/>
      <c r="D47" s="56"/>
      <c r="E47" s="56"/>
      <c r="F47" s="56"/>
      <c r="G47" s="58"/>
      <c r="H47" s="58"/>
    </row>
    <row r="48">
      <c r="A48" s="56"/>
      <c r="B48" s="56"/>
      <c r="C48" s="56"/>
      <c r="D48" s="56"/>
      <c r="E48" s="56"/>
      <c r="F48" s="56"/>
      <c r="G48" s="59"/>
      <c r="H48" s="59"/>
    </row>
    <row r="49">
      <c r="A49" s="56"/>
      <c r="B49" s="56"/>
      <c r="C49" s="56"/>
      <c r="D49" s="56"/>
      <c r="E49" s="56"/>
      <c r="F49" s="56"/>
      <c r="G49" s="58"/>
      <c r="H49" s="58"/>
    </row>
    <row r="50">
      <c r="A50" s="56"/>
      <c r="B50" s="56"/>
      <c r="C50" s="56"/>
      <c r="D50" s="56"/>
      <c r="E50" s="56"/>
      <c r="F50" s="56"/>
      <c r="G50" s="58"/>
      <c r="H50" s="58"/>
    </row>
    <row r="51">
      <c r="A51" s="56"/>
      <c r="B51" s="56"/>
      <c r="C51" s="56"/>
      <c r="D51" s="56"/>
      <c r="E51" s="56"/>
      <c r="F51" s="56"/>
      <c r="G51" s="58"/>
      <c r="H51" s="58"/>
    </row>
    <row r="52">
      <c r="A52" s="56"/>
      <c r="B52" s="56"/>
      <c r="C52" s="56"/>
      <c r="D52" s="56"/>
      <c r="E52" s="56"/>
      <c r="F52" s="56"/>
      <c r="G52" s="59"/>
      <c r="H52" s="59"/>
    </row>
    <row r="53">
      <c r="A53" s="56"/>
      <c r="B53" s="62"/>
      <c r="C53" s="62"/>
      <c r="D53" s="62"/>
      <c r="E53" s="62"/>
      <c r="F53" s="62"/>
      <c r="G53" s="57"/>
      <c r="H53" s="57"/>
    </row>
    <row r="54">
      <c r="A54" s="63"/>
      <c r="B54" s="63"/>
      <c r="C54" s="63"/>
      <c r="D54" s="63"/>
      <c r="E54" s="63"/>
      <c r="F54" s="63"/>
      <c r="G54" s="57"/>
      <c r="H54" s="57"/>
    </row>
    <row r="55">
      <c r="A55" s="64"/>
      <c r="B55" s="64"/>
      <c r="C55" s="64"/>
      <c r="D55" s="64"/>
      <c r="E55" s="64"/>
      <c r="F55" s="64"/>
      <c r="G55" s="57"/>
      <c r="H55" s="57"/>
    </row>
    <row r="56">
      <c r="A56" s="65"/>
      <c r="B56" s="64"/>
      <c r="C56" s="64"/>
      <c r="D56" s="64"/>
      <c r="E56" s="64"/>
      <c r="F56" s="64"/>
      <c r="G56" s="57"/>
      <c r="H56" s="57"/>
    </row>
    <row r="57">
      <c r="A57" s="66"/>
      <c r="B57" s="64"/>
      <c r="C57" s="64"/>
      <c r="D57" s="64"/>
      <c r="E57" s="64"/>
      <c r="F57" s="64"/>
      <c r="G57" s="57"/>
      <c r="H57" s="57"/>
    </row>
    <row r="58">
      <c r="A58" s="65"/>
      <c r="B58" s="67"/>
      <c r="C58" s="67"/>
      <c r="D58" s="67"/>
      <c r="E58" s="67"/>
      <c r="F58" s="67"/>
      <c r="G58" s="57"/>
      <c r="H58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2.38"/>
    <col customWidth="1" min="3" max="3" width="13.0"/>
    <col customWidth="1" hidden="1" min="4" max="4" width="12.88"/>
    <col customWidth="1" min="5" max="5" width="18.75"/>
    <col customWidth="1" hidden="1" min="6" max="6" width="13.25"/>
    <col customWidth="1" min="7" max="7" width="19.38"/>
    <col customWidth="1" min="8" max="8" width="20.13"/>
    <col customWidth="1" min="9" max="9" width="20.88"/>
    <col customWidth="1" min="10" max="10" width="26.75"/>
    <col customWidth="1" min="11" max="18" width="17.5"/>
  </cols>
  <sheetData>
    <row r="1" ht="39.75" customHeight="1">
      <c r="A1" s="68" t="s">
        <v>0</v>
      </c>
      <c r="B1" s="69" t="s">
        <v>38</v>
      </c>
      <c r="C1" s="70" t="s">
        <v>39</v>
      </c>
      <c r="D1" s="71"/>
      <c r="E1" s="72" t="s">
        <v>40</v>
      </c>
      <c r="F1" s="73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74" t="s">
        <v>1</v>
      </c>
      <c r="B2" s="75"/>
      <c r="C2" s="76"/>
      <c r="D2" s="77" t="s">
        <v>2</v>
      </c>
      <c r="E2" s="77" t="s">
        <v>3</v>
      </c>
      <c r="F2" s="78" t="s">
        <v>4</v>
      </c>
      <c r="G2" s="79" t="s">
        <v>41</v>
      </c>
      <c r="H2" s="5"/>
      <c r="I2" s="11"/>
      <c r="J2" s="11"/>
      <c r="K2" s="6"/>
      <c r="L2" s="6"/>
      <c r="M2" s="6"/>
      <c r="N2" s="6"/>
      <c r="O2" s="6"/>
      <c r="P2" s="6"/>
      <c r="Q2" s="6"/>
      <c r="R2" s="6"/>
    </row>
    <row r="3">
      <c r="A3" s="80" t="s">
        <v>5</v>
      </c>
      <c r="B3" s="81" t="s">
        <v>42</v>
      </c>
      <c r="C3" s="82">
        <v>5000.0</v>
      </c>
      <c r="D3" s="14">
        <f t="shared" ref="D3:D9" si="1">E3*0.8</f>
        <v>800000</v>
      </c>
      <c r="E3" s="14">
        <f>200*C3</f>
        <v>1000000</v>
      </c>
      <c r="F3" s="83">
        <f t="shared" ref="F3:F9" si="2">E3*1.2</f>
        <v>1200000</v>
      </c>
      <c r="G3" s="16">
        <f>C3*222</f>
        <v>1110000</v>
      </c>
      <c r="H3" s="5"/>
      <c r="I3" s="11"/>
      <c r="J3" s="11"/>
      <c r="K3" s="11"/>
      <c r="L3" s="11"/>
      <c r="M3" s="11"/>
      <c r="N3" s="11"/>
      <c r="O3" s="11"/>
      <c r="P3" s="11"/>
      <c r="Q3" s="11"/>
      <c r="R3" s="11"/>
    </row>
    <row r="4">
      <c r="A4" s="80" t="s">
        <v>6</v>
      </c>
      <c r="B4" s="81" t="s">
        <v>43</v>
      </c>
      <c r="C4" s="82">
        <v>5500.0</v>
      </c>
      <c r="D4" s="14">
        <f t="shared" si="1"/>
        <v>3800720</v>
      </c>
      <c r="E4" s="14">
        <f>(7700*142*0.7+6600*581*0.7+5500*338*0.7)</f>
        <v>4750900</v>
      </c>
      <c r="F4" s="83">
        <f t="shared" si="2"/>
        <v>5701080</v>
      </c>
      <c r="G4" s="5">
        <f>(7700*142+6600*298+5500*272)</f>
        <v>4556200</v>
      </c>
      <c r="H4" s="5"/>
      <c r="I4" s="11"/>
      <c r="J4" s="11"/>
      <c r="K4" s="11"/>
      <c r="L4" s="11"/>
      <c r="M4" s="11"/>
      <c r="N4" s="11"/>
      <c r="O4" s="11"/>
      <c r="P4" s="11"/>
      <c r="Q4" s="11"/>
      <c r="R4" s="11"/>
    </row>
    <row r="5">
      <c r="A5" s="80" t="s">
        <v>7</v>
      </c>
      <c r="B5" s="81" t="s">
        <v>44</v>
      </c>
      <c r="C5" s="82">
        <v>3300.0</v>
      </c>
      <c r="D5" s="14">
        <f t="shared" si="1"/>
        <v>211200</v>
      </c>
      <c r="E5" s="14">
        <f>200*0.4*C5</f>
        <v>264000</v>
      </c>
      <c r="F5" s="83">
        <f t="shared" si="2"/>
        <v>316800</v>
      </c>
      <c r="G5" s="16">
        <v>293700.0</v>
      </c>
      <c r="H5" s="5"/>
      <c r="I5" s="11"/>
      <c r="J5" s="11"/>
      <c r="K5" s="11"/>
      <c r="L5" s="11"/>
      <c r="M5" s="11"/>
      <c r="N5" s="11"/>
      <c r="O5" s="11"/>
      <c r="P5" s="11"/>
      <c r="Q5" s="11"/>
      <c r="R5" s="11"/>
    </row>
    <row r="6">
      <c r="A6" s="84" t="s">
        <v>8</v>
      </c>
      <c r="B6" s="85" t="s">
        <v>45</v>
      </c>
      <c r="C6" s="86">
        <v>11000.0</v>
      </c>
      <c r="D6" s="87">
        <f t="shared" si="1"/>
        <v>176000</v>
      </c>
      <c r="E6" s="87">
        <f>200*0.4*C6*0.25</f>
        <v>220000</v>
      </c>
      <c r="F6" s="88">
        <f t="shared" si="2"/>
        <v>264000</v>
      </c>
      <c r="G6" s="16">
        <v>250250.0</v>
      </c>
      <c r="H6" s="5"/>
      <c r="I6" s="18"/>
      <c r="J6" s="19"/>
      <c r="K6" s="18"/>
      <c r="L6" s="18"/>
      <c r="M6" s="18"/>
      <c r="N6" s="18"/>
      <c r="O6" s="18"/>
      <c r="P6" s="18"/>
      <c r="Q6" s="18"/>
      <c r="R6" s="18"/>
    </row>
    <row r="7">
      <c r="A7" s="34" t="s">
        <v>9</v>
      </c>
      <c r="B7" s="89" t="s">
        <v>46</v>
      </c>
      <c r="C7" s="90"/>
      <c r="D7" s="91">
        <f t="shared" si="1"/>
        <v>160000</v>
      </c>
      <c r="E7" s="91">
        <v>200000.0</v>
      </c>
      <c r="F7" s="92">
        <f t="shared" si="2"/>
        <v>240000</v>
      </c>
      <c r="G7" s="16">
        <v>384900.0</v>
      </c>
      <c r="H7" s="5"/>
      <c r="I7" s="19"/>
      <c r="J7" s="19"/>
      <c r="K7" s="19"/>
      <c r="L7" s="19"/>
      <c r="M7" s="19"/>
      <c r="N7" s="19"/>
      <c r="O7" s="19"/>
      <c r="P7" s="19"/>
      <c r="Q7" s="19"/>
      <c r="R7" s="19"/>
    </row>
    <row r="8">
      <c r="A8" s="34" t="s">
        <v>10</v>
      </c>
      <c r="B8" s="89" t="s">
        <v>46</v>
      </c>
      <c r="C8" s="90"/>
      <c r="D8" s="91">
        <f t="shared" si="1"/>
        <v>376000</v>
      </c>
      <c r="E8" s="91">
        <v>470000.0</v>
      </c>
      <c r="F8" s="92">
        <f t="shared" si="2"/>
        <v>564000</v>
      </c>
      <c r="G8" s="16"/>
      <c r="H8" s="5"/>
      <c r="I8" s="19"/>
      <c r="J8" s="19"/>
      <c r="K8" s="19"/>
      <c r="L8" s="19"/>
      <c r="M8" s="19"/>
      <c r="N8" s="19"/>
      <c r="O8" s="19"/>
      <c r="P8" s="19"/>
      <c r="Q8" s="19"/>
      <c r="R8" s="19"/>
    </row>
    <row r="9">
      <c r="A9" s="93" t="s">
        <v>11</v>
      </c>
      <c r="B9" s="16"/>
      <c r="C9" s="94"/>
      <c r="D9" s="95">
        <f t="shared" si="1"/>
        <v>120000</v>
      </c>
      <c r="E9" s="95">
        <v>150000.0</v>
      </c>
      <c r="F9" s="92">
        <f t="shared" si="2"/>
        <v>180000</v>
      </c>
      <c r="G9" s="16">
        <v>224000.0</v>
      </c>
      <c r="H9" s="5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>
      <c r="A10" s="96" t="s">
        <v>12</v>
      </c>
      <c r="B10" s="11"/>
      <c r="C10" s="97"/>
      <c r="D10" s="98">
        <v>1200000.0</v>
      </c>
      <c r="E10" s="98">
        <v>1200000.0</v>
      </c>
      <c r="F10" s="99">
        <v>1950000.0</v>
      </c>
      <c r="G10" s="100">
        <f>'協賛金計算'!I11</f>
        <v>1525000</v>
      </c>
      <c r="H10" s="5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>
      <c r="A11" s="101" t="s">
        <v>13</v>
      </c>
      <c r="B11" s="24"/>
      <c r="C11" s="102"/>
      <c r="D11" s="24">
        <f t="shared" ref="D11:G11" si="3">SUM(D3:D10)</f>
        <v>6843920</v>
      </c>
      <c r="E11" s="24">
        <f t="shared" si="3"/>
        <v>8254900</v>
      </c>
      <c r="F11" s="24">
        <f t="shared" si="3"/>
        <v>10415880</v>
      </c>
      <c r="G11" s="5">
        <f t="shared" si="3"/>
        <v>8344050</v>
      </c>
      <c r="H11" s="5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>
      <c r="A12" s="103" t="s">
        <v>14</v>
      </c>
      <c r="B12" s="28"/>
      <c r="C12" s="104"/>
      <c r="D12" s="28"/>
      <c r="E12" s="28"/>
      <c r="F12" s="29"/>
      <c r="G12" s="5"/>
      <c r="H12" s="5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>
      <c r="A13" s="80" t="s">
        <v>15</v>
      </c>
      <c r="B13" s="81"/>
      <c r="C13" s="82"/>
      <c r="D13" s="14">
        <f t="shared" ref="D13:G13" si="4">D3*0.036</f>
        <v>28800</v>
      </c>
      <c r="E13" s="14">
        <f t="shared" si="4"/>
        <v>36000</v>
      </c>
      <c r="F13" s="15">
        <f t="shared" si="4"/>
        <v>43200</v>
      </c>
      <c r="G13" s="5">
        <f t="shared" si="4"/>
        <v>39960</v>
      </c>
      <c r="H13" s="5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>
      <c r="A14" s="105" t="s">
        <v>16</v>
      </c>
      <c r="B14" s="106"/>
      <c r="C14" s="107"/>
      <c r="D14" s="14">
        <f t="shared" ref="D14:G14" si="5">D4*0.036</f>
        <v>136825.92</v>
      </c>
      <c r="E14" s="108">
        <f t="shared" si="5"/>
        <v>171032.4</v>
      </c>
      <c r="F14" s="15">
        <f t="shared" si="5"/>
        <v>205238.88</v>
      </c>
      <c r="G14" s="5">
        <f t="shared" si="5"/>
        <v>164023.2</v>
      </c>
      <c r="H14" s="5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>
      <c r="A15" s="105" t="s">
        <v>17</v>
      </c>
      <c r="B15" s="106"/>
      <c r="C15" s="107"/>
      <c r="D15" s="14">
        <f t="shared" ref="D15:G15" si="6">D5*0.036</f>
        <v>7603.2</v>
      </c>
      <c r="E15" s="108">
        <f t="shared" si="6"/>
        <v>9504</v>
      </c>
      <c r="F15" s="15">
        <f t="shared" si="6"/>
        <v>11404.8</v>
      </c>
      <c r="G15" s="5">
        <f t="shared" si="6"/>
        <v>10573.2</v>
      </c>
      <c r="H15" s="5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>
      <c r="A16" s="109" t="s">
        <v>18</v>
      </c>
      <c r="B16" s="110" t="s">
        <v>47</v>
      </c>
      <c r="C16" s="111">
        <v>5000.0</v>
      </c>
      <c r="D16" s="112"/>
      <c r="E16" s="112">
        <v>0.0</v>
      </c>
      <c r="F16" s="113"/>
      <c r="G16" s="5"/>
      <c r="H16" s="5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>
      <c r="A17" s="109" t="s">
        <v>19</v>
      </c>
      <c r="B17" s="110"/>
      <c r="C17" s="111"/>
      <c r="D17" s="112">
        <f t="shared" ref="D17:F17" si="7">D9*0.036</f>
        <v>4320</v>
      </c>
      <c r="E17" s="112">
        <f t="shared" si="7"/>
        <v>5400</v>
      </c>
      <c r="F17" s="112">
        <f t="shared" si="7"/>
        <v>6480</v>
      </c>
      <c r="G17" s="5"/>
      <c r="H17" s="5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>
      <c r="A18" s="114" t="s">
        <v>20</v>
      </c>
      <c r="B18" s="115" t="s">
        <v>48</v>
      </c>
      <c r="C18" s="116"/>
      <c r="D18" s="117">
        <v>100000.0</v>
      </c>
      <c r="E18" s="117">
        <v>100000.0</v>
      </c>
      <c r="F18" s="117">
        <v>100000.0</v>
      </c>
      <c r="G18" s="5"/>
      <c r="H18" s="5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>
      <c r="A19" s="118" t="s">
        <v>21</v>
      </c>
      <c r="B19" s="119" t="s">
        <v>49</v>
      </c>
      <c r="C19" s="120"/>
      <c r="D19" s="91">
        <v>1120900.0</v>
      </c>
      <c r="E19" s="91">
        <v>1120900.0</v>
      </c>
      <c r="F19" s="121">
        <v>1120900.0</v>
      </c>
      <c r="G19" s="5"/>
      <c r="H19" s="5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>
      <c r="A20" s="34" t="s">
        <v>22</v>
      </c>
      <c r="B20" s="89" t="s">
        <v>50</v>
      </c>
      <c r="C20" s="90">
        <v>10000.0</v>
      </c>
      <c r="D20" s="91">
        <v>50000.0</v>
      </c>
      <c r="E20" s="122">
        <f>C20*5</f>
        <v>50000</v>
      </c>
      <c r="F20" s="121">
        <v>50000.0</v>
      </c>
      <c r="G20" s="16">
        <f>15000*3+10000*2</f>
        <v>65000</v>
      </c>
      <c r="H20" s="5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>
      <c r="A21" s="34" t="s">
        <v>23</v>
      </c>
      <c r="B21" s="89" t="s">
        <v>51</v>
      </c>
      <c r="C21" s="90"/>
      <c r="D21" s="95"/>
      <c r="E21" s="122">
        <v>55000.0</v>
      </c>
      <c r="F21" s="121"/>
      <c r="G21" s="16">
        <v>50495.0</v>
      </c>
      <c r="H21" s="5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>
      <c r="A22" s="34" t="s">
        <v>24</v>
      </c>
      <c r="B22" s="89" t="s">
        <v>52</v>
      </c>
      <c r="C22" s="90"/>
      <c r="D22" s="95">
        <f>E22</f>
        <v>350000</v>
      </c>
      <c r="E22" s="91">
        <v>350000.0</v>
      </c>
      <c r="F22" s="121">
        <f>E22</f>
        <v>350000</v>
      </c>
      <c r="G22" s="5"/>
      <c r="H22" s="5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>
      <c r="A23" s="123" t="s">
        <v>25</v>
      </c>
      <c r="B23" s="124" t="s">
        <v>53</v>
      </c>
      <c r="C23" s="125">
        <v>9000.0</v>
      </c>
      <c r="D23" s="126">
        <v>225000.0</v>
      </c>
      <c r="E23" s="127">
        <f>C23*25</f>
        <v>225000</v>
      </c>
      <c r="F23" s="128">
        <v>225000.0</v>
      </c>
      <c r="G23" s="16"/>
      <c r="H23" s="5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>
      <c r="A24" s="118" t="s">
        <v>26</v>
      </c>
      <c r="B24" s="89" t="s">
        <v>54</v>
      </c>
      <c r="C24" s="120"/>
      <c r="D24" s="91">
        <v>200000.0</v>
      </c>
      <c r="E24" s="91">
        <v>200000.0</v>
      </c>
      <c r="F24" s="121">
        <v>200000.0</v>
      </c>
      <c r="G24" s="5"/>
      <c r="H24" s="5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>
      <c r="A25" s="129" t="s">
        <v>27</v>
      </c>
      <c r="B25" s="36" t="s">
        <v>55</v>
      </c>
      <c r="C25" s="130"/>
      <c r="D25" s="131">
        <f>E25</f>
        <v>650000</v>
      </c>
      <c r="E25" s="131">
        <v>650000.0</v>
      </c>
      <c r="F25" s="128">
        <f>E25</f>
        <v>650000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>
      <c r="A26" s="132" t="s">
        <v>28</v>
      </c>
      <c r="B26" s="37" t="s">
        <v>56</v>
      </c>
      <c r="C26" s="133"/>
      <c r="D26" s="134">
        <v>65000.0</v>
      </c>
      <c r="E26" s="134">
        <v>65000.0</v>
      </c>
      <c r="F26" s="135">
        <v>65000.0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>
      <c r="A27" s="136" t="s">
        <v>29</v>
      </c>
      <c r="B27" s="38" t="s">
        <v>57</v>
      </c>
      <c r="C27" s="137"/>
      <c r="D27" s="138">
        <v>30000.0</v>
      </c>
      <c r="E27" s="138">
        <v>30000.0</v>
      </c>
      <c r="F27" s="139">
        <v>30000.0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36" t="s">
        <v>30</v>
      </c>
      <c r="B28" s="38" t="s">
        <v>58</v>
      </c>
      <c r="C28" s="137"/>
      <c r="D28" s="138">
        <v>12000.0</v>
      </c>
      <c r="E28" s="138">
        <v>12000.0</v>
      </c>
      <c r="F28" s="139">
        <v>12000.0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>
      <c r="A29" s="136" t="s">
        <v>32</v>
      </c>
      <c r="B29" s="38" t="s">
        <v>59</v>
      </c>
      <c r="C29" s="137"/>
      <c r="D29" s="138">
        <v>30000.0</v>
      </c>
      <c r="E29" s="138">
        <v>30000.0</v>
      </c>
      <c r="F29" s="139">
        <v>30000.0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>
      <c r="A30" s="140" t="s">
        <v>33</v>
      </c>
      <c r="B30" s="141"/>
      <c r="C30" s="142"/>
      <c r="D30" s="143">
        <v>50000.0</v>
      </c>
      <c r="E30" s="143">
        <v>50000.0</v>
      </c>
      <c r="F30" s="144">
        <v>50000.0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>
      <c r="A31" s="123" t="s">
        <v>34</v>
      </c>
      <c r="B31" s="145"/>
      <c r="C31" s="146"/>
      <c r="D31" s="147"/>
      <c r="E31" s="148"/>
      <c r="F31" s="149"/>
      <c r="G31" s="5"/>
      <c r="H31" s="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>
      <c r="A32" s="150" t="s">
        <v>35</v>
      </c>
      <c r="B32" s="43"/>
      <c r="C32" s="151"/>
      <c r="D32" s="43">
        <f t="shared" ref="D32:F32" si="8">SUM(D13:D31)</f>
        <v>3060449.12</v>
      </c>
      <c r="E32" s="43">
        <f t="shared" si="8"/>
        <v>3159836.4</v>
      </c>
      <c r="F32" s="152">
        <f t="shared" si="8"/>
        <v>3149223.68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>
      <c r="A33" s="46" t="s">
        <v>36</v>
      </c>
      <c r="B33" s="45"/>
      <c r="C33" s="153"/>
      <c r="D33" s="47">
        <f t="shared" ref="D33:F33" si="9">D11-D32</f>
        <v>3783470.88</v>
      </c>
      <c r="E33" s="47">
        <f t="shared" si="9"/>
        <v>5095063.6</v>
      </c>
      <c r="F33" s="48">
        <f t="shared" si="9"/>
        <v>7266656.32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>
      <c r="A34" s="49" t="s">
        <v>37</v>
      </c>
      <c r="B34" s="154"/>
      <c r="C34" s="154"/>
      <c r="D34" s="155">
        <f t="shared" ref="D34:F34" si="10">D33/D11</f>
        <v>0.5528221955</v>
      </c>
      <c r="E34" s="155">
        <f t="shared" si="10"/>
        <v>0.6172168772</v>
      </c>
      <c r="F34" s="156">
        <f t="shared" si="10"/>
        <v>0.6976516934</v>
      </c>
      <c r="G34" s="53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</row>
    <row r="35">
      <c r="A35" s="55"/>
      <c r="B35" s="55"/>
      <c r="C35" s="157"/>
      <c r="D35" s="53"/>
      <c r="E35" s="53"/>
      <c r="F35" s="53"/>
      <c r="G35" s="53"/>
      <c r="H35" s="53"/>
    </row>
    <row r="36">
      <c r="A36" s="56"/>
      <c r="B36" s="56"/>
      <c r="C36" s="56"/>
      <c r="D36" s="56"/>
      <c r="E36" s="56"/>
      <c r="F36" s="56"/>
      <c r="G36" s="56"/>
      <c r="H36" s="56"/>
      <c r="I36" s="57"/>
      <c r="J36" s="57"/>
    </row>
    <row r="37">
      <c r="A37" s="56"/>
      <c r="B37" s="56"/>
      <c r="C37" s="56"/>
      <c r="D37" s="56"/>
      <c r="E37" s="56"/>
      <c r="F37" s="56"/>
      <c r="G37" s="56"/>
      <c r="H37" s="56"/>
      <c r="I37" s="57"/>
      <c r="J37" s="57"/>
    </row>
    <row r="38">
      <c r="A38" s="56"/>
      <c r="B38" s="56"/>
      <c r="C38" s="56"/>
      <c r="D38" s="58"/>
      <c r="E38" s="58"/>
      <c r="F38" s="58"/>
      <c r="G38" s="58"/>
      <c r="H38" s="58"/>
      <c r="I38" s="59"/>
      <c r="J38" s="59"/>
      <c r="L38" s="60"/>
      <c r="M38" s="60"/>
      <c r="N38" s="60"/>
      <c r="O38" s="60"/>
      <c r="P38" s="60"/>
      <c r="Q38" s="60"/>
      <c r="R38" s="60"/>
    </row>
    <row r="39">
      <c r="A39" s="56"/>
      <c r="B39" s="56"/>
      <c r="C39" s="56"/>
      <c r="D39" s="58"/>
      <c r="E39" s="58"/>
      <c r="F39" s="58"/>
      <c r="G39" s="58"/>
      <c r="H39" s="58"/>
      <c r="I39" s="58"/>
      <c r="J39" s="58"/>
    </row>
    <row r="40">
      <c r="A40" s="56"/>
      <c r="B40" s="56"/>
      <c r="C40" s="56"/>
      <c r="D40" s="58"/>
      <c r="E40" s="58"/>
      <c r="F40" s="58"/>
      <c r="G40" s="58"/>
      <c r="H40" s="58"/>
      <c r="I40" s="58"/>
      <c r="J40" s="58"/>
    </row>
    <row r="41">
      <c r="A41" s="56"/>
      <c r="B41" s="56"/>
      <c r="C41" s="56"/>
      <c r="D41" s="58"/>
      <c r="E41" s="58"/>
      <c r="F41" s="58"/>
      <c r="G41" s="58"/>
      <c r="H41" s="58"/>
      <c r="I41" s="59"/>
      <c r="J41" s="59"/>
    </row>
    <row r="42">
      <c r="A42" s="56"/>
      <c r="B42" s="56"/>
      <c r="C42" s="56"/>
      <c r="D42" s="56"/>
      <c r="E42" s="56"/>
      <c r="F42" s="56"/>
      <c r="G42" s="56"/>
      <c r="H42" s="56"/>
      <c r="I42" s="59"/>
      <c r="J42" s="59"/>
    </row>
    <row r="43">
      <c r="A43" s="56"/>
      <c r="B43" s="56"/>
      <c r="C43" s="56"/>
      <c r="D43" s="56"/>
      <c r="E43" s="56"/>
      <c r="F43" s="56"/>
      <c r="G43" s="56"/>
      <c r="H43" s="56"/>
      <c r="I43" s="58"/>
      <c r="J43" s="58"/>
    </row>
    <row r="44">
      <c r="A44" s="56"/>
      <c r="B44" s="56"/>
      <c r="C44" s="56"/>
      <c r="D44" s="56"/>
      <c r="E44" s="56"/>
      <c r="F44" s="56"/>
      <c r="G44" s="56"/>
      <c r="H44" s="56"/>
      <c r="I44" s="58"/>
      <c r="J44" s="58"/>
    </row>
    <row r="45">
      <c r="A45" s="56"/>
      <c r="B45" s="56"/>
      <c r="C45" s="56"/>
      <c r="D45" s="56"/>
      <c r="E45" s="56"/>
      <c r="F45" s="56"/>
      <c r="G45" s="56"/>
      <c r="H45" s="56"/>
      <c r="I45" s="59"/>
      <c r="J45" s="59"/>
    </row>
    <row r="46">
      <c r="A46" s="56"/>
      <c r="B46" s="56"/>
      <c r="C46" s="56"/>
      <c r="D46" s="56"/>
      <c r="E46" s="56"/>
      <c r="F46" s="56"/>
      <c r="G46" s="56"/>
      <c r="H46" s="56"/>
      <c r="I46" s="58"/>
      <c r="J46" s="58"/>
    </row>
    <row r="47">
      <c r="A47" s="61"/>
      <c r="B47" s="61"/>
      <c r="C47" s="61"/>
      <c r="D47" s="56"/>
      <c r="E47" s="56"/>
      <c r="F47" s="56"/>
      <c r="G47" s="56"/>
      <c r="H47" s="56"/>
      <c r="I47" s="58"/>
      <c r="J47" s="58"/>
    </row>
    <row r="48">
      <c r="A48" s="56"/>
      <c r="B48" s="56"/>
      <c r="C48" s="56"/>
      <c r="D48" s="56"/>
      <c r="E48" s="56"/>
      <c r="F48" s="56"/>
      <c r="G48" s="56"/>
      <c r="H48" s="56"/>
      <c r="I48" s="59"/>
      <c r="J48" s="59"/>
    </row>
    <row r="49">
      <c r="A49" s="56"/>
      <c r="B49" s="56"/>
      <c r="C49" s="56"/>
      <c r="D49" s="56"/>
      <c r="E49" s="56"/>
      <c r="F49" s="56"/>
      <c r="G49" s="56"/>
      <c r="H49" s="56"/>
      <c r="I49" s="58"/>
      <c r="J49" s="58"/>
    </row>
    <row r="50">
      <c r="A50" s="56"/>
      <c r="B50" s="56"/>
      <c r="C50" s="56"/>
      <c r="D50" s="56"/>
      <c r="E50" s="56"/>
      <c r="F50" s="56"/>
      <c r="G50" s="56"/>
      <c r="H50" s="56"/>
      <c r="I50" s="58"/>
      <c r="J50" s="58"/>
    </row>
    <row r="51">
      <c r="A51" s="56"/>
      <c r="B51" s="56"/>
      <c r="C51" s="56"/>
      <c r="D51" s="56"/>
      <c r="E51" s="56"/>
      <c r="F51" s="56"/>
      <c r="G51" s="56"/>
      <c r="H51" s="56"/>
      <c r="I51" s="58"/>
      <c r="J51" s="58"/>
    </row>
    <row r="52">
      <c r="A52" s="56"/>
      <c r="B52" s="56"/>
      <c r="C52" s="56"/>
      <c r="D52" s="56"/>
      <c r="E52" s="56"/>
      <c r="F52" s="56"/>
      <c r="G52" s="56"/>
      <c r="H52" s="56"/>
      <c r="I52" s="59"/>
      <c r="J52" s="59"/>
    </row>
    <row r="53">
      <c r="A53" s="56"/>
      <c r="B53" s="56"/>
      <c r="C53" s="56"/>
      <c r="D53" s="62"/>
      <c r="E53" s="62"/>
      <c r="F53" s="62"/>
      <c r="G53" s="62"/>
      <c r="H53" s="62"/>
      <c r="I53" s="57"/>
      <c r="J53" s="57"/>
    </row>
    <row r="54">
      <c r="A54" s="63"/>
      <c r="B54" s="63"/>
      <c r="C54" s="63"/>
      <c r="D54" s="63"/>
      <c r="E54" s="63"/>
      <c r="F54" s="63"/>
      <c r="G54" s="63"/>
      <c r="H54" s="63"/>
      <c r="I54" s="57"/>
      <c r="J54" s="57"/>
    </row>
    <row r="55">
      <c r="A55" s="64"/>
      <c r="B55" s="64"/>
      <c r="C55" s="64"/>
      <c r="D55" s="64"/>
      <c r="E55" s="64"/>
      <c r="F55" s="64"/>
      <c r="G55" s="64"/>
      <c r="H55" s="64"/>
      <c r="I55" s="57"/>
      <c r="J55" s="57"/>
    </row>
    <row r="56">
      <c r="A56" s="65"/>
      <c r="B56" s="65"/>
      <c r="C56" s="65"/>
      <c r="D56" s="64"/>
      <c r="E56" s="64"/>
      <c r="F56" s="64"/>
      <c r="G56" s="64"/>
      <c r="H56" s="64"/>
      <c r="I56" s="57"/>
      <c r="J56" s="57"/>
    </row>
    <row r="57">
      <c r="A57" s="66"/>
      <c r="B57" s="66"/>
      <c r="C57" s="66"/>
      <c r="D57" s="64"/>
      <c r="E57" s="64"/>
      <c r="F57" s="64"/>
      <c r="G57" s="64"/>
      <c r="H57" s="64"/>
      <c r="I57" s="57"/>
      <c r="J57" s="57"/>
    </row>
    <row r="58">
      <c r="A58" s="65"/>
      <c r="B58" s="65"/>
      <c r="C58" s="65"/>
      <c r="D58" s="67"/>
      <c r="E58" s="67"/>
      <c r="F58" s="67"/>
      <c r="G58" s="67"/>
      <c r="H58" s="67"/>
      <c r="I58" s="57"/>
      <c r="J58" s="57"/>
    </row>
  </sheetData>
  <hyperlinks>
    <hyperlink r:id="rId4" ref="B19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2.38"/>
    <col customWidth="1" min="3" max="3" width="13.0"/>
    <col customWidth="1" hidden="1" min="4" max="4" width="12.88"/>
    <col customWidth="1" min="5" max="5" width="18.75"/>
    <col customWidth="1" hidden="1" min="6" max="6" width="13.25"/>
    <col customWidth="1" min="7" max="7" width="19.38"/>
    <col customWidth="1" min="8" max="8" width="20.13"/>
    <col customWidth="1" min="9" max="9" width="20.88"/>
    <col customWidth="1" min="10" max="10" width="26.75"/>
    <col customWidth="1" min="11" max="18" width="17.5"/>
  </cols>
  <sheetData>
    <row r="1" ht="39.75" customHeight="1">
      <c r="A1" s="68" t="s">
        <v>0</v>
      </c>
      <c r="B1" s="69" t="s">
        <v>38</v>
      </c>
      <c r="C1" s="70" t="s">
        <v>39</v>
      </c>
      <c r="D1" s="158"/>
      <c r="E1" s="159" t="s">
        <v>60</v>
      </c>
      <c r="F1" s="160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74" t="s">
        <v>1</v>
      </c>
      <c r="B2" s="75"/>
      <c r="C2" s="76"/>
      <c r="D2" s="77" t="s">
        <v>2</v>
      </c>
      <c r="E2" s="77" t="s">
        <v>3</v>
      </c>
      <c r="F2" s="78" t="s">
        <v>4</v>
      </c>
      <c r="G2" s="79" t="s">
        <v>41</v>
      </c>
      <c r="H2" s="5"/>
      <c r="I2" s="11"/>
      <c r="J2" s="11"/>
      <c r="K2" s="6"/>
      <c r="L2" s="6"/>
      <c r="M2" s="6"/>
      <c r="N2" s="6"/>
      <c r="O2" s="6"/>
      <c r="P2" s="6"/>
      <c r="Q2" s="6"/>
      <c r="R2" s="6"/>
    </row>
    <row r="3">
      <c r="A3" s="80" t="s">
        <v>5</v>
      </c>
      <c r="B3" s="81" t="s">
        <v>61</v>
      </c>
      <c r="C3" s="82">
        <v>5000.0</v>
      </c>
      <c r="D3" s="14">
        <f t="shared" ref="D3:D9" si="1">E3*0.8</f>
        <v>400000</v>
      </c>
      <c r="E3" s="14">
        <f>100*C3</f>
        <v>500000</v>
      </c>
      <c r="F3" s="83">
        <f t="shared" ref="F3:F9" si="2">E3*1.2</f>
        <v>600000</v>
      </c>
      <c r="G3" s="16">
        <f>C3*123</f>
        <v>615000</v>
      </c>
      <c r="H3" s="5"/>
      <c r="I3" s="11"/>
      <c r="J3" s="11"/>
      <c r="K3" s="11"/>
      <c r="L3" s="11"/>
      <c r="M3" s="11"/>
      <c r="N3" s="11"/>
      <c r="O3" s="11"/>
      <c r="P3" s="11"/>
      <c r="Q3" s="11"/>
      <c r="R3" s="11"/>
    </row>
    <row r="4">
      <c r="A4" s="80" t="s">
        <v>6</v>
      </c>
      <c r="B4" s="81" t="s">
        <v>62</v>
      </c>
      <c r="C4" s="82">
        <v>5500.0</v>
      </c>
      <c r="D4" s="14">
        <f t="shared" si="1"/>
        <v>1459304</v>
      </c>
      <c r="E4" s="14">
        <f>7700*91*0.7+6600*132*0.7+5500*188*0.7</f>
        <v>1824130</v>
      </c>
      <c r="F4" s="83">
        <f t="shared" si="2"/>
        <v>2188956</v>
      </c>
      <c r="G4" s="14">
        <f>7700*91+6600*132+5500*183 </f>
        <v>2578400</v>
      </c>
      <c r="H4" s="16" t="s">
        <v>63</v>
      </c>
      <c r="I4" s="11"/>
      <c r="J4" s="11"/>
      <c r="K4" s="11"/>
      <c r="L4" s="11"/>
      <c r="M4" s="11"/>
      <c r="N4" s="11"/>
      <c r="O4" s="11"/>
      <c r="P4" s="11"/>
      <c r="Q4" s="11"/>
      <c r="R4" s="11"/>
    </row>
    <row r="5">
      <c r="A5" s="80" t="s">
        <v>7</v>
      </c>
      <c r="B5" s="81" t="s">
        <v>44</v>
      </c>
      <c r="C5" s="82">
        <v>3300.0</v>
      </c>
      <c r="D5" s="14">
        <f t="shared" si="1"/>
        <v>211200</v>
      </c>
      <c r="E5" s="14">
        <f>200*0.4*C5</f>
        <v>264000</v>
      </c>
      <c r="F5" s="83">
        <f t="shared" si="2"/>
        <v>316800</v>
      </c>
      <c r="G5" s="5">
        <f>C5*58</f>
        <v>191400</v>
      </c>
      <c r="H5" s="5"/>
      <c r="I5" s="11"/>
      <c r="J5" s="11"/>
      <c r="K5" s="11"/>
      <c r="L5" s="11"/>
      <c r="M5" s="11"/>
      <c r="N5" s="11"/>
      <c r="O5" s="11"/>
      <c r="P5" s="11"/>
      <c r="Q5" s="11"/>
      <c r="R5" s="11"/>
    </row>
    <row r="6">
      <c r="A6" s="84" t="s">
        <v>8</v>
      </c>
      <c r="B6" s="85" t="s">
        <v>45</v>
      </c>
      <c r="C6" s="86">
        <v>11000.0</v>
      </c>
      <c r="D6" s="87">
        <f t="shared" si="1"/>
        <v>176000</v>
      </c>
      <c r="E6" s="87">
        <f>200*0.4*C6*0.25</f>
        <v>220000</v>
      </c>
      <c r="F6" s="88">
        <f t="shared" si="2"/>
        <v>264000</v>
      </c>
      <c r="G6" s="16">
        <v>38206.0</v>
      </c>
      <c r="H6" s="5"/>
      <c r="I6" s="18"/>
      <c r="J6" s="19"/>
      <c r="K6" s="18"/>
      <c r="L6" s="18"/>
      <c r="M6" s="18"/>
      <c r="N6" s="18"/>
      <c r="O6" s="18"/>
      <c r="P6" s="18"/>
      <c r="Q6" s="18"/>
      <c r="R6" s="18"/>
    </row>
    <row r="7">
      <c r="A7" s="34" t="s">
        <v>9</v>
      </c>
      <c r="B7" s="89" t="s">
        <v>46</v>
      </c>
      <c r="C7" s="90"/>
      <c r="D7" s="91">
        <f t="shared" si="1"/>
        <v>160000</v>
      </c>
      <c r="E7" s="91">
        <v>200000.0</v>
      </c>
      <c r="F7" s="92">
        <f t="shared" si="2"/>
        <v>240000</v>
      </c>
      <c r="G7" s="16">
        <v>332200.0</v>
      </c>
      <c r="H7" s="5"/>
      <c r="I7" s="19"/>
      <c r="J7" s="19"/>
      <c r="K7" s="19"/>
      <c r="L7" s="19"/>
      <c r="M7" s="19"/>
      <c r="N7" s="19"/>
      <c r="O7" s="19"/>
      <c r="P7" s="19"/>
      <c r="Q7" s="19"/>
      <c r="R7" s="19"/>
    </row>
    <row r="8">
      <c r="A8" s="34" t="s">
        <v>10</v>
      </c>
      <c r="B8" s="89" t="s">
        <v>46</v>
      </c>
      <c r="C8" s="90"/>
      <c r="D8" s="91">
        <f t="shared" si="1"/>
        <v>376000</v>
      </c>
      <c r="E8" s="91">
        <v>470000.0</v>
      </c>
      <c r="F8" s="92">
        <f t="shared" si="2"/>
        <v>564000</v>
      </c>
      <c r="G8" s="16">
        <v>280660.0</v>
      </c>
      <c r="H8" s="5"/>
      <c r="I8" s="19"/>
      <c r="J8" s="19"/>
      <c r="K8" s="19"/>
      <c r="L8" s="19"/>
      <c r="M8" s="19"/>
      <c r="N8" s="19"/>
      <c r="O8" s="19"/>
      <c r="P8" s="19"/>
      <c r="Q8" s="19"/>
      <c r="R8" s="19"/>
    </row>
    <row r="9">
      <c r="A9" s="93" t="s">
        <v>11</v>
      </c>
      <c r="B9" s="16"/>
      <c r="C9" s="94"/>
      <c r="D9" s="95">
        <f t="shared" si="1"/>
        <v>120000</v>
      </c>
      <c r="E9" s="95">
        <v>150000.0</v>
      </c>
      <c r="F9" s="92">
        <f t="shared" si="2"/>
        <v>180000</v>
      </c>
      <c r="G9" s="16">
        <v>91000.0</v>
      </c>
      <c r="H9" s="5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>
      <c r="A10" s="96" t="s">
        <v>12</v>
      </c>
      <c r="B10" s="11"/>
      <c r="C10" s="97"/>
      <c r="D10" s="98">
        <v>500000.0</v>
      </c>
      <c r="E10" s="98">
        <v>500000.0</v>
      </c>
      <c r="F10" s="98">
        <v>900000.0</v>
      </c>
      <c r="G10" s="100">
        <f>'協賛金計算'!I12</f>
        <v>685000</v>
      </c>
      <c r="H10" s="5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>
      <c r="A11" s="101" t="s">
        <v>13</v>
      </c>
      <c r="B11" s="24"/>
      <c r="C11" s="102"/>
      <c r="D11" s="24">
        <f t="shared" ref="D11:G11" si="3">SUM(D3:D10)</f>
        <v>3402504</v>
      </c>
      <c r="E11" s="24">
        <f t="shared" si="3"/>
        <v>4128130</v>
      </c>
      <c r="F11" s="24">
        <f t="shared" si="3"/>
        <v>5253756</v>
      </c>
      <c r="G11" s="5">
        <f t="shared" si="3"/>
        <v>4811866</v>
      </c>
      <c r="H11" s="5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>
      <c r="A12" s="103" t="s">
        <v>14</v>
      </c>
      <c r="B12" s="28"/>
      <c r="C12" s="104"/>
      <c r="D12" s="28"/>
      <c r="E12" s="28"/>
      <c r="F12" s="29"/>
      <c r="G12" s="5"/>
      <c r="H12" s="5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>
      <c r="A13" s="80" t="s">
        <v>15</v>
      </c>
      <c r="B13" s="81"/>
      <c r="C13" s="82"/>
      <c r="D13" s="14">
        <f t="shared" ref="D13:F13" si="4">D3*0.036</f>
        <v>14400</v>
      </c>
      <c r="E13" s="14">
        <f t="shared" si="4"/>
        <v>18000</v>
      </c>
      <c r="F13" s="15">
        <f t="shared" si="4"/>
        <v>21600</v>
      </c>
      <c r="G13" s="5"/>
      <c r="H13" s="5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>
      <c r="A14" s="105" t="s">
        <v>16</v>
      </c>
      <c r="B14" s="106"/>
      <c r="C14" s="107"/>
      <c r="D14" s="14">
        <f t="shared" ref="D14:F14" si="5">D4*0.036</f>
        <v>52534.944</v>
      </c>
      <c r="E14" s="108">
        <f t="shared" si="5"/>
        <v>65668.68</v>
      </c>
      <c r="F14" s="15">
        <f t="shared" si="5"/>
        <v>78802.416</v>
      </c>
      <c r="G14" s="5"/>
      <c r="H14" s="5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>
      <c r="A15" s="105" t="s">
        <v>17</v>
      </c>
      <c r="B15" s="106"/>
      <c r="C15" s="107"/>
      <c r="D15" s="14">
        <f t="shared" ref="D15:F15" si="6">D5*0.036</f>
        <v>7603.2</v>
      </c>
      <c r="E15" s="108">
        <f t="shared" si="6"/>
        <v>9504</v>
      </c>
      <c r="F15" s="15">
        <f t="shared" si="6"/>
        <v>11404.8</v>
      </c>
      <c r="G15" s="5"/>
      <c r="H15" s="5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>
      <c r="A16" s="109" t="s">
        <v>18</v>
      </c>
      <c r="B16" s="110" t="s">
        <v>47</v>
      </c>
      <c r="C16" s="111">
        <v>5000.0</v>
      </c>
      <c r="D16" s="112"/>
      <c r="E16" s="112">
        <v>0.0</v>
      </c>
      <c r="F16" s="113"/>
      <c r="G16" s="5"/>
      <c r="H16" s="5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>
      <c r="A17" s="109" t="s">
        <v>19</v>
      </c>
      <c r="B17" s="110"/>
      <c r="C17" s="111"/>
      <c r="D17" s="112">
        <f t="shared" ref="D17:F17" si="7">D9*0.036</f>
        <v>4320</v>
      </c>
      <c r="E17" s="112">
        <f t="shared" si="7"/>
        <v>5400</v>
      </c>
      <c r="F17" s="112">
        <f t="shared" si="7"/>
        <v>6480</v>
      </c>
      <c r="G17" s="5"/>
      <c r="H17" s="5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>
      <c r="A18" s="114" t="s">
        <v>20</v>
      </c>
      <c r="B18" s="115" t="s">
        <v>48</v>
      </c>
      <c r="C18" s="116"/>
      <c r="D18" s="117">
        <v>100000.0</v>
      </c>
      <c r="E18" s="117">
        <v>100000.0</v>
      </c>
      <c r="F18" s="117">
        <v>100000.0</v>
      </c>
      <c r="G18" s="5"/>
      <c r="H18" s="5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>
      <c r="A19" s="118" t="s">
        <v>21</v>
      </c>
      <c r="B19" s="161" t="s">
        <v>64</v>
      </c>
      <c r="C19" s="120"/>
      <c r="D19" s="91">
        <v>950000.0</v>
      </c>
      <c r="E19" s="91">
        <v>950000.0</v>
      </c>
      <c r="F19" s="121">
        <v>950000.0</v>
      </c>
      <c r="G19" s="5"/>
      <c r="H19" s="5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>
      <c r="A20" s="34" t="s">
        <v>22</v>
      </c>
      <c r="B20" s="89" t="s">
        <v>65</v>
      </c>
      <c r="C20" s="90">
        <v>10000.0</v>
      </c>
      <c r="D20" s="91">
        <v>50000.0</v>
      </c>
      <c r="E20" s="91">
        <f>C20*5</f>
        <v>50000</v>
      </c>
      <c r="F20" s="121">
        <v>50000.0</v>
      </c>
      <c r="G20" s="16">
        <f>40000*2+35000</f>
        <v>115000</v>
      </c>
      <c r="H20" s="5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>
      <c r="A21" s="34" t="s">
        <v>23</v>
      </c>
      <c r="B21" s="89" t="s">
        <v>66</v>
      </c>
      <c r="C21" s="90"/>
      <c r="D21" s="91"/>
      <c r="E21" s="91">
        <v>60000.0</v>
      </c>
      <c r="F21" s="91"/>
      <c r="G21" s="16">
        <f>30000+35000</f>
        <v>65000</v>
      </c>
      <c r="H21" s="5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>
      <c r="A22" s="34" t="s">
        <v>24</v>
      </c>
      <c r="B22" s="89" t="s">
        <v>67</v>
      </c>
      <c r="C22" s="90"/>
      <c r="D22" s="91">
        <f t="shared" ref="D22:F22" si="8">350000+150000</f>
        <v>500000</v>
      </c>
      <c r="E22" s="91">
        <f t="shared" si="8"/>
        <v>500000</v>
      </c>
      <c r="F22" s="91">
        <f t="shared" si="8"/>
        <v>500000</v>
      </c>
      <c r="G22" s="5"/>
      <c r="H22" s="5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>
      <c r="A23" s="123" t="s">
        <v>25</v>
      </c>
      <c r="B23" s="124" t="s">
        <v>68</v>
      </c>
      <c r="C23" s="125">
        <v>40000.0</v>
      </c>
      <c r="D23" s="126">
        <f>E23</f>
        <v>800000</v>
      </c>
      <c r="E23" s="127">
        <f>C23*20</f>
        <v>800000</v>
      </c>
      <c r="F23" s="128">
        <f>E23</f>
        <v>800000</v>
      </c>
      <c r="G23" s="16"/>
      <c r="H23" s="5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>
      <c r="A24" s="34" t="s">
        <v>69</v>
      </c>
      <c r="B24" s="89" t="s">
        <v>54</v>
      </c>
      <c r="C24" s="120"/>
      <c r="D24" s="91">
        <v>200000.0</v>
      </c>
      <c r="E24" s="91">
        <v>200000.0</v>
      </c>
      <c r="F24" s="121">
        <v>200000.0</v>
      </c>
      <c r="G24" s="5"/>
      <c r="H24" s="5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>
      <c r="A25" s="129" t="s">
        <v>27</v>
      </c>
      <c r="B25" s="36" t="s">
        <v>70</v>
      </c>
      <c r="C25" s="130"/>
      <c r="D25" s="131">
        <f>E25</f>
        <v>650000</v>
      </c>
      <c r="E25" s="131">
        <v>650000.0</v>
      </c>
      <c r="F25" s="128">
        <f>E25</f>
        <v>650000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>
      <c r="A26" s="132" t="s">
        <v>28</v>
      </c>
      <c r="B26" s="37" t="s">
        <v>56</v>
      </c>
      <c r="C26" s="133"/>
      <c r="D26" s="134">
        <v>65000.0</v>
      </c>
      <c r="E26" s="134">
        <v>65000.0</v>
      </c>
      <c r="F26" s="135">
        <v>65000.0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>
      <c r="A27" s="136" t="s">
        <v>29</v>
      </c>
      <c r="B27" s="38" t="s">
        <v>71</v>
      </c>
      <c r="C27" s="137"/>
      <c r="D27" s="138">
        <f t="shared" ref="D27:F27" si="9">60000+140000</f>
        <v>200000</v>
      </c>
      <c r="E27" s="138">
        <f t="shared" si="9"/>
        <v>200000</v>
      </c>
      <c r="F27" s="139">
        <f t="shared" si="9"/>
        <v>200000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36" t="s">
        <v>30</v>
      </c>
      <c r="B28" s="38" t="s">
        <v>72</v>
      </c>
      <c r="C28" s="137"/>
      <c r="D28" s="138">
        <f>E28</f>
        <v>200000</v>
      </c>
      <c r="E28" s="138">
        <f>60000+140000</f>
        <v>200000</v>
      </c>
      <c r="F28" s="139">
        <f t="shared" ref="F28:F29" si="10">E28</f>
        <v>200000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>
      <c r="A29" s="136" t="s">
        <v>32</v>
      </c>
      <c r="B29" s="38" t="s">
        <v>59</v>
      </c>
      <c r="C29" s="137"/>
      <c r="D29" s="138">
        <v>30000.0</v>
      </c>
      <c r="E29" s="138">
        <v>30000.0</v>
      </c>
      <c r="F29" s="139">
        <f t="shared" si="10"/>
        <v>30000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>
      <c r="A30" s="140" t="s">
        <v>33</v>
      </c>
      <c r="B30" s="141"/>
      <c r="C30" s="142"/>
      <c r="D30" s="143">
        <v>50000.0</v>
      </c>
      <c r="E30" s="143">
        <v>50000.0</v>
      </c>
      <c r="F30" s="144">
        <v>50000.0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>
      <c r="A31" s="123" t="s">
        <v>34</v>
      </c>
      <c r="B31" s="145"/>
      <c r="C31" s="146"/>
      <c r="D31" s="147"/>
      <c r="E31" s="148"/>
      <c r="F31" s="149"/>
      <c r="G31" s="5"/>
      <c r="H31" s="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>
      <c r="A32" s="150" t="s">
        <v>35</v>
      </c>
      <c r="B32" s="43"/>
      <c r="C32" s="151"/>
      <c r="D32" s="43">
        <f t="shared" ref="D32:F32" si="11">SUM(D13:D31)</f>
        <v>3873858.144</v>
      </c>
      <c r="E32" s="43">
        <f t="shared" si="11"/>
        <v>3953572.68</v>
      </c>
      <c r="F32" s="152">
        <f t="shared" si="11"/>
        <v>3913287.216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>
      <c r="A33" s="46" t="s">
        <v>36</v>
      </c>
      <c r="B33" s="45"/>
      <c r="C33" s="153"/>
      <c r="D33" s="47">
        <f t="shared" ref="D33:F33" si="12">D11-D32</f>
        <v>-471354.144</v>
      </c>
      <c r="E33" s="47">
        <f t="shared" si="12"/>
        <v>174557.32</v>
      </c>
      <c r="F33" s="48">
        <f t="shared" si="12"/>
        <v>1340468.784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>
      <c r="A34" s="49" t="s">
        <v>37</v>
      </c>
      <c r="B34" s="154"/>
      <c r="C34" s="154"/>
      <c r="D34" s="155">
        <f t="shared" ref="D34:F34" si="13">D33/D11</f>
        <v>-0.1385315474</v>
      </c>
      <c r="E34" s="155">
        <f t="shared" si="13"/>
        <v>0.04228484084</v>
      </c>
      <c r="F34" s="156">
        <f t="shared" si="13"/>
        <v>0.2551448495</v>
      </c>
      <c r="G34" s="53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</row>
    <row r="35">
      <c r="A35" s="157" t="s">
        <v>73</v>
      </c>
      <c r="B35" s="55"/>
      <c r="C35" s="157"/>
      <c r="D35" s="53"/>
      <c r="E35" s="53"/>
      <c r="F35" s="53"/>
      <c r="G35" s="53"/>
      <c r="H35" s="53"/>
    </row>
    <row r="36">
      <c r="A36" s="56" t="s">
        <v>74</v>
      </c>
      <c r="B36" s="56"/>
      <c r="C36" s="56"/>
      <c r="D36" s="56"/>
      <c r="E36" s="56"/>
      <c r="F36" s="56"/>
      <c r="G36" s="56"/>
      <c r="H36" s="56"/>
      <c r="I36" s="57"/>
      <c r="J36" s="57"/>
    </row>
    <row r="37">
      <c r="A37" s="56"/>
      <c r="B37" s="56"/>
      <c r="C37" s="56"/>
      <c r="D37" s="56"/>
      <c r="E37" s="56"/>
      <c r="F37" s="56"/>
      <c r="G37" s="56"/>
      <c r="H37" s="56"/>
      <c r="I37" s="57"/>
      <c r="J37" s="57"/>
    </row>
    <row r="38">
      <c r="A38" s="56"/>
      <c r="B38" s="56"/>
      <c r="C38" s="56"/>
      <c r="D38" s="58"/>
      <c r="E38" s="58"/>
      <c r="F38" s="58"/>
      <c r="G38" s="58"/>
      <c r="H38" s="58"/>
      <c r="I38" s="59"/>
      <c r="J38" s="59"/>
      <c r="L38" s="60"/>
      <c r="M38" s="60"/>
      <c r="N38" s="60"/>
      <c r="O38" s="60"/>
      <c r="P38" s="60"/>
      <c r="Q38" s="60"/>
      <c r="R38" s="60"/>
    </row>
    <row r="39">
      <c r="A39" s="56"/>
      <c r="B39" s="56"/>
      <c r="C39" s="56"/>
      <c r="D39" s="58"/>
      <c r="E39" s="58"/>
      <c r="F39" s="58"/>
      <c r="G39" s="58"/>
      <c r="H39" s="58"/>
      <c r="I39" s="58"/>
      <c r="J39" s="58"/>
    </row>
    <row r="40">
      <c r="A40" s="56"/>
      <c r="B40" s="56"/>
      <c r="C40" s="56"/>
      <c r="D40" s="58"/>
      <c r="E40" s="58"/>
      <c r="F40" s="58"/>
      <c r="G40" s="58"/>
      <c r="H40" s="58"/>
      <c r="I40" s="58"/>
      <c r="J40" s="58"/>
    </row>
    <row r="41">
      <c r="A41" s="56"/>
      <c r="B41" s="56"/>
      <c r="C41" s="56"/>
      <c r="D41" s="58"/>
      <c r="E41" s="58"/>
      <c r="F41" s="58"/>
      <c r="G41" s="58"/>
      <c r="H41" s="58"/>
      <c r="I41" s="59"/>
      <c r="J41" s="59"/>
    </row>
    <row r="42">
      <c r="A42" s="56"/>
      <c r="B42" s="56"/>
      <c r="C42" s="56"/>
      <c r="D42" s="56"/>
      <c r="E42" s="56"/>
      <c r="F42" s="56"/>
      <c r="G42" s="56"/>
      <c r="H42" s="56"/>
      <c r="I42" s="59"/>
      <c r="J42" s="59"/>
    </row>
    <row r="43">
      <c r="A43" s="56"/>
      <c r="B43" s="56"/>
      <c r="C43" s="56"/>
      <c r="D43" s="56"/>
      <c r="E43" s="56"/>
      <c r="F43" s="56"/>
      <c r="G43" s="56"/>
      <c r="H43" s="56"/>
      <c r="I43" s="58"/>
      <c r="J43" s="58"/>
    </row>
    <row r="44">
      <c r="A44" s="56"/>
      <c r="B44" s="56"/>
      <c r="C44" s="56"/>
      <c r="D44" s="56"/>
      <c r="E44" s="56"/>
      <c r="F44" s="56"/>
      <c r="G44" s="56"/>
      <c r="H44" s="56"/>
      <c r="I44" s="58"/>
      <c r="J44" s="58"/>
    </row>
    <row r="45">
      <c r="A45" s="56"/>
      <c r="B45" s="56"/>
      <c r="C45" s="56"/>
      <c r="D45" s="56"/>
      <c r="E45" s="56"/>
      <c r="F45" s="56"/>
      <c r="G45" s="56"/>
      <c r="H45" s="56"/>
      <c r="I45" s="59"/>
      <c r="J45" s="59"/>
    </row>
    <row r="46">
      <c r="A46" s="56"/>
      <c r="B46" s="56"/>
      <c r="C46" s="56"/>
      <c r="D46" s="56"/>
      <c r="E46" s="56"/>
      <c r="F46" s="56"/>
      <c r="G46" s="56"/>
      <c r="H46" s="56"/>
      <c r="I46" s="58"/>
      <c r="J46" s="58"/>
    </row>
    <row r="47">
      <c r="A47" s="61"/>
      <c r="B47" s="61"/>
      <c r="C47" s="61"/>
      <c r="D47" s="56"/>
      <c r="E47" s="56"/>
      <c r="F47" s="56"/>
      <c r="G47" s="56"/>
      <c r="H47" s="56"/>
      <c r="I47" s="58"/>
      <c r="J47" s="58"/>
    </row>
    <row r="48">
      <c r="A48" s="56"/>
      <c r="B48" s="56"/>
      <c r="C48" s="56"/>
      <c r="D48" s="56"/>
      <c r="E48" s="56"/>
      <c r="F48" s="56"/>
      <c r="G48" s="56"/>
      <c r="H48" s="56"/>
      <c r="I48" s="59"/>
      <c r="J48" s="59"/>
    </row>
    <row r="49">
      <c r="A49" s="56"/>
      <c r="B49" s="56"/>
      <c r="C49" s="56"/>
      <c r="D49" s="56"/>
      <c r="E49" s="56"/>
      <c r="F49" s="56"/>
      <c r="G49" s="56"/>
      <c r="H49" s="56"/>
      <c r="I49" s="58"/>
      <c r="J49" s="58"/>
    </row>
    <row r="50">
      <c r="A50" s="56"/>
      <c r="B50" s="56"/>
      <c r="C50" s="56"/>
      <c r="D50" s="56"/>
      <c r="E50" s="56"/>
      <c r="F50" s="56"/>
      <c r="G50" s="56"/>
      <c r="H50" s="56"/>
      <c r="I50" s="58"/>
      <c r="J50" s="58"/>
    </row>
    <row r="51">
      <c r="A51" s="56"/>
      <c r="B51" s="56"/>
      <c r="C51" s="56"/>
      <c r="D51" s="56"/>
      <c r="E51" s="56"/>
      <c r="F51" s="56"/>
      <c r="G51" s="56"/>
      <c r="H51" s="56"/>
      <c r="I51" s="58"/>
      <c r="J51" s="58"/>
    </row>
    <row r="52">
      <c r="A52" s="56"/>
      <c r="B52" s="56"/>
      <c r="C52" s="56"/>
      <c r="D52" s="56"/>
      <c r="E52" s="56"/>
      <c r="F52" s="56"/>
      <c r="G52" s="56"/>
      <c r="H52" s="56"/>
      <c r="I52" s="59"/>
      <c r="J52" s="59"/>
    </row>
    <row r="53">
      <c r="A53" s="56"/>
      <c r="B53" s="56"/>
      <c r="C53" s="56"/>
      <c r="D53" s="62"/>
      <c r="E53" s="62"/>
      <c r="F53" s="62"/>
      <c r="G53" s="62"/>
      <c r="H53" s="62"/>
      <c r="I53" s="57"/>
      <c r="J53" s="57"/>
    </row>
    <row r="54">
      <c r="A54" s="63"/>
      <c r="B54" s="63"/>
      <c r="C54" s="63"/>
      <c r="D54" s="63"/>
      <c r="E54" s="63"/>
      <c r="F54" s="63"/>
      <c r="G54" s="63"/>
      <c r="H54" s="63"/>
      <c r="I54" s="57"/>
      <c r="J54" s="57"/>
    </row>
    <row r="55">
      <c r="A55" s="64"/>
      <c r="B55" s="64"/>
      <c r="C55" s="64"/>
      <c r="D55" s="64"/>
      <c r="E55" s="64"/>
      <c r="F55" s="64"/>
      <c r="G55" s="64"/>
      <c r="H55" s="64"/>
      <c r="I55" s="57"/>
      <c r="J55" s="57"/>
    </row>
    <row r="56">
      <c r="A56" s="65"/>
      <c r="B56" s="65"/>
      <c r="C56" s="65"/>
      <c r="D56" s="64"/>
      <c r="E56" s="64"/>
      <c r="F56" s="64"/>
      <c r="G56" s="64"/>
      <c r="H56" s="64"/>
      <c r="I56" s="57"/>
      <c r="J56" s="57"/>
    </row>
    <row r="57">
      <c r="A57" s="66"/>
      <c r="B57" s="66"/>
      <c r="C57" s="66"/>
      <c r="D57" s="64"/>
      <c r="E57" s="64"/>
      <c r="F57" s="64"/>
      <c r="G57" s="64"/>
      <c r="H57" s="64"/>
      <c r="I57" s="57"/>
      <c r="J57" s="57"/>
    </row>
    <row r="58">
      <c r="A58" s="65"/>
      <c r="B58" s="65"/>
      <c r="C58" s="65"/>
      <c r="D58" s="67"/>
      <c r="E58" s="67"/>
      <c r="F58" s="67"/>
      <c r="G58" s="67"/>
      <c r="H58" s="67"/>
      <c r="I58" s="57"/>
      <c r="J58" s="57"/>
    </row>
  </sheetData>
  <hyperlinks>
    <hyperlink r:id="rId4" ref="B19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2.38"/>
    <col customWidth="1" min="3" max="3" width="13.0"/>
    <col customWidth="1" hidden="1" min="4" max="4" width="12.88"/>
    <col customWidth="1" min="5" max="5" width="18.75"/>
    <col customWidth="1" hidden="1" min="6" max="6" width="13.25"/>
    <col customWidth="1" min="7" max="7" width="19.38"/>
    <col customWidth="1" min="8" max="8" width="20.13"/>
    <col customWidth="1" min="9" max="9" width="20.88"/>
    <col customWidth="1" min="10" max="10" width="26.75"/>
    <col customWidth="1" min="11" max="18" width="17.5"/>
  </cols>
  <sheetData>
    <row r="1" ht="39.75" customHeight="1">
      <c r="A1" s="68" t="s">
        <v>0</v>
      </c>
      <c r="B1" s="69" t="s">
        <v>38</v>
      </c>
      <c r="C1" s="70" t="s">
        <v>39</v>
      </c>
      <c r="D1" s="162"/>
      <c r="E1" s="163" t="s">
        <v>75</v>
      </c>
      <c r="F1" s="164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74" t="s">
        <v>1</v>
      </c>
      <c r="B2" s="75"/>
      <c r="C2" s="76"/>
      <c r="D2" s="77" t="s">
        <v>2</v>
      </c>
      <c r="E2" s="77" t="s">
        <v>3</v>
      </c>
      <c r="F2" s="78" t="s">
        <v>4</v>
      </c>
      <c r="G2" s="79" t="s">
        <v>41</v>
      </c>
      <c r="H2" s="5"/>
      <c r="I2" s="11"/>
      <c r="J2" s="11"/>
      <c r="K2" s="6"/>
      <c r="L2" s="6"/>
      <c r="M2" s="6"/>
      <c r="N2" s="6"/>
      <c r="O2" s="6"/>
      <c r="P2" s="6"/>
      <c r="Q2" s="6"/>
      <c r="R2" s="6"/>
    </row>
    <row r="3">
      <c r="A3" s="80" t="s">
        <v>5</v>
      </c>
      <c r="B3" s="81" t="s">
        <v>76</v>
      </c>
      <c r="C3" s="82">
        <v>5000.0</v>
      </c>
      <c r="D3" s="14">
        <f t="shared" ref="D3:D9" si="1">E3*0.8</f>
        <v>800000</v>
      </c>
      <c r="E3" s="14">
        <f>200*C3</f>
        <v>1000000</v>
      </c>
      <c r="F3" s="83">
        <f t="shared" ref="F3:F9" si="2">E3*1.2</f>
        <v>1200000</v>
      </c>
      <c r="G3" s="16">
        <f>C3*303</f>
        <v>1515000</v>
      </c>
      <c r="H3" s="5"/>
      <c r="I3" s="11"/>
      <c r="J3" s="11"/>
      <c r="K3" s="11"/>
      <c r="L3" s="11"/>
      <c r="M3" s="11"/>
      <c r="N3" s="11"/>
      <c r="O3" s="11"/>
      <c r="P3" s="11"/>
      <c r="Q3" s="11"/>
      <c r="R3" s="11"/>
    </row>
    <row r="4">
      <c r="A4" s="80" t="s">
        <v>6</v>
      </c>
      <c r="B4" s="81" t="s">
        <v>77</v>
      </c>
      <c r="C4" s="82">
        <v>5500.0</v>
      </c>
      <c r="D4" s="14">
        <f t="shared" si="1"/>
        <v>3349808</v>
      </c>
      <c r="E4" s="14">
        <f>7700*154*0.7+6600*260*0.7+5500*560*0.7</f>
        <v>4187260</v>
      </c>
      <c r="F4" s="83">
        <f t="shared" si="2"/>
        <v>5024712</v>
      </c>
      <c r="G4" s="165">
        <f>7700*154+6600*260+5500*560</f>
        <v>5981800</v>
      </c>
      <c r="H4" s="5"/>
      <c r="I4" s="11"/>
      <c r="J4" s="11"/>
      <c r="K4" s="11"/>
      <c r="L4" s="11"/>
      <c r="M4" s="11"/>
      <c r="N4" s="11"/>
      <c r="O4" s="11"/>
      <c r="P4" s="11"/>
      <c r="Q4" s="11"/>
      <c r="R4" s="11"/>
    </row>
    <row r="5">
      <c r="A5" s="80" t="s">
        <v>7</v>
      </c>
      <c r="B5" s="81" t="s">
        <v>44</v>
      </c>
      <c r="C5" s="82">
        <v>3300.0</v>
      </c>
      <c r="D5" s="14">
        <f t="shared" si="1"/>
        <v>211200</v>
      </c>
      <c r="E5" s="14">
        <f>200*0.4*C5</f>
        <v>264000</v>
      </c>
      <c r="F5" s="83">
        <f t="shared" si="2"/>
        <v>316800</v>
      </c>
      <c r="G5" s="5">
        <f>C5*172</f>
        <v>567600</v>
      </c>
      <c r="H5" s="5"/>
      <c r="I5" s="11"/>
      <c r="J5" s="11"/>
      <c r="K5" s="11"/>
      <c r="L5" s="11"/>
      <c r="M5" s="11"/>
      <c r="N5" s="11"/>
      <c r="O5" s="11"/>
      <c r="P5" s="11"/>
      <c r="Q5" s="11"/>
      <c r="R5" s="11"/>
    </row>
    <row r="6">
      <c r="A6" s="84" t="s">
        <v>8</v>
      </c>
      <c r="B6" s="85" t="s">
        <v>45</v>
      </c>
      <c r="C6" s="86">
        <v>11000.0</v>
      </c>
      <c r="D6" s="87">
        <f t="shared" si="1"/>
        <v>176000</v>
      </c>
      <c r="E6" s="87">
        <f>200*0.4*C6*0.25</f>
        <v>220000</v>
      </c>
      <c r="F6" s="88">
        <f t="shared" si="2"/>
        <v>264000</v>
      </c>
      <c r="G6" s="16">
        <v>134954.0</v>
      </c>
      <c r="H6" s="5"/>
      <c r="I6" s="18"/>
      <c r="J6" s="19"/>
      <c r="K6" s="18"/>
      <c r="L6" s="18"/>
      <c r="M6" s="18"/>
      <c r="N6" s="18"/>
      <c r="O6" s="18"/>
      <c r="P6" s="18"/>
      <c r="Q6" s="18"/>
      <c r="R6" s="18"/>
    </row>
    <row r="7">
      <c r="A7" s="34" t="s">
        <v>9</v>
      </c>
      <c r="B7" s="89" t="s">
        <v>46</v>
      </c>
      <c r="C7" s="90"/>
      <c r="D7" s="91">
        <f t="shared" si="1"/>
        <v>160000</v>
      </c>
      <c r="E7" s="91">
        <v>200000.0</v>
      </c>
      <c r="F7" s="92">
        <f t="shared" si="2"/>
        <v>240000</v>
      </c>
      <c r="G7" s="166">
        <v>447800.0</v>
      </c>
      <c r="H7" s="5"/>
      <c r="I7" s="19"/>
      <c r="J7" s="19"/>
      <c r="K7" s="19"/>
      <c r="L7" s="19"/>
      <c r="M7" s="19"/>
      <c r="N7" s="19"/>
      <c r="O7" s="19"/>
      <c r="P7" s="19"/>
      <c r="Q7" s="19"/>
      <c r="R7" s="19"/>
    </row>
    <row r="8">
      <c r="A8" s="34" t="s">
        <v>10</v>
      </c>
      <c r="B8" s="89" t="s">
        <v>46</v>
      </c>
      <c r="C8" s="90"/>
      <c r="D8" s="91">
        <f t="shared" si="1"/>
        <v>376000</v>
      </c>
      <c r="E8" s="91">
        <v>470000.0</v>
      </c>
      <c r="F8" s="92">
        <f t="shared" si="2"/>
        <v>564000</v>
      </c>
      <c r="G8" s="16">
        <v>564220.0</v>
      </c>
      <c r="H8" s="5"/>
      <c r="I8" s="19"/>
      <c r="J8" s="19"/>
      <c r="K8" s="19"/>
      <c r="L8" s="19"/>
      <c r="M8" s="19"/>
      <c r="N8" s="19"/>
      <c r="O8" s="19"/>
      <c r="P8" s="19"/>
      <c r="Q8" s="19"/>
      <c r="R8" s="19"/>
    </row>
    <row r="9">
      <c r="A9" s="93" t="s">
        <v>11</v>
      </c>
      <c r="B9" s="16"/>
      <c r="C9" s="94"/>
      <c r="D9" s="95">
        <f t="shared" si="1"/>
        <v>120000</v>
      </c>
      <c r="E9" s="95">
        <v>150000.0</v>
      </c>
      <c r="F9" s="92">
        <f t="shared" si="2"/>
        <v>180000</v>
      </c>
      <c r="G9" s="5"/>
      <c r="H9" s="5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>
      <c r="A10" s="96" t="s">
        <v>12</v>
      </c>
      <c r="B10" s="11"/>
      <c r="C10" s="97"/>
      <c r="D10" s="98">
        <v>1000000.0</v>
      </c>
      <c r="E10" s="98">
        <v>1000000.0</v>
      </c>
      <c r="F10" s="98">
        <v>1600000.0</v>
      </c>
      <c r="G10" s="16">
        <f>'協賛金計算'!I13</f>
        <v>1250000</v>
      </c>
      <c r="H10" s="5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>
      <c r="A11" s="101" t="s">
        <v>13</v>
      </c>
      <c r="B11" s="24"/>
      <c r="C11" s="102"/>
      <c r="D11" s="24">
        <f t="shared" ref="D11:F11" si="3">SUM(D3:D9)</f>
        <v>5193008</v>
      </c>
      <c r="E11" s="24">
        <f t="shared" si="3"/>
        <v>6491260</v>
      </c>
      <c r="F11" s="24">
        <f t="shared" si="3"/>
        <v>7789512</v>
      </c>
      <c r="G11" s="5"/>
      <c r="H11" s="5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>
      <c r="A12" s="103" t="s">
        <v>14</v>
      </c>
      <c r="B12" s="28"/>
      <c r="C12" s="104"/>
      <c r="D12" s="28"/>
      <c r="E12" s="28"/>
      <c r="F12" s="29"/>
      <c r="G12" s="5"/>
      <c r="H12" s="5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>
      <c r="A13" s="80" t="s">
        <v>15</v>
      </c>
      <c r="B13" s="81"/>
      <c r="C13" s="82"/>
      <c r="D13" s="14">
        <f t="shared" ref="D13:F13" si="4">D3*0.036</f>
        <v>28800</v>
      </c>
      <c r="E13" s="14">
        <f t="shared" si="4"/>
        <v>36000</v>
      </c>
      <c r="F13" s="15">
        <f t="shared" si="4"/>
        <v>43200</v>
      </c>
      <c r="G13" s="5"/>
      <c r="H13" s="5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>
      <c r="A14" s="105" t="s">
        <v>16</v>
      </c>
      <c r="B14" s="106"/>
      <c r="C14" s="107"/>
      <c r="D14" s="14">
        <f t="shared" ref="D14:F14" si="5">D4*0.036</f>
        <v>120593.088</v>
      </c>
      <c r="E14" s="108">
        <f t="shared" si="5"/>
        <v>150741.36</v>
      </c>
      <c r="F14" s="15">
        <f t="shared" si="5"/>
        <v>180889.632</v>
      </c>
      <c r="G14" s="5"/>
      <c r="H14" s="5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>
      <c r="A15" s="105" t="s">
        <v>17</v>
      </c>
      <c r="B15" s="106"/>
      <c r="C15" s="107"/>
      <c r="D15" s="14">
        <f t="shared" ref="D15:F15" si="6">D5*0.036</f>
        <v>7603.2</v>
      </c>
      <c r="E15" s="108">
        <f t="shared" si="6"/>
        <v>9504</v>
      </c>
      <c r="F15" s="15">
        <f t="shared" si="6"/>
        <v>11404.8</v>
      </c>
      <c r="G15" s="5"/>
      <c r="H15" s="5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>
      <c r="A16" s="167" t="s">
        <v>18</v>
      </c>
      <c r="B16" s="168" t="s">
        <v>47</v>
      </c>
      <c r="C16" s="169">
        <v>5000.0</v>
      </c>
      <c r="D16" s="170"/>
      <c r="E16" s="170">
        <v>0.0</v>
      </c>
      <c r="F16" s="171"/>
      <c r="G16" s="5"/>
      <c r="H16" s="5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>
      <c r="A17" s="109" t="s">
        <v>19</v>
      </c>
      <c r="B17" s="110"/>
      <c r="C17" s="111"/>
      <c r="D17" s="112">
        <f t="shared" ref="D17:F17" si="7">D9*0.036</f>
        <v>4320</v>
      </c>
      <c r="E17" s="112">
        <f t="shared" si="7"/>
        <v>5400</v>
      </c>
      <c r="F17" s="112">
        <f t="shared" si="7"/>
        <v>6480</v>
      </c>
      <c r="G17" s="5"/>
      <c r="H17" s="5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>
      <c r="A18" s="114" t="s">
        <v>20</v>
      </c>
      <c r="B18" s="115" t="s">
        <v>48</v>
      </c>
      <c r="C18" s="116"/>
      <c r="D18" s="117">
        <v>100000.0</v>
      </c>
      <c r="E18" s="117">
        <v>100000.0</v>
      </c>
      <c r="F18" s="117">
        <v>100000.0</v>
      </c>
      <c r="G18" s="5"/>
      <c r="H18" s="5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>
      <c r="A19" s="118" t="s">
        <v>21</v>
      </c>
      <c r="B19" s="119" t="s">
        <v>78</v>
      </c>
      <c r="C19" s="120"/>
      <c r="D19" s="91">
        <v>950000.0</v>
      </c>
      <c r="E19" s="91">
        <v>950000.0</v>
      </c>
      <c r="F19" s="121">
        <v>950000.0</v>
      </c>
      <c r="G19" s="5"/>
      <c r="H19" s="5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>
      <c r="A20" s="34" t="s">
        <v>22</v>
      </c>
      <c r="B20" s="89" t="s">
        <v>50</v>
      </c>
      <c r="C20" s="90">
        <v>10000.0</v>
      </c>
      <c r="D20" s="91">
        <v>50000.0</v>
      </c>
      <c r="E20" s="91">
        <f>C20*5</f>
        <v>50000</v>
      </c>
      <c r="F20" s="121">
        <v>50000.0</v>
      </c>
      <c r="G20" s="16">
        <f>15000*3+10000*2</f>
        <v>65000</v>
      </c>
      <c r="H20" s="5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>
      <c r="A21" s="34" t="s">
        <v>23</v>
      </c>
      <c r="B21" s="89" t="s">
        <v>79</v>
      </c>
      <c r="C21" s="90"/>
      <c r="D21" s="91"/>
      <c r="E21" s="91">
        <v>33000.0</v>
      </c>
      <c r="F21" s="91"/>
      <c r="G21" s="16"/>
      <c r="H21" s="5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>
      <c r="A22" s="34" t="s">
        <v>24</v>
      </c>
      <c r="B22" s="89" t="s">
        <v>80</v>
      </c>
      <c r="C22" s="90"/>
      <c r="D22" s="91">
        <f t="shared" ref="D22:F22" si="8">350000+100000</f>
        <v>450000</v>
      </c>
      <c r="E22" s="91">
        <f t="shared" si="8"/>
        <v>450000</v>
      </c>
      <c r="F22" s="91">
        <f t="shared" si="8"/>
        <v>450000</v>
      </c>
      <c r="G22" s="5"/>
      <c r="H22" s="5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>
      <c r="A23" s="123" t="s">
        <v>25</v>
      </c>
      <c r="B23" s="124" t="s">
        <v>68</v>
      </c>
      <c r="C23" s="125">
        <v>30000.0</v>
      </c>
      <c r="D23" s="126">
        <f>E23</f>
        <v>600000</v>
      </c>
      <c r="E23" s="127">
        <f>C23*20</f>
        <v>600000</v>
      </c>
      <c r="F23" s="128">
        <f>E23</f>
        <v>600000</v>
      </c>
      <c r="G23" s="16"/>
      <c r="H23" s="5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>
      <c r="A24" s="118" t="s">
        <v>26</v>
      </c>
      <c r="B24" s="89" t="s">
        <v>54</v>
      </c>
      <c r="C24" s="120"/>
      <c r="D24" s="91">
        <v>200000.0</v>
      </c>
      <c r="E24" s="91">
        <v>200000.0</v>
      </c>
      <c r="F24" s="121">
        <v>200000.0</v>
      </c>
      <c r="G24" s="5"/>
      <c r="H24" s="5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>
      <c r="A25" s="129" t="s">
        <v>27</v>
      </c>
      <c r="B25" s="36" t="s">
        <v>81</v>
      </c>
      <c r="C25" s="130"/>
      <c r="D25" s="131">
        <v>1600000.0</v>
      </c>
      <c r="E25" s="131">
        <v>1600000.0</v>
      </c>
      <c r="F25" s="131">
        <v>1600000.0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>
      <c r="A26" s="132" t="s">
        <v>28</v>
      </c>
      <c r="B26" s="37" t="s">
        <v>56</v>
      </c>
      <c r="C26" s="133"/>
      <c r="D26" s="134">
        <v>65000.0</v>
      </c>
      <c r="E26" s="134">
        <v>65000.0</v>
      </c>
      <c r="F26" s="135">
        <v>65000.0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>
      <c r="A27" s="136" t="s">
        <v>29</v>
      </c>
      <c r="B27" s="38" t="s">
        <v>57</v>
      </c>
      <c r="C27" s="137"/>
      <c r="D27" s="138">
        <v>30000.0</v>
      </c>
      <c r="E27" s="138">
        <v>30000.0</v>
      </c>
      <c r="F27" s="139">
        <v>30000.0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36" t="s">
        <v>30</v>
      </c>
      <c r="B28" s="38" t="s">
        <v>82</v>
      </c>
      <c r="C28" s="137"/>
      <c r="D28" s="138">
        <f t="shared" ref="D28:F28" si="9">40000+140000</f>
        <v>180000</v>
      </c>
      <c r="E28" s="138">
        <f t="shared" si="9"/>
        <v>180000</v>
      </c>
      <c r="F28" s="139">
        <f t="shared" si="9"/>
        <v>180000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>
      <c r="A29" s="136" t="s">
        <v>32</v>
      </c>
      <c r="B29" s="38" t="s">
        <v>59</v>
      </c>
      <c r="C29" s="137"/>
      <c r="D29" s="138">
        <v>30000.0</v>
      </c>
      <c r="E29" s="138">
        <v>30000.0</v>
      </c>
      <c r="F29" s="139">
        <v>30000.0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>
      <c r="A30" s="140" t="s">
        <v>33</v>
      </c>
      <c r="B30" s="141"/>
      <c r="C30" s="142"/>
      <c r="D30" s="143">
        <v>50000.0</v>
      </c>
      <c r="E30" s="143">
        <v>50000.0</v>
      </c>
      <c r="F30" s="144">
        <v>50000.0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>
      <c r="A31" s="123" t="s">
        <v>34</v>
      </c>
      <c r="B31" s="145"/>
      <c r="C31" s="146"/>
      <c r="D31" s="147"/>
      <c r="E31" s="148"/>
      <c r="F31" s="149"/>
      <c r="G31" s="5"/>
      <c r="H31" s="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>
      <c r="A32" s="150" t="s">
        <v>35</v>
      </c>
      <c r="B32" s="43"/>
      <c r="C32" s="151"/>
      <c r="D32" s="43">
        <f t="shared" ref="D32:F32" si="10">SUM(D13:D31)</f>
        <v>4466316.288</v>
      </c>
      <c r="E32" s="43">
        <f t="shared" si="10"/>
        <v>4539645.36</v>
      </c>
      <c r="F32" s="152">
        <f t="shared" si="10"/>
        <v>4546974.432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>
      <c r="A33" s="46" t="s">
        <v>36</v>
      </c>
      <c r="B33" s="45"/>
      <c r="C33" s="153"/>
      <c r="D33" s="47">
        <f t="shared" ref="D33:F33" si="11">D11-D32</f>
        <v>726691.712</v>
      </c>
      <c r="E33" s="47">
        <f t="shared" si="11"/>
        <v>1951614.64</v>
      </c>
      <c r="F33" s="48">
        <f t="shared" si="11"/>
        <v>3242537.568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>
      <c r="A34" s="49" t="s">
        <v>37</v>
      </c>
      <c r="B34" s="154"/>
      <c r="C34" s="154"/>
      <c r="D34" s="155">
        <f t="shared" ref="D34:F34" si="12">D33/D11</f>
        <v>0.139936567</v>
      </c>
      <c r="E34" s="155">
        <f t="shared" si="12"/>
        <v>0.3006526684</v>
      </c>
      <c r="F34" s="156">
        <f t="shared" si="12"/>
        <v>0.4162696672</v>
      </c>
      <c r="G34" s="53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</row>
    <row r="35">
      <c r="A35" s="55"/>
      <c r="B35" s="55"/>
      <c r="C35" s="157"/>
      <c r="D35" s="53"/>
      <c r="E35" s="53"/>
      <c r="F35" s="53"/>
      <c r="G35" s="53"/>
      <c r="H35" s="53"/>
    </row>
    <row r="36">
      <c r="A36" s="56"/>
      <c r="B36" s="56"/>
      <c r="C36" s="56"/>
      <c r="D36" s="56"/>
      <c r="E36" s="56"/>
      <c r="F36" s="56"/>
      <c r="G36" s="56"/>
      <c r="H36" s="56"/>
      <c r="I36" s="57"/>
      <c r="J36" s="57"/>
    </row>
    <row r="37">
      <c r="A37" s="56"/>
      <c r="B37" s="56"/>
      <c r="C37" s="56"/>
      <c r="D37" s="56"/>
      <c r="E37" s="56"/>
      <c r="F37" s="56"/>
      <c r="G37" s="56"/>
      <c r="H37" s="56"/>
      <c r="I37" s="57"/>
      <c r="J37" s="57"/>
    </row>
    <row r="38">
      <c r="A38" s="56"/>
      <c r="B38" s="56"/>
      <c r="C38" s="56"/>
      <c r="D38" s="58"/>
      <c r="E38" s="58"/>
      <c r="F38" s="58"/>
      <c r="G38" s="58"/>
      <c r="H38" s="58"/>
      <c r="I38" s="59"/>
      <c r="J38" s="59"/>
      <c r="L38" s="60"/>
      <c r="M38" s="60"/>
      <c r="N38" s="60"/>
      <c r="O38" s="60"/>
      <c r="P38" s="60"/>
      <c r="Q38" s="60"/>
      <c r="R38" s="60"/>
    </row>
    <row r="39">
      <c r="A39" s="56"/>
      <c r="B39" s="56"/>
      <c r="C39" s="56"/>
      <c r="D39" s="58"/>
      <c r="E39" s="58"/>
      <c r="F39" s="58"/>
      <c r="G39" s="58"/>
      <c r="H39" s="58"/>
      <c r="I39" s="58"/>
      <c r="J39" s="58"/>
    </row>
    <row r="40">
      <c r="A40" s="56"/>
      <c r="B40" s="56"/>
      <c r="C40" s="56"/>
      <c r="D40" s="58"/>
      <c r="E40" s="58"/>
      <c r="F40" s="58"/>
      <c r="G40" s="58"/>
      <c r="H40" s="58"/>
      <c r="I40" s="58"/>
      <c r="J40" s="58"/>
    </row>
    <row r="41">
      <c r="A41" s="56"/>
      <c r="B41" s="56"/>
      <c r="C41" s="56"/>
      <c r="D41" s="58"/>
      <c r="E41" s="58"/>
      <c r="F41" s="58"/>
      <c r="G41" s="58"/>
      <c r="H41" s="58"/>
      <c r="I41" s="59"/>
      <c r="J41" s="59"/>
    </row>
    <row r="42">
      <c r="A42" s="56"/>
      <c r="B42" s="56"/>
      <c r="C42" s="56"/>
      <c r="D42" s="56"/>
      <c r="E42" s="56"/>
      <c r="F42" s="56"/>
      <c r="G42" s="56"/>
      <c r="H42" s="56"/>
      <c r="I42" s="59"/>
      <c r="J42" s="59"/>
    </row>
    <row r="43">
      <c r="A43" s="56"/>
      <c r="B43" s="56"/>
      <c r="C43" s="56"/>
      <c r="D43" s="56"/>
      <c r="E43" s="56"/>
      <c r="F43" s="56"/>
      <c r="G43" s="56"/>
      <c r="H43" s="56"/>
      <c r="I43" s="58"/>
      <c r="J43" s="58"/>
    </row>
    <row r="44">
      <c r="A44" s="56"/>
      <c r="B44" s="56"/>
      <c r="C44" s="56"/>
      <c r="D44" s="56"/>
      <c r="E44" s="56"/>
      <c r="F44" s="56"/>
      <c r="G44" s="56"/>
      <c r="H44" s="56"/>
      <c r="I44" s="58"/>
      <c r="J44" s="58"/>
    </row>
    <row r="45">
      <c r="A45" s="56"/>
      <c r="B45" s="56"/>
      <c r="C45" s="56"/>
      <c r="D45" s="56"/>
      <c r="E45" s="56"/>
      <c r="F45" s="56"/>
      <c r="G45" s="56"/>
      <c r="H45" s="56"/>
      <c r="I45" s="59"/>
      <c r="J45" s="59"/>
    </row>
    <row r="46">
      <c r="A46" s="56"/>
      <c r="B46" s="56"/>
      <c r="C46" s="56"/>
      <c r="D46" s="56"/>
      <c r="E46" s="56"/>
      <c r="F46" s="56"/>
      <c r="G46" s="56"/>
      <c r="H46" s="56"/>
      <c r="I46" s="58"/>
      <c r="J46" s="58"/>
    </row>
    <row r="47">
      <c r="A47" s="61"/>
      <c r="B47" s="61"/>
      <c r="C47" s="61"/>
      <c r="D47" s="56"/>
      <c r="E47" s="56"/>
      <c r="F47" s="56"/>
      <c r="G47" s="56"/>
      <c r="H47" s="56"/>
      <c r="I47" s="58"/>
      <c r="J47" s="58"/>
    </row>
    <row r="48">
      <c r="A48" s="56"/>
      <c r="B48" s="56"/>
      <c r="C48" s="56"/>
      <c r="D48" s="56"/>
      <c r="E48" s="56"/>
      <c r="F48" s="56"/>
      <c r="G48" s="56"/>
      <c r="H48" s="56"/>
      <c r="I48" s="59"/>
      <c r="J48" s="59"/>
    </row>
    <row r="49">
      <c r="A49" s="56"/>
      <c r="B49" s="56"/>
      <c r="C49" s="56"/>
      <c r="D49" s="56"/>
      <c r="E49" s="56"/>
      <c r="F49" s="56"/>
      <c r="G49" s="56"/>
      <c r="H49" s="56"/>
      <c r="I49" s="58"/>
      <c r="J49" s="58"/>
    </row>
    <row r="50">
      <c r="A50" s="56"/>
      <c r="B50" s="56"/>
      <c r="C50" s="56"/>
      <c r="D50" s="56"/>
      <c r="E50" s="56"/>
      <c r="F50" s="56"/>
      <c r="G50" s="56"/>
      <c r="H50" s="56"/>
      <c r="I50" s="58"/>
      <c r="J50" s="58"/>
    </row>
    <row r="51">
      <c r="A51" s="56"/>
      <c r="B51" s="56"/>
      <c r="C51" s="56"/>
      <c r="D51" s="56"/>
      <c r="E51" s="56"/>
      <c r="F51" s="56"/>
      <c r="G51" s="56"/>
      <c r="H51" s="56"/>
      <c r="I51" s="58"/>
      <c r="J51" s="58"/>
    </row>
    <row r="52">
      <c r="A52" s="56"/>
      <c r="B52" s="56"/>
      <c r="C52" s="56"/>
      <c r="D52" s="56"/>
      <c r="E52" s="56"/>
      <c r="F52" s="56"/>
      <c r="G52" s="56"/>
      <c r="H52" s="56"/>
      <c r="I52" s="59"/>
      <c r="J52" s="59"/>
    </row>
    <row r="53">
      <c r="A53" s="56"/>
      <c r="B53" s="56"/>
      <c r="C53" s="56"/>
      <c r="D53" s="62"/>
      <c r="E53" s="62"/>
      <c r="F53" s="62"/>
      <c r="G53" s="62"/>
      <c r="H53" s="62"/>
      <c r="I53" s="57"/>
      <c r="J53" s="57"/>
    </row>
    <row r="54">
      <c r="A54" s="63"/>
      <c r="B54" s="63"/>
      <c r="C54" s="63"/>
      <c r="D54" s="63"/>
      <c r="E54" s="63"/>
      <c r="F54" s="63"/>
      <c r="G54" s="63"/>
      <c r="H54" s="63"/>
      <c r="I54" s="57"/>
      <c r="J54" s="57"/>
    </row>
    <row r="55">
      <c r="A55" s="64"/>
      <c r="B55" s="64"/>
      <c r="C55" s="64"/>
      <c r="D55" s="64"/>
      <c r="E55" s="64"/>
      <c r="F55" s="64"/>
      <c r="G55" s="64"/>
      <c r="H55" s="64"/>
      <c r="I55" s="57"/>
      <c r="J55" s="57"/>
    </row>
    <row r="56">
      <c r="A56" s="65"/>
      <c r="B56" s="65"/>
      <c r="C56" s="65"/>
      <c r="D56" s="64"/>
      <c r="E56" s="64"/>
      <c r="F56" s="64"/>
      <c r="G56" s="64"/>
      <c r="H56" s="64"/>
      <c r="I56" s="57"/>
      <c r="J56" s="57"/>
    </row>
    <row r="57">
      <c r="A57" s="66"/>
      <c r="B57" s="66"/>
      <c r="C57" s="66"/>
      <c r="D57" s="64"/>
      <c r="E57" s="64"/>
      <c r="F57" s="64"/>
      <c r="G57" s="64"/>
      <c r="H57" s="64"/>
      <c r="I57" s="57"/>
      <c r="J57" s="57"/>
    </row>
    <row r="58">
      <c r="A58" s="65"/>
      <c r="B58" s="65"/>
      <c r="C58" s="65"/>
      <c r="D58" s="67"/>
      <c r="E58" s="67"/>
      <c r="F58" s="67"/>
      <c r="G58" s="67"/>
      <c r="H58" s="67"/>
      <c r="I58" s="57"/>
      <c r="J58" s="57"/>
    </row>
  </sheetData>
  <hyperlinks>
    <hyperlink r:id="rId1" ref="B19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2.38"/>
    <col customWidth="1" min="3" max="3" width="13.0"/>
    <col customWidth="1" hidden="1" min="4" max="4" width="12.88"/>
    <col customWidth="1" min="5" max="5" width="14.63"/>
    <col customWidth="1" hidden="1" min="6" max="6" width="13.25"/>
    <col customWidth="1" min="7" max="7" width="19.38"/>
    <col customWidth="1" min="8" max="8" width="20.13"/>
    <col customWidth="1" min="9" max="9" width="20.88"/>
    <col customWidth="1" min="10" max="10" width="26.75"/>
    <col customWidth="1" min="11" max="18" width="17.5"/>
  </cols>
  <sheetData>
    <row r="1" ht="39.75" customHeight="1">
      <c r="A1" s="68" t="s">
        <v>0</v>
      </c>
      <c r="B1" s="69" t="s">
        <v>38</v>
      </c>
      <c r="C1" s="70" t="s">
        <v>39</v>
      </c>
      <c r="D1" s="172"/>
      <c r="E1" s="173" t="s">
        <v>83</v>
      </c>
      <c r="F1" s="174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74" t="s">
        <v>1</v>
      </c>
      <c r="B2" s="75"/>
      <c r="C2" s="76"/>
      <c r="D2" s="77" t="s">
        <v>2</v>
      </c>
      <c r="E2" s="77" t="s">
        <v>3</v>
      </c>
      <c r="F2" s="78" t="s">
        <v>4</v>
      </c>
      <c r="G2" s="79" t="s">
        <v>41</v>
      </c>
      <c r="H2" s="5"/>
      <c r="I2" s="11"/>
      <c r="J2" s="11"/>
      <c r="K2" s="6"/>
      <c r="L2" s="6"/>
      <c r="M2" s="6"/>
      <c r="N2" s="6"/>
      <c r="O2" s="6"/>
      <c r="P2" s="6"/>
      <c r="Q2" s="6"/>
      <c r="R2" s="6"/>
    </row>
    <row r="3">
      <c r="A3" s="80" t="s">
        <v>5</v>
      </c>
      <c r="B3" s="81" t="s">
        <v>76</v>
      </c>
      <c r="C3" s="82">
        <v>5000.0</v>
      </c>
      <c r="D3" s="14">
        <f t="shared" ref="D3:D9" si="1">E3*0.8</f>
        <v>800000</v>
      </c>
      <c r="E3" s="14">
        <f>200*C3</f>
        <v>1000000</v>
      </c>
      <c r="F3" s="83">
        <f t="shared" ref="F3:F9" si="2">E3*1.2</f>
        <v>1200000</v>
      </c>
      <c r="G3" s="16">
        <f>C3*187</f>
        <v>935000</v>
      </c>
      <c r="H3" s="5"/>
      <c r="I3" s="11"/>
      <c r="J3" s="11"/>
      <c r="K3" s="11"/>
      <c r="L3" s="11"/>
      <c r="M3" s="11"/>
      <c r="N3" s="11"/>
      <c r="O3" s="11"/>
      <c r="P3" s="11"/>
      <c r="Q3" s="11"/>
      <c r="R3" s="11"/>
    </row>
    <row r="4">
      <c r="A4" s="80" t="s">
        <v>6</v>
      </c>
      <c r="B4" s="81" t="s">
        <v>84</v>
      </c>
      <c r="C4" s="82">
        <v>5500.0</v>
      </c>
      <c r="D4" s="14">
        <f t="shared" si="1"/>
        <v>3047352</v>
      </c>
      <c r="E4" s="14">
        <f>7700*163*0.7+6600*376*0.7+5500*310*0.7</f>
        <v>3809190</v>
      </c>
      <c r="F4" s="83">
        <f t="shared" si="2"/>
        <v>4571028</v>
      </c>
      <c r="G4" s="14">
        <f>7700*163+6600*358+5500*222</f>
        <v>4838900</v>
      </c>
      <c r="H4" s="5"/>
      <c r="I4" s="11"/>
      <c r="J4" s="11"/>
      <c r="K4" s="11"/>
      <c r="L4" s="11"/>
      <c r="M4" s="11"/>
      <c r="N4" s="11"/>
      <c r="O4" s="11"/>
      <c r="P4" s="11"/>
      <c r="Q4" s="11"/>
      <c r="R4" s="11"/>
    </row>
    <row r="5">
      <c r="A5" s="80" t="s">
        <v>7</v>
      </c>
      <c r="B5" s="81" t="s">
        <v>44</v>
      </c>
      <c r="C5" s="82">
        <v>3300.0</v>
      </c>
      <c r="D5" s="14">
        <f t="shared" si="1"/>
        <v>211200</v>
      </c>
      <c r="E5" s="14">
        <f>200*0.4*C5</f>
        <v>264000</v>
      </c>
      <c r="F5" s="83">
        <f t="shared" si="2"/>
        <v>316800</v>
      </c>
      <c r="G5" s="5">
        <f>C5*140</f>
        <v>462000</v>
      </c>
      <c r="H5" s="5"/>
      <c r="I5" s="11"/>
      <c r="J5" s="11"/>
      <c r="K5" s="11"/>
      <c r="L5" s="11"/>
      <c r="M5" s="11"/>
      <c r="N5" s="11"/>
      <c r="O5" s="11"/>
      <c r="P5" s="11"/>
      <c r="Q5" s="11"/>
      <c r="R5" s="11"/>
    </row>
    <row r="6">
      <c r="A6" s="84" t="s">
        <v>8</v>
      </c>
      <c r="B6" s="85" t="s">
        <v>45</v>
      </c>
      <c r="C6" s="86">
        <v>11000.0</v>
      </c>
      <c r="D6" s="87">
        <f t="shared" si="1"/>
        <v>176000</v>
      </c>
      <c r="E6" s="87">
        <f>200*0.4*C6*0.25</f>
        <v>220000</v>
      </c>
      <c r="F6" s="88">
        <f t="shared" si="2"/>
        <v>264000</v>
      </c>
      <c r="G6" s="16">
        <v>84288.0</v>
      </c>
      <c r="H6" s="5"/>
      <c r="I6" s="18"/>
      <c r="J6" s="19"/>
      <c r="K6" s="18"/>
      <c r="L6" s="18"/>
      <c r="M6" s="18"/>
      <c r="N6" s="18"/>
      <c r="O6" s="18"/>
      <c r="P6" s="18"/>
      <c r="Q6" s="18"/>
      <c r="R6" s="18"/>
    </row>
    <row r="7">
      <c r="A7" s="34" t="s">
        <v>9</v>
      </c>
      <c r="B7" s="89" t="s">
        <v>85</v>
      </c>
      <c r="C7" s="90"/>
      <c r="D7" s="91">
        <f t="shared" si="1"/>
        <v>144000</v>
      </c>
      <c r="E7" s="91">
        <f>200000*0.9</f>
        <v>180000</v>
      </c>
      <c r="F7" s="92">
        <f t="shared" si="2"/>
        <v>216000</v>
      </c>
      <c r="G7" s="5"/>
      <c r="H7" s="5"/>
      <c r="I7" s="19"/>
      <c r="J7" s="19"/>
      <c r="K7" s="19"/>
      <c r="L7" s="19"/>
      <c r="M7" s="19"/>
      <c r="N7" s="19"/>
      <c r="O7" s="19"/>
      <c r="P7" s="19"/>
      <c r="Q7" s="19"/>
      <c r="R7" s="19"/>
    </row>
    <row r="8">
      <c r="A8" s="34" t="s">
        <v>10</v>
      </c>
      <c r="B8" s="89" t="s">
        <v>46</v>
      </c>
      <c r="C8" s="90"/>
      <c r="D8" s="91">
        <f t="shared" si="1"/>
        <v>376000</v>
      </c>
      <c r="E8" s="91">
        <v>470000.0</v>
      </c>
      <c r="F8" s="92">
        <f t="shared" si="2"/>
        <v>564000</v>
      </c>
      <c r="G8" s="175">
        <v>322000.0</v>
      </c>
      <c r="H8" s="5"/>
      <c r="I8" s="19"/>
      <c r="J8" s="19"/>
      <c r="K8" s="19"/>
      <c r="L8" s="19"/>
      <c r="M8" s="19"/>
      <c r="N8" s="19"/>
      <c r="O8" s="19"/>
      <c r="P8" s="19"/>
      <c r="Q8" s="19"/>
      <c r="R8" s="19"/>
    </row>
    <row r="9">
      <c r="A9" s="93" t="s">
        <v>11</v>
      </c>
      <c r="B9" s="16"/>
      <c r="C9" s="94"/>
      <c r="D9" s="95">
        <f t="shared" si="1"/>
        <v>120000</v>
      </c>
      <c r="E9" s="95">
        <v>150000.0</v>
      </c>
      <c r="F9" s="92">
        <f t="shared" si="2"/>
        <v>180000</v>
      </c>
      <c r="G9" s="5"/>
      <c r="H9" s="5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>
      <c r="A10" s="96" t="s">
        <v>12</v>
      </c>
      <c r="B10" s="11"/>
      <c r="C10" s="97"/>
      <c r="D10" s="98">
        <v>1000000.0</v>
      </c>
      <c r="E10" s="98">
        <v>1000000.0</v>
      </c>
      <c r="F10" s="98">
        <v>1600000.0</v>
      </c>
      <c r="G10" s="16">
        <f>'協賛金計算'!I14</f>
        <v>950000</v>
      </c>
      <c r="H10" s="5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>
      <c r="A11" s="101" t="s">
        <v>13</v>
      </c>
      <c r="B11" s="24"/>
      <c r="C11" s="102"/>
      <c r="D11" s="24">
        <f t="shared" ref="D11:G11" si="3">SUM(D3:D10)</f>
        <v>5874552</v>
      </c>
      <c r="E11" s="24">
        <f t="shared" si="3"/>
        <v>7093190</v>
      </c>
      <c r="F11" s="24">
        <f t="shared" si="3"/>
        <v>8911828</v>
      </c>
      <c r="G11" s="5">
        <f t="shared" si="3"/>
        <v>7592188</v>
      </c>
      <c r="H11" s="5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>
      <c r="A12" s="103" t="s">
        <v>14</v>
      </c>
      <c r="B12" s="28"/>
      <c r="C12" s="104"/>
      <c r="D12" s="28"/>
      <c r="E12" s="28"/>
      <c r="F12" s="29"/>
      <c r="G12" s="5"/>
      <c r="H12" s="5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>
      <c r="A13" s="80" t="s">
        <v>15</v>
      </c>
      <c r="B13" s="81"/>
      <c r="C13" s="82"/>
      <c r="D13" s="14">
        <f t="shared" ref="D13:F13" si="4">D3*0.036</f>
        <v>28800</v>
      </c>
      <c r="E13" s="14">
        <f t="shared" si="4"/>
        <v>36000</v>
      </c>
      <c r="F13" s="15">
        <f t="shared" si="4"/>
        <v>43200</v>
      </c>
      <c r="G13" s="5"/>
      <c r="H13" s="5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>
      <c r="A14" s="105" t="s">
        <v>16</v>
      </c>
      <c r="B14" s="106"/>
      <c r="C14" s="107"/>
      <c r="D14" s="14">
        <f t="shared" ref="D14:F14" si="5">D4*0.036</f>
        <v>109704.672</v>
      </c>
      <c r="E14" s="108">
        <f t="shared" si="5"/>
        <v>137130.84</v>
      </c>
      <c r="F14" s="15">
        <f t="shared" si="5"/>
        <v>164557.008</v>
      </c>
      <c r="G14" s="5"/>
      <c r="H14" s="5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>
      <c r="A15" s="105" t="s">
        <v>17</v>
      </c>
      <c r="B15" s="106"/>
      <c r="C15" s="107"/>
      <c r="D15" s="14">
        <f t="shared" ref="D15:F15" si="6">D5*0.036</f>
        <v>7603.2</v>
      </c>
      <c r="E15" s="108">
        <f t="shared" si="6"/>
        <v>9504</v>
      </c>
      <c r="F15" s="15">
        <f t="shared" si="6"/>
        <v>11404.8</v>
      </c>
      <c r="G15" s="5"/>
      <c r="H15" s="5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>
      <c r="A16" s="167" t="s">
        <v>18</v>
      </c>
      <c r="B16" s="168" t="s">
        <v>47</v>
      </c>
      <c r="C16" s="169">
        <v>5000.0</v>
      </c>
      <c r="D16" s="170"/>
      <c r="E16" s="170">
        <v>0.0</v>
      </c>
      <c r="F16" s="171"/>
      <c r="G16" s="5"/>
      <c r="H16" s="5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>
      <c r="A17" s="109" t="s">
        <v>19</v>
      </c>
      <c r="B17" s="110"/>
      <c r="C17" s="111"/>
      <c r="D17" s="112">
        <f t="shared" ref="D17:F17" si="7">D9*0.036</f>
        <v>4320</v>
      </c>
      <c r="E17" s="112">
        <f t="shared" si="7"/>
        <v>5400</v>
      </c>
      <c r="F17" s="112">
        <f t="shared" si="7"/>
        <v>6480</v>
      </c>
      <c r="G17" s="5"/>
      <c r="H17" s="5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>
      <c r="A18" s="114" t="s">
        <v>20</v>
      </c>
      <c r="B18" s="115" t="s">
        <v>48</v>
      </c>
      <c r="C18" s="116"/>
      <c r="D18" s="117">
        <v>100000.0</v>
      </c>
      <c r="E18" s="117">
        <v>100000.0</v>
      </c>
      <c r="F18" s="117">
        <v>100000.0</v>
      </c>
      <c r="G18" s="5"/>
      <c r="H18" s="5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>
      <c r="A19" s="118" t="s">
        <v>21</v>
      </c>
      <c r="B19" s="119" t="s">
        <v>86</v>
      </c>
      <c r="C19" s="120"/>
      <c r="D19" s="91">
        <v>867900.0</v>
      </c>
      <c r="E19" s="91">
        <v>867900.0</v>
      </c>
      <c r="F19" s="121">
        <v>867900.0</v>
      </c>
      <c r="G19" s="5"/>
      <c r="H19" s="5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>
      <c r="A20" s="34" t="s">
        <v>22</v>
      </c>
      <c r="B20" s="89" t="s">
        <v>50</v>
      </c>
      <c r="C20" s="90">
        <v>10000.0</v>
      </c>
      <c r="D20" s="91">
        <v>50000.0</v>
      </c>
      <c r="E20" s="91">
        <f>C20*5</f>
        <v>50000</v>
      </c>
      <c r="F20" s="121">
        <v>50000.0</v>
      </c>
      <c r="G20" s="16">
        <f>15000*5</f>
        <v>75000</v>
      </c>
      <c r="H20" s="5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>
      <c r="A21" s="34" t="s">
        <v>23</v>
      </c>
      <c r="B21" s="89" t="s">
        <v>79</v>
      </c>
      <c r="C21" s="90"/>
      <c r="D21" s="95"/>
      <c r="E21" s="91">
        <v>33000.0</v>
      </c>
      <c r="F21" s="121"/>
      <c r="G21" s="16"/>
      <c r="H21" s="5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>
      <c r="A22" s="34" t="s">
        <v>24</v>
      </c>
      <c r="B22" s="89" t="s">
        <v>52</v>
      </c>
      <c r="C22" s="90"/>
      <c r="D22" s="95">
        <f>E22</f>
        <v>350000</v>
      </c>
      <c r="E22" s="91">
        <v>350000.0</v>
      </c>
      <c r="F22" s="121">
        <f>E22</f>
        <v>350000</v>
      </c>
      <c r="G22" s="5"/>
      <c r="H22" s="5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>
      <c r="A23" s="123" t="s">
        <v>25</v>
      </c>
      <c r="B23" s="124" t="s">
        <v>53</v>
      </c>
      <c r="C23" s="125">
        <v>9000.0</v>
      </c>
      <c r="D23" s="126">
        <v>225000.0</v>
      </c>
      <c r="E23" s="127">
        <f>C23*25</f>
        <v>225000</v>
      </c>
      <c r="F23" s="128">
        <v>225000.0</v>
      </c>
      <c r="G23" s="16"/>
      <c r="H23" s="5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>
      <c r="A24" s="118" t="s">
        <v>26</v>
      </c>
      <c r="B24" s="89" t="s">
        <v>54</v>
      </c>
      <c r="C24" s="120"/>
      <c r="D24" s="91">
        <v>200000.0</v>
      </c>
      <c r="E24" s="91">
        <v>200000.0</v>
      </c>
      <c r="F24" s="121">
        <v>200000.0</v>
      </c>
      <c r="G24" s="5"/>
      <c r="H24" s="5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>
      <c r="A25" s="129" t="s">
        <v>27</v>
      </c>
      <c r="B25" s="36" t="s">
        <v>81</v>
      </c>
      <c r="C25" s="130"/>
      <c r="D25" s="131">
        <f>E25</f>
        <v>650000</v>
      </c>
      <c r="E25" s="131">
        <v>650000.0</v>
      </c>
      <c r="F25" s="128">
        <f>E25</f>
        <v>650000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>
      <c r="A26" s="132" t="s">
        <v>28</v>
      </c>
      <c r="B26" s="37" t="s">
        <v>56</v>
      </c>
      <c r="C26" s="133"/>
      <c r="D26" s="134">
        <v>65000.0</v>
      </c>
      <c r="E26" s="134">
        <v>65000.0</v>
      </c>
      <c r="F26" s="135">
        <v>65000.0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>
      <c r="A27" s="136" t="s">
        <v>29</v>
      </c>
      <c r="B27" s="38" t="s">
        <v>57</v>
      </c>
      <c r="C27" s="137"/>
      <c r="D27" s="138">
        <v>30000.0</v>
      </c>
      <c r="E27" s="138">
        <v>30000.0</v>
      </c>
      <c r="F27" s="139">
        <v>30000.0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36" t="s">
        <v>30</v>
      </c>
      <c r="B28" s="38" t="s">
        <v>58</v>
      </c>
      <c r="C28" s="137"/>
      <c r="D28" s="138">
        <v>12000.0</v>
      </c>
      <c r="E28" s="138">
        <v>12000.0</v>
      </c>
      <c r="F28" s="139">
        <v>12000.0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>
      <c r="A29" s="136" t="s">
        <v>32</v>
      </c>
      <c r="B29" s="38" t="s">
        <v>59</v>
      </c>
      <c r="C29" s="137"/>
      <c r="D29" s="138">
        <v>30000.0</v>
      </c>
      <c r="E29" s="138">
        <v>30000.0</v>
      </c>
      <c r="F29" s="139">
        <v>30000.0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>
      <c r="A30" s="140" t="s">
        <v>33</v>
      </c>
      <c r="B30" s="141"/>
      <c r="C30" s="142"/>
      <c r="D30" s="143">
        <v>50000.0</v>
      </c>
      <c r="E30" s="143">
        <v>50000.0</v>
      </c>
      <c r="F30" s="144">
        <v>50000.0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>
      <c r="A31" s="123" t="s">
        <v>34</v>
      </c>
      <c r="B31" s="145"/>
      <c r="C31" s="146"/>
      <c r="D31" s="147"/>
      <c r="E31" s="148"/>
      <c r="F31" s="149"/>
      <c r="G31" s="5"/>
      <c r="H31" s="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>
      <c r="A32" s="150" t="s">
        <v>35</v>
      </c>
      <c r="B32" s="43"/>
      <c r="C32" s="151"/>
      <c r="D32" s="43">
        <f t="shared" ref="D32:F32" si="8">SUM(D13:D31)</f>
        <v>2780327.872</v>
      </c>
      <c r="E32" s="43">
        <f t="shared" si="8"/>
        <v>2850934.84</v>
      </c>
      <c r="F32" s="152">
        <f t="shared" si="8"/>
        <v>2855541.808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>
      <c r="A33" s="46" t="s">
        <v>36</v>
      </c>
      <c r="B33" s="45"/>
      <c r="C33" s="153"/>
      <c r="D33" s="47">
        <f t="shared" ref="D33:F33" si="9">D11-D32</f>
        <v>3094224.128</v>
      </c>
      <c r="E33" s="47">
        <f t="shared" si="9"/>
        <v>4242255.16</v>
      </c>
      <c r="F33" s="48">
        <f t="shared" si="9"/>
        <v>6056286.192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>
      <c r="A34" s="49" t="s">
        <v>37</v>
      </c>
      <c r="B34" s="154"/>
      <c r="C34" s="154"/>
      <c r="D34" s="155">
        <f t="shared" ref="D34:F34" si="10">D33/D11</f>
        <v>0.5267166123</v>
      </c>
      <c r="E34" s="155">
        <f t="shared" si="10"/>
        <v>0.5980743727</v>
      </c>
      <c r="F34" s="156">
        <f t="shared" si="10"/>
        <v>0.6795784425</v>
      </c>
      <c r="G34" s="53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</row>
    <row r="35">
      <c r="A35" s="55"/>
      <c r="B35" s="55"/>
      <c r="C35" s="157"/>
      <c r="D35" s="53"/>
      <c r="E35" s="53"/>
      <c r="F35" s="53"/>
      <c r="G35" s="53"/>
      <c r="H35" s="53"/>
    </row>
    <row r="36">
      <c r="A36" s="56"/>
      <c r="B36" s="56"/>
      <c r="C36" s="56"/>
      <c r="D36" s="56"/>
      <c r="E36" s="56"/>
      <c r="F36" s="56"/>
      <c r="G36" s="56"/>
      <c r="H36" s="56"/>
      <c r="I36" s="57"/>
      <c r="J36" s="57"/>
    </row>
    <row r="37">
      <c r="A37" s="56"/>
      <c r="B37" s="56"/>
      <c r="C37" s="56"/>
      <c r="D37" s="56"/>
      <c r="E37" s="56"/>
      <c r="F37" s="56"/>
      <c r="G37" s="56"/>
      <c r="H37" s="56"/>
      <c r="I37" s="57"/>
      <c r="J37" s="57"/>
    </row>
    <row r="38">
      <c r="A38" s="56"/>
      <c r="B38" s="56"/>
      <c r="C38" s="56"/>
      <c r="D38" s="58"/>
      <c r="E38" s="58"/>
      <c r="F38" s="58"/>
      <c r="G38" s="58"/>
      <c r="H38" s="58"/>
      <c r="I38" s="59"/>
      <c r="J38" s="59"/>
      <c r="L38" s="60"/>
      <c r="M38" s="60"/>
      <c r="N38" s="60"/>
      <c r="O38" s="60"/>
      <c r="P38" s="60"/>
      <c r="Q38" s="60"/>
      <c r="R38" s="60"/>
    </row>
    <row r="39">
      <c r="A39" s="56"/>
      <c r="B39" s="56"/>
      <c r="C39" s="56"/>
      <c r="D39" s="58"/>
      <c r="E39" s="58"/>
      <c r="F39" s="58"/>
      <c r="G39" s="58"/>
      <c r="H39" s="58"/>
      <c r="I39" s="58"/>
      <c r="J39" s="58"/>
    </row>
    <row r="40">
      <c r="A40" s="56"/>
      <c r="B40" s="56"/>
      <c r="C40" s="56"/>
      <c r="D40" s="58"/>
      <c r="E40" s="58"/>
      <c r="F40" s="58"/>
      <c r="G40" s="58"/>
      <c r="H40" s="58"/>
      <c r="I40" s="58"/>
      <c r="J40" s="58"/>
    </row>
    <row r="41">
      <c r="A41" s="56"/>
      <c r="B41" s="56"/>
      <c r="C41" s="56"/>
      <c r="D41" s="58"/>
      <c r="E41" s="58"/>
      <c r="F41" s="58"/>
      <c r="G41" s="58"/>
      <c r="H41" s="58"/>
      <c r="I41" s="59"/>
      <c r="J41" s="59"/>
    </row>
    <row r="42">
      <c r="A42" s="56"/>
      <c r="B42" s="56"/>
      <c r="C42" s="56"/>
      <c r="D42" s="56"/>
      <c r="E42" s="56"/>
      <c r="F42" s="56"/>
      <c r="G42" s="56"/>
      <c r="H42" s="56"/>
      <c r="I42" s="59"/>
      <c r="J42" s="59"/>
    </row>
    <row r="43">
      <c r="A43" s="56"/>
      <c r="B43" s="56"/>
      <c r="C43" s="56"/>
      <c r="D43" s="56"/>
      <c r="E43" s="56"/>
      <c r="F43" s="56"/>
      <c r="G43" s="56"/>
      <c r="H43" s="56"/>
      <c r="I43" s="58"/>
      <c r="J43" s="58"/>
    </row>
    <row r="44">
      <c r="A44" s="56"/>
      <c r="B44" s="56"/>
      <c r="C44" s="56"/>
      <c r="D44" s="56"/>
      <c r="E44" s="56"/>
      <c r="F44" s="56"/>
      <c r="G44" s="56"/>
      <c r="H44" s="56"/>
      <c r="I44" s="58"/>
      <c r="J44" s="58"/>
    </row>
    <row r="45">
      <c r="A45" s="56"/>
      <c r="B45" s="56"/>
      <c r="C45" s="56"/>
      <c r="D45" s="56"/>
      <c r="E45" s="56"/>
      <c r="F45" s="56"/>
      <c r="G45" s="56"/>
      <c r="H45" s="56"/>
      <c r="I45" s="59"/>
      <c r="J45" s="59"/>
    </row>
    <row r="46">
      <c r="A46" s="56"/>
      <c r="B46" s="56"/>
      <c r="C46" s="56"/>
      <c r="D46" s="56"/>
      <c r="E46" s="56"/>
      <c r="F46" s="56"/>
      <c r="G46" s="56"/>
      <c r="H46" s="56"/>
      <c r="I46" s="58"/>
      <c r="J46" s="58"/>
    </row>
    <row r="47">
      <c r="A47" s="61"/>
      <c r="B47" s="61"/>
      <c r="C47" s="61"/>
      <c r="D47" s="56"/>
      <c r="E47" s="56"/>
      <c r="F47" s="56"/>
      <c r="G47" s="56"/>
      <c r="H47" s="56"/>
      <c r="I47" s="58"/>
      <c r="J47" s="58"/>
    </row>
    <row r="48">
      <c r="A48" s="56"/>
      <c r="B48" s="56"/>
      <c r="C48" s="56"/>
      <c r="D48" s="56"/>
      <c r="E48" s="56"/>
      <c r="F48" s="56"/>
      <c r="G48" s="56"/>
      <c r="H48" s="56"/>
      <c r="I48" s="59"/>
      <c r="J48" s="59"/>
    </row>
    <row r="49">
      <c r="A49" s="56"/>
      <c r="B49" s="56"/>
      <c r="C49" s="56"/>
      <c r="D49" s="56"/>
      <c r="E49" s="56"/>
      <c r="F49" s="56"/>
      <c r="G49" s="56"/>
      <c r="H49" s="56"/>
      <c r="I49" s="58"/>
      <c r="J49" s="58"/>
    </row>
    <row r="50">
      <c r="A50" s="56"/>
      <c r="B50" s="56"/>
      <c r="C50" s="56"/>
      <c r="D50" s="56"/>
      <c r="E50" s="56"/>
      <c r="F50" s="56"/>
      <c r="G50" s="56"/>
      <c r="H50" s="56"/>
      <c r="I50" s="58"/>
      <c r="J50" s="58"/>
    </row>
    <row r="51">
      <c r="A51" s="56"/>
      <c r="B51" s="56"/>
      <c r="C51" s="56"/>
      <c r="D51" s="56"/>
      <c r="E51" s="56"/>
      <c r="F51" s="56"/>
      <c r="G51" s="56"/>
      <c r="H51" s="56"/>
      <c r="I51" s="58"/>
      <c r="J51" s="58"/>
    </row>
    <row r="52">
      <c r="A52" s="56"/>
      <c r="B52" s="56"/>
      <c r="C52" s="56"/>
      <c r="D52" s="56"/>
      <c r="E52" s="56"/>
      <c r="F52" s="56"/>
      <c r="G52" s="56"/>
      <c r="H52" s="56"/>
      <c r="I52" s="59"/>
      <c r="J52" s="59"/>
    </row>
    <row r="53">
      <c r="A53" s="56"/>
      <c r="B53" s="56"/>
      <c r="C53" s="56"/>
      <c r="D53" s="62"/>
      <c r="E53" s="62"/>
      <c r="F53" s="62"/>
      <c r="G53" s="62"/>
      <c r="H53" s="62"/>
      <c r="I53" s="57"/>
      <c r="J53" s="57"/>
    </row>
    <row r="54">
      <c r="A54" s="63"/>
      <c r="B54" s="63"/>
      <c r="C54" s="63"/>
      <c r="D54" s="63"/>
      <c r="E54" s="63"/>
      <c r="F54" s="63"/>
      <c r="G54" s="63"/>
      <c r="H54" s="63"/>
      <c r="I54" s="57"/>
      <c r="J54" s="57"/>
    </row>
    <row r="55">
      <c r="A55" s="64"/>
      <c r="B55" s="64"/>
      <c r="C55" s="64"/>
      <c r="D55" s="64"/>
      <c r="E55" s="64"/>
      <c r="F55" s="64"/>
      <c r="G55" s="64"/>
      <c r="H55" s="64"/>
      <c r="I55" s="57"/>
      <c r="J55" s="57"/>
    </row>
    <row r="56">
      <c r="A56" s="65"/>
      <c r="B56" s="65"/>
      <c r="C56" s="65"/>
      <c r="D56" s="64"/>
      <c r="E56" s="64"/>
      <c r="F56" s="64"/>
      <c r="G56" s="64"/>
      <c r="H56" s="64"/>
      <c r="I56" s="57"/>
      <c r="J56" s="57"/>
    </row>
    <row r="57">
      <c r="A57" s="66"/>
      <c r="B57" s="66"/>
      <c r="C57" s="66"/>
      <c r="D57" s="64"/>
      <c r="E57" s="64"/>
      <c r="F57" s="64"/>
      <c r="G57" s="64"/>
      <c r="H57" s="64"/>
      <c r="I57" s="57"/>
      <c r="J57" s="57"/>
    </row>
    <row r="58">
      <c r="A58" s="65"/>
      <c r="B58" s="65"/>
      <c r="C58" s="65"/>
      <c r="D58" s="67"/>
      <c r="E58" s="67"/>
      <c r="F58" s="67"/>
      <c r="G58" s="67"/>
      <c r="H58" s="67"/>
      <c r="I58" s="57"/>
      <c r="J58" s="57"/>
    </row>
  </sheetData>
  <hyperlinks>
    <hyperlink r:id="rId1" ref="B19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2.38"/>
    <col customWidth="1" min="3" max="3" width="13.0"/>
    <col customWidth="1" hidden="1" min="4" max="4" width="12.88"/>
    <col customWidth="1" min="5" max="5" width="15.13"/>
    <col customWidth="1" hidden="1" min="6" max="6" width="13.25"/>
    <col customWidth="1" min="7" max="7" width="19.38"/>
    <col customWidth="1" min="8" max="8" width="20.13"/>
    <col customWidth="1" min="9" max="9" width="20.88"/>
    <col customWidth="1" min="10" max="10" width="26.75"/>
    <col customWidth="1" min="11" max="18" width="17.5"/>
  </cols>
  <sheetData>
    <row r="1" ht="39.75" customHeight="1">
      <c r="A1" s="68" t="s">
        <v>0</v>
      </c>
      <c r="B1" s="69" t="s">
        <v>38</v>
      </c>
      <c r="C1" s="70" t="s">
        <v>39</v>
      </c>
      <c r="D1" s="71"/>
      <c r="E1" s="72" t="s">
        <v>87</v>
      </c>
      <c r="F1" s="73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74" t="s">
        <v>1</v>
      </c>
      <c r="B2" s="75"/>
      <c r="C2" s="76"/>
      <c r="D2" s="77" t="s">
        <v>2</v>
      </c>
      <c r="E2" s="77" t="s">
        <v>3</v>
      </c>
      <c r="F2" s="78" t="s">
        <v>4</v>
      </c>
      <c r="G2" s="79" t="s">
        <v>41</v>
      </c>
      <c r="H2" s="5"/>
      <c r="I2" s="11"/>
      <c r="J2" s="11"/>
      <c r="K2" s="6"/>
      <c r="L2" s="6"/>
      <c r="M2" s="6"/>
      <c r="N2" s="6"/>
      <c r="O2" s="6"/>
      <c r="P2" s="6"/>
      <c r="Q2" s="6"/>
      <c r="R2" s="6"/>
    </row>
    <row r="3">
      <c r="A3" s="80" t="s">
        <v>5</v>
      </c>
      <c r="B3" s="81" t="s">
        <v>76</v>
      </c>
      <c r="C3" s="82">
        <v>5000.0</v>
      </c>
      <c r="D3" s="14">
        <f t="shared" ref="D3:D9" si="1">E3*0.8</f>
        <v>800000</v>
      </c>
      <c r="E3" s="14">
        <f>200*C3</f>
        <v>1000000</v>
      </c>
      <c r="F3" s="83">
        <f t="shared" ref="F3:F9" si="2">E3*1.2</f>
        <v>1200000</v>
      </c>
      <c r="G3" s="16">
        <f>C3*304</f>
        <v>1520000</v>
      </c>
      <c r="H3" s="5"/>
      <c r="I3" s="11"/>
      <c r="J3" s="11"/>
      <c r="K3" s="11"/>
      <c r="L3" s="11"/>
      <c r="M3" s="11"/>
      <c r="N3" s="11"/>
      <c r="O3" s="11"/>
      <c r="P3" s="11"/>
      <c r="Q3" s="11"/>
      <c r="R3" s="11"/>
    </row>
    <row r="4">
      <c r="A4" s="80" t="s">
        <v>6</v>
      </c>
      <c r="B4" s="81" t="s">
        <v>88</v>
      </c>
      <c r="C4" s="82">
        <v>5500.0</v>
      </c>
      <c r="D4" s="14">
        <f t="shared" si="1"/>
        <v>3518592</v>
      </c>
      <c r="E4" s="14">
        <f>7700*146*0.7+6600*510*0.7+5500*326*0.7</f>
        <v>4398240</v>
      </c>
      <c r="F4" s="83">
        <f t="shared" si="2"/>
        <v>5277888</v>
      </c>
      <c r="G4" s="14">
        <f>7700*157+6600*503+5500*322</f>
        <v>6299700</v>
      </c>
      <c r="H4" s="5"/>
      <c r="I4" s="11"/>
      <c r="J4" s="11"/>
      <c r="K4" s="11"/>
      <c r="L4" s="11"/>
      <c r="M4" s="11"/>
      <c r="N4" s="11"/>
      <c r="O4" s="11"/>
      <c r="P4" s="11"/>
      <c r="Q4" s="11"/>
      <c r="R4" s="11"/>
    </row>
    <row r="5">
      <c r="A5" s="80" t="s">
        <v>7</v>
      </c>
      <c r="B5" s="81" t="s">
        <v>44</v>
      </c>
      <c r="C5" s="82">
        <v>3300.0</v>
      </c>
      <c r="D5" s="14">
        <f t="shared" si="1"/>
        <v>211200</v>
      </c>
      <c r="E5" s="14">
        <f>200*0.4*C5</f>
        <v>264000</v>
      </c>
      <c r="F5" s="83">
        <f t="shared" si="2"/>
        <v>316800</v>
      </c>
      <c r="G5" s="5">
        <f>C5*197</f>
        <v>650100</v>
      </c>
      <c r="H5" s="5"/>
      <c r="I5" s="11"/>
      <c r="J5" s="11"/>
      <c r="K5" s="11"/>
      <c r="L5" s="11"/>
      <c r="M5" s="11"/>
      <c r="N5" s="11"/>
      <c r="O5" s="11"/>
      <c r="P5" s="11"/>
      <c r="Q5" s="11"/>
      <c r="R5" s="11"/>
    </row>
    <row r="6">
      <c r="A6" s="84" t="s">
        <v>8</v>
      </c>
      <c r="B6" s="85" t="s">
        <v>45</v>
      </c>
      <c r="C6" s="86">
        <v>11000.0</v>
      </c>
      <c r="D6" s="87">
        <f t="shared" si="1"/>
        <v>176000</v>
      </c>
      <c r="E6" s="87">
        <f>200*0.4*C6*0.25</f>
        <v>220000</v>
      </c>
      <c r="F6" s="88">
        <f t="shared" si="2"/>
        <v>264000</v>
      </c>
      <c r="G6" s="5"/>
      <c r="H6" s="5"/>
      <c r="I6" s="18"/>
      <c r="J6" s="19"/>
      <c r="K6" s="18"/>
      <c r="L6" s="18"/>
      <c r="M6" s="18"/>
      <c r="N6" s="18"/>
      <c r="O6" s="18"/>
      <c r="P6" s="18"/>
      <c r="Q6" s="18"/>
      <c r="R6" s="18"/>
    </row>
    <row r="7">
      <c r="A7" s="34" t="s">
        <v>9</v>
      </c>
      <c r="B7" s="89" t="s">
        <v>85</v>
      </c>
      <c r="C7" s="90"/>
      <c r="D7" s="91">
        <f t="shared" si="1"/>
        <v>144000</v>
      </c>
      <c r="E7" s="91">
        <f>200000*0.9</f>
        <v>180000</v>
      </c>
      <c r="F7" s="92">
        <f t="shared" si="2"/>
        <v>216000</v>
      </c>
      <c r="G7" s="5"/>
      <c r="H7" s="5"/>
      <c r="I7" s="19"/>
      <c r="J7" s="19"/>
      <c r="K7" s="19"/>
      <c r="L7" s="19"/>
      <c r="M7" s="19"/>
      <c r="N7" s="19"/>
      <c r="O7" s="19"/>
      <c r="P7" s="19"/>
      <c r="Q7" s="19"/>
      <c r="R7" s="19"/>
    </row>
    <row r="8">
      <c r="A8" s="34" t="s">
        <v>10</v>
      </c>
      <c r="B8" s="89" t="s">
        <v>46</v>
      </c>
      <c r="C8" s="90"/>
      <c r="D8" s="91">
        <f t="shared" si="1"/>
        <v>376000</v>
      </c>
      <c r="E8" s="91">
        <v>470000.0</v>
      </c>
      <c r="F8" s="92">
        <f t="shared" si="2"/>
        <v>564000</v>
      </c>
      <c r="G8" s="5"/>
      <c r="H8" s="5"/>
      <c r="I8" s="19"/>
      <c r="J8" s="19"/>
      <c r="K8" s="19"/>
      <c r="L8" s="19"/>
      <c r="M8" s="19"/>
      <c r="N8" s="19"/>
      <c r="O8" s="19"/>
      <c r="P8" s="19"/>
      <c r="Q8" s="19"/>
      <c r="R8" s="19"/>
    </row>
    <row r="9">
      <c r="A9" s="93" t="s">
        <v>11</v>
      </c>
      <c r="B9" s="16"/>
      <c r="C9" s="94"/>
      <c r="D9" s="95">
        <f t="shared" si="1"/>
        <v>120000</v>
      </c>
      <c r="E9" s="95">
        <v>150000.0</v>
      </c>
      <c r="F9" s="92">
        <f t="shared" si="2"/>
        <v>180000</v>
      </c>
      <c r="G9" s="5"/>
      <c r="H9" s="5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>
      <c r="A10" s="96" t="s">
        <v>12</v>
      </c>
      <c r="B10" s="11"/>
      <c r="C10" s="97"/>
      <c r="D10" s="98">
        <v>1200000.0</v>
      </c>
      <c r="E10" s="98">
        <v>1200000.0</v>
      </c>
      <c r="F10" s="99">
        <v>1950000.0</v>
      </c>
      <c r="G10" s="16">
        <f>'協賛金計算'!I15</f>
        <v>2005000</v>
      </c>
      <c r="H10" s="5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>
      <c r="A11" s="101" t="s">
        <v>13</v>
      </c>
      <c r="B11" s="24"/>
      <c r="C11" s="102"/>
      <c r="D11" s="24">
        <f t="shared" ref="D11:F11" si="3">SUM(D3:D10)</f>
        <v>6545792</v>
      </c>
      <c r="E11" s="24">
        <f t="shared" si="3"/>
        <v>7882240</v>
      </c>
      <c r="F11" s="24">
        <f t="shared" si="3"/>
        <v>9968688</v>
      </c>
      <c r="G11" s="5"/>
      <c r="H11" s="5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>
      <c r="A12" s="103" t="s">
        <v>14</v>
      </c>
      <c r="B12" s="28"/>
      <c r="C12" s="104"/>
      <c r="D12" s="28"/>
      <c r="E12" s="28"/>
      <c r="F12" s="29"/>
      <c r="G12" s="5"/>
      <c r="H12" s="5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>
      <c r="A13" s="80" t="s">
        <v>15</v>
      </c>
      <c r="B13" s="81"/>
      <c r="C13" s="82"/>
      <c r="D13" s="14">
        <f t="shared" ref="D13:F13" si="4">D3*0.036</f>
        <v>28800</v>
      </c>
      <c r="E13" s="14">
        <f t="shared" si="4"/>
        <v>36000</v>
      </c>
      <c r="F13" s="15">
        <f t="shared" si="4"/>
        <v>43200</v>
      </c>
      <c r="G13" s="5"/>
      <c r="H13" s="5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>
      <c r="A14" s="105" t="s">
        <v>16</v>
      </c>
      <c r="B14" s="106"/>
      <c r="C14" s="107"/>
      <c r="D14" s="14">
        <f t="shared" ref="D14:F14" si="5">D4*0.036</f>
        <v>126669.312</v>
      </c>
      <c r="E14" s="108">
        <f t="shared" si="5"/>
        <v>158336.64</v>
      </c>
      <c r="F14" s="15">
        <f t="shared" si="5"/>
        <v>190003.968</v>
      </c>
      <c r="G14" s="5"/>
      <c r="H14" s="5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>
      <c r="A15" s="105" t="s">
        <v>17</v>
      </c>
      <c r="B15" s="106"/>
      <c r="C15" s="107"/>
      <c r="D15" s="14">
        <f t="shared" ref="D15:F15" si="6">D5*0.036</f>
        <v>7603.2</v>
      </c>
      <c r="E15" s="108">
        <f t="shared" si="6"/>
        <v>9504</v>
      </c>
      <c r="F15" s="15">
        <f t="shared" si="6"/>
        <v>11404.8</v>
      </c>
      <c r="G15" s="5"/>
      <c r="H15" s="5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>
      <c r="A16" s="109" t="s">
        <v>18</v>
      </c>
      <c r="B16" s="110" t="s">
        <v>47</v>
      </c>
      <c r="C16" s="111">
        <v>5000.0</v>
      </c>
      <c r="D16" s="112"/>
      <c r="E16" s="112">
        <v>0.0</v>
      </c>
      <c r="F16" s="113"/>
      <c r="G16" s="5"/>
      <c r="H16" s="5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>
      <c r="A17" s="109" t="s">
        <v>19</v>
      </c>
      <c r="B17" s="110"/>
      <c r="C17" s="111"/>
      <c r="D17" s="112">
        <f t="shared" ref="D17:F17" si="7">D9*0.036</f>
        <v>4320</v>
      </c>
      <c r="E17" s="112">
        <f t="shared" si="7"/>
        <v>5400</v>
      </c>
      <c r="F17" s="112">
        <f t="shared" si="7"/>
        <v>6480</v>
      </c>
      <c r="G17" s="5"/>
      <c r="H17" s="5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>
      <c r="A18" s="114" t="s">
        <v>20</v>
      </c>
      <c r="B18" s="115" t="s">
        <v>48</v>
      </c>
      <c r="C18" s="116"/>
      <c r="D18" s="117">
        <v>500000.0</v>
      </c>
      <c r="E18" s="117">
        <v>500000.0</v>
      </c>
      <c r="F18" s="176">
        <v>500000.0</v>
      </c>
      <c r="G18" s="5">
        <f>15000*3+10000*2</f>
        <v>65000</v>
      </c>
      <c r="H18" s="5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>
      <c r="A19" s="118" t="s">
        <v>21</v>
      </c>
      <c r="B19" s="119" t="s">
        <v>89</v>
      </c>
      <c r="C19" s="120"/>
      <c r="D19" s="91">
        <v>1118700.0</v>
      </c>
      <c r="E19" s="91">
        <v>1118700.0</v>
      </c>
      <c r="F19" s="121">
        <v>1118700.0</v>
      </c>
      <c r="G19" s="5"/>
      <c r="H19" s="5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>
      <c r="A20" s="34" t="s">
        <v>22</v>
      </c>
      <c r="B20" s="89" t="s">
        <v>50</v>
      </c>
      <c r="C20" s="90">
        <v>10000.0</v>
      </c>
      <c r="D20" s="91">
        <v>50000.0</v>
      </c>
      <c r="E20" s="91">
        <f>C20*5</f>
        <v>50000</v>
      </c>
      <c r="F20" s="121">
        <v>50000.0</v>
      </c>
      <c r="G20" s="16"/>
      <c r="H20" s="5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>
      <c r="A21" s="34" t="s">
        <v>23</v>
      </c>
      <c r="B21" s="89" t="s">
        <v>51</v>
      </c>
      <c r="C21" s="90"/>
      <c r="D21" s="95"/>
      <c r="E21" s="91">
        <v>55000.0</v>
      </c>
      <c r="F21" s="121"/>
      <c r="G21" s="16"/>
      <c r="H21" s="5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>
      <c r="A22" s="34" t="s">
        <v>24</v>
      </c>
      <c r="B22" s="89" t="s">
        <v>52</v>
      </c>
      <c r="C22" s="90"/>
      <c r="D22" s="95">
        <f>E22</f>
        <v>350000</v>
      </c>
      <c r="E22" s="91">
        <v>350000.0</v>
      </c>
      <c r="F22" s="121">
        <f>E22</f>
        <v>350000</v>
      </c>
      <c r="G22" s="5"/>
      <c r="H22" s="5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>
      <c r="A23" s="123" t="s">
        <v>25</v>
      </c>
      <c r="B23" s="124" t="s">
        <v>53</v>
      </c>
      <c r="C23" s="125">
        <v>9000.0</v>
      </c>
      <c r="D23" s="126">
        <v>225000.0</v>
      </c>
      <c r="E23" s="127">
        <f>C23*25</f>
        <v>225000</v>
      </c>
      <c r="F23" s="128">
        <v>225000.0</v>
      </c>
      <c r="G23" s="16"/>
      <c r="H23" s="5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>
      <c r="A24" s="118" t="s">
        <v>26</v>
      </c>
      <c r="B24" s="89" t="s">
        <v>54</v>
      </c>
      <c r="C24" s="120"/>
      <c r="D24" s="91">
        <v>200000.0</v>
      </c>
      <c r="E24" s="91">
        <v>200000.0</v>
      </c>
      <c r="F24" s="121">
        <v>200000.0</v>
      </c>
      <c r="G24" s="5"/>
      <c r="H24" s="5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>
      <c r="A25" s="129" t="s">
        <v>27</v>
      </c>
      <c r="B25" s="36" t="s">
        <v>81</v>
      </c>
      <c r="C25" s="130"/>
      <c r="D25" s="131">
        <f>E25</f>
        <v>650000</v>
      </c>
      <c r="E25" s="131">
        <v>650000.0</v>
      </c>
      <c r="F25" s="128">
        <f>E25</f>
        <v>650000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>
      <c r="A26" s="132" t="s">
        <v>28</v>
      </c>
      <c r="B26" s="37" t="s">
        <v>56</v>
      </c>
      <c r="C26" s="133"/>
      <c r="D26" s="134">
        <v>65000.0</v>
      </c>
      <c r="E26" s="134">
        <v>65000.0</v>
      </c>
      <c r="F26" s="135">
        <v>65000.0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>
      <c r="A27" s="136" t="s">
        <v>29</v>
      </c>
      <c r="B27" s="38" t="s">
        <v>57</v>
      </c>
      <c r="C27" s="137"/>
      <c r="D27" s="138">
        <v>30000.0</v>
      </c>
      <c r="E27" s="138">
        <v>30000.0</v>
      </c>
      <c r="F27" s="139">
        <v>30000.0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36" t="s">
        <v>30</v>
      </c>
      <c r="B28" s="38" t="s">
        <v>58</v>
      </c>
      <c r="C28" s="137"/>
      <c r="D28" s="138">
        <v>12000.0</v>
      </c>
      <c r="E28" s="138">
        <v>12000.0</v>
      </c>
      <c r="F28" s="139">
        <v>12000.0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>
      <c r="A29" s="136" t="s">
        <v>32</v>
      </c>
      <c r="B29" s="38" t="s">
        <v>59</v>
      </c>
      <c r="C29" s="137"/>
      <c r="D29" s="138">
        <v>30000.0</v>
      </c>
      <c r="E29" s="138">
        <v>30000.0</v>
      </c>
      <c r="F29" s="139">
        <v>30000.0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>
      <c r="A30" s="140" t="s">
        <v>33</v>
      </c>
      <c r="B30" s="141"/>
      <c r="C30" s="142"/>
      <c r="D30" s="143">
        <v>50000.0</v>
      </c>
      <c r="E30" s="143">
        <v>50000.0</v>
      </c>
      <c r="F30" s="144">
        <v>50000.0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>
      <c r="A31" s="123" t="s">
        <v>34</v>
      </c>
      <c r="B31" s="145"/>
      <c r="C31" s="146"/>
      <c r="D31" s="147"/>
      <c r="E31" s="148"/>
      <c r="F31" s="149"/>
      <c r="G31" s="5"/>
      <c r="H31" s="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>
      <c r="A32" s="150" t="s">
        <v>35</v>
      </c>
      <c r="B32" s="43"/>
      <c r="C32" s="151"/>
      <c r="D32" s="43">
        <f t="shared" ref="D32:F32" si="8">SUM(D13:D31)</f>
        <v>3448092.512</v>
      </c>
      <c r="E32" s="43">
        <f t="shared" si="8"/>
        <v>3544940.64</v>
      </c>
      <c r="F32" s="152">
        <f t="shared" si="8"/>
        <v>3531788.768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>
      <c r="A33" s="46" t="s">
        <v>36</v>
      </c>
      <c r="B33" s="45"/>
      <c r="C33" s="153"/>
      <c r="D33" s="47">
        <f t="shared" ref="D33:F33" si="9">D11-D32</f>
        <v>3097699.488</v>
      </c>
      <c r="E33" s="47">
        <f t="shared" si="9"/>
        <v>4337299.36</v>
      </c>
      <c r="F33" s="48">
        <f t="shared" si="9"/>
        <v>6436899.232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>
      <c r="A34" s="49" t="s">
        <v>37</v>
      </c>
      <c r="B34" s="154"/>
      <c r="C34" s="154"/>
      <c r="D34" s="155">
        <f t="shared" ref="D34:F34" si="10">D33/D11</f>
        <v>0.4732352461</v>
      </c>
      <c r="E34" s="155">
        <f t="shared" si="10"/>
        <v>0.5502622808</v>
      </c>
      <c r="F34" s="156">
        <f t="shared" si="10"/>
        <v>0.6457117759</v>
      </c>
      <c r="G34" s="53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</row>
    <row r="35">
      <c r="A35" s="55"/>
      <c r="B35" s="55"/>
      <c r="C35" s="157"/>
      <c r="D35" s="53"/>
      <c r="E35" s="53"/>
      <c r="F35" s="53"/>
      <c r="G35" s="53"/>
      <c r="H35" s="53"/>
    </row>
    <row r="36">
      <c r="A36" s="56"/>
      <c r="B36" s="56"/>
      <c r="C36" s="56"/>
      <c r="D36" s="56"/>
      <c r="E36" s="56"/>
      <c r="F36" s="56"/>
      <c r="G36" s="56"/>
      <c r="H36" s="56"/>
      <c r="I36" s="57"/>
      <c r="J36" s="57"/>
    </row>
    <row r="37">
      <c r="A37" s="56"/>
      <c r="B37" s="56"/>
      <c r="C37" s="56"/>
      <c r="D37" s="56"/>
      <c r="E37" s="56"/>
      <c r="F37" s="56"/>
      <c r="G37" s="56"/>
      <c r="H37" s="56"/>
      <c r="I37" s="57"/>
      <c r="J37" s="57"/>
    </row>
    <row r="38">
      <c r="A38" s="56"/>
      <c r="B38" s="56"/>
      <c r="C38" s="56"/>
      <c r="D38" s="58"/>
      <c r="E38" s="58"/>
      <c r="F38" s="58"/>
      <c r="G38" s="58"/>
      <c r="H38" s="58"/>
      <c r="I38" s="59"/>
      <c r="J38" s="59"/>
      <c r="L38" s="60"/>
      <c r="M38" s="60"/>
      <c r="N38" s="60"/>
      <c r="O38" s="60"/>
      <c r="P38" s="60"/>
      <c r="Q38" s="60"/>
      <c r="R38" s="60"/>
    </row>
    <row r="39">
      <c r="A39" s="56"/>
      <c r="B39" s="56"/>
      <c r="C39" s="56"/>
      <c r="D39" s="58"/>
      <c r="E39" s="58"/>
      <c r="F39" s="58"/>
      <c r="G39" s="58"/>
      <c r="H39" s="58"/>
      <c r="I39" s="58"/>
      <c r="J39" s="58"/>
    </row>
    <row r="40">
      <c r="A40" s="56"/>
      <c r="B40" s="56"/>
      <c r="C40" s="56"/>
      <c r="D40" s="58"/>
      <c r="E40" s="58"/>
      <c r="F40" s="58"/>
      <c r="G40" s="58"/>
      <c r="H40" s="58"/>
      <c r="I40" s="58"/>
      <c r="J40" s="58"/>
    </row>
    <row r="41">
      <c r="A41" s="56"/>
      <c r="B41" s="56"/>
      <c r="C41" s="56"/>
      <c r="D41" s="58"/>
      <c r="E41" s="58"/>
      <c r="F41" s="58"/>
      <c r="G41" s="58"/>
      <c r="H41" s="58"/>
      <c r="I41" s="59"/>
      <c r="J41" s="59"/>
    </row>
    <row r="42">
      <c r="A42" s="56"/>
      <c r="B42" s="56"/>
      <c r="C42" s="56"/>
      <c r="D42" s="56"/>
      <c r="E42" s="56"/>
      <c r="F42" s="56"/>
      <c r="G42" s="56"/>
      <c r="H42" s="56"/>
      <c r="I42" s="59"/>
      <c r="J42" s="59"/>
    </row>
    <row r="43">
      <c r="A43" s="56"/>
      <c r="B43" s="56"/>
      <c r="C43" s="56"/>
      <c r="D43" s="56"/>
      <c r="E43" s="56"/>
      <c r="F43" s="56"/>
      <c r="G43" s="56"/>
      <c r="H43" s="56"/>
      <c r="I43" s="58"/>
      <c r="J43" s="58"/>
    </row>
    <row r="44">
      <c r="A44" s="56"/>
      <c r="B44" s="56"/>
      <c r="C44" s="56"/>
      <c r="D44" s="56"/>
      <c r="E44" s="56"/>
      <c r="F44" s="56"/>
      <c r="G44" s="56"/>
      <c r="H44" s="56"/>
      <c r="I44" s="58"/>
      <c r="J44" s="58"/>
    </row>
    <row r="45">
      <c r="A45" s="56"/>
      <c r="B45" s="56"/>
      <c r="C45" s="56"/>
      <c r="D45" s="56"/>
      <c r="E45" s="56"/>
      <c r="F45" s="56"/>
      <c r="G45" s="56"/>
      <c r="H45" s="56"/>
      <c r="I45" s="59"/>
      <c r="J45" s="59"/>
    </row>
    <row r="46">
      <c r="A46" s="56"/>
      <c r="B46" s="56"/>
      <c r="C46" s="56"/>
      <c r="D46" s="56"/>
      <c r="E46" s="56"/>
      <c r="F46" s="56"/>
      <c r="G46" s="56"/>
      <c r="H46" s="56"/>
      <c r="I46" s="58"/>
      <c r="J46" s="58"/>
    </row>
    <row r="47">
      <c r="A47" s="61"/>
      <c r="B47" s="61"/>
      <c r="C47" s="61"/>
      <c r="D47" s="56"/>
      <c r="E47" s="56"/>
      <c r="F47" s="56"/>
      <c r="G47" s="56"/>
      <c r="H47" s="56"/>
      <c r="I47" s="58"/>
      <c r="J47" s="58"/>
    </row>
    <row r="48">
      <c r="A48" s="56"/>
      <c r="B48" s="56"/>
      <c r="C48" s="56"/>
      <c r="D48" s="56"/>
      <c r="E48" s="56"/>
      <c r="F48" s="56"/>
      <c r="G48" s="56"/>
      <c r="H48" s="56"/>
      <c r="I48" s="59"/>
      <c r="J48" s="59"/>
    </row>
    <row r="49">
      <c r="A49" s="56"/>
      <c r="B49" s="56"/>
      <c r="C49" s="56"/>
      <c r="D49" s="56"/>
      <c r="E49" s="56"/>
      <c r="F49" s="56"/>
      <c r="G49" s="56"/>
      <c r="H49" s="56"/>
      <c r="I49" s="58"/>
      <c r="J49" s="58"/>
    </row>
    <row r="50">
      <c r="A50" s="56"/>
      <c r="B50" s="56"/>
      <c r="C50" s="56"/>
      <c r="D50" s="56"/>
      <c r="E50" s="56"/>
      <c r="F50" s="56"/>
      <c r="G50" s="56"/>
      <c r="H50" s="56"/>
      <c r="I50" s="58"/>
      <c r="J50" s="58"/>
    </row>
    <row r="51">
      <c r="A51" s="56"/>
      <c r="B51" s="56"/>
      <c r="C51" s="56"/>
      <c r="D51" s="56"/>
      <c r="E51" s="56"/>
      <c r="F51" s="56"/>
      <c r="G51" s="56"/>
      <c r="H51" s="56"/>
      <c r="I51" s="58"/>
      <c r="J51" s="58"/>
    </row>
    <row r="52">
      <c r="A52" s="56"/>
      <c r="B52" s="56"/>
      <c r="C52" s="56"/>
      <c r="D52" s="56"/>
      <c r="E52" s="56"/>
      <c r="F52" s="56"/>
      <c r="G52" s="56"/>
      <c r="H52" s="56"/>
      <c r="I52" s="59"/>
      <c r="J52" s="59"/>
    </row>
    <row r="53">
      <c r="A53" s="56"/>
      <c r="B53" s="56"/>
      <c r="C53" s="56"/>
      <c r="D53" s="62"/>
      <c r="E53" s="62"/>
      <c r="F53" s="62"/>
      <c r="G53" s="62"/>
      <c r="H53" s="62"/>
      <c r="I53" s="57"/>
      <c r="J53" s="57"/>
    </row>
    <row r="54">
      <c r="A54" s="63"/>
      <c r="B54" s="63"/>
      <c r="C54" s="63"/>
      <c r="D54" s="63"/>
      <c r="E54" s="63"/>
      <c r="F54" s="63"/>
      <c r="G54" s="63"/>
      <c r="H54" s="63"/>
      <c r="I54" s="57"/>
      <c r="J54" s="57"/>
    </row>
    <row r="55">
      <c r="A55" s="64"/>
      <c r="B55" s="64"/>
      <c r="C55" s="64"/>
      <c r="D55" s="64"/>
      <c r="E55" s="64"/>
      <c r="F55" s="64"/>
      <c r="G55" s="64"/>
      <c r="H55" s="64"/>
      <c r="I55" s="57"/>
      <c r="J55" s="57"/>
    </row>
    <row r="56">
      <c r="A56" s="65"/>
      <c r="B56" s="65"/>
      <c r="C56" s="65"/>
      <c r="D56" s="64"/>
      <c r="E56" s="64"/>
      <c r="F56" s="64"/>
      <c r="G56" s="64"/>
      <c r="H56" s="64"/>
      <c r="I56" s="57"/>
      <c r="J56" s="57"/>
    </row>
    <row r="57">
      <c r="A57" s="66"/>
      <c r="B57" s="66"/>
      <c r="C57" s="66"/>
      <c r="D57" s="64"/>
      <c r="E57" s="64"/>
      <c r="F57" s="64"/>
      <c r="G57" s="64"/>
      <c r="H57" s="64"/>
      <c r="I57" s="57"/>
      <c r="J57" s="57"/>
    </row>
    <row r="58">
      <c r="A58" s="65"/>
      <c r="B58" s="65"/>
      <c r="C58" s="65"/>
      <c r="D58" s="67"/>
      <c r="E58" s="67"/>
      <c r="F58" s="67"/>
      <c r="G58" s="67"/>
      <c r="H58" s="67"/>
      <c r="I58" s="57"/>
      <c r="J58" s="57"/>
    </row>
  </sheetData>
  <hyperlinks>
    <hyperlink r:id="rId1" ref="B19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2.38"/>
    <col customWidth="1" min="3" max="3" width="13.0"/>
    <col customWidth="1" hidden="1" min="4" max="4" width="12.88"/>
    <col customWidth="1" min="5" max="5" width="15.0"/>
    <col customWidth="1" hidden="1" min="6" max="6" width="13.25"/>
    <col customWidth="1" min="7" max="7" width="19.38"/>
    <col customWidth="1" min="8" max="8" width="20.13"/>
    <col customWidth="1" min="9" max="9" width="20.88"/>
    <col customWidth="1" min="10" max="10" width="26.75"/>
    <col customWidth="1" min="11" max="18" width="17.5"/>
  </cols>
  <sheetData>
    <row r="1" ht="39.75" customHeight="1">
      <c r="A1" s="68" t="s">
        <v>0</v>
      </c>
      <c r="B1" s="69" t="s">
        <v>38</v>
      </c>
      <c r="C1" s="70" t="s">
        <v>39</v>
      </c>
      <c r="D1" s="71"/>
      <c r="E1" s="72" t="s">
        <v>90</v>
      </c>
      <c r="F1" s="73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74" t="s">
        <v>1</v>
      </c>
      <c r="B2" s="75"/>
      <c r="C2" s="76"/>
      <c r="D2" s="77" t="s">
        <v>2</v>
      </c>
      <c r="E2" s="77" t="s">
        <v>3</v>
      </c>
      <c r="F2" s="78" t="s">
        <v>4</v>
      </c>
      <c r="G2" s="79" t="s">
        <v>41</v>
      </c>
      <c r="H2" s="5"/>
      <c r="I2" s="11"/>
      <c r="J2" s="11"/>
      <c r="K2" s="6"/>
      <c r="L2" s="6"/>
      <c r="M2" s="6"/>
      <c r="N2" s="6"/>
      <c r="O2" s="6"/>
      <c r="P2" s="6"/>
      <c r="Q2" s="6"/>
      <c r="R2" s="6"/>
    </row>
    <row r="3">
      <c r="A3" s="80" t="s">
        <v>5</v>
      </c>
      <c r="B3" s="81" t="s">
        <v>76</v>
      </c>
      <c r="C3" s="82">
        <v>8000.0</v>
      </c>
      <c r="D3" s="14">
        <f t="shared" ref="D3:D9" si="1">E3*0.8</f>
        <v>640000</v>
      </c>
      <c r="E3" s="14">
        <f>100*C3</f>
        <v>800000</v>
      </c>
      <c r="F3" s="83">
        <f t="shared" ref="F3:F9" si="2">E3*1.2</f>
        <v>960000</v>
      </c>
      <c r="G3" s="16"/>
      <c r="H3" s="5"/>
      <c r="I3" s="11"/>
      <c r="J3" s="11"/>
      <c r="K3" s="11"/>
      <c r="L3" s="11"/>
      <c r="M3" s="11"/>
      <c r="N3" s="11"/>
      <c r="O3" s="11"/>
      <c r="P3" s="11"/>
      <c r="Q3" s="11"/>
      <c r="R3" s="11"/>
    </row>
    <row r="4">
      <c r="A4" s="80" t="s">
        <v>6</v>
      </c>
      <c r="B4" s="81" t="s">
        <v>91</v>
      </c>
      <c r="C4" s="82">
        <v>5500.0</v>
      </c>
      <c r="D4" s="14">
        <f t="shared" si="1"/>
        <v>4119808</v>
      </c>
      <c r="E4" s="14">
        <f>7700*162*0.7+6600*389*0.7+5500*644*0.7</f>
        <v>5149760</v>
      </c>
      <c r="F4" s="83">
        <f t="shared" si="2"/>
        <v>6179712</v>
      </c>
      <c r="G4" s="14">
        <f>7700*162+6600*389+5500*644</f>
        <v>7356800</v>
      </c>
      <c r="H4" s="5"/>
      <c r="I4" s="11"/>
      <c r="J4" s="11"/>
      <c r="K4" s="11"/>
      <c r="L4" s="11"/>
      <c r="M4" s="11"/>
      <c r="N4" s="11"/>
      <c r="O4" s="11"/>
      <c r="P4" s="11"/>
      <c r="Q4" s="11"/>
      <c r="R4" s="11"/>
    </row>
    <row r="5">
      <c r="A5" s="80" t="s">
        <v>7</v>
      </c>
      <c r="B5" s="81" t="s">
        <v>44</v>
      </c>
      <c r="C5" s="82">
        <v>3300.0</v>
      </c>
      <c r="D5" s="14">
        <f t="shared" si="1"/>
        <v>105600</v>
      </c>
      <c r="E5" s="14">
        <f>100*0.4*C5</f>
        <v>132000</v>
      </c>
      <c r="F5" s="83">
        <f t="shared" si="2"/>
        <v>158400</v>
      </c>
      <c r="G5" s="5"/>
      <c r="H5" s="5"/>
      <c r="I5" s="11"/>
      <c r="J5" s="11"/>
      <c r="K5" s="11"/>
      <c r="L5" s="11"/>
      <c r="M5" s="11"/>
      <c r="N5" s="11"/>
      <c r="O5" s="11"/>
      <c r="P5" s="11"/>
      <c r="Q5" s="11"/>
      <c r="R5" s="11"/>
    </row>
    <row r="6">
      <c r="A6" s="84" t="s">
        <v>8</v>
      </c>
      <c r="B6" s="85" t="s">
        <v>45</v>
      </c>
      <c r="C6" s="86">
        <v>11000.0</v>
      </c>
      <c r="D6" s="87">
        <f t="shared" si="1"/>
        <v>176000</v>
      </c>
      <c r="E6" s="87">
        <f>200*0.4*C6*0.25</f>
        <v>220000</v>
      </c>
      <c r="F6" s="88">
        <f t="shared" si="2"/>
        <v>264000</v>
      </c>
      <c r="G6" s="5"/>
      <c r="H6" s="5"/>
      <c r="I6" s="18"/>
      <c r="J6" s="19"/>
      <c r="K6" s="18"/>
      <c r="L6" s="18"/>
      <c r="M6" s="18"/>
      <c r="N6" s="18"/>
      <c r="O6" s="18"/>
      <c r="P6" s="18"/>
      <c r="Q6" s="18"/>
      <c r="R6" s="18"/>
    </row>
    <row r="7">
      <c r="A7" s="34" t="s">
        <v>9</v>
      </c>
      <c r="B7" s="89" t="s">
        <v>46</v>
      </c>
      <c r="C7" s="90"/>
      <c r="D7" s="14">
        <f t="shared" si="1"/>
        <v>160000</v>
      </c>
      <c r="E7" s="91">
        <v>200000.0</v>
      </c>
      <c r="F7" s="92">
        <f t="shared" si="2"/>
        <v>240000</v>
      </c>
      <c r="G7" s="5"/>
      <c r="H7" s="5"/>
      <c r="I7" s="19"/>
      <c r="J7" s="19"/>
      <c r="K7" s="19"/>
      <c r="L7" s="19"/>
      <c r="M7" s="19"/>
      <c r="N7" s="19"/>
      <c r="O7" s="19"/>
      <c r="P7" s="19"/>
      <c r="Q7" s="19"/>
      <c r="R7" s="19"/>
    </row>
    <row r="8">
      <c r="A8" s="34" t="s">
        <v>10</v>
      </c>
      <c r="B8" s="89" t="s">
        <v>46</v>
      </c>
      <c r="C8" s="90"/>
      <c r="D8" s="91">
        <f t="shared" si="1"/>
        <v>376000</v>
      </c>
      <c r="E8" s="91">
        <v>470000.0</v>
      </c>
      <c r="F8" s="92">
        <f t="shared" si="2"/>
        <v>564000</v>
      </c>
      <c r="G8" s="5"/>
      <c r="H8" s="5"/>
      <c r="I8" s="19"/>
      <c r="J8" s="19"/>
      <c r="K8" s="19"/>
      <c r="L8" s="19"/>
      <c r="M8" s="19"/>
      <c r="N8" s="19"/>
      <c r="O8" s="19"/>
      <c r="P8" s="19"/>
      <c r="Q8" s="19"/>
      <c r="R8" s="19"/>
    </row>
    <row r="9">
      <c r="A9" s="93" t="s">
        <v>11</v>
      </c>
      <c r="B9" s="16"/>
      <c r="C9" s="94"/>
      <c r="D9" s="95">
        <f t="shared" si="1"/>
        <v>120000</v>
      </c>
      <c r="E9" s="95">
        <v>150000.0</v>
      </c>
      <c r="F9" s="92">
        <f t="shared" si="2"/>
        <v>180000</v>
      </c>
      <c r="G9" s="5"/>
      <c r="H9" s="5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>
      <c r="A10" s="96" t="s">
        <v>12</v>
      </c>
      <c r="B10" s="11"/>
      <c r="C10" s="97"/>
      <c r="D10" s="98">
        <v>3270000.0</v>
      </c>
      <c r="E10" s="98">
        <v>3270000.0</v>
      </c>
      <c r="F10" s="98">
        <v>3900000.0</v>
      </c>
      <c r="G10" s="16">
        <f>'協賛金計算'!I16</f>
        <v>4260000</v>
      </c>
      <c r="H10" s="11"/>
      <c r="I10" s="177"/>
      <c r="J10" s="98">
        <v>1000000.0</v>
      </c>
      <c r="K10" s="98">
        <v>1000000.0</v>
      </c>
      <c r="L10" s="98">
        <v>1600000.0</v>
      </c>
      <c r="M10" s="96" t="s">
        <v>12</v>
      </c>
      <c r="N10" s="11"/>
      <c r="O10" s="97"/>
      <c r="P10" s="98">
        <v>1000000.0</v>
      </c>
      <c r="Q10" s="98">
        <v>1000000.0</v>
      </c>
      <c r="R10" s="98">
        <v>1600000.0</v>
      </c>
      <c r="S10" s="96" t="s">
        <v>12</v>
      </c>
      <c r="T10" s="11"/>
      <c r="U10" s="97"/>
      <c r="V10" s="98">
        <v>1000000.0</v>
      </c>
      <c r="W10" s="98">
        <v>1000000.0</v>
      </c>
      <c r="X10" s="98">
        <v>1600000.0</v>
      </c>
      <c r="Y10" s="96" t="s">
        <v>12</v>
      </c>
      <c r="Z10" s="11"/>
      <c r="AA10" s="97"/>
      <c r="AB10" s="98">
        <v>1000000.0</v>
      </c>
      <c r="AC10" s="98">
        <v>1000000.0</v>
      </c>
      <c r="AD10" s="98">
        <v>1600000.0</v>
      </c>
      <c r="AE10" s="96" t="s">
        <v>12</v>
      </c>
      <c r="AF10" s="11"/>
      <c r="AG10" s="97"/>
      <c r="AH10" s="98">
        <v>1000000.0</v>
      </c>
      <c r="AI10" s="98">
        <v>1000000.0</v>
      </c>
      <c r="AJ10" s="98">
        <v>1600000.0</v>
      </c>
    </row>
    <row r="11">
      <c r="A11" s="101" t="s">
        <v>13</v>
      </c>
      <c r="B11" s="24"/>
      <c r="C11" s="102"/>
      <c r="D11" s="24">
        <f t="shared" ref="D11:F11" si="3">SUM(D3:D10)</f>
        <v>8967408</v>
      </c>
      <c r="E11" s="24">
        <f t="shared" si="3"/>
        <v>10391760</v>
      </c>
      <c r="F11" s="24">
        <f t="shared" si="3"/>
        <v>12446112</v>
      </c>
      <c r="G11" s="5"/>
      <c r="H11" s="5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>
      <c r="A12" s="103" t="s">
        <v>14</v>
      </c>
      <c r="B12" s="28"/>
      <c r="C12" s="104"/>
      <c r="D12" s="28"/>
      <c r="E12" s="28"/>
      <c r="F12" s="29"/>
      <c r="G12" s="5"/>
      <c r="H12" s="5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>
      <c r="A13" s="80" t="s">
        <v>15</v>
      </c>
      <c r="B13" s="81"/>
      <c r="C13" s="82"/>
      <c r="D13" s="14">
        <f t="shared" ref="D13:F13" si="4">D3*0.036</f>
        <v>23040</v>
      </c>
      <c r="E13" s="14">
        <f t="shared" si="4"/>
        <v>28800</v>
      </c>
      <c r="F13" s="15">
        <f t="shared" si="4"/>
        <v>34560</v>
      </c>
      <c r="G13" s="5"/>
      <c r="H13" s="5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>
      <c r="A14" s="105" t="s">
        <v>16</v>
      </c>
      <c r="B14" s="106"/>
      <c r="C14" s="107"/>
      <c r="D14" s="14">
        <f t="shared" ref="D14:F14" si="5">D4*0.036</f>
        <v>148313.088</v>
      </c>
      <c r="E14" s="108">
        <f t="shared" si="5"/>
        <v>185391.36</v>
      </c>
      <c r="F14" s="15">
        <f t="shared" si="5"/>
        <v>222469.632</v>
      </c>
      <c r="G14" s="5"/>
      <c r="H14" s="5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>
      <c r="A15" s="105" t="s">
        <v>17</v>
      </c>
      <c r="B15" s="106"/>
      <c r="C15" s="107"/>
      <c r="D15" s="14">
        <f t="shared" ref="D15:F15" si="6">D5*0.036</f>
        <v>3801.6</v>
      </c>
      <c r="E15" s="108">
        <f t="shared" si="6"/>
        <v>4752</v>
      </c>
      <c r="F15" s="15">
        <f t="shared" si="6"/>
        <v>5702.4</v>
      </c>
      <c r="G15" s="5"/>
      <c r="H15" s="5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>
      <c r="A16" s="109" t="s">
        <v>18</v>
      </c>
      <c r="B16" s="110" t="s">
        <v>47</v>
      </c>
      <c r="C16" s="111">
        <v>5000.0</v>
      </c>
      <c r="D16" s="112"/>
      <c r="E16" s="112">
        <v>0.0</v>
      </c>
      <c r="F16" s="113"/>
      <c r="G16" s="5"/>
      <c r="H16" s="5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ht="16.5" customHeight="1">
      <c r="A17" s="109" t="s">
        <v>19</v>
      </c>
      <c r="B17" s="110"/>
      <c r="C17" s="111"/>
      <c r="D17" s="112">
        <f t="shared" ref="D17:F17" si="7">D9*0.036</f>
        <v>4320</v>
      </c>
      <c r="E17" s="112">
        <f t="shared" si="7"/>
        <v>5400</v>
      </c>
      <c r="F17" s="113">
        <f t="shared" si="7"/>
        <v>6480</v>
      </c>
      <c r="G17" s="5"/>
      <c r="H17" s="5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>
      <c r="A18" s="114" t="s">
        <v>20</v>
      </c>
      <c r="B18" s="115" t="s">
        <v>48</v>
      </c>
      <c r="C18" s="116"/>
      <c r="D18" s="117">
        <v>500000.0</v>
      </c>
      <c r="E18" s="117">
        <v>500000.0</v>
      </c>
      <c r="F18" s="176">
        <v>500000.0</v>
      </c>
      <c r="G18" s="5"/>
      <c r="H18" s="5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>
      <c r="A19" s="118" t="s">
        <v>21</v>
      </c>
      <c r="B19" s="119" t="s">
        <v>92</v>
      </c>
      <c r="C19" s="120"/>
      <c r="D19" s="178">
        <v>2901800.0</v>
      </c>
      <c r="E19" s="178">
        <v>2901800.0</v>
      </c>
      <c r="F19" s="179">
        <v>2901800.0</v>
      </c>
      <c r="G19" s="5"/>
      <c r="H19" s="5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>
      <c r="A20" s="34" t="s">
        <v>22</v>
      </c>
      <c r="B20" s="89" t="s">
        <v>50</v>
      </c>
      <c r="C20" s="90">
        <v>10000.0</v>
      </c>
      <c r="D20" s="91">
        <v>50000.0</v>
      </c>
      <c r="E20" s="91">
        <f>C20*5</f>
        <v>50000</v>
      </c>
      <c r="F20" s="121">
        <v>50000.0</v>
      </c>
      <c r="G20" s="16"/>
      <c r="H20" s="5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>
      <c r="A21" s="34" t="s">
        <v>23</v>
      </c>
      <c r="B21" s="89" t="s">
        <v>93</v>
      </c>
      <c r="C21" s="90"/>
      <c r="D21" s="95"/>
      <c r="E21" s="91">
        <v>60000.0</v>
      </c>
      <c r="F21" s="121"/>
      <c r="G21" s="16"/>
      <c r="H21" s="5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>
      <c r="A22" s="34" t="s">
        <v>24</v>
      </c>
      <c r="B22" s="89" t="s">
        <v>52</v>
      </c>
      <c r="C22" s="90"/>
      <c r="D22" s="95">
        <f>E22</f>
        <v>350000</v>
      </c>
      <c r="E22" s="91">
        <v>350000.0</v>
      </c>
      <c r="F22" s="121">
        <f>E22</f>
        <v>350000</v>
      </c>
      <c r="G22" s="5">
        <f>15000*5</f>
        <v>75000</v>
      </c>
      <c r="H22" s="5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>
      <c r="A23" s="123" t="s">
        <v>25</v>
      </c>
      <c r="B23" s="124" t="s">
        <v>53</v>
      </c>
      <c r="C23" s="125">
        <v>9000.0</v>
      </c>
      <c r="D23" s="126">
        <v>225000.0</v>
      </c>
      <c r="E23" s="127">
        <f>C23*25</f>
        <v>225000</v>
      </c>
      <c r="F23" s="128">
        <v>225000.0</v>
      </c>
      <c r="G23" s="16"/>
      <c r="H23" s="5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>
      <c r="A24" s="118" t="s">
        <v>26</v>
      </c>
      <c r="B24" s="89" t="s">
        <v>54</v>
      </c>
      <c r="C24" s="120"/>
      <c r="D24" s="91">
        <v>200000.0</v>
      </c>
      <c r="E24" s="91">
        <v>200000.0</v>
      </c>
      <c r="F24" s="121">
        <v>200000.0</v>
      </c>
      <c r="G24" s="5"/>
      <c r="H24" s="5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>
      <c r="A25" s="129" t="s">
        <v>27</v>
      </c>
      <c r="B25" s="36" t="s">
        <v>55</v>
      </c>
      <c r="C25" s="130"/>
      <c r="D25" s="180">
        <v>1600000.0</v>
      </c>
      <c r="E25" s="180">
        <v>1600000.0</v>
      </c>
      <c r="F25" s="180">
        <v>1600000.0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>
      <c r="A26" s="132" t="s">
        <v>28</v>
      </c>
      <c r="B26" s="37" t="s">
        <v>56</v>
      </c>
      <c r="C26" s="133"/>
      <c r="D26" s="134">
        <v>65000.0</v>
      </c>
      <c r="E26" s="134">
        <v>65000.0</v>
      </c>
      <c r="F26" s="135">
        <v>65000.0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>
      <c r="A27" s="136" t="s">
        <v>29</v>
      </c>
      <c r="B27" s="38" t="s">
        <v>57</v>
      </c>
      <c r="C27" s="137"/>
      <c r="D27" s="138">
        <v>30000.0</v>
      </c>
      <c r="E27" s="138">
        <v>30000.0</v>
      </c>
      <c r="F27" s="139">
        <v>30000.0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36" t="s">
        <v>30</v>
      </c>
      <c r="B28" s="38" t="s">
        <v>58</v>
      </c>
      <c r="C28" s="137"/>
      <c r="D28" s="138">
        <v>12000.0</v>
      </c>
      <c r="E28" s="138">
        <v>12000.0</v>
      </c>
      <c r="F28" s="139">
        <v>12000.0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>
      <c r="A29" s="136" t="s">
        <v>32</v>
      </c>
      <c r="B29" s="38" t="s">
        <v>59</v>
      </c>
      <c r="C29" s="137"/>
      <c r="D29" s="138">
        <v>30000.0</v>
      </c>
      <c r="E29" s="138">
        <v>30000.0</v>
      </c>
      <c r="F29" s="139">
        <v>30000.0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>
      <c r="A30" s="140" t="s">
        <v>33</v>
      </c>
      <c r="B30" s="141"/>
      <c r="C30" s="142"/>
      <c r="D30" s="143">
        <v>50000.0</v>
      </c>
      <c r="E30" s="143">
        <v>50000.0</v>
      </c>
      <c r="F30" s="144">
        <v>50000.0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>
      <c r="A31" s="123" t="s">
        <v>34</v>
      </c>
      <c r="B31" s="145"/>
      <c r="C31" s="146"/>
      <c r="D31" s="147"/>
      <c r="E31" s="148"/>
      <c r="F31" s="149"/>
      <c r="G31" s="5"/>
      <c r="H31" s="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>
      <c r="A32" s="150" t="s">
        <v>35</v>
      </c>
      <c r="B32" s="43"/>
      <c r="C32" s="151"/>
      <c r="D32" s="43">
        <f t="shared" ref="D32:F32" si="8">SUM(D13:D31)</f>
        <v>6193274.688</v>
      </c>
      <c r="E32" s="43">
        <f t="shared" si="8"/>
        <v>6298143.36</v>
      </c>
      <c r="F32" s="152">
        <f t="shared" si="8"/>
        <v>6283012.032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>
      <c r="A33" s="46" t="s">
        <v>36</v>
      </c>
      <c r="B33" s="45"/>
      <c r="C33" s="153"/>
      <c r="D33" s="47">
        <f t="shared" ref="D33:F33" si="9">D11-D32</f>
        <v>2774133.312</v>
      </c>
      <c r="E33" s="47">
        <f t="shared" si="9"/>
        <v>4093616.64</v>
      </c>
      <c r="F33" s="48">
        <f t="shared" si="9"/>
        <v>6163099.968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>
      <c r="A34" s="49" t="s">
        <v>37</v>
      </c>
      <c r="B34" s="154"/>
      <c r="C34" s="154"/>
      <c r="D34" s="155">
        <f t="shared" ref="D34:F34" si="10">D33/D11</f>
        <v>0.3093573206</v>
      </c>
      <c r="E34" s="155">
        <f t="shared" si="10"/>
        <v>0.3939290977</v>
      </c>
      <c r="F34" s="156">
        <f t="shared" si="10"/>
        <v>0.4951827501</v>
      </c>
      <c r="G34" s="53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</row>
    <row r="35">
      <c r="A35" s="55"/>
      <c r="B35" s="55"/>
      <c r="C35" s="157"/>
      <c r="D35" s="53"/>
      <c r="E35" s="53"/>
      <c r="F35" s="53"/>
      <c r="G35" s="53"/>
      <c r="H35" s="53"/>
    </row>
    <row r="36">
      <c r="A36" s="56"/>
      <c r="B36" s="56"/>
      <c r="C36" s="56"/>
      <c r="D36" s="56"/>
      <c r="E36" s="56"/>
      <c r="F36" s="56"/>
      <c r="G36" s="56"/>
      <c r="H36" s="56"/>
      <c r="I36" s="57"/>
      <c r="J36" s="57"/>
    </row>
    <row r="37">
      <c r="A37" s="56"/>
      <c r="B37" s="56"/>
      <c r="C37" s="56"/>
      <c r="D37" s="56"/>
      <c r="E37" s="56"/>
      <c r="F37" s="56"/>
      <c r="G37" s="56"/>
      <c r="H37" s="56"/>
      <c r="I37" s="57"/>
      <c r="J37" s="57"/>
    </row>
    <row r="38">
      <c r="A38" s="56"/>
      <c r="B38" s="56"/>
      <c r="C38" s="56"/>
      <c r="D38" s="58"/>
      <c r="E38" s="58"/>
      <c r="F38" s="58"/>
      <c r="G38" s="58"/>
      <c r="H38" s="58"/>
      <c r="I38" s="59"/>
      <c r="J38" s="59"/>
      <c r="L38" s="60"/>
      <c r="M38" s="60"/>
      <c r="N38" s="60"/>
      <c r="O38" s="60"/>
      <c r="P38" s="60"/>
      <c r="Q38" s="60"/>
      <c r="R38" s="60"/>
    </row>
    <row r="39">
      <c r="A39" s="56"/>
      <c r="B39" s="56"/>
      <c r="C39" s="56"/>
      <c r="D39" s="58"/>
      <c r="E39" s="58"/>
      <c r="F39" s="58"/>
      <c r="G39" s="58"/>
      <c r="H39" s="58"/>
      <c r="I39" s="58"/>
      <c r="J39" s="58"/>
    </row>
    <row r="40">
      <c r="A40" s="56"/>
      <c r="B40" s="56"/>
      <c r="C40" s="56"/>
      <c r="D40" s="58"/>
      <c r="E40" s="58"/>
      <c r="F40" s="58"/>
      <c r="G40" s="58"/>
      <c r="H40" s="58"/>
      <c r="I40" s="58"/>
      <c r="J40" s="58"/>
    </row>
    <row r="41">
      <c r="A41" s="56"/>
      <c r="B41" s="56"/>
      <c r="C41" s="56"/>
      <c r="D41" s="58"/>
      <c r="E41" s="58"/>
      <c r="F41" s="58"/>
      <c r="G41" s="58"/>
      <c r="H41" s="58"/>
      <c r="I41" s="59"/>
      <c r="J41" s="59"/>
    </row>
    <row r="42">
      <c r="A42" s="56"/>
      <c r="B42" s="56"/>
      <c r="C42" s="56"/>
      <c r="D42" s="56"/>
      <c r="E42" s="56"/>
      <c r="F42" s="56"/>
      <c r="G42" s="56"/>
      <c r="H42" s="56"/>
      <c r="I42" s="59"/>
      <c r="J42" s="59"/>
    </row>
    <row r="43">
      <c r="A43" s="56"/>
      <c r="B43" s="56"/>
      <c r="C43" s="56"/>
      <c r="D43" s="56"/>
      <c r="E43" s="56"/>
      <c r="F43" s="56"/>
      <c r="G43" s="56"/>
      <c r="H43" s="56"/>
      <c r="I43" s="58"/>
      <c r="J43" s="58"/>
    </row>
    <row r="44">
      <c r="A44" s="56"/>
      <c r="B44" s="56"/>
      <c r="C44" s="56"/>
      <c r="D44" s="56"/>
      <c r="E44" s="56"/>
      <c r="F44" s="56"/>
      <c r="G44" s="56"/>
      <c r="H44" s="56"/>
      <c r="I44" s="58"/>
      <c r="J44" s="58"/>
    </row>
    <row r="45">
      <c r="A45" s="56"/>
      <c r="B45" s="56"/>
      <c r="C45" s="56"/>
      <c r="D45" s="56"/>
      <c r="E45" s="56"/>
      <c r="F45" s="56"/>
      <c r="G45" s="56"/>
      <c r="H45" s="56"/>
      <c r="I45" s="59"/>
      <c r="J45" s="59"/>
    </row>
    <row r="46">
      <c r="A46" s="56"/>
      <c r="B46" s="56"/>
      <c r="C46" s="56"/>
      <c r="D46" s="56"/>
      <c r="E46" s="56"/>
      <c r="F46" s="56"/>
      <c r="G46" s="56"/>
      <c r="H46" s="56"/>
      <c r="I46" s="58"/>
      <c r="J46" s="58"/>
    </row>
    <row r="47">
      <c r="A47" s="61"/>
      <c r="B47" s="61"/>
      <c r="C47" s="61"/>
      <c r="D47" s="56"/>
      <c r="E47" s="56"/>
      <c r="F47" s="56"/>
      <c r="G47" s="56"/>
      <c r="H47" s="56"/>
      <c r="I47" s="58"/>
      <c r="J47" s="58"/>
    </row>
    <row r="48">
      <c r="A48" s="56"/>
      <c r="B48" s="56"/>
      <c r="C48" s="56"/>
      <c r="D48" s="56"/>
      <c r="E48" s="56"/>
      <c r="F48" s="56"/>
      <c r="G48" s="56"/>
      <c r="H48" s="56"/>
      <c r="I48" s="59"/>
      <c r="J48" s="59"/>
    </row>
    <row r="49">
      <c r="A49" s="56"/>
      <c r="B49" s="56"/>
      <c r="C49" s="56"/>
      <c r="D49" s="56"/>
      <c r="E49" s="56"/>
      <c r="F49" s="56"/>
      <c r="G49" s="56"/>
      <c r="H49" s="56"/>
      <c r="I49" s="58"/>
      <c r="J49" s="58"/>
    </row>
    <row r="50">
      <c r="A50" s="56"/>
      <c r="B50" s="56"/>
      <c r="C50" s="56"/>
      <c r="D50" s="56"/>
      <c r="E50" s="56"/>
      <c r="F50" s="56"/>
      <c r="G50" s="56"/>
      <c r="H50" s="56"/>
      <c r="I50" s="58"/>
      <c r="J50" s="58"/>
    </row>
    <row r="51">
      <c r="A51" s="56"/>
      <c r="B51" s="56"/>
      <c r="C51" s="56"/>
      <c r="D51" s="56"/>
      <c r="E51" s="56"/>
      <c r="F51" s="56"/>
      <c r="G51" s="56"/>
      <c r="H51" s="56"/>
      <c r="I51" s="58"/>
      <c r="J51" s="58"/>
    </row>
    <row r="52">
      <c r="A52" s="56"/>
      <c r="B52" s="56"/>
      <c r="C52" s="56"/>
      <c r="D52" s="56"/>
      <c r="E52" s="56"/>
      <c r="F52" s="56"/>
      <c r="G52" s="56"/>
      <c r="H52" s="56"/>
      <c r="I52" s="59"/>
      <c r="J52" s="59"/>
    </row>
    <row r="53">
      <c r="A53" s="56"/>
      <c r="B53" s="56"/>
      <c r="C53" s="56"/>
      <c r="D53" s="62"/>
      <c r="E53" s="62"/>
      <c r="F53" s="62"/>
      <c r="G53" s="62"/>
      <c r="H53" s="62"/>
      <c r="I53" s="57"/>
      <c r="J53" s="57"/>
    </row>
    <row r="54">
      <c r="A54" s="63"/>
      <c r="B54" s="63"/>
      <c r="C54" s="63"/>
      <c r="D54" s="63"/>
      <c r="E54" s="63"/>
      <c r="F54" s="63"/>
      <c r="G54" s="63"/>
      <c r="H54" s="63"/>
      <c r="I54" s="57"/>
      <c r="J54" s="57"/>
    </row>
    <row r="55">
      <c r="A55" s="64"/>
      <c r="B55" s="64"/>
      <c r="C55" s="64"/>
      <c r="D55" s="64"/>
      <c r="E55" s="64"/>
      <c r="F55" s="64"/>
      <c r="G55" s="64"/>
      <c r="H55" s="64"/>
      <c r="I55" s="57"/>
      <c r="J55" s="57"/>
    </row>
    <row r="56">
      <c r="A56" s="65"/>
      <c r="B56" s="65"/>
      <c r="C56" s="65"/>
      <c r="D56" s="64"/>
      <c r="E56" s="64"/>
      <c r="F56" s="64"/>
      <c r="G56" s="64"/>
      <c r="H56" s="64"/>
      <c r="I56" s="57"/>
      <c r="J56" s="57"/>
    </row>
    <row r="57">
      <c r="A57" s="66"/>
      <c r="B57" s="66"/>
      <c r="C57" s="66"/>
      <c r="D57" s="64"/>
      <c r="E57" s="64"/>
      <c r="F57" s="64"/>
      <c r="G57" s="64"/>
      <c r="H57" s="64"/>
      <c r="I57" s="57"/>
      <c r="J57" s="57"/>
    </row>
    <row r="58">
      <c r="A58" s="65"/>
      <c r="B58" s="65"/>
      <c r="C58" s="65"/>
      <c r="D58" s="67"/>
      <c r="E58" s="67"/>
      <c r="F58" s="67"/>
      <c r="G58" s="67"/>
      <c r="H58" s="67"/>
      <c r="I58" s="57"/>
      <c r="J58" s="57"/>
    </row>
  </sheetData>
  <hyperlinks>
    <hyperlink r:id="rId1" ref="B19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9.88"/>
  </cols>
  <sheetData>
    <row r="1">
      <c r="A1" s="181"/>
      <c r="B1" s="182"/>
      <c r="C1" s="182"/>
      <c r="D1" s="182"/>
      <c r="E1" s="182"/>
    </row>
    <row r="2">
      <c r="A2" s="182"/>
      <c r="B2" s="183" t="s">
        <v>94</v>
      </c>
      <c r="C2" s="184" t="s">
        <v>95</v>
      </c>
      <c r="D2" s="185" t="s">
        <v>96</v>
      </c>
      <c r="E2" s="186" t="s">
        <v>97</v>
      </c>
    </row>
    <row r="3">
      <c r="A3" s="187"/>
      <c r="B3" s="188">
        <v>45689.0</v>
      </c>
      <c r="C3" s="189" t="s">
        <v>98</v>
      </c>
      <c r="D3" s="189" t="s">
        <v>99</v>
      </c>
      <c r="E3" s="190">
        <v>3000.0</v>
      </c>
    </row>
    <row r="4">
      <c r="B4" s="191">
        <v>45707.0</v>
      </c>
      <c r="C4" s="192" t="s">
        <v>100</v>
      </c>
      <c r="D4" s="193" t="s">
        <v>99</v>
      </c>
      <c r="E4" s="194">
        <v>16234.0</v>
      </c>
    </row>
    <row r="5">
      <c r="B5" s="191">
        <v>45707.0</v>
      </c>
      <c r="C5" s="192" t="s">
        <v>100</v>
      </c>
      <c r="D5" s="193" t="s">
        <v>99</v>
      </c>
      <c r="E5" s="194">
        <v>20658.0</v>
      </c>
    </row>
    <row r="6">
      <c r="B6" s="191">
        <v>45716.0</v>
      </c>
      <c r="C6" s="192" t="s">
        <v>101</v>
      </c>
      <c r="D6" s="193" t="s">
        <v>99</v>
      </c>
      <c r="E6" s="194">
        <v>17408.0</v>
      </c>
    </row>
    <row r="7">
      <c r="B7" s="191">
        <v>45733.0</v>
      </c>
      <c r="C7" s="192" t="s">
        <v>102</v>
      </c>
      <c r="D7" s="193" t="s">
        <v>99</v>
      </c>
      <c r="E7" s="194">
        <v>30275.0</v>
      </c>
    </row>
    <row r="8">
      <c r="B8" s="191">
        <v>45735.0</v>
      </c>
      <c r="C8" s="192" t="s">
        <v>103</v>
      </c>
      <c r="D8" s="193" t="s">
        <v>104</v>
      </c>
      <c r="E8" s="194">
        <v>131040.0</v>
      </c>
    </row>
    <row r="9">
      <c r="B9" s="191">
        <v>45735.0</v>
      </c>
      <c r="C9" s="192" t="s">
        <v>105</v>
      </c>
      <c r="D9" s="193" t="s">
        <v>104</v>
      </c>
      <c r="E9" s="194">
        <v>5355.0</v>
      </c>
    </row>
    <row r="10">
      <c r="B10" s="191">
        <v>45735.0</v>
      </c>
      <c r="C10" s="192" t="s">
        <v>106</v>
      </c>
      <c r="D10" s="193" t="s">
        <v>99</v>
      </c>
      <c r="E10" s="194">
        <v>321900.0</v>
      </c>
    </row>
    <row r="11">
      <c r="B11" s="191">
        <v>45735.0</v>
      </c>
      <c r="C11" s="192" t="s">
        <v>107</v>
      </c>
      <c r="D11" s="193" t="s">
        <v>99</v>
      </c>
      <c r="E11" s="194">
        <v>680702.0</v>
      </c>
    </row>
    <row r="12">
      <c r="B12" s="191">
        <v>45739.0</v>
      </c>
      <c r="C12" s="192" t="s">
        <v>108</v>
      </c>
      <c r="D12" s="193" t="s">
        <v>99</v>
      </c>
      <c r="E12" s="194">
        <v>237270.0</v>
      </c>
    </row>
    <row r="13">
      <c r="B13" s="191">
        <v>45744.0</v>
      </c>
      <c r="C13" s="192" t="s">
        <v>109</v>
      </c>
      <c r="D13" s="193" t="s">
        <v>99</v>
      </c>
      <c r="E13" s="195">
        <v>9460.0</v>
      </c>
    </row>
    <row r="14">
      <c r="B14" s="191">
        <v>45757.0</v>
      </c>
      <c r="C14" s="192" t="s">
        <v>110</v>
      </c>
      <c r="D14" s="193" t="s">
        <v>99</v>
      </c>
      <c r="E14" s="196" t="s">
        <v>111</v>
      </c>
    </row>
    <row r="15">
      <c r="B15" s="191">
        <v>45772.0</v>
      </c>
      <c r="C15" s="192" t="s">
        <v>112</v>
      </c>
      <c r="D15" s="193" t="s">
        <v>99</v>
      </c>
      <c r="E15" s="197">
        <v>165000.0</v>
      </c>
    </row>
    <row r="16">
      <c r="B16" s="188"/>
      <c r="C16" s="198"/>
      <c r="D16" s="193"/>
      <c r="E16" s="199"/>
    </row>
    <row r="17">
      <c r="B17" s="188"/>
      <c r="C17" s="198"/>
      <c r="D17" s="193"/>
      <c r="E17" s="199"/>
    </row>
    <row r="18">
      <c r="B18" s="188"/>
      <c r="C18" s="198"/>
      <c r="D18" s="193"/>
      <c r="E18" s="199"/>
    </row>
    <row r="19">
      <c r="B19" s="188"/>
      <c r="C19" s="198"/>
      <c r="D19" s="193"/>
      <c r="E19" s="199"/>
    </row>
    <row r="20">
      <c r="B20" s="188"/>
      <c r="C20" s="198"/>
      <c r="D20" s="193"/>
      <c r="E20" s="199"/>
    </row>
    <row r="21">
      <c r="B21" s="188"/>
      <c r="C21" s="198"/>
      <c r="D21" s="193"/>
      <c r="E21" s="199"/>
    </row>
    <row r="22">
      <c r="B22" s="188"/>
      <c r="C22" s="198"/>
      <c r="D22" s="193"/>
      <c r="E22" s="199"/>
    </row>
    <row r="23">
      <c r="B23" s="188"/>
      <c r="C23" s="198"/>
      <c r="D23" s="193"/>
      <c r="E23" s="199"/>
    </row>
    <row r="24">
      <c r="B24" s="200"/>
      <c r="C24" s="201"/>
      <c r="D24" s="202"/>
      <c r="E24" s="203"/>
    </row>
    <row r="26">
      <c r="C26" s="60" t="s">
        <v>113</v>
      </c>
      <c r="E26" s="175">
        <v>250000.0</v>
      </c>
    </row>
  </sheetData>
  <dataValidations>
    <dataValidation type="list" allowBlank="1" showErrorMessage="1" sqref="D3:D24">
      <formula1>"全体,東京,福岡,千葉,福岡,神奈川,埼玉"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7" max="7" width="14.75"/>
  </cols>
  <sheetData>
    <row r="1">
      <c r="A1" s="60" t="s">
        <v>114</v>
      </c>
    </row>
    <row r="2">
      <c r="A2" s="204"/>
      <c r="B2" s="205"/>
      <c r="C2" s="206" t="s">
        <v>115</v>
      </c>
      <c r="D2" s="207" t="s">
        <v>116</v>
      </c>
      <c r="E2" s="208" t="s">
        <v>117</v>
      </c>
      <c r="F2" s="209" t="s">
        <v>118</v>
      </c>
      <c r="G2" s="210" t="s">
        <v>119</v>
      </c>
      <c r="H2" s="211" t="s">
        <v>120</v>
      </c>
    </row>
    <row r="3">
      <c r="A3" s="212" t="s">
        <v>121</v>
      </c>
      <c r="B3" s="213" t="s">
        <v>122</v>
      </c>
      <c r="C3" s="214" t="s">
        <v>123</v>
      </c>
      <c r="D3" s="215"/>
      <c r="E3" s="216" t="s">
        <v>124</v>
      </c>
      <c r="F3" s="217" t="s">
        <v>125</v>
      </c>
      <c r="G3" s="218" t="s">
        <v>126</v>
      </c>
      <c r="H3" s="219"/>
      <c r="J3" s="220"/>
      <c r="K3" s="220"/>
      <c r="L3" s="221"/>
      <c r="M3" s="220"/>
      <c r="N3" s="222"/>
      <c r="O3" s="222"/>
    </row>
    <row r="4">
      <c r="A4" s="212" t="s">
        <v>127</v>
      </c>
      <c r="B4" s="213" t="s">
        <v>122</v>
      </c>
      <c r="C4" s="214" t="s">
        <v>128</v>
      </c>
      <c r="D4" s="219"/>
      <c r="E4" s="216" t="s">
        <v>124</v>
      </c>
      <c r="F4" s="219"/>
      <c r="G4" s="219"/>
      <c r="H4" s="219"/>
      <c r="J4" s="220"/>
      <c r="K4" s="220"/>
      <c r="L4" s="221"/>
      <c r="M4" s="220"/>
      <c r="N4" s="221"/>
      <c r="O4" s="222"/>
    </row>
    <row r="5">
      <c r="A5" s="212" t="s">
        <v>129</v>
      </c>
      <c r="B5" s="213" t="s">
        <v>122</v>
      </c>
      <c r="C5" s="214" t="s">
        <v>124</v>
      </c>
      <c r="D5" s="219"/>
      <c r="E5" s="223" t="s">
        <v>130</v>
      </c>
      <c r="F5" s="219"/>
      <c r="G5" s="219"/>
      <c r="H5" s="219"/>
      <c r="J5" s="220"/>
      <c r="K5" s="220"/>
      <c r="L5" s="221"/>
      <c r="M5" s="220"/>
      <c r="N5" s="221"/>
      <c r="O5" s="222"/>
    </row>
    <row r="6">
      <c r="A6" s="212" t="s">
        <v>131</v>
      </c>
      <c r="B6" s="213" t="s">
        <v>122</v>
      </c>
      <c r="C6" s="214" t="s">
        <v>123</v>
      </c>
      <c r="D6" s="219"/>
      <c r="E6" s="224"/>
      <c r="F6" s="219"/>
      <c r="G6" s="219"/>
      <c r="H6" s="219"/>
      <c r="J6" s="221"/>
      <c r="K6" s="221"/>
      <c r="L6" s="221"/>
      <c r="M6" s="221"/>
      <c r="N6" s="221"/>
      <c r="O6" s="221"/>
    </row>
    <row r="7">
      <c r="A7" s="225" t="s">
        <v>87</v>
      </c>
      <c r="B7" s="213" t="s">
        <v>122</v>
      </c>
      <c r="C7" s="214" t="s">
        <v>123</v>
      </c>
      <c r="D7" s="226" t="s">
        <v>132</v>
      </c>
      <c r="E7" s="214" t="s">
        <v>133</v>
      </c>
      <c r="F7" s="219"/>
      <c r="G7" s="219"/>
      <c r="H7" s="219"/>
      <c r="J7" s="220"/>
      <c r="K7" s="220"/>
      <c r="L7" s="221"/>
      <c r="M7" s="221"/>
      <c r="N7" s="221"/>
      <c r="O7" s="222"/>
    </row>
    <row r="8">
      <c r="A8" s="227" t="s">
        <v>134</v>
      </c>
      <c r="B8" s="228"/>
      <c r="C8" s="213" t="s">
        <v>122</v>
      </c>
      <c r="D8" s="229" t="s">
        <v>132</v>
      </c>
      <c r="E8" s="230" t="s">
        <v>135</v>
      </c>
      <c r="F8" s="217" t="s">
        <v>125</v>
      </c>
      <c r="G8" s="219"/>
      <c r="H8" s="219"/>
      <c r="J8" s="220"/>
      <c r="K8" s="220"/>
      <c r="L8" s="220"/>
      <c r="M8" s="220"/>
      <c r="N8" s="221"/>
      <c r="O8" s="222"/>
    </row>
    <row r="9">
      <c r="J9" s="221"/>
      <c r="K9" s="220"/>
      <c r="L9" s="220"/>
      <c r="M9" s="220"/>
      <c r="N9" s="222"/>
      <c r="O9" s="222"/>
    </row>
    <row r="10">
      <c r="A10" s="204"/>
      <c r="B10" s="205"/>
      <c r="C10" s="206" t="s">
        <v>115</v>
      </c>
      <c r="D10" s="207" t="s">
        <v>116</v>
      </c>
      <c r="E10" s="208" t="s">
        <v>117</v>
      </c>
      <c r="F10" s="209" t="s">
        <v>118</v>
      </c>
      <c r="G10" s="210" t="s">
        <v>119</v>
      </c>
      <c r="H10" s="211" t="s">
        <v>120</v>
      </c>
    </row>
    <row r="11">
      <c r="A11" s="212" t="s">
        <v>121</v>
      </c>
      <c r="B11" s="231"/>
      <c r="C11" s="232">
        <v>1200000.0</v>
      </c>
      <c r="D11" s="233">
        <v>500000.0</v>
      </c>
      <c r="E11" s="234">
        <f>250000*0.9</f>
        <v>225000</v>
      </c>
      <c r="F11" s="234">
        <v>100000.0</v>
      </c>
      <c r="G11" s="233">
        <v>50000.0</v>
      </c>
      <c r="H11" s="218">
        <v>30000.0</v>
      </c>
      <c r="I11" s="235">
        <f>C11+F11+E11</f>
        <v>1525000</v>
      </c>
    </row>
    <row r="12">
      <c r="A12" s="212" t="s">
        <v>127</v>
      </c>
      <c r="B12" s="231"/>
      <c r="C12" s="232">
        <v>500000.0</v>
      </c>
      <c r="D12" s="233">
        <v>250000.0</v>
      </c>
      <c r="E12" s="234">
        <f>150000*0.9</f>
        <v>135000</v>
      </c>
      <c r="F12" s="233">
        <v>100000.0</v>
      </c>
      <c r="G12" s="234">
        <v>50000.0</v>
      </c>
      <c r="H12" s="218">
        <v>30000.0</v>
      </c>
      <c r="I12" s="235">
        <f t="shared" ref="I12:I13" si="1">C12+E12+G12</f>
        <v>685000</v>
      </c>
    </row>
    <row r="13">
      <c r="A13" s="212" t="s">
        <v>129</v>
      </c>
      <c r="B13" s="231"/>
      <c r="C13" s="232">
        <v>1000000.0</v>
      </c>
      <c r="D13" s="233">
        <v>400000.0</v>
      </c>
      <c r="E13" s="234">
        <v>200000.0</v>
      </c>
      <c r="F13" s="233">
        <v>100000.0</v>
      </c>
      <c r="G13" s="234">
        <v>50000.0</v>
      </c>
      <c r="H13" s="218">
        <v>30000.0</v>
      </c>
      <c r="I13" s="235">
        <f t="shared" si="1"/>
        <v>1250000</v>
      </c>
    </row>
    <row r="14">
      <c r="A14" s="212" t="s">
        <v>131</v>
      </c>
      <c r="B14" s="231"/>
      <c r="C14" s="232">
        <f>1000000*0.9</f>
        <v>900000</v>
      </c>
      <c r="D14" s="233">
        <v>400000.0</v>
      </c>
      <c r="E14" s="236">
        <v>200000.0</v>
      </c>
      <c r="F14" s="233">
        <v>100000.0</v>
      </c>
      <c r="G14" s="234">
        <v>50000.0</v>
      </c>
      <c r="H14" s="218">
        <v>30000.0</v>
      </c>
      <c r="I14" s="235">
        <f>C14+G14</f>
        <v>950000</v>
      </c>
    </row>
    <row r="15">
      <c r="A15" s="225" t="s">
        <v>87</v>
      </c>
      <c r="B15" s="231"/>
      <c r="C15" s="232">
        <f>1200000*0.9</f>
        <v>1080000</v>
      </c>
      <c r="D15" s="234">
        <f>500000*0.9</f>
        <v>450000</v>
      </c>
      <c r="E15" s="232">
        <f>250000*0.9+250000</f>
        <v>475000</v>
      </c>
      <c r="F15" s="233">
        <v>100000.0</v>
      </c>
      <c r="G15" s="233">
        <v>50000.0</v>
      </c>
      <c r="H15" s="218">
        <v>30000.0</v>
      </c>
      <c r="I15" s="235">
        <f>C15+E15+D15</f>
        <v>2005000</v>
      </c>
    </row>
    <row r="16">
      <c r="A16" s="227" t="s">
        <v>134</v>
      </c>
      <c r="B16" s="231"/>
      <c r="C16" s="237">
        <v>3000000.0</v>
      </c>
      <c r="D16" s="238">
        <v>600000.0</v>
      </c>
      <c r="E16" s="232">
        <f>300000*0.9+300000</f>
        <v>570000</v>
      </c>
      <c r="F16" s="234">
        <f>100000*0.9</f>
        <v>90000</v>
      </c>
      <c r="G16" s="233">
        <v>50000.0</v>
      </c>
      <c r="H16" s="218">
        <v>30000.0</v>
      </c>
      <c r="I16" s="235">
        <f>C16+E16+F16+D16</f>
        <v>4260000</v>
      </c>
    </row>
    <row r="17">
      <c r="I17" s="235">
        <f>SUM(I11:I16)</f>
        <v>10675000</v>
      </c>
    </row>
    <row r="18">
      <c r="A18" s="60" t="s">
        <v>123</v>
      </c>
      <c r="B18" s="235">
        <f>C11+C14+C15</f>
        <v>3180000</v>
      </c>
    </row>
    <row r="19">
      <c r="A19" s="235" t="s">
        <v>122</v>
      </c>
      <c r="B19" s="235">
        <f>C16</f>
        <v>3000000</v>
      </c>
    </row>
    <row r="20">
      <c r="A20" s="235" t="s">
        <v>128</v>
      </c>
      <c r="B20" s="235">
        <f>C12+250000*0.9+300000*0.9</f>
        <v>995000</v>
      </c>
    </row>
    <row r="21">
      <c r="A21" s="235" t="s">
        <v>124</v>
      </c>
      <c r="B21" s="235">
        <f>C13+(E11+E12)</f>
        <v>1360000</v>
      </c>
    </row>
    <row r="22">
      <c r="A22" s="235" t="s">
        <v>130</v>
      </c>
      <c r="B22" s="235">
        <f>E13</f>
        <v>200000</v>
      </c>
    </row>
    <row r="23">
      <c r="A23" s="60" t="s">
        <v>136</v>
      </c>
      <c r="B23" s="239">
        <f>250000</f>
        <v>250000</v>
      </c>
    </row>
    <row r="24">
      <c r="A24" s="60" t="s">
        <v>125</v>
      </c>
      <c r="B24" s="235">
        <f>F11+F16</f>
        <v>190000</v>
      </c>
    </row>
    <row r="25">
      <c r="A25" s="60" t="s">
        <v>132</v>
      </c>
      <c r="B25" s="235">
        <f>D15+D16</f>
        <v>1050000</v>
      </c>
    </row>
    <row r="26">
      <c r="A26" s="60" t="s">
        <v>137</v>
      </c>
      <c r="B26" s="235">
        <f>G14</f>
        <v>50000</v>
      </c>
    </row>
    <row r="27">
      <c r="A27" s="60" t="s">
        <v>138</v>
      </c>
      <c r="B27" s="235">
        <f>G12</f>
        <v>50000</v>
      </c>
    </row>
    <row r="28">
      <c r="A28" s="60" t="s">
        <v>139</v>
      </c>
      <c r="B28" s="239">
        <f>300000</f>
        <v>300000</v>
      </c>
    </row>
    <row r="29">
      <c r="A29" s="240" t="s">
        <v>140</v>
      </c>
      <c r="B29" s="241">
        <f>G13</f>
        <v>50000</v>
      </c>
    </row>
    <row r="30">
      <c r="A30" s="60"/>
      <c r="B30" s="235">
        <f>SUM(B18:B29)</f>
        <v>10675000</v>
      </c>
    </row>
    <row r="37">
      <c r="A37" s="212"/>
      <c r="B37" s="231"/>
      <c r="C37" s="236"/>
      <c r="D37" s="233"/>
      <c r="E37" s="236"/>
      <c r="F37" s="233"/>
      <c r="G37" s="233"/>
      <c r="H37" s="218"/>
      <c r="I37" s="54"/>
    </row>
  </sheetData>
  <drawing r:id="rId1"/>
</worksheet>
</file>