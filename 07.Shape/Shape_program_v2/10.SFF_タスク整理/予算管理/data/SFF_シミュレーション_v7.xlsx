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documenttasks+xml" PartName="/xl/documenttasks/documenttask3.xml"/>
  <Override ContentType="application/vnd.ms-excel.documenttasks+xml" PartName="/xl/documenttasks/documenttask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ms-excel.threadedcomments+xml" PartName="/xl/threadedComments/threadedComment3.xml"/>
  <Override ContentType="application/vnd.ms-excel.threadedcomments+xml" PartName="/xl/threadedComments/threadedComment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ダッシュボード" sheetId="1" r:id="rId5"/>
    <sheet state="visible" name="PJT1_入力" sheetId="2" r:id="rId6"/>
    <sheet state="visible" name="PJT2_入力" sheetId="3" r:id="rId7"/>
    <sheet state="hidden" name="old_コスト" sheetId="4" r:id="rId8"/>
    <sheet state="hidden" name="実コスト" sheetId="5" r:id="rId9"/>
    <sheet state="visible" name="コスト" sheetId="6" r:id="rId10"/>
    <sheet state="visible" name="PJT1_収支" sheetId="7" r:id="rId11"/>
    <sheet state="visible" name="PJT2_収支" sheetId="8" r:id="rId12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tc={a72e100d-fbb3-4c3a-8b39-e691b455e890}</author>
  </authors>
  <commentList>
    <comment authorId="0" xr:uid="{a72e100d-fbb3-4c3a-8b39-e691b455e890}" ref="C2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https://docs.google.com/spreadsheets/d/1-tGYftL8W2aF0jS2QnfMQJO6S-1oZDEO6cAykJ7XLGI/edit?gid=902845489#gid=902845489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tc={fcd9effd-f80a-44bf-acde-ef2e8b989752}</author>
  </authors>
  <commentList>
    <comment authorId="0" xr:uid="{fcd9effd-f80a-44bf-acde-ef2e8b989752}" ref="C1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上限は1200席
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tc={d8fabdec-b850-4726-991a-1d95c11e8476}</author>
  </authors>
  <commentList>
    <comment authorId="0" xr:uid="{d8fabdec-b850-4726-991a-1d95c11e8476}" ref="A6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昨年のデータ
L 1.6T
＋選手の写真
</t>
      </text>
    </comment>
  </commentList>
</comments>
</file>

<file path=xl/sharedStrings.xml><?xml version="1.0" encoding="utf-8"?>
<sst xmlns="http://schemas.openxmlformats.org/spreadsheetml/2006/main" count="504" uniqueCount="296">
  <si>
    <r>
      <rPr>
        <rFont val="Cambria"/>
        <b/>
        <color theme="1"/>
        <sz val="16.0"/>
      </rPr>
      <t>SFF</t>
    </r>
    <r>
      <rPr>
        <rFont val="Arial"/>
        <b/>
        <color theme="1"/>
        <sz val="16.0"/>
      </rPr>
      <t>大会 収益シミュレーション ダッシュボード</t>
    </r>
  </si>
  <si>
    <t>【目標設定】</t>
  </si>
  <si>
    <r>
      <rPr>
        <rFont val="Noto Sans CJK SC"/>
        <color theme="1"/>
        <sz val="11.0"/>
      </rPr>
      <t>売上目標（</t>
    </r>
    <r>
      <rPr>
        <rFont val="Noto Sans"/>
        <color theme="1"/>
        <sz val="11.0"/>
      </rPr>
      <t>2</t>
    </r>
    <r>
      <rPr>
        <rFont val="Noto Sans CJK SC"/>
        <color theme="1"/>
        <sz val="11.0"/>
      </rPr>
      <t>大会合計）</t>
    </r>
  </si>
  <si>
    <r>
      <rPr>
        <rFont val="Noto Sans CJK SC"/>
        <color theme="1"/>
        <sz val="11.0"/>
      </rPr>
      <t>※前年比</t>
    </r>
    <r>
      <rPr>
        <rFont val="Noto Sans"/>
        <color theme="1"/>
        <sz val="11.0"/>
      </rPr>
      <t>120%</t>
    </r>
  </si>
  <si>
    <t>限界利益率目標</t>
  </si>
  <si>
    <r>
      <rPr>
        <rFont val="Noto Sans CJK SC"/>
        <b/>
        <color theme="1"/>
        <sz val="11.0"/>
      </rPr>
      <t>【</t>
    </r>
    <r>
      <rPr>
        <rFont val="Noto Sans"/>
        <b/>
        <color theme="1"/>
        <sz val="11.0"/>
      </rPr>
      <t>KPI</t>
    </r>
    <r>
      <rPr>
        <rFont val="Noto Sans CJK SC"/>
        <b/>
        <color theme="1"/>
        <sz val="11.0"/>
      </rPr>
      <t>サマリー（</t>
    </r>
    <r>
      <rPr>
        <rFont val="Noto Sans"/>
        <b/>
        <color theme="1"/>
        <sz val="11.0"/>
      </rPr>
      <t>2</t>
    </r>
    <r>
      <rPr>
        <rFont val="Noto Sans CJK SC"/>
        <b/>
        <color theme="1"/>
        <sz val="11.0"/>
      </rPr>
      <t>大会合計）】</t>
    </r>
  </si>
  <si>
    <t>項目</t>
  </si>
  <si>
    <t>PJT1</t>
  </si>
  <si>
    <t>PJT2</t>
  </si>
  <si>
    <t>合計</t>
  </si>
  <si>
    <t>目標</t>
  </si>
  <si>
    <t>達成率</t>
  </si>
  <si>
    <t>売上合計</t>
  </si>
  <si>
    <t>変動費合計</t>
  </si>
  <si>
    <t>-</t>
  </si>
  <si>
    <t>限界利益</t>
  </si>
  <si>
    <t>限界利益率</t>
  </si>
  <si>
    <t>【達成判定】</t>
  </si>
  <si>
    <t>売上目標</t>
  </si>
  <si>
    <t>利益率目標</t>
  </si>
  <si>
    <t>【大会別 収益内訳】</t>
  </si>
  <si>
    <t>収益項目</t>
  </si>
  <si>
    <t>選手売上</t>
  </si>
  <si>
    <t>観客売上</t>
  </si>
  <si>
    <t>スポンサー売上</t>
  </si>
  <si>
    <t>付帯収入</t>
  </si>
  <si>
    <r>
      <rPr>
        <rFont val="Cambria"/>
        <b/>
        <color theme="1"/>
        <sz val="14.0"/>
      </rPr>
      <t>PJT1</t>
    </r>
    <r>
      <rPr>
        <rFont val="Arial"/>
        <b/>
        <color theme="1"/>
        <sz val="14.0"/>
      </rPr>
      <t>（パープルホール）入力シート</t>
    </r>
  </si>
  <si>
    <t>【選手】</t>
  </si>
  <si>
    <t>カテゴリ</t>
  </si>
  <si>
    <t>単価</t>
  </si>
  <si>
    <t>人数</t>
  </si>
  <si>
    <t>売上</t>
  </si>
  <si>
    <t>WantToBe</t>
  </si>
  <si>
    <t>一般</t>
  </si>
  <si>
    <r>
      <rPr>
        <rFont val="Calibri"/>
        <color theme="1"/>
        <sz val="11.0"/>
      </rPr>
      <t>W</t>
    </r>
    <r>
      <rPr>
        <rFont val="Noto Sans CJK SC"/>
        <color theme="1"/>
        <sz val="11.0"/>
      </rPr>
      <t>エントリー</t>
    </r>
  </si>
  <si>
    <r>
      <rPr>
        <rFont val="Noto Sans CJK SC"/>
        <color theme="1"/>
        <sz val="11.0"/>
      </rPr>
      <t>学生</t>
    </r>
    <r>
      <rPr>
        <rFont val="Noto Sans"/>
        <color theme="1"/>
        <sz val="11.0"/>
      </rPr>
      <t>/</t>
    </r>
    <r>
      <rPr>
        <rFont val="Noto Sans CJK SC"/>
        <color theme="1"/>
        <sz val="11.0"/>
      </rPr>
      <t>新人</t>
    </r>
  </si>
  <si>
    <t>バックサポート</t>
  </si>
  <si>
    <t>ステージパートナー</t>
  </si>
  <si>
    <t>選手売上 小計</t>
  </si>
  <si>
    <t>【観客】</t>
  </si>
  <si>
    <t>席種</t>
  </si>
  <si>
    <t>キャパ</t>
  </si>
  <si>
    <t>販売数</t>
  </si>
  <si>
    <t>充足率</t>
  </si>
  <si>
    <r>
      <rPr>
        <rFont val="Calibri"/>
        <color theme="1"/>
        <sz val="11.0"/>
      </rPr>
      <t>VIP</t>
    </r>
    <r>
      <rPr>
        <rFont val="Noto Sans CJK SC"/>
        <color theme="1"/>
        <sz val="11.0"/>
      </rPr>
      <t>席</t>
    </r>
  </si>
  <si>
    <r>
      <rPr>
        <rFont val="Calibri"/>
        <color theme="1"/>
        <sz val="11.0"/>
      </rPr>
      <t>S</t>
    </r>
    <r>
      <rPr>
        <rFont val="Noto Sans CJK SC"/>
        <color theme="1"/>
        <sz val="11.0"/>
      </rPr>
      <t>席</t>
    </r>
  </si>
  <si>
    <r>
      <rPr>
        <rFont val="Calibri"/>
        <color theme="1"/>
        <sz val="11.0"/>
      </rPr>
      <t>A</t>
    </r>
    <r>
      <rPr>
        <rFont val="Noto Sans CJK SC"/>
        <color theme="1"/>
        <sz val="11.0"/>
      </rPr>
      <t>席</t>
    </r>
  </si>
  <si>
    <r>
      <rPr>
        <rFont val="Calibri"/>
        <color theme="1"/>
        <sz val="11.0"/>
      </rPr>
      <t>B</t>
    </r>
    <r>
      <rPr>
        <rFont val="Noto Sans CJK SC"/>
        <color theme="1"/>
        <sz val="11.0"/>
      </rPr>
      <t>席</t>
    </r>
  </si>
  <si>
    <t>観客売上 小計</t>
  </si>
  <si>
    <t>【スポンサー】</t>
  </si>
  <si>
    <t>プラン</t>
  </si>
  <si>
    <t>社数</t>
  </si>
  <si>
    <t>現状社数</t>
  </si>
  <si>
    <r>
      <rPr>
        <rFont val="Calibri"/>
        <color theme="1"/>
        <sz val="11.0"/>
      </rPr>
      <t>TOP</t>
    </r>
    <r>
      <rPr>
        <rFont val="Noto Sans CJK SC"/>
        <color theme="1"/>
        <sz val="11.0"/>
      </rPr>
      <t>パートナー</t>
    </r>
  </si>
  <si>
    <t>DIAMOND</t>
  </si>
  <si>
    <t>PLATINUM</t>
  </si>
  <si>
    <t>スポンサー売上 小計</t>
  </si>
  <si>
    <t>【付帯収入】</t>
  </si>
  <si>
    <t>物販売上</t>
  </si>
  <si>
    <t>フォトレコ</t>
  </si>
  <si>
    <t>80人くらいの購入→</t>
  </si>
  <si>
    <t>動画販売</t>
  </si>
  <si>
    <t>カラーリング</t>
  </si>
  <si>
    <t>付帯収入 小計</t>
  </si>
  <si>
    <r>
      <rPr>
        <rFont val="Cambria"/>
        <b/>
        <color theme="1"/>
        <sz val="14.0"/>
      </rPr>
      <t>PJT2</t>
    </r>
    <r>
      <rPr>
        <rFont val="Noto Sans CJK SC"/>
        <b/>
        <color theme="1"/>
        <sz val="14.0"/>
      </rPr>
      <t>（ひらしん）入力シート</t>
    </r>
  </si>
  <si>
    <r>
      <rPr>
        <rFont val="Calibri"/>
        <color theme="1"/>
        <sz val="11.0"/>
      </rPr>
      <t>W</t>
    </r>
    <r>
      <rPr>
        <rFont val="Noto Sans CJK SC"/>
        <color theme="1"/>
        <sz val="11.0"/>
      </rPr>
      <t>エントリー</t>
    </r>
  </si>
  <si>
    <r>
      <rPr>
        <rFont val="Noto Sans CJK SC"/>
        <color theme="1"/>
        <sz val="11.0"/>
      </rPr>
      <t>学生</t>
    </r>
    <r>
      <rPr>
        <rFont val="Noto Sans"/>
        <color theme="1"/>
        <sz val="11.0"/>
      </rPr>
      <t>/</t>
    </r>
    <r>
      <rPr>
        <rFont val="Noto Sans CJK SC"/>
        <color theme="1"/>
        <sz val="11.0"/>
      </rPr>
      <t>新人</t>
    </r>
  </si>
  <si>
    <r>
      <rPr>
        <rFont val="Calibri"/>
        <color theme="1"/>
        <sz val="11.0"/>
      </rPr>
      <t>VIP</t>
    </r>
    <r>
      <rPr>
        <rFont val="Noto Sans CJK SC"/>
        <color theme="1"/>
        <sz val="11.0"/>
      </rPr>
      <t>席</t>
    </r>
  </si>
  <si>
    <r>
      <rPr>
        <rFont val="Calibri"/>
        <color theme="1"/>
        <sz val="11.0"/>
      </rPr>
      <t>S</t>
    </r>
    <r>
      <rPr>
        <rFont val="Noto Sans CJK SC"/>
        <color theme="1"/>
        <sz val="11.0"/>
      </rPr>
      <t>席</t>
    </r>
  </si>
  <si>
    <r>
      <rPr>
        <rFont val="Calibri"/>
        <color theme="1"/>
        <sz val="11.0"/>
      </rPr>
      <t>A</t>
    </r>
    <r>
      <rPr>
        <rFont val="Noto Sans CJK SC"/>
        <color theme="1"/>
        <sz val="11.0"/>
      </rPr>
      <t>席</t>
    </r>
  </si>
  <si>
    <r>
      <rPr>
        <rFont val="Calibri"/>
        <color theme="1"/>
        <sz val="11.0"/>
      </rPr>
      <t>B</t>
    </r>
    <r>
      <rPr>
        <rFont val="Noto Sans CJK SC"/>
        <color theme="1"/>
        <sz val="11.0"/>
      </rPr>
      <t>席</t>
    </r>
  </si>
  <si>
    <r>
      <rPr>
        <rFont val="Calibri"/>
        <color theme="1"/>
        <sz val="11.0"/>
      </rPr>
      <t>TOP</t>
    </r>
    <r>
      <rPr>
        <rFont val="Noto Sans CJK SC"/>
        <color theme="1"/>
        <sz val="11.0"/>
      </rPr>
      <t>パートナー</t>
    </r>
  </si>
  <si>
    <t>【コスト詳細】（関西：藤井寺パープルホール, 関東：ひらしん平塚文化芸術ホール）</t>
  </si>
  <si>
    <t>費目</t>
  </si>
  <si>
    <r>
      <rPr>
        <rFont val="Noto Sans"/>
        <b/>
        <color rgb="FFFFFFFF"/>
        <sz val="11.0"/>
      </rPr>
      <t>PJT1</t>
    </r>
    <r>
      <rPr>
        <rFont val="Noto Sans CJK SC"/>
        <b/>
        <color rgb="FFFFFFFF"/>
        <sz val="11.0"/>
      </rPr>
      <t>予算</t>
    </r>
    <r>
      <rPr>
        <rFont val="Noto Sans"/>
        <b/>
        <color rgb="FFFFFFFF"/>
        <sz val="11.0"/>
      </rPr>
      <t>(</t>
    </r>
    <r>
      <rPr>
        <rFont val="Noto Sans CJK SC"/>
        <b/>
        <color rgb="FFFFFFFF"/>
        <sz val="11.0"/>
      </rPr>
      <t>円</t>
    </r>
    <r>
      <rPr>
        <rFont val="Noto Sans"/>
        <b/>
        <color rgb="FFFFFFFF"/>
        <sz val="11.0"/>
      </rPr>
      <t>)</t>
    </r>
  </si>
  <si>
    <r>
      <rPr>
        <rFont val="Noto Sans"/>
        <b/>
        <color rgb="FFFFFFFF"/>
        <sz val="11.0"/>
      </rPr>
      <t>PJT2</t>
    </r>
    <r>
      <rPr>
        <rFont val="Noto Sans CJK SC"/>
        <b/>
        <color rgb="FFFFFFFF"/>
        <sz val="11.0"/>
      </rPr>
      <t>予算</t>
    </r>
    <r>
      <rPr>
        <rFont val="Noto Sans"/>
        <b/>
        <color rgb="FFFFFFFF"/>
        <sz val="11.0"/>
      </rPr>
      <t>(</t>
    </r>
    <r>
      <rPr>
        <rFont val="Noto Sans CJK SC"/>
        <b/>
        <color rgb="FFFFFFFF"/>
        <sz val="11.0"/>
      </rPr>
      <t>円</t>
    </r>
    <r>
      <rPr>
        <rFont val="Noto Sans"/>
        <b/>
        <color rgb="FFFFFFFF"/>
        <sz val="11.0"/>
      </rPr>
      <t>)</t>
    </r>
  </si>
  <si>
    <t>備考</t>
  </si>
  <si>
    <r>
      <rPr>
        <rFont val="Noto Sans"/>
        <b/>
        <color rgb="FFFFFFFF"/>
        <sz val="11.0"/>
      </rPr>
      <t>2025</t>
    </r>
    <r>
      <rPr>
        <rFont val="Noto Sans CJK SC"/>
        <b/>
        <color rgb="FFFFFFFF"/>
        <sz val="11.0"/>
      </rPr>
      <t>実績参考</t>
    </r>
  </si>
  <si>
    <r>
      <rPr>
        <rFont val="Noto Sans"/>
        <b/>
        <color theme="1"/>
        <sz val="11.0"/>
      </rPr>
      <t xml:space="preserve">1. </t>
    </r>
    <r>
      <rPr>
        <rFont val="Noto Sans CJK SC"/>
        <b/>
        <color theme="1"/>
        <sz val="11.0"/>
      </rPr>
      <t>会場関連費</t>
    </r>
  </si>
  <si>
    <t>会場使用料</t>
  </si>
  <si>
    <r>
      <rPr>
        <rFont val="Calibri"/>
        <color theme="1"/>
        <sz val="11.0"/>
      </rPr>
      <t>2</t>
    </r>
    <r>
      <rPr>
        <rFont val="Noto Sans CJK SC"/>
        <color theme="1"/>
        <sz val="11.0"/>
      </rPr>
      <t>日間</t>
    </r>
  </si>
  <si>
    <t>控室使用料</t>
  </si>
  <si>
    <t>審査員・選手控室</t>
  </si>
  <si>
    <t>カラーリング用別室</t>
  </si>
  <si>
    <t>追加レンタル</t>
  </si>
  <si>
    <t>駐車場代</t>
  </si>
  <si>
    <t>スタッフ・業者用</t>
  </si>
  <si>
    <t>会場設営・撤去費</t>
  </si>
  <si>
    <t>ステージ設営含む</t>
  </si>
  <si>
    <r>
      <rPr>
        <rFont val="Noto Sans"/>
        <b/>
        <color theme="1"/>
        <sz val="11.0"/>
      </rPr>
      <t xml:space="preserve">2. </t>
    </r>
    <r>
      <rPr>
        <rFont val="Noto Sans CJK SC"/>
        <b/>
        <color theme="1"/>
        <sz val="11.0"/>
      </rPr>
      <t>音響・照明・演出</t>
    </r>
  </si>
  <si>
    <t>音響機材・オペレーター</t>
  </si>
  <si>
    <t>舞台監督経由</t>
  </si>
  <si>
    <t>照明機材・オペレーター</t>
  </si>
  <si>
    <t>ステージデザイン制作</t>
  </si>
  <si>
    <t>デザイン＋施工</t>
  </si>
  <si>
    <t>舞台監督費</t>
  </si>
  <si>
    <t>請求書ベース</t>
  </si>
  <si>
    <r>
      <rPr>
        <rFont val="Noto Sans"/>
        <b/>
        <color theme="1"/>
        <sz val="11.0"/>
      </rPr>
      <t xml:space="preserve">3. </t>
    </r>
    <r>
      <rPr>
        <rFont val="Noto Sans CJK SC"/>
        <b/>
        <color theme="1"/>
        <sz val="11.0"/>
      </rPr>
      <t>人件費・業務委託費（当日）</t>
    </r>
  </si>
  <si>
    <t>サポートスタッフ</t>
  </si>
  <si>
    <r>
      <rPr>
        <rFont val="Calibri"/>
        <color theme="1"/>
        <sz val="11.0"/>
      </rPr>
      <t>@9,000</t>
    </r>
    <r>
      <rPr>
        <rFont val="Noto Sans CJK SC"/>
        <color theme="1"/>
        <sz val="11.0"/>
      </rPr>
      <t>円</t>
    </r>
    <r>
      <rPr>
        <rFont val="Calibri"/>
        <color theme="1"/>
        <sz val="11.0"/>
      </rPr>
      <t>×15</t>
    </r>
    <r>
      <rPr>
        <rFont val="Noto Sans CJK SC"/>
        <color theme="1"/>
        <sz val="11.0"/>
      </rPr>
      <t>名</t>
    </r>
  </si>
  <si>
    <r>
      <rPr>
        <rFont val="Calibri"/>
        <color theme="1"/>
        <sz val="11.0"/>
      </rPr>
      <t>90,000</t>
    </r>
    <r>
      <rPr>
        <rFont val="Noto Sans CJK SC"/>
        <color theme="1"/>
        <sz val="11.0"/>
      </rPr>
      <t>〜</t>
    </r>
    <r>
      <rPr>
        <rFont val="Calibri"/>
        <color theme="1"/>
        <sz val="11.0"/>
      </rPr>
      <t>150,000</t>
    </r>
  </si>
  <si>
    <t>審査員（トレーナー）</t>
  </si>
  <si>
    <r>
      <rPr>
        <rFont val="Calibri"/>
        <color theme="1"/>
        <sz val="11.0"/>
      </rPr>
      <t>@15,000</t>
    </r>
    <r>
      <rPr>
        <rFont val="Noto Sans CJK SC"/>
        <color theme="1"/>
        <sz val="11.0"/>
      </rPr>
      <t>円</t>
    </r>
    <r>
      <rPr>
        <rFont val="Calibri"/>
        <color theme="1"/>
        <sz val="11.0"/>
      </rPr>
      <t>×5</t>
    </r>
    <r>
      <rPr>
        <rFont val="Noto Sans CJK SC"/>
        <color theme="1"/>
        <sz val="11.0"/>
      </rPr>
      <t>名</t>
    </r>
  </si>
  <si>
    <r>
      <rPr>
        <rFont val="Calibri"/>
        <color theme="1"/>
        <sz val="11.0"/>
      </rPr>
      <t>45,000</t>
    </r>
    <r>
      <rPr>
        <rFont val="Noto Sans CJK SC"/>
        <color theme="1"/>
        <sz val="11.0"/>
      </rPr>
      <t>〜</t>
    </r>
    <r>
      <rPr>
        <rFont val="Calibri"/>
        <color theme="1"/>
        <sz val="11.0"/>
      </rPr>
      <t>75,000</t>
    </r>
  </si>
  <si>
    <t>審査員（入賞者）</t>
  </si>
  <si>
    <r>
      <rPr>
        <rFont val="Calibri"/>
        <color theme="1"/>
        <sz val="11.0"/>
      </rPr>
      <t>@10,000</t>
    </r>
    <r>
      <rPr>
        <rFont val="Noto Sans CJK SC"/>
        <color theme="1"/>
        <sz val="11.0"/>
      </rPr>
      <t>円</t>
    </r>
    <r>
      <rPr>
        <rFont val="Calibri"/>
        <color theme="1"/>
        <sz val="11.0"/>
      </rPr>
      <t>×3</t>
    </r>
    <r>
      <rPr>
        <rFont val="Noto Sans CJK SC"/>
        <color theme="1"/>
        <sz val="11.0"/>
      </rPr>
      <t>名</t>
    </r>
  </si>
  <si>
    <r>
      <rPr>
        <rFont val="Calibri"/>
        <color theme="1"/>
        <sz val="11.0"/>
      </rPr>
      <t>17,958</t>
    </r>
    <r>
      <rPr>
        <rFont val="Noto Sans CJK SC"/>
        <color theme="1"/>
        <sz val="11.0"/>
      </rPr>
      <t>〜</t>
    </r>
    <r>
      <rPr>
        <rFont val="Calibri"/>
        <color theme="1"/>
        <sz val="11.0"/>
      </rPr>
      <t>29,919</t>
    </r>
  </si>
  <si>
    <r>
      <rPr>
        <rFont val="Noto Sans CJK SC"/>
        <color theme="1"/>
        <sz val="11.0"/>
      </rPr>
      <t>司会・</t>
    </r>
    <r>
      <rPr>
        <rFont val="Noto Sans"/>
        <color theme="1"/>
        <sz val="11.0"/>
      </rPr>
      <t>MC</t>
    </r>
  </si>
  <si>
    <r>
      <rPr>
        <rFont val="Calibri"/>
        <color theme="1"/>
        <sz val="11.0"/>
      </rPr>
      <t>1</t>
    </r>
    <r>
      <rPr>
        <rFont val="Arial"/>
        <color theme="1"/>
        <sz val="11.0"/>
      </rPr>
      <t>〜</t>
    </r>
    <r>
      <rPr>
        <rFont val="Calibri"/>
        <color theme="1"/>
        <sz val="11.0"/>
      </rPr>
      <t>2</t>
    </r>
    <r>
      <rPr>
        <rFont val="Arial"/>
        <color theme="1"/>
        <sz val="11.0"/>
      </rPr>
      <t>名</t>
    </r>
  </si>
  <si>
    <r>
      <rPr>
        <rFont val="Calibri"/>
        <color theme="1"/>
        <sz val="11.0"/>
      </rPr>
      <t>30,000</t>
    </r>
    <r>
      <rPr>
        <rFont val="Noto Sans CJK SC"/>
        <color theme="1"/>
        <sz val="11.0"/>
      </rPr>
      <t>〜</t>
    </r>
    <r>
      <rPr>
        <rFont val="Calibri"/>
        <color theme="1"/>
        <sz val="11.0"/>
      </rPr>
      <t>100,495</t>
    </r>
  </si>
  <si>
    <t>実況者</t>
  </si>
  <si>
    <t>桐原さん検討中</t>
  </si>
  <si>
    <t>カメラマン・編集</t>
  </si>
  <si>
    <r>
      <rPr>
        <rFont val="Calibri"/>
        <color theme="1"/>
        <sz val="11.0"/>
      </rPr>
      <t>1</t>
    </r>
    <r>
      <rPr>
        <rFont val="Noto Sans CJK SC"/>
        <color theme="1"/>
        <sz val="11.0"/>
      </rPr>
      <t>〜</t>
    </r>
    <r>
      <rPr>
        <rFont val="Calibri"/>
        <color theme="1"/>
        <sz val="11.0"/>
      </rPr>
      <t>2</t>
    </r>
    <r>
      <rPr>
        <rFont val="Noto Sans CJK SC"/>
        <color theme="1"/>
        <sz val="11.0"/>
      </rPr>
      <t>名</t>
    </r>
  </si>
  <si>
    <r>
      <rPr>
        <rFont val="Calibri"/>
        <color theme="1"/>
        <sz val="11.0"/>
      </rPr>
      <t>30,000</t>
    </r>
    <r>
      <rPr>
        <rFont val="Noto Sans CJK SC"/>
        <color theme="1"/>
        <sz val="11.0"/>
      </rPr>
      <t>〜</t>
    </r>
    <r>
      <rPr>
        <rFont val="Calibri"/>
        <color theme="1"/>
        <sz val="11.0"/>
      </rPr>
      <t>90,000</t>
    </r>
  </si>
  <si>
    <r>
      <rPr>
        <rFont val="Noto Sans"/>
        <b/>
        <color theme="1"/>
        <sz val="11.0"/>
      </rPr>
      <t xml:space="preserve">4. </t>
    </r>
    <r>
      <rPr>
        <rFont val="Noto Sans CJK SC"/>
        <b/>
        <color theme="1"/>
        <sz val="11.0"/>
      </rPr>
      <t>制作物費</t>
    </r>
  </si>
  <si>
    <t>物語ノート</t>
  </si>
  <si>
    <r>
      <rPr>
        <rFont val="Noto Sans CJK SC"/>
        <color theme="1"/>
        <sz val="11.0"/>
      </rPr>
      <t>全選手分・</t>
    </r>
    <r>
      <rPr>
        <rFont val="Calibri"/>
        <color theme="1"/>
        <sz val="11.0"/>
      </rPr>
      <t>PJT1</t>
    </r>
    <r>
      <rPr>
        <rFont val="Noto Sans CJK SC"/>
        <color theme="1"/>
        <sz val="11.0"/>
      </rPr>
      <t>で一括</t>
    </r>
  </si>
  <si>
    <t>メッセージカード</t>
  </si>
  <si>
    <r>
      <rPr>
        <rFont val="Noto Sans CJK SC"/>
        <color theme="1"/>
        <sz val="11.0"/>
      </rPr>
      <t>全選手分・</t>
    </r>
    <r>
      <rPr>
        <rFont val="Noto Sans"/>
        <color theme="1"/>
        <sz val="11.0"/>
      </rPr>
      <t>PJT1</t>
    </r>
    <r>
      <rPr>
        <rFont val="Noto Sans CJK SC"/>
        <color theme="1"/>
        <sz val="11.0"/>
      </rPr>
      <t>で一括（</t>
    </r>
    <r>
      <rPr>
        <rFont val="Noto Sans"/>
        <color theme="1"/>
        <sz val="11.0"/>
      </rPr>
      <t>A</t>
    </r>
    <r>
      <rPr>
        <rFont val="Noto Sans CJK SC"/>
        <color theme="1"/>
        <sz val="11.0"/>
      </rPr>
      <t>案：</t>
    </r>
    <r>
      <rPr>
        <rFont val="Noto Sans"/>
        <color theme="1"/>
        <sz val="11.0"/>
      </rPr>
      <t>A6</t>
    </r>
    <r>
      <rPr>
        <rFont val="Noto Sans CJK SC"/>
        <color theme="1"/>
        <sz val="11.0"/>
      </rPr>
      <t>片面フルカラー、</t>
    </r>
    <r>
      <rPr>
        <rFont val="Noto Sans"/>
        <color theme="1"/>
        <sz val="11.0"/>
      </rPr>
      <t>¥8,000</t>
    </r>
    <r>
      <rPr>
        <rFont val="Noto Sans CJK SC"/>
        <color theme="1"/>
        <sz val="11.0"/>
      </rPr>
      <t>〜</t>
    </r>
    <r>
      <rPr>
        <rFont val="Noto Sans"/>
        <color theme="1"/>
        <sz val="11.0"/>
      </rPr>
      <t>15,000</t>
    </r>
    <r>
      <rPr>
        <rFont val="Noto Sans CJK SC"/>
        <color theme="1"/>
        <sz val="11.0"/>
      </rPr>
      <t>）</t>
    </r>
  </si>
  <si>
    <t>選手バッジ</t>
  </si>
  <si>
    <r>
      <rPr>
        <rFont val="Noto Sans CJK SC"/>
        <color theme="1"/>
        <sz val="11.0"/>
      </rPr>
      <t>全選手分・</t>
    </r>
    <r>
      <rPr>
        <rFont val="Calibri"/>
        <color theme="1"/>
        <sz val="11.0"/>
      </rPr>
      <t>PJT1</t>
    </r>
    <r>
      <rPr>
        <rFont val="Noto Sans CJK SC"/>
        <color theme="1"/>
        <sz val="11.0"/>
      </rPr>
      <t>で一括</t>
    </r>
  </si>
  <si>
    <t>メダル（金・銀・銅）</t>
  </si>
  <si>
    <t>各大会分</t>
  </si>
  <si>
    <t>パンフレット</t>
  </si>
  <si>
    <t>デザイン＋印刷</t>
  </si>
  <si>
    <t>ブースマップ</t>
  </si>
  <si>
    <t>来場者配布用</t>
  </si>
  <si>
    <t>スタンプラリー用紙</t>
  </si>
  <si>
    <t>台本・マニュアル印刷</t>
  </si>
  <si>
    <t>スタッフ用</t>
  </si>
  <si>
    <t>選手配布書類</t>
  </si>
  <si>
    <t>印刷＋カット作業</t>
  </si>
  <si>
    <t>応援メッセージ</t>
  </si>
  <si>
    <t>ジム印刷</t>
  </si>
  <si>
    <r>
      <rPr>
        <rFont val="Noto Sans"/>
        <b/>
        <color theme="1"/>
        <sz val="11.0"/>
      </rPr>
      <t xml:space="preserve">5. </t>
    </r>
    <r>
      <rPr>
        <rFont val="Noto Sans CJK SC"/>
        <b/>
        <color theme="1"/>
        <sz val="11.0"/>
      </rPr>
      <t>動画・クリエイティブ制作</t>
    </r>
  </si>
  <si>
    <t>オープニング動画</t>
  </si>
  <si>
    <r>
      <rPr>
        <rFont val="Calibri"/>
        <color theme="1"/>
        <sz val="11.0"/>
      </rPr>
      <t>PJT1</t>
    </r>
    <r>
      <rPr>
        <rFont val="Noto Sans CJK SC"/>
        <color theme="1"/>
        <sz val="11.0"/>
      </rPr>
      <t>で一括制作</t>
    </r>
  </si>
  <si>
    <t>企業ストーリー動画</t>
  </si>
  <si>
    <r>
      <rPr>
        <rFont val="Noto Sans CJK SC"/>
        <color theme="1"/>
        <sz val="11.0"/>
      </rPr>
      <t>事前</t>
    </r>
    <r>
      <rPr>
        <rFont val="Noto Sans"/>
        <color theme="1"/>
        <sz val="11.0"/>
      </rPr>
      <t>MTG</t>
    </r>
    <r>
      <rPr>
        <rFont val="Noto Sans CJK SC"/>
        <color theme="1"/>
        <sz val="11.0"/>
      </rPr>
      <t>動画</t>
    </r>
  </si>
  <si>
    <r>
      <rPr>
        <rFont val="Calibri"/>
        <color theme="1"/>
        <sz val="11.0"/>
      </rPr>
      <t>PJT1</t>
    </r>
    <r>
      <rPr>
        <rFont val="Noto Sans CJK SC"/>
        <color theme="1"/>
        <sz val="11.0"/>
      </rPr>
      <t>で一括</t>
    </r>
  </si>
  <si>
    <r>
      <rPr>
        <rFont val="Noto Sans"/>
        <color theme="1"/>
        <sz val="11.0"/>
      </rPr>
      <t>SNS</t>
    </r>
    <r>
      <rPr>
        <rFont val="Noto Sans CJK SC"/>
        <color theme="1"/>
        <sz val="11.0"/>
      </rPr>
      <t>クリエイティブ</t>
    </r>
  </si>
  <si>
    <r>
      <rPr>
        <rFont val="Calibri"/>
        <color theme="1"/>
        <sz val="11.0"/>
      </rPr>
      <t>PJT1</t>
    </r>
    <r>
      <rPr>
        <rFont val="Noto Sans CJK SC"/>
        <color theme="1"/>
        <sz val="11.0"/>
      </rPr>
      <t>で一括</t>
    </r>
  </si>
  <si>
    <r>
      <rPr>
        <rFont val="Noto Sans"/>
        <b/>
        <color theme="1"/>
        <sz val="11.0"/>
      </rPr>
      <t xml:space="preserve">6. </t>
    </r>
    <r>
      <rPr>
        <rFont val="Noto Sans CJK SC"/>
        <b/>
        <color theme="1"/>
        <sz val="11.0"/>
      </rPr>
      <t>システム・</t>
    </r>
    <r>
      <rPr>
        <rFont val="Noto Sans"/>
        <b/>
        <color theme="1"/>
        <sz val="11.0"/>
      </rPr>
      <t>Web</t>
    </r>
    <r>
      <rPr>
        <rFont val="Noto Sans CJK SC"/>
        <b/>
        <color theme="1"/>
        <sz val="11.0"/>
      </rPr>
      <t>関連</t>
    </r>
  </si>
  <si>
    <r>
      <rPr>
        <rFont val="Noto Sans CJK SC"/>
        <color theme="1"/>
        <sz val="11.0"/>
      </rPr>
      <t>新</t>
    </r>
    <r>
      <rPr>
        <rFont val="Noto Sans"/>
        <color theme="1"/>
        <sz val="11.0"/>
      </rPr>
      <t>HP</t>
    </r>
    <r>
      <rPr>
        <rFont val="Noto Sans CJK SC"/>
        <color theme="1"/>
        <sz val="11.0"/>
      </rPr>
      <t>開発・保守費</t>
    </r>
  </si>
  <si>
    <t>フレアネスト・年間</t>
  </si>
  <si>
    <r>
      <rPr>
        <rFont val="Noto Sans"/>
        <color theme="1"/>
        <sz val="11.0"/>
      </rPr>
      <t>SFF</t>
    </r>
    <r>
      <rPr>
        <rFont val="Noto Sans CJK SC"/>
        <color theme="1"/>
        <sz val="11.0"/>
      </rPr>
      <t>マイページ開発費</t>
    </r>
  </si>
  <si>
    <t>フレアネスト</t>
  </si>
  <si>
    <r>
      <rPr>
        <rFont val="Noto Sans CJK SC"/>
        <color theme="1"/>
        <sz val="11.0"/>
      </rPr>
      <t>決済手数料（</t>
    </r>
    <r>
      <rPr>
        <rFont val="Noto Sans"/>
        <color theme="1"/>
        <sz val="11.0"/>
      </rPr>
      <t>3.6%</t>
    </r>
    <r>
      <rPr>
        <rFont val="Noto Sans CJK SC"/>
        <color theme="1"/>
        <sz val="11.0"/>
      </rPr>
      <t>）</t>
    </r>
  </si>
  <si>
    <t>売上連動</t>
  </si>
  <si>
    <r>
      <rPr>
        <rFont val="Noto Sans"/>
        <b/>
        <color theme="1"/>
        <sz val="11.0"/>
      </rPr>
      <t xml:space="preserve">7. </t>
    </r>
    <r>
      <rPr>
        <rFont val="Noto Sans CJK SC"/>
        <b/>
        <color theme="1"/>
        <sz val="11.0"/>
      </rPr>
      <t>イベント関連費</t>
    </r>
  </si>
  <si>
    <t>選手事前説明会（会場）</t>
  </si>
  <si>
    <r>
      <rPr>
        <rFont val="Noto Sans CJK SC"/>
        <color theme="1"/>
        <sz val="11.0"/>
      </rPr>
      <t>関東</t>
    </r>
    <r>
      <rPr>
        <rFont val="Calibri"/>
        <color theme="1"/>
        <sz val="11.0"/>
      </rPr>
      <t>/</t>
    </r>
    <r>
      <rPr>
        <rFont val="Noto Sans CJK SC"/>
        <color theme="1"/>
        <sz val="11.0"/>
      </rPr>
      <t>関西各</t>
    </r>
    <r>
      <rPr>
        <rFont val="Calibri"/>
        <color theme="1"/>
        <sz val="11.0"/>
      </rPr>
      <t>1</t>
    </r>
    <r>
      <rPr>
        <rFont val="Noto Sans CJK SC"/>
        <color theme="1"/>
        <sz val="11.0"/>
      </rPr>
      <t>回</t>
    </r>
  </si>
  <si>
    <r>
      <rPr>
        <rFont val="Noto Sans CJK SC"/>
        <color theme="1"/>
        <sz val="11.0"/>
      </rPr>
      <t>審査員キックオフ</t>
    </r>
    <r>
      <rPr>
        <rFont val="Noto Sans"/>
        <color theme="1"/>
        <sz val="11.0"/>
      </rPr>
      <t>MTG</t>
    </r>
  </si>
  <si>
    <t>会場費・交通費</t>
  </si>
  <si>
    <r>
      <rPr>
        <rFont val="Noto Sans"/>
        <color theme="1"/>
        <sz val="11.0"/>
      </rPr>
      <t>Shaper</t>
    </r>
    <r>
      <rPr>
        <rFont val="Noto Sans CJK SC"/>
        <color theme="1"/>
        <sz val="11.0"/>
      </rPr>
      <t>の会</t>
    </r>
  </si>
  <si>
    <r>
      <rPr>
        <rFont val="Noto Sans CJK SC"/>
        <color theme="1"/>
        <sz val="11.0"/>
      </rPr>
      <t>年</t>
    </r>
    <r>
      <rPr>
        <rFont val="Calibri"/>
        <color theme="1"/>
        <sz val="11.0"/>
      </rPr>
      <t>1</t>
    </r>
    <r>
      <rPr>
        <rFont val="Noto Sans CJK SC"/>
        <color theme="1"/>
        <sz val="11.0"/>
      </rPr>
      <t>回・プレゼント含</t>
    </r>
  </si>
  <si>
    <r>
      <rPr>
        <rFont val="Noto Sans"/>
        <b/>
        <color theme="1"/>
        <sz val="11.0"/>
      </rPr>
      <t xml:space="preserve">8. </t>
    </r>
    <r>
      <rPr>
        <rFont val="Noto Sans CJK SC"/>
        <b/>
        <color theme="1"/>
        <sz val="11.0"/>
      </rPr>
      <t>備品・消耗品</t>
    </r>
  </si>
  <si>
    <t>スタッフ用飲料</t>
  </si>
  <si>
    <t>麦茶等</t>
  </si>
  <si>
    <t>選手用水</t>
  </si>
  <si>
    <t>名札・その他</t>
  </si>
  <si>
    <r>
      <rPr>
        <rFont val="Noto Sans"/>
        <b/>
        <color theme="1"/>
        <sz val="11.0"/>
      </rPr>
      <t xml:space="preserve">9. </t>
    </r>
    <r>
      <rPr>
        <rFont val="Noto Sans CJK SC"/>
        <b/>
        <color theme="1"/>
        <sz val="11.0"/>
      </rPr>
      <t>物流費</t>
    </r>
  </si>
  <si>
    <t>物販商品倉庫費</t>
  </si>
  <si>
    <r>
      <rPr>
        <rFont val="Calibri"/>
        <color theme="1"/>
        <sz val="11.0"/>
      </rPr>
      <t>PJT1</t>
    </r>
    <r>
      <rPr>
        <rFont val="Noto Sans CJK SC"/>
        <color theme="1"/>
        <sz val="11.0"/>
      </rPr>
      <t>で一括計上</t>
    </r>
  </si>
  <si>
    <t>大会機材配送費</t>
  </si>
  <si>
    <t>集荷・配送</t>
  </si>
  <si>
    <t>物語ノート郵送費</t>
  </si>
  <si>
    <t>選手全員発送</t>
  </si>
  <si>
    <r>
      <rPr>
        <rFont val="Noto Sans"/>
        <b/>
        <color theme="1"/>
        <sz val="11.0"/>
      </rPr>
      <t xml:space="preserve">10. </t>
    </r>
    <r>
      <rPr>
        <rFont val="Noto Sans CJK SC"/>
        <b/>
        <color theme="1"/>
        <sz val="11.0"/>
      </rPr>
      <t>出張費（本部スタッフ）</t>
    </r>
  </si>
  <si>
    <t>交通費</t>
  </si>
  <si>
    <t>関西は増額</t>
  </si>
  <si>
    <t>宿泊費</t>
  </si>
  <si>
    <t>関西大会のみ</t>
  </si>
  <si>
    <r>
      <rPr>
        <rFont val="Noto Sans"/>
        <b/>
        <color theme="1"/>
        <sz val="11.0"/>
      </rPr>
      <t xml:space="preserve">11. </t>
    </r>
    <r>
      <rPr>
        <rFont val="Noto Sans CJK SC"/>
        <b/>
        <color theme="1"/>
        <sz val="11.0"/>
      </rPr>
      <t>その他</t>
    </r>
  </si>
  <si>
    <t>釣銭準備</t>
  </si>
  <si>
    <t>物販対応用</t>
  </si>
  <si>
    <t>予備費</t>
  </si>
  <si>
    <t>リスクヘッジ</t>
  </si>
  <si>
    <r>
      <rPr>
        <rFont val="Noto Sans"/>
        <b/>
        <color theme="1"/>
        <sz val="11.0"/>
      </rPr>
      <t xml:space="preserve">12. </t>
    </r>
    <r>
      <rPr>
        <rFont val="Arial"/>
        <b/>
        <color theme="1"/>
        <sz val="11.0"/>
      </rPr>
      <t>社内人件費</t>
    </r>
  </si>
  <si>
    <t>準備期間を含めた人件費</t>
  </si>
  <si>
    <t>1.5ヶ月分の人件費を仮で計上</t>
  </si>
  <si>
    <r>
      <rPr>
        <rFont val="Noto Sans"/>
        <b/>
        <color theme="1"/>
        <sz val="11.0"/>
      </rPr>
      <t xml:space="preserve">SFF </t>
    </r>
    <r>
      <rPr>
        <rFont val="Arial"/>
        <b/>
        <color theme="1"/>
        <sz val="11.0"/>
      </rPr>
      <t>コスト合計</t>
    </r>
  </si>
  <si>
    <r>
      <rPr>
        <rFont val="Noto Sans CJK SC"/>
        <b/>
        <color theme="1"/>
        <sz val="12.0"/>
      </rPr>
      <t>【</t>
    </r>
    <r>
      <rPr>
        <rFont val="Noto Sans"/>
        <b/>
        <color theme="1"/>
        <sz val="12.0"/>
      </rPr>
      <t>2</t>
    </r>
    <r>
      <rPr>
        <rFont val="Noto Sans CJK SC"/>
        <b/>
        <color theme="1"/>
        <sz val="12.0"/>
      </rPr>
      <t>大会 コスト合計】</t>
    </r>
  </si>
  <si>
    <r>
      <rPr>
        <rFont val="Noto Sans"/>
        <b/>
        <color rgb="FFFFFFFF"/>
        <sz val="11.0"/>
      </rPr>
      <t>PJT1</t>
    </r>
    <r>
      <rPr>
        <rFont val="Noto Sans CJK SC"/>
        <b/>
        <color rgb="FFFFFFFF"/>
        <sz val="11.0"/>
      </rPr>
      <t>予算</t>
    </r>
    <r>
      <rPr>
        <rFont val="Noto Sans"/>
        <b/>
        <color rgb="FFFFFFFF"/>
        <sz val="11.0"/>
      </rPr>
      <t>(</t>
    </r>
    <r>
      <rPr>
        <rFont val="Noto Sans CJK SC"/>
        <b/>
        <color rgb="FFFFFFFF"/>
        <sz val="11.0"/>
      </rPr>
      <t>円</t>
    </r>
    <r>
      <rPr>
        <rFont val="Noto Sans"/>
        <b/>
        <color rgb="FFFFFFFF"/>
        <sz val="11.0"/>
      </rPr>
      <t>)</t>
    </r>
  </si>
  <si>
    <r>
      <rPr>
        <rFont val="Noto Sans"/>
        <b/>
        <color rgb="FFFFFFFF"/>
        <sz val="11.0"/>
      </rPr>
      <t>PJT2</t>
    </r>
    <r>
      <rPr>
        <rFont val="Noto Sans CJK SC"/>
        <b/>
        <color rgb="FFFFFFFF"/>
        <sz val="11.0"/>
      </rPr>
      <t>予算</t>
    </r>
    <r>
      <rPr>
        <rFont val="Noto Sans"/>
        <b/>
        <color rgb="FFFFFFFF"/>
        <sz val="11.0"/>
      </rPr>
      <t>(</t>
    </r>
    <r>
      <rPr>
        <rFont val="Noto Sans CJK SC"/>
        <b/>
        <color rgb="FFFFFFFF"/>
        <sz val="11.0"/>
      </rPr>
      <t>円</t>
    </r>
    <r>
      <rPr>
        <rFont val="Noto Sans"/>
        <b/>
        <color rgb="FFFFFFFF"/>
        <sz val="11.0"/>
      </rPr>
      <t>)</t>
    </r>
  </si>
  <si>
    <r>
      <rPr>
        <rFont val="Noto Sans"/>
        <b/>
        <color rgb="FFFFFFFF"/>
        <sz val="11.0"/>
      </rPr>
      <t>2025</t>
    </r>
    <r>
      <rPr>
        <rFont val="Noto Sans CJK SC"/>
        <b/>
        <color rgb="FFFFFFFF"/>
        <sz val="11.0"/>
      </rPr>
      <t>実績参考</t>
    </r>
  </si>
  <si>
    <r>
      <rPr>
        <rFont val="Noto Sans"/>
        <b/>
        <color theme="1"/>
        <sz val="11.0"/>
      </rPr>
      <t xml:space="preserve">1. </t>
    </r>
    <r>
      <rPr>
        <rFont val="Noto Sans CJK SC"/>
        <b/>
        <color theme="1"/>
        <sz val="11.0"/>
      </rPr>
      <t>会場関連費</t>
    </r>
  </si>
  <si>
    <t>→→→実コスト</t>
  </si>
  <si>
    <r>
      <rPr>
        <rFont val="Calibri"/>
        <color theme="1"/>
        <sz val="11.0"/>
      </rPr>
      <t>2</t>
    </r>
    <r>
      <rPr>
        <rFont val="Noto Sans CJK SC"/>
        <color theme="1"/>
        <sz val="11.0"/>
      </rPr>
      <t>日間</t>
    </r>
  </si>
  <si>
    <r>
      <rPr>
        <rFont val="Noto Sans"/>
        <b/>
        <color theme="1"/>
        <sz val="11.0"/>
      </rPr>
      <t xml:space="preserve">2. </t>
    </r>
    <r>
      <rPr>
        <rFont val="Noto Sans CJK SC"/>
        <b/>
        <color theme="1"/>
        <sz val="11.0"/>
      </rPr>
      <t>音響・照明・演出</t>
    </r>
  </si>
  <si>
    <r>
      <rPr>
        <rFont val="Noto Sans"/>
        <b/>
        <color theme="1"/>
        <sz val="11.0"/>
      </rPr>
      <t xml:space="preserve">3. </t>
    </r>
    <r>
      <rPr>
        <rFont val="Noto Sans CJK SC"/>
        <b/>
        <color theme="1"/>
        <sz val="11.0"/>
      </rPr>
      <t>人件費・業務委託費（当日）</t>
    </r>
  </si>
  <si>
    <r>
      <rPr>
        <rFont val="Calibri"/>
        <color theme="1"/>
        <sz val="11.0"/>
      </rPr>
      <t>@9,000</t>
    </r>
    <r>
      <rPr>
        <rFont val="Noto Sans CJK SC"/>
        <color theme="1"/>
        <sz val="11.0"/>
      </rPr>
      <t>円</t>
    </r>
    <r>
      <rPr>
        <rFont val="Calibri"/>
        <color theme="1"/>
        <sz val="11.0"/>
      </rPr>
      <t>×15</t>
    </r>
    <r>
      <rPr>
        <rFont val="Noto Sans CJK SC"/>
        <color theme="1"/>
        <sz val="11.0"/>
      </rPr>
      <t>名</t>
    </r>
  </si>
  <si>
    <r>
      <rPr>
        <rFont val="Calibri"/>
        <color theme="1"/>
        <sz val="11.0"/>
      </rPr>
      <t>90,000</t>
    </r>
    <r>
      <rPr>
        <rFont val="Noto Sans CJK SC"/>
        <color theme="1"/>
        <sz val="11.0"/>
      </rPr>
      <t>〜</t>
    </r>
    <r>
      <rPr>
        <rFont val="Calibri"/>
        <color theme="1"/>
        <sz val="11.0"/>
      </rPr>
      <t>150,000</t>
    </r>
  </si>
  <si>
    <r>
      <rPr>
        <rFont val="Calibri"/>
        <color theme="1"/>
        <sz val="11.0"/>
      </rPr>
      <t>@15,000</t>
    </r>
    <r>
      <rPr>
        <rFont val="Noto Sans CJK SC"/>
        <color theme="1"/>
        <sz val="11.0"/>
      </rPr>
      <t>円</t>
    </r>
    <r>
      <rPr>
        <rFont val="Calibri"/>
        <color theme="1"/>
        <sz val="11.0"/>
      </rPr>
      <t>×5</t>
    </r>
    <r>
      <rPr>
        <rFont val="Noto Sans CJK SC"/>
        <color theme="1"/>
        <sz val="11.0"/>
      </rPr>
      <t>名</t>
    </r>
  </si>
  <si>
    <r>
      <rPr>
        <rFont val="Calibri"/>
        <color theme="1"/>
        <sz val="11.0"/>
      </rPr>
      <t>45,000</t>
    </r>
    <r>
      <rPr>
        <rFont val="Noto Sans CJK SC"/>
        <color theme="1"/>
        <sz val="11.0"/>
      </rPr>
      <t>〜</t>
    </r>
    <r>
      <rPr>
        <rFont val="Calibri"/>
        <color theme="1"/>
        <sz val="11.0"/>
      </rPr>
      <t>75,000</t>
    </r>
  </si>
  <si>
    <r>
      <rPr>
        <rFont val="Calibri"/>
        <color theme="1"/>
        <sz val="11.0"/>
      </rPr>
      <t>@10,000</t>
    </r>
    <r>
      <rPr>
        <rFont val="Noto Sans CJK SC"/>
        <color theme="1"/>
        <sz val="11.0"/>
      </rPr>
      <t>円</t>
    </r>
    <r>
      <rPr>
        <rFont val="Calibri"/>
        <color theme="1"/>
        <sz val="11.0"/>
      </rPr>
      <t>×3</t>
    </r>
    <r>
      <rPr>
        <rFont val="Noto Sans CJK SC"/>
        <color theme="1"/>
        <sz val="11.0"/>
      </rPr>
      <t>名</t>
    </r>
  </si>
  <si>
    <r>
      <rPr>
        <rFont val="Calibri"/>
        <color theme="1"/>
        <sz val="11.0"/>
      </rPr>
      <t>17,958</t>
    </r>
    <r>
      <rPr>
        <rFont val="Noto Sans CJK SC"/>
        <color theme="1"/>
        <sz val="11.0"/>
      </rPr>
      <t>〜</t>
    </r>
    <r>
      <rPr>
        <rFont val="Calibri"/>
        <color theme="1"/>
        <sz val="11.0"/>
      </rPr>
      <t>29,919</t>
    </r>
  </si>
  <si>
    <r>
      <rPr>
        <rFont val="Noto Sans CJK SC"/>
        <color theme="1"/>
        <sz val="11.0"/>
      </rPr>
      <t>司会・</t>
    </r>
    <r>
      <rPr>
        <rFont val="Noto Sans"/>
        <color theme="1"/>
        <sz val="11.0"/>
      </rPr>
      <t>MC</t>
    </r>
  </si>
  <si>
    <r>
      <rPr>
        <rFont val="Calibri"/>
        <color theme="1"/>
        <sz val="11.0"/>
      </rPr>
      <t>1</t>
    </r>
    <r>
      <rPr>
        <rFont val="Arial"/>
        <color theme="1"/>
        <sz val="11.0"/>
      </rPr>
      <t>〜</t>
    </r>
    <r>
      <rPr>
        <rFont val="Calibri"/>
        <color theme="1"/>
        <sz val="11.0"/>
      </rPr>
      <t>2</t>
    </r>
    <r>
      <rPr>
        <rFont val="Arial"/>
        <color theme="1"/>
        <sz val="11.0"/>
      </rPr>
      <t>名</t>
    </r>
  </si>
  <si>
    <r>
      <rPr>
        <rFont val="Calibri"/>
        <color theme="1"/>
        <sz val="11.0"/>
      </rPr>
      <t>30,000</t>
    </r>
    <r>
      <rPr>
        <rFont val="Noto Sans CJK SC"/>
        <color theme="1"/>
        <sz val="11.0"/>
      </rPr>
      <t>〜</t>
    </r>
    <r>
      <rPr>
        <rFont val="Calibri"/>
        <color theme="1"/>
        <sz val="11.0"/>
      </rPr>
      <t>100,495</t>
    </r>
  </si>
  <si>
    <r>
      <rPr>
        <rFont val="Calibri"/>
        <color theme="1"/>
        <sz val="11.0"/>
      </rPr>
      <t>1</t>
    </r>
    <r>
      <rPr>
        <rFont val="Noto Sans CJK SC"/>
        <color theme="1"/>
        <sz val="11.0"/>
      </rPr>
      <t>〜</t>
    </r>
    <r>
      <rPr>
        <rFont val="Calibri"/>
        <color theme="1"/>
        <sz val="11.0"/>
      </rPr>
      <t>2</t>
    </r>
    <r>
      <rPr>
        <rFont val="Noto Sans CJK SC"/>
        <color theme="1"/>
        <sz val="11.0"/>
      </rPr>
      <t>名</t>
    </r>
  </si>
  <si>
    <r>
      <rPr>
        <rFont val="Calibri"/>
        <color theme="1"/>
        <sz val="11.0"/>
      </rPr>
      <t>30,000</t>
    </r>
    <r>
      <rPr>
        <rFont val="Noto Sans CJK SC"/>
        <color theme="1"/>
        <sz val="11.0"/>
      </rPr>
      <t>〜</t>
    </r>
    <r>
      <rPr>
        <rFont val="Calibri"/>
        <color theme="1"/>
        <sz val="11.0"/>
      </rPr>
      <t>90,000</t>
    </r>
  </si>
  <si>
    <r>
      <rPr>
        <rFont val="Noto Sans"/>
        <b/>
        <color theme="1"/>
        <sz val="11.0"/>
      </rPr>
      <t xml:space="preserve">4. </t>
    </r>
    <r>
      <rPr>
        <rFont val="Noto Sans CJK SC"/>
        <b/>
        <color theme="1"/>
        <sz val="11.0"/>
      </rPr>
      <t>制作物費</t>
    </r>
  </si>
  <si>
    <r>
      <rPr>
        <rFont val="Noto Sans CJK SC"/>
        <color theme="1"/>
        <sz val="11.0"/>
      </rPr>
      <t>全選手分・</t>
    </r>
    <r>
      <rPr>
        <rFont val="Calibri"/>
        <color theme="1"/>
        <sz val="11.0"/>
      </rPr>
      <t>PJT1</t>
    </r>
    <r>
      <rPr>
        <rFont val="Noto Sans CJK SC"/>
        <color theme="1"/>
        <sz val="11.0"/>
      </rPr>
      <t>で一括</t>
    </r>
  </si>
  <si>
    <r>
      <rPr>
        <rFont val="Noto Sans CJK SC"/>
        <color theme="1"/>
        <sz val="11.0"/>
      </rPr>
      <t>全選手分・</t>
    </r>
    <r>
      <rPr>
        <rFont val="Noto Sans"/>
        <color theme="1"/>
        <sz val="11.0"/>
      </rPr>
      <t>PJT1</t>
    </r>
    <r>
      <rPr>
        <rFont val="Noto Sans CJK SC"/>
        <color theme="1"/>
        <sz val="11.0"/>
      </rPr>
      <t>で一括（</t>
    </r>
    <r>
      <rPr>
        <rFont val="Noto Sans"/>
        <color theme="1"/>
        <sz val="11.0"/>
      </rPr>
      <t>A</t>
    </r>
    <r>
      <rPr>
        <rFont val="Noto Sans CJK SC"/>
        <color theme="1"/>
        <sz val="11.0"/>
      </rPr>
      <t>案：</t>
    </r>
    <r>
      <rPr>
        <rFont val="Noto Sans"/>
        <color theme="1"/>
        <sz val="11.0"/>
      </rPr>
      <t>A6</t>
    </r>
    <r>
      <rPr>
        <rFont val="Noto Sans CJK SC"/>
        <color theme="1"/>
        <sz val="11.0"/>
      </rPr>
      <t>片面フルカラー、</t>
    </r>
    <r>
      <rPr>
        <rFont val="Noto Sans"/>
        <color theme="1"/>
        <sz val="11.0"/>
      </rPr>
      <t>¥8,000</t>
    </r>
    <r>
      <rPr>
        <rFont val="Noto Sans CJK SC"/>
        <color theme="1"/>
        <sz val="11.0"/>
      </rPr>
      <t>〜</t>
    </r>
    <r>
      <rPr>
        <rFont val="Noto Sans"/>
        <color theme="1"/>
        <sz val="11.0"/>
      </rPr>
      <t>15,000</t>
    </r>
    <r>
      <rPr>
        <rFont val="Noto Sans CJK SC"/>
        <color theme="1"/>
        <sz val="11.0"/>
      </rPr>
      <t>）</t>
    </r>
  </si>
  <si>
    <r>
      <rPr>
        <rFont val="Noto Sans CJK SC"/>
        <color theme="1"/>
        <sz val="11.0"/>
      </rPr>
      <t>全選手分・</t>
    </r>
    <r>
      <rPr>
        <rFont val="Calibri"/>
        <color theme="1"/>
        <sz val="11.0"/>
      </rPr>
      <t>PJT1</t>
    </r>
    <r>
      <rPr>
        <rFont val="Noto Sans CJK SC"/>
        <color theme="1"/>
        <sz val="11.0"/>
      </rPr>
      <t>で一括</t>
    </r>
  </si>
  <si>
    <r>
      <rPr>
        <rFont val="Noto Sans"/>
        <b/>
        <color theme="1"/>
        <sz val="11.0"/>
      </rPr>
      <t xml:space="preserve">5. </t>
    </r>
    <r>
      <rPr>
        <rFont val="Noto Sans CJK SC"/>
        <b/>
        <color theme="1"/>
        <sz val="11.0"/>
      </rPr>
      <t>動画・クリエイティブ制作</t>
    </r>
  </si>
  <si>
    <r>
      <rPr>
        <rFont val="Calibri"/>
        <color theme="1"/>
        <sz val="11.0"/>
      </rPr>
      <t>PJT1</t>
    </r>
    <r>
      <rPr>
        <rFont val="Noto Sans CJK SC"/>
        <color theme="1"/>
        <sz val="11.0"/>
      </rPr>
      <t>で一括制作</t>
    </r>
  </si>
  <si>
    <r>
      <rPr>
        <rFont val="Noto Sans CJK SC"/>
        <color theme="1"/>
        <sz val="11.0"/>
      </rPr>
      <t>事前</t>
    </r>
    <r>
      <rPr>
        <rFont val="Noto Sans"/>
        <color theme="1"/>
        <sz val="11.0"/>
      </rPr>
      <t>MTG</t>
    </r>
    <r>
      <rPr>
        <rFont val="Noto Sans CJK SC"/>
        <color theme="1"/>
        <sz val="11.0"/>
      </rPr>
      <t>動画</t>
    </r>
  </si>
  <si>
    <r>
      <rPr>
        <rFont val="Calibri"/>
        <color theme="1"/>
        <sz val="11.0"/>
      </rPr>
      <t>PJT1</t>
    </r>
    <r>
      <rPr>
        <rFont val="Noto Sans CJK SC"/>
        <color theme="1"/>
        <sz val="11.0"/>
      </rPr>
      <t>で一括</t>
    </r>
  </si>
  <si>
    <r>
      <rPr>
        <rFont val="Noto Sans"/>
        <color theme="1"/>
        <sz val="11.0"/>
      </rPr>
      <t>SNS</t>
    </r>
    <r>
      <rPr>
        <rFont val="Noto Sans CJK SC"/>
        <color theme="1"/>
        <sz val="11.0"/>
      </rPr>
      <t>クリエイティブ</t>
    </r>
  </si>
  <si>
    <r>
      <rPr>
        <rFont val="Calibri"/>
        <color theme="1"/>
        <sz val="11.0"/>
      </rPr>
      <t>PJT1</t>
    </r>
    <r>
      <rPr>
        <rFont val="Noto Sans CJK SC"/>
        <color theme="1"/>
        <sz val="11.0"/>
      </rPr>
      <t>で一括</t>
    </r>
  </si>
  <si>
    <r>
      <rPr>
        <rFont val="Noto Sans"/>
        <b/>
        <color theme="1"/>
        <sz val="11.0"/>
      </rPr>
      <t xml:space="preserve">6. </t>
    </r>
    <r>
      <rPr>
        <rFont val="Noto Sans CJK SC"/>
        <b/>
        <color theme="1"/>
        <sz val="11.0"/>
      </rPr>
      <t>システム・</t>
    </r>
    <r>
      <rPr>
        <rFont val="Noto Sans"/>
        <b/>
        <color theme="1"/>
        <sz val="11.0"/>
      </rPr>
      <t>Web</t>
    </r>
    <r>
      <rPr>
        <rFont val="Noto Sans CJK SC"/>
        <b/>
        <color theme="1"/>
        <sz val="11.0"/>
      </rPr>
      <t>関連</t>
    </r>
  </si>
  <si>
    <r>
      <rPr>
        <rFont val="Noto Sans CJK SC"/>
        <color theme="1"/>
        <sz val="11.0"/>
      </rPr>
      <t>新</t>
    </r>
    <r>
      <rPr>
        <rFont val="Noto Sans"/>
        <color theme="1"/>
        <sz val="11.0"/>
      </rPr>
      <t>HP</t>
    </r>
    <r>
      <rPr>
        <rFont val="Noto Sans CJK SC"/>
        <color theme="1"/>
        <sz val="11.0"/>
      </rPr>
      <t>開発・保守費</t>
    </r>
  </si>
  <si>
    <r>
      <rPr>
        <rFont val="Noto Sans"/>
        <color theme="1"/>
        <sz val="11.0"/>
      </rPr>
      <t>SFF</t>
    </r>
    <r>
      <rPr>
        <rFont val="Noto Sans CJK SC"/>
        <color theme="1"/>
        <sz val="11.0"/>
      </rPr>
      <t>マイページ開発費</t>
    </r>
  </si>
  <si>
    <r>
      <rPr>
        <rFont val="Noto Sans CJK SC"/>
        <color theme="1"/>
        <sz val="11.0"/>
      </rPr>
      <t>決済手数料（</t>
    </r>
    <r>
      <rPr>
        <rFont val="Noto Sans"/>
        <color theme="1"/>
        <sz val="11.0"/>
      </rPr>
      <t>3.6%</t>
    </r>
    <r>
      <rPr>
        <rFont val="Noto Sans CJK SC"/>
        <color theme="1"/>
        <sz val="11.0"/>
      </rPr>
      <t>）</t>
    </r>
  </si>
  <si>
    <r>
      <rPr>
        <rFont val="Noto Sans"/>
        <b/>
        <color theme="1"/>
        <sz val="11.0"/>
      </rPr>
      <t xml:space="preserve">7. </t>
    </r>
    <r>
      <rPr>
        <rFont val="Noto Sans CJK SC"/>
        <b/>
        <color theme="1"/>
        <sz val="11.0"/>
      </rPr>
      <t>イベント関連費</t>
    </r>
  </si>
  <si>
    <r>
      <rPr>
        <rFont val="Noto Sans CJK SC"/>
        <color theme="1"/>
        <sz val="11.0"/>
      </rPr>
      <t>関東</t>
    </r>
    <r>
      <rPr>
        <rFont val="Calibri"/>
        <color theme="1"/>
        <sz val="11.0"/>
      </rPr>
      <t>/</t>
    </r>
    <r>
      <rPr>
        <rFont val="Noto Sans CJK SC"/>
        <color theme="1"/>
        <sz val="11.0"/>
      </rPr>
      <t>関西各</t>
    </r>
    <r>
      <rPr>
        <rFont val="Calibri"/>
        <color theme="1"/>
        <sz val="11.0"/>
      </rPr>
      <t>1</t>
    </r>
    <r>
      <rPr>
        <rFont val="Noto Sans CJK SC"/>
        <color theme="1"/>
        <sz val="11.0"/>
      </rPr>
      <t>回</t>
    </r>
  </si>
  <si>
    <r>
      <rPr>
        <rFont val="Noto Sans CJK SC"/>
        <color theme="1"/>
        <sz val="11.0"/>
      </rPr>
      <t>審査員キックオフ</t>
    </r>
    <r>
      <rPr>
        <rFont val="Noto Sans"/>
        <color theme="1"/>
        <sz val="11.0"/>
      </rPr>
      <t>MTG</t>
    </r>
  </si>
  <si>
    <r>
      <rPr>
        <rFont val="Noto Sans"/>
        <color theme="1"/>
        <sz val="11.0"/>
      </rPr>
      <t>Shaper</t>
    </r>
    <r>
      <rPr>
        <rFont val="Noto Sans CJK SC"/>
        <color theme="1"/>
        <sz val="11.0"/>
      </rPr>
      <t>の会</t>
    </r>
  </si>
  <si>
    <r>
      <rPr>
        <rFont val="Noto Sans CJK SC"/>
        <color theme="1"/>
        <sz val="11.0"/>
      </rPr>
      <t>年</t>
    </r>
    <r>
      <rPr>
        <rFont val="Calibri"/>
        <color theme="1"/>
        <sz val="11.0"/>
      </rPr>
      <t>1</t>
    </r>
    <r>
      <rPr>
        <rFont val="Noto Sans CJK SC"/>
        <color theme="1"/>
        <sz val="11.0"/>
      </rPr>
      <t>回・プレゼント含</t>
    </r>
  </si>
  <si>
    <r>
      <rPr>
        <rFont val="Noto Sans"/>
        <b/>
        <color theme="1"/>
        <sz val="11.0"/>
      </rPr>
      <t xml:space="preserve">8. </t>
    </r>
    <r>
      <rPr>
        <rFont val="Noto Sans CJK SC"/>
        <b/>
        <color theme="1"/>
        <sz val="11.0"/>
      </rPr>
      <t>備品・消耗品</t>
    </r>
  </si>
  <si>
    <r>
      <rPr>
        <rFont val="Noto Sans"/>
        <b/>
        <color theme="1"/>
        <sz val="11.0"/>
      </rPr>
      <t xml:space="preserve">9. </t>
    </r>
    <r>
      <rPr>
        <rFont val="Noto Sans CJK SC"/>
        <b/>
        <color theme="1"/>
        <sz val="11.0"/>
      </rPr>
      <t>物流費</t>
    </r>
  </si>
  <si>
    <r>
      <rPr>
        <rFont val="Calibri"/>
        <color theme="1"/>
        <sz val="11.0"/>
      </rPr>
      <t>PJT1</t>
    </r>
    <r>
      <rPr>
        <rFont val="Noto Sans CJK SC"/>
        <color theme="1"/>
        <sz val="11.0"/>
      </rPr>
      <t>で一括計上</t>
    </r>
  </si>
  <si>
    <r>
      <rPr>
        <rFont val="Noto Sans"/>
        <b/>
        <color theme="1"/>
        <sz val="11.0"/>
      </rPr>
      <t xml:space="preserve">10. </t>
    </r>
    <r>
      <rPr>
        <rFont val="Noto Sans CJK SC"/>
        <b/>
        <color theme="1"/>
        <sz val="11.0"/>
      </rPr>
      <t>出張費（本部スタッフ）</t>
    </r>
  </si>
  <si>
    <r>
      <rPr>
        <rFont val="Noto Sans"/>
        <b/>
        <color theme="1"/>
        <sz val="11.0"/>
      </rPr>
      <t xml:space="preserve">11. </t>
    </r>
    <r>
      <rPr>
        <rFont val="Noto Sans CJK SC"/>
        <b/>
        <color theme="1"/>
        <sz val="11.0"/>
      </rPr>
      <t>その他</t>
    </r>
  </si>
  <si>
    <r>
      <rPr>
        <rFont val="Noto Sans"/>
        <b/>
        <color theme="1"/>
        <sz val="11.0"/>
      </rPr>
      <t xml:space="preserve">12. </t>
    </r>
    <r>
      <rPr>
        <rFont val="Arial"/>
        <b/>
        <color theme="1"/>
        <sz val="11.0"/>
      </rPr>
      <t>社内人件費</t>
    </r>
  </si>
  <si>
    <r>
      <rPr>
        <rFont val="Noto Sans"/>
        <b/>
        <color theme="1"/>
        <sz val="11.0"/>
      </rPr>
      <t xml:space="preserve">SFF </t>
    </r>
    <r>
      <rPr>
        <rFont val="Arial"/>
        <b/>
        <color theme="1"/>
        <sz val="11.0"/>
      </rPr>
      <t>コスト合計</t>
    </r>
  </si>
  <si>
    <r>
      <rPr>
        <rFont val="Noto Sans CJK SC"/>
        <b/>
        <color theme="1"/>
        <sz val="12.0"/>
      </rPr>
      <t>【</t>
    </r>
    <r>
      <rPr>
        <rFont val="Noto Sans"/>
        <b/>
        <color theme="1"/>
        <sz val="12.0"/>
      </rPr>
      <t>2</t>
    </r>
    <r>
      <rPr>
        <rFont val="Noto Sans CJK SC"/>
        <b/>
        <color theme="1"/>
        <sz val="12.0"/>
      </rPr>
      <t>大会 コスト合計】</t>
    </r>
  </si>
  <si>
    <r>
      <rPr>
        <rFont val="Noto Sans CJK SC"/>
        <b/>
        <color theme="1"/>
        <sz val="14.0"/>
      </rPr>
      <t>【コスト詳細】（関西：藤井寺パープルホール</t>
    </r>
    <r>
      <rPr>
        <rFont val="Noto Sans"/>
        <b/>
        <color theme="1"/>
        <sz val="14.0"/>
      </rPr>
      <t xml:space="preserve">, </t>
    </r>
    <r>
      <rPr>
        <rFont val="Noto Sans CJK SC"/>
        <b/>
        <color theme="1"/>
        <sz val="14.0"/>
      </rPr>
      <t>関東：ひらしん平塚文化芸術ホール）</t>
    </r>
  </si>
  <si>
    <r>
      <rPr>
        <rFont val="Noto Sans"/>
        <b/>
        <color rgb="FFFFFFFF"/>
        <sz val="11.0"/>
      </rPr>
      <t>PJT1</t>
    </r>
    <r>
      <rPr>
        <rFont val="Noto Sans CJK SC"/>
        <b/>
        <color rgb="FFFFFFFF"/>
        <sz val="11.0"/>
      </rPr>
      <t>予算</t>
    </r>
    <r>
      <rPr>
        <rFont val="Noto Sans"/>
        <b/>
        <color rgb="FFFFFFFF"/>
        <sz val="11.0"/>
      </rPr>
      <t>(</t>
    </r>
    <r>
      <rPr>
        <rFont val="Noto Sans CJK SC"/>
        <b/>
        <color rgb="FFFFFFFF"/>
        <sz val="11.0"/>
      </rPr>
      <t>円</t>
    </r>
    <r>
      <rPr>
        <rFont val="Noto Sans"/>
        <b/>
        <color rgb="FFFFFFFF"/>
        <sz val="11.0"/>
      </rPr>
      <t>)</t>
    </r>
  </si>
  <si>
    <r>
      <rPr>
        <rFont val="Noto Sans"/>
        <b/>
        <color rgb="FFFFFFFF"/>
        <sz val="11.0"/>
      </rPr>
      <t>PJT2</t>
    </r>
    <r>
      <rPr>
        <rFont val="Noto Sans CJK SC"/>
        <b/>
        <color rgb="FFFFFFFF"/>
        <sz val="11.0"/>
      </rPr>
      <t>予算</t>
    </r>
    <r>
      <rPr>
        <rFont val="Noto Sans"/>
        <b/>
        <color rgb="FFFFFFFF"/>
        <sz val="11.0"/>
      </rPr>
      <t>(</t>
    </r>
    <r>
      <rPr>
        <rFont val="Noto Sans CJK SC"/>
        <b/>
        <color rgb="FFFFFFFF"/>
        <sz val="11.0"/>
      </rPr>
      <t>円</t>
    </r>
    <r>
      <rPr>
        <rFont val="Noto Sans"/>
        <b/>
        <color rgb="FFFFFFFF"/>
        <sz val="11.0"/>
      </rPr>
      <t>)</t>
    </r>
  </si>
  <si>
    <r>
      <rPr>
        <rFont val="Noto Sans"/>
        <b/>
        <color rgb="FFFFFFFF"/>
        <sz val="11.0"/>
      </rPr>
      <t>2025</t>
    </r>
    <r>
      <rPr>
        <rFont val="Noto Sans CJK SC"/>
        <b/>
        <color rgb="FFFFFFFF"/>
        <sz val="11.0"/>
      </rPr>
      <t>実績参考</t>
    </r>
  </si>
  <si>
    <r>
      <rPr>
        <rFont val="Noto Sans"/>
        <b/>
        <color theme="1"/>
        <sz val="10.0"/>
      </rPr>
      <t xml:space="preserve">1. </t>
    </r>
    <r>
      <rPr>
        <rFont val="Noto Sans CJK SC"/>
        <b/>
        <color theme="1"/>
        <sz val="10.0"/>
      </rPr>
      <t>会場関連費</t>
    </r>
  </si>
  <si>
    <r>
      <rPr>
        <rFont val="Calibri"/>
        <color theme="1"/>
        <sz val="10.0"/>
      </rPr>
      <t>2</t>
    </r>
    <r>
      <rPr>
        <rFont val="Noto Sans CJK SC"/>
        <color theme="1"/>
        <sz val="10.0"/>
      </rPr>
      <t>日間</t>
    </r>
  </si>
  <si>
    <r>
      <rPr>
        <rFont val="Noto Sans"/>
        <b/>
        <color theme="1"/>
        <sz val="10.0"/>
      </rPr>
      <t xml:space="preserve">2. </t>
    </r>
    <r>
      <rPr>
        <rFont val="Noto Sans CJK SC"/>
        <b/>
        <color theme="1"/>
        <sz val="10.0"/>
      </rPr>
      <t>音響・照明・演出</t>
    </r>
  </si>
  <si>
    <r>
      <rPr>
        <rFont val="Noto Sans"/>
        <color rgb="FFFF0000"/>
        <sz val="10.0"/>
      </rPr>
      <t>LED</t>
    </r>
    <r>
      <rPr>
        <rFont val="Noto Sans CJK SC"/>
        <color rgb="FFFF0000"/>
        <sz val="10.0"/>
      </rPr>
      <t>ビジョン費（要確認）</t>
    </r>
  </si>
  <si>
    <r>
      <rPr>
        <rFont val="Calibri"/>
        <color rgb="FFFF0000"/>
        <sz val="10.0"/>
      </rPr>
      <t>※giftworks</t>
    </r>
    <r>
      <rPr>
        <rFont val="Noto Sans CJK SC"/>
        <color rgb="FFFF0000"/>
        <sz val="10.0"/>
      </rPr>
      <t>見積</t>
    </r>
    <r>
      <rPr>
        <rFont val="Calibri"/>
        <color rgb="FFFF0000"/>
        <sz val="10.0"/>
      </rPr>
      <t>Q-0000000044</t>
    </r>
    <r>
      <rPr>
        <rFont val="Noto Sans CJK SC"/>
        <color rgb="FFFF0000"/>
        <sz val="10.0"/>
      </rPr>
      <t>（税別）・舞台監督と内容整理中</t>
    </r>
  </si>
  <si>
    <r>
      <rPr>
        <rFont val="Noto Sans"/>
        <b/>
        <color theme="1"/>
        <sz val="10.0"/>
      </rPr>
      <t xml:space="preserve">3. </t>
    </r>
    <r>
      <rPr>
        <rFont val="Arial"/>
        <b/>
        <color theme="1"/>
        <sz val="10.0"/>
      </rPr>
      <t>人件費・業務委託費（当日）</t>
    </r>
  </si>
  <si>
    <r>
      <rPr>
        <rFont val="Calibri"/>
        <color theme="1"/>
        <sz val="10.0"/>
      </rPr>
      <t>@9,000</t>
    </r>
    <r>
      <rPr>
        <rFont val="Noto Sans CJK SC"/>
        <color theme="1"/>
        <sz val="10.0"/>
      </rPr>
      <t>円</t>
    </r>
    <r>
      <rPr>
        <rFont val="Calibri"/>
        <color theme="1"/>
        <sz val="10.0"/>
      </rPr>
      <t>×15</t>
    </r>
    <r>
      <rPr>
        <rFont val="Noto Sans CJK SC"/>
        <color theme="1"/>
        <sz val="10.0"/>
      </rPr>
      <t>名</t>
    </r>
  </si>
  <si>
    <r>
      <rPr>
        <rFont val="Calibri"/>
        <color theme="1"/>
        <sz val="10.0"/>
      </rPr>
      <t>90,000</t>
    </r>
    <r>
      <rPr>
        <rFont val="Noto Sans CJK SC"/>
        <color theme="1"/>
        <sz val="10.0"/>
      </rPr>
      <t>〜</t>
    </r>
    <r>
      <rPr>
        <rFont val="Calibri"/>
        <color theme="1"/>
        <sz val="10.0"/>
      </rPr>
      <t>150,000</t>
    </r>
  </si>
  <si>
    <r>
      <rPr>
        <rFont val="Calibri"/>
        <color theme="1"/>
        <sz val="10.0"/>
      </rPr>
      <t>@150,000</t>
    </r>
    <r>
      <rPr>
        <rFont val="Arial"/>
        <color theme="1"/>
        <sz val="10.0"/>
      </rPr>
      <t>円</t>
    </r>
    <r>
      <rPr>
        <rFont val="Calibri"/>
        <color theme="1"/>
        <sz val="10.0"/>
      </rPr>
      <t>×5</t>
    </r>
    <r>
      <rPr>
        <rFont val="Arial"/>
        <color theme="1"/>
        <sz val="10.0"/>
      </rPr>
      <t>名</t>
    </r>
  </si>
  <si>
    <r>
      <rPr>
        <rFont val="Calibri"/>
        <color theme="1"/>
        <sz val="10.0"/>
      </rPr>
      <t>45,000</t>
    </r>
    <r>
      <rPr>
        <rFont val="Noto Sans CJK SC"/>
        <color theme="1"/>
        <sz val="10.0"/>
      </rPr>
      <t>〜</t>
    </r>
    <r>
      <rPr>
        <rFont val="Calibri"/>
        <color theme="1"/>
        <sz val="10.0"/>
      </rPr>
      <t>75,000</t>
    </r>
  </si>
  <si>
    <r>
      <rPr>
        <rFont val="Calibri"/>
        <color theme="1"/>
        <sz val="10.0"/>
      </rPr>
      <t>@10,000</t>
    </r>
    <r>
      <rPr>
        <rFont val="Arial"/>
        <color theme="1"/>
        <sz val="10.0"/>
      </rPr>
      <t>円</t>
    </r>
    <r>
      <rPr>
        <rFont val="Calibri"/>
        <color theme="1"/>
        <sz val="10.0"/>
      </rPr>
      <t>×3</t>
    </r>
    <r>
      <rPr>
        <rFont val="Arial"/>
        <color theme="1"/>
        <sz val="10.0"/>
      </rPr>
      <t>名</t>
    </r>
  </si>
  <si>
    <r>
      <rPr>
        <rFont val="Calibri"/>
        <color theme="1"/>
        <sz val="10.0"/>
      </rPr>
      <t>17,958</t>
    </r>
    <r>
      <rPr>
        <rFont val="Noto Sans CJK SC"/>
        <color theme="1"/>
        <sz val="10.0"/>
      </rPr>
      <t>〜</t>
    </r>
    <r>
      <rPr>
        <rFont val="Calibri"/>
        <color theme="1"/>
        <sz val="10.0"/>
      </rPr>
      <t>29,919</t>
    </r>
  </si>
  <si>
    <t>審査員（外部）</t>
  </si>
  <si>
    <r>
      <rPr>
        <rFont val="Calibri"/>
        <color theme="1"/>
        <sz val="10.0"/>
      </rPr>
      <t>@30000 ~ 40000</t>
    </r>
    <r>
      <rPr>
        <rFont val="Noto Sans CJK SC"/>
        <color theme="1"/>
        <sz val="10.0"/>
      </rPr>
      <t>円</t>
    </r>
    <r>
      <rPr>
        <rFont val="Calibri"/>
        <color theme="1"/>
        <sz val="10.0"/>
      </rPr>
      <t>×5</t>
    </r>
    <r>
      <rPr>
        <rFont val="Noto Sans CJK SC"/>
        <color theme="1"/>
        <sz val="10.0"/>
      </rPr>
      <t>名</t>
    </r>
  </si>
  <si>
    <r>
      <rPr>
        <rFont val="Noto Sans CJK SC"/>
        <color theme="1"/>
        <sz val="10.0"/>
      </rPr>
      <t>司会・</t>
    </r>
    <r>
      <rPr>
        <rFont val="Noto Sans"/>
        <color theme="1"/>
        <sz val="10.0"/>
      </rPr>
      <t>MC</t>
    </r>
  </si>
  <si>
    <r>
      <rPr>
        <rFont val="Calibri"/>
        <color theme="1"/>
        <sz val="10.0"/>
      </rPr>
      <t>1</t>
    </r>
    <r>
      <rPr>
        <rFont val="Noto Sans CJK SC"/>
        <color theme="1"/>
        <sz val="10.0"/>
      </rPr>
      <t>〜</t>
    </r>
    <r>
      <rPr>
        <rFont val="Calibri"/>
        <color theme="1"/>
        <sz val="10.0"/>
      </rPr>
      <t>2</t>
    </r>
    <r>
      <rPr>
        <rFont val="Noto Sans CJK SC"/>
        <color theme="1"/>
        <sz val="10.0"/>
      </rPr>
      <t>名</t>
    </r>
  </si>
  <si>
    <r>
      <rPr>
        <rFont val="Calibri"/>
        <color theme="1"/>
        <sz val="10.0"/>
      </rPr>
      <t>30,000</t>
    </r>
    <r>
      <rPr>
        <rFont val="Noto Sans CJK SC"/>
        <color theme="1"/>
        <sz val="10.0"/>
      </rPr>
      <t>〜</t>
    </r>
    <r>
      <rPr>
        <rFont val="Calibri"/>
        <color theme="1"/>
        <sz val="10.0"/>
      </rPr>
      <t>100,495</t>
    </r>
  </si>
  <si>
    <r>
      <rPr>
        <rFont val="Calibri"/>
        <color theme="1"/>
        <sz val="10.0"/>
      </rPr>
      <t>1</t>
    </r>
    <r>
      <rPr>
        <rFont val="Noto Sans CJK SC"/>
        <color theme="1"/>
        <sz val="10.0"/>
      </rPr>
      <t>〜</t>
    </r>
    <r>
      <rPr>
        <rFont val="Calibri"/>
        <color theme="1"/>
        <sz val="10.0"/>
      </rPr>
      <t>2</t>
    </r>
    <r>
      <rPr>
        <rFont val="Noto Sans CJK SC"/>
        <color theme="1"/>
        <sz val="10.0"/>
      </rPr>
      <t>名</t>
    </r>
  </si>
  <si>
    <r>
      <rPr>
        <rFont val="Noto Sans"/>
        <b/>
        <color theme="1"/>
        <sz val="10.0"/>
      </rPr>
      <t xml:space="preserve">4. </t>
    </r>
    <r>
      <rPr>
        <rFont val="Noto Sans CJK SC"/>
        <b/>
        <color theme="1"/>
        <sz val="10.0"/>
      </rPr>
      <t>制作物費</t>
    </r>
  </si>
  <si>
    <r>
      <rPr>
        <rFont val="Noto Sans CJK SC"/>
        <color theme="1"/>
        <sz val="10.0"/>
      </rPr>
      <t>全選手分・</t>
    </r>
    <r>
      <rPr>
        <rFont val="Noto Sans"/>
        <color theme="1"/>
        <sz val="10.0"/>
      </rPr>
      <t>PJT1</t>
    </r>
    <r>
      <rPr>
        <rFont val="Noto Sans CJK SC"/>
        <color theme="1"/>
        <sz val="10.0"/>
      </rPr>
      <t>で一括</t>
    </r>
  </si>
  <si>
    <r>
      <rPr>
        <rFont val="Noto Sans CJK SC"/>
        <color theme="1"/>
        <sz val="10.0"/>
      </rPr>
      <t>全選手分・</t>
    </r>
    <r>
      <rPr>
        <rFont val="Noto Sans"/>
        <color theme="1"/>
        <sz val="10.0"/>
      </rPr>
      <t>PJT1</t>
    </r>
    <r>
      <rPr>
        <rFont val="Noto Sans CJK SC"/>
        <color theme="1"/>
        <sz val="10.0"/>
      </rPr>
      <t>で一括（</t>
    </r>
    <r>
      <rPr>
        <rFont val="Noto Sans"/>
        <color theme="1"/>
        <sz val="10.0"/>
      </rPr>
      <t>A</t>
    </r>
    <r>
      <rPr>
        <rFont val="Noto Sans CJK SC"/>
        <color theme="1"/>
        <sz val="10.0"/>
      </rPr>
      <t>案：</t>
    </r>
    <r>
      <rPr>
        <rFont val="Noto Sans"/>
        <color theme="1"/>
        <sz val="10.0"/>
      </rPr>
      <t>A6</t>
    </r>
    <r>
      <rPr>
        <rFont val="Noto Sans CJK SC"/>
        <color theme="1"/>
        <sz val="10.0"/>
      </rPr>
      <t>片面フルカラー、</t>
    </r>
    <r>
      <rPr>
        <rFont val="Noto Sans"/>
        <color theme="1"/>
        <sz val="10.0"/>
      </rPr>
      <t>¥8,000</t>
    </r>
    <r>
      <rPr>
        <rFont val="Noto Sans CJK SC"/>
        <color theme="1"/>
        <sz val="10.0"/>
      </rPr>
      <t>〜</t>
    </r>
    <r>
      <rPr>
        <rFont val="Noto Sans"/>
        <color theme="1"/>
        <sz val="10.0"/>
      </rPr>
      <t>15,000</t>
    </r>
    <r>
      <rPr>
        <rFont val="Noto Sans CJK SC"/>
        <color theme="1"/>
        <sz val="10.0"/>
      </rPr>
      <t>）</t>
    </r>
  </si>
  <si>
    <r>
      <rPr>
        <rFont val="Noto Sans CJK SC"/>
        <color theme="1"/>
        <sz val="10.0"/>
      </rPr>
      <t>全選手分・</t>
    </r>
    <r>
      <rPr>
        <rFont val="Noto Sans"/>
        <color theme="1"/>
        <sz val="10.0"/>
      </rPr>
      <t>PJT1</t>
    </r>
    <r>
      <rPr>
        <rFont val="Noto Sans CJK SC"/>
        <color theme="1"/>
        <sz val="10.0"/>
      </rPr>
      <t>で一括</t>
    </r>
  </si>
  <si>
    <t>参加賞 130,000　金＋黒紐150,000  銀・銅15,000＋関税</t>
  </si>
  <si>
    <r>
      <rPr>
        <rFont val="Noto Sans CJK SC"/>
        <color theme="1"/>
        <sz val="10.0"/>
      </rPr>
      <t>ココナラデザイナー：</t>
    </r>
    <r>
      <rPr>
        <rFont val="Calibri"/>
        <color theme="1"/>
        <sz val="10.0"/>
      </rPr>
      <t>¥81600</t>
    </r>
  </si>
  <si>
    <t>フォトブース バックパネル</t>
  </si>
  <si>
    <r>
      <rPr>
        <rFont val="Noto Sans"/>
        <color rgb="FFFF0000"/>
        <sz val="10.0"/>
      </rPr>
      <t>KILAMEK</t>
    </r>
    <r>
      <rPr>
        <rFont val="Noto Sans CJK SC"/>
        <color rgb="FFFF0000"/>
        <sz val="10.0"/>
      </rPr>
      <t>見積</t>
    </r>
    <r>
      <rPr>
        <rFont val="Noto Sans"/>
        <color rgb="FFFF0000"/>
        <sz val="10.0"/>
      </rPr>
      <t>E-0490398</t>
    </r>
    <r>
      <rPr>
        <rFont val="Noto Sans CJK SC"/>
        <color rgb="FFFF0000"/>
        <sz val="10.0"/>
      </rPr>
      <t>（税別）・</t>
    </r>
    <r>
      <rPr>
        <rFont val="Noto Sans"/>
        <color rgb="FFFF0000"/>
        <sz val="10.0"/>
      </rPr>
      <t>PJT1</t>
    </r>
    <r>
      <rPr>
        <rFont val="Noto Sans CJK SC"/>
        <color rgb="FFFF0000"/>
        <sz val="10.0"/>
      </rPr>
      <t>一括</t>
    </r>
  </si>
  <si>
    <r>
      <rPr>
        <rFont val="Noto Sans"/>
        <b/>
        <color theme="1"/>
        <sz val="10.0"/>
      </rPr>
      <t xml:space="preserve">5. </t>
    </r>
    <r>
      <rPr>
        <rFont val="Noto Sans CJK SC"/>
        <b/>
        <color theme="1"/>
        <sz val="10.0"/>
      </rPr>
      <t>動画・クリエイティブ制作</t>
    </r>
  </si>
  <si>
    <r>
      <rPr>
        <rFont val="Calibri"/>
        <color theme="1"/>
        <sz val="10.0"/>
      </rPr>
      <t>PJT1</t>
    </r>
    <r>
      <rPr>
        <rFont val="Noto Sans CJK SC"/>
        <color theme="1"/>
        <sz val="10.0"/>
      </rPr>
      <t>で一括制作</t>
    </r>
  </si>
  <si>
    <r>
      <rPr>
        <rFont val="Noto Sans CJK SC"/>
        <color theme="1"/>
        <sz val="10.0"/>
      </rPr>
      <t>事前</t>
    </r>
    <r>
      <rPr>
        <rFont val="Noto Sans"/>
        <color theme="1"/>
        <sz val="10.0"/>
      </rPr>
      <t>MTG</t>
    </r>
    <r>
      <rPr>
        <rFont val="Noto Sans CJK SC"/>
        <color theme="1"/>
        <sz val="10.0"/>
      </rPr>
      <t>動画</t>
    </r>
  </si>
  <si>
    <r>
      <rPr>
        <rFont val="Calibri"/>
        <color theme="1"/>
        <sz val="10.0"/>
      </rPr>
      <t>PJT1</t>
    </r>
    <r>
      <rPr>
        <rFont val="Noto Sans CJK SC"/>
        <color theme="1"/>
        <sz val="10.0"/>
      </rPr>
      <t>で一括</t>
    </r>
  </si>
  <si>
    <r>
      <rPr>
        <rFont val="Noto Sans"/>
        <color theme="1"/>
        <sz val="10.0"/>
      </rPr>
      <t>SNS</t>
    </r>
    <r>
      <rPr>
        <rFont val="Noto Sans CJK SC"/>
        <color theme="1"/>
        <sz val="10.0"/>
      </rPr>
      <t>クリエイティブ</t>
    </r>
  </si>
  <si>
    <r>
      <rPr>
        <rFont val="Calibri"/>
        <color theme="1"/>
        <sz val="10.0"/>
      </rPr>
      <t>PJT1</t>
    </r>
    <r>
      <rPr>
        <rFont val="Noto Sans CJK SC"/>
        <color theme="1"/>
        <sz val="10.0"/>
      </rPr>
      <t>で一括</t>
    </r>
  </si>
  <si>
    <r>
      <rPr>
        <rFont val="Noto Sans"/>
        <b/>
        <color theme="1"/>
        <sz val="10.0"/>
      </rPr>
      <t xml:space="preserve">6. </t>
    </r>
    <r>
      <rPr>
        <rFont val="Noto Sans CJK SC"/>
        <b/>
        <color theme="1"/>
        <sz val="10.0"/>
      </rPr>
      <t>システム・</t>
    </r>
    <r>
      <rPr>
        <rFont val="Noto Sans"/>
        <b/>
        <color theme="1"/>
        <sz val="10.0"/>
      </rPr>
      <t>Web</t>
    </r>
    <r>
      <rPr>
        <rFont val="Noto Sans CJK SC"/>
        <b/>
        <color theme="1"/>
        <sz val="10.0"/>
      </rPr>
      <t>関連</t>
    </r>
  </si>
  <si>
    <r>
      <rPr>
        <rFont val="Noto Sans CJK SC"/>
        <color theme="1"/>
        <sz val="10.0"/>
      </rPr>
      <t>新</t>
    </r>
    <r>
      <rPr>
        <rFont val="Noto Sans"/>
        <color theme="1"/>
        <sz val="10.0"/>
      </rPr>
      <t>HP</t>
    </r>
    <r>
      <rPr>
        <rFont val="Noto Sans CJK SC"/>
        <color theme="1"/>
        <sz val="10.0"/>
      </rPr>
      <t>開発・保守費</t>
    </r>
  </si>
  <si>
    <r>
      <rPr>
        <rFont val="Noto Sans"/>
        <color theme="1"/>
        <sz val="10.0"/>
      </rPr>
      <t>SFF</t>
    </r>
    <r>
      <rPr>
        <rFont val="Noto Sans CJK SC"/>
        <color theme="1"/>
        <sz val="10.0"/>
      </rPr>
      <t>マイページ開発費</t>
    </r>
  </si>
  <si>
    <r>
      <rPr>
        <rFont val="Noto Sans CJK SC"/>
        <color theme="1"/>
        <sz val="10.0"/>
      </rPr>
      <t>決済手数料（</t>
    </r>
    <r>
      <rPr>
        <rFont val="Noto Sans"/>
        <color theme="1"/>
        <sz val="10.0"/>
      </rPr>
      <t>3.6%</t>
    </r>
    <r>
      <rPr>
        <rFont val="Noto Sans CJK SC"/>
        <color theme="1"/>
        <sz val="10.0"/>
      </rPr>
      <t>）</t>
    </r>
  </si>
  <si>
    <r>
      <rPr>
        <rFont val="Noto Sans"/>
        <b/>
        <color theme="1"/>
        <sz val="10.0"/>
      </rPr>
      <t xml:space="preserve">7. </t>
    </r>
    <r>
      <rPr>
        <rFont val="Noto Sans CJK SC"/>
        <b/>
        <color theme="1"/>
        <sz val="10.0"/>
      </rPr>
      <t>イベント関連費</t>
    </r>
  </si>
  <si>
    <r>
      <rPr>
        <rFont val="Noto Sans CJK SC"/>
        <color theme="1"/>
        <sz val="10.0"/>
      </rPr>
      <t>関東</t>
    </r>
    <r>
      <rPr>
        <rFont val="Noto Sans"/>
        <color theme="1"/>
        <sz val="10.0"/>
      </rPr>
      <t>/</t>
    </r>
    <r>
      <rPr>
        <rFont val="Noto Sans CJK SC"/>
        <color theme="1"/>
        <sz val="10.0"/>
      </rPr>
      <t>関西各</t>
    </r>
    <r>
      <rPr>
        <rFont val="Noto Sans"/>
        <color theme="1"/>
        <sz val="10.0"/>
      </rPr>
      <t>1</t>
    </r>
    <r>
      <rPr>
        <rFont val="Noto Sans CJK SC"/>
        <color theme="1"/>
        <sz val="10.0"/>
      </rPr>
      <t>回</t>
    </r>
  </si>
  <si>
    <r>
      <rPr>
        <rFont val="Noto Sans CJK SC"/>
        <color theme="1"/>
        <sz val="10.0"/>
      </rPr>
      <t>審査員キックオフ</t>
    </r>
    <r>
      <rPr>
        <rFont val="Noto Sans"/>
        <color theme="1"/>
        <sz val="10.0"/>
      </rPr>
      <t>MTG</t>
    </r>
  </si>
  <si>
    <t>オンライン実施（？）</t>
  </si>
  <si>
    <r>
      <rPr>
        <rFont val="Noto Sans"/>
        <color theme="1"/>
        <sz val="10.0"/>
      </rPr>
      <t>Shaper</t>
    </r>
    <r>
      <rPr>
        <rFont val="Noto Sans CJK SC"/>
        <color theme="1"/>
        <sz val="10.0"/>
      </rPr>
      <t>の会</t>
    </r>
  </si>
  <si>
    <r>
      <rPr>
        <rFont val="Noto Sans CJK SC"/>
        <color theme="1"/>
        <sz val="10.0"/>
      </rPr>
      <t>年</t>
    </r>
    <r>
      <rPr>
        <rFont val="Noto Sans"/>
        <color theme="1"/>
        <sz val="10.0"/>
      </rPr>
      <t>1</t>
    </r>
    <r>
      <rPr>
        <rFont val="Noto Sans CJK SC"/>
        <color theme="1"/>
        <sz val="10.0"/>
      </rPr>
      <t>回・プレゼント含</t>
    </r>
  </si>
  <si>
    <r>
      <rPr>
        <rFont val="Noto Sans"/>
        <b/>
        <color theme="1"/>
        <sz val="10.0"/>
      </rPr>
      <t xml:space="preserve">8. </t>
    </r>
    <r>
      <rPr>
        <rFont val="Noto Sans CJK SC"/>
        <b/>
        <color theme="1"/>
        <sz val="10.0"/>
      </rPr>
      <t>備品・消耗品</t>
    </r>
  </si>
  <si>
    <r>
      <rPr>
        <rFont val="Noto Sans"/>
        <b/>
        <color theme="1"/>
        <sz val="10.0"/>
      </rPr>
      <t xml:space="preserve">9. </t>
    </r>
    <r>
      <rPr>
        <rFont val="Noto Sans CJK SC"/>
        <b/>
        <color theme="1"/>
        <sz val="10.0"/>
      </rPr>
      <t>物流費</t>
    </r>
  </si>
  <si>
    <r>
      <rPr>
        <rFont val="Calibri"/>
        <color theme="1"/>
        <sz val="10.0"/>
      </rPr>
      <t>PJT1</t>
    </r>
    <r>
      <rPr>
        <rFont val="Noto Sans CJK SC"/>
        <color theme="1"/>
        <sz val="10.0"/>
      </rPr>
      <t>で一括計上</t>
    </r>
  </si>
  <si>
    <r>
      <rPr>
        <rFont val="Noto Sans"/>
        <b/>
        <color theme="1"/>
        <sz val="10.0"/>
      </rPr>
      <t xml:space="preserve">10. </t>
    </r>
    <r>
      <rPr>
        <rFont val="Arial"/>
        <b/>
        <color theme="1"/>
        <sz val="10.0"/>
      </rPr>
      <t>出張費</t>
    </r>
  </si>
  <si>
    <t>審査員宿泊費（上限）</t>
  </si>
  <si>
    <t>@上限12,000円×人数・実費精算（関西中央値8名、関東中央値3名）</t>
  </si>
  <si>
    <r>
      <rPr>
        <rFont val="Noto Sans"/>
        <b/>
        <color theme="1"/>
        <sz val="10.0"/>
      </rPr>
      <t xml:space="preserve">11. </t>
    </r>
    <r>
      <rPr>
        <rFont val="Noto Sans CJK SC"/>
        <b/>
        <color theme="1"/>
        <sz val="10.0"/>
      </rPr>
      <t>その他</t>
    </r>
  </si>
  <si>
    <r>
      <rPr>
        <rFont val="Noto Sans"/>
        <b/>
        <color theme="1"/>
        <sz val="10.0"/>
      </rPr>
      <t xml:space="preserve">12. </t>
    </r>
    <r>
      <rPr>
        <rFont val="Noto Sans CJK SC"/>
        <b/>
        <color theme="1"/>
        <sz val="10.0"/>
      </rPr>
      <t>社内人件費</t>
    </r>
  </si>
  <si>
    <r>
      <rPr>
        <rFont val="Noto Sans"/>
        <color theme="1"/>
        <sz val="10.0"/>
      </rPr>
      <t>1.5</t>
    </r>
    <r>
      <rPr>
        <rFont val="Noto Sans CJK SC"/>
        <color theme="1"/>
        <sz val="10.0"/>
      </rPr>
      <t>ヶ月分の人件費を仮で計上</t>
    </r>
  </si>
  <si>
    <r>
      <rPr>
        <rFont val="Noto Sans"/>
        <b/>
        <color theme="1"/>
        <sz val="10.0"/>
      </rPr>
      <t xml:space="preserve">13. </t>
    </r>
    <r>
      <rPr>
        <rFont val="Noto Sans CJK SC"/>
        <b/>
        <color theme="1"/>
        <sz val="10.0"/>
      </rPr>
      <t>ブランディング費</t>
    </r>
  </si>
  <si>
    <r>
      <rPr>
        <rFont val="Noto Sans"/>
        <color rgb="FFFF0000"/>
        <sz val="10.0"/>
      </rPr>
      <t>IDA</t>
    </r>
    <r>
      <rPr>
        <rFont val="Noto Sans CJK SC"/>
        <color rgb="FFFF0000"/>
        <sz val="10.0"/>
      </rPr>
      <t>ブランディング費</t>
    </r>
  </si>
  <si>
    <r>
      <rPr>
        <rFont val="Noto Sans"/>
        <color rgb="FFFF0000"/>
        <sz val="10.0"/>
      </rPr>
      <t>IDA</t>
    </r>
    <r>
      <rPr>
        <rFont val="Noto Sans CJK SC"/>
        <color rgb="FFFF0000"/>
        <sz val="10.0"/>
      </rPr>
      <t>様・</t>
    </r>
    <r>
      <rPr>
        <rFont val="Noto Sans"/>
        <color rgb="FFFF0000"/>
        <sz val="10.0"/>
      </rPr>
      <t>SFF</t>
    </r>
    <r>
      <rPr>
        <rFont val="Noto Sans CJK SC"/>
        <color rgb="FFFF0000"/>
        <sz val="10.0"/>
      </rPr>
      <t>事業ブランディング＋インナーブランディング（税別）・</t>
    </r>
    <r>
      <rPr>
        <rFont val="Noto Sans"/>
        <color rgb="FFFF0000"/>
        <sz val="10.0"/>
      </rPr>
      <t>PJT1</t>
    </r>
    <r>
      <rPr>
        <rFont val="Noto Sans CJK SC"/>
        <color rgb="FFFF0000"/>
        <sz val="10.0"/>
      </rPr>
      <t>一括</t>
    </r>
  </si>
  <si>
    <t>HDD（壊れないメーカーを選定）</t>
  </si>
  <si>
    <r>
      <rPr>
        <rFont val="Noto Sans"/>
        <b/>
        <color theme="1"/>
        <sz val="11.0"/>
      </rPr>
      <t xml:space="preserve">SFF </t>
    </r>
    <r>
      <rPr>
        <rFont val="Noto Sans CJK SC"/>
        <b/>
        <color theme="1"/>
        <sz val="11.0"/>
      </rPr>
      <t>コスト合計</t>
    </r>
  </si>
  <si>
    <r>
      <rPr>
        <rFont val="Noto Sans CJK SC"/>
        <b/>
        <color theme="1"/>
        <sz val="12.0"/>
      </rPr>
      <t>【</t>
    </r>
    <r>
      <rPr>
        <rFont val="Noto Sans"/>
        <b/>
        <color theme="1"/>
        <sz val="12.0"/>
      </rPr>
      <t>2</t>
    </r>
    <r>
      <rPr>
        <rFont val="Noto Sans CJK SC"/>
        <b/>
        <color theme="1"/>
        <sz val="12.0"/>
      </rPr>
      <t>大会 コスト合計】</t>
    </r>
  </si>
  <si>
    <r>
      <rPr>
        <rFont val="Cambria"/>
        <b/>
        <color theme="1"/>
        <sz val="14.0"/>
      </rPr>
      <t>PJT1</t>
    </r>
    <r>
      <rPr>
        <rFont val="Noto Sans CJK SC"/>
        <b/>
        <color theme="1"/>
        <sz val="14.0"/>
      </rPr>
      <t>（パープルホール）収支計算</t>
    </r>
  </si>
  <si>
    <t>金額</t>
  </si>
  <si>
    <t>【売上内訳】</t>
  </si>
  <si>
    <t>構成比</t>
  </si>
  <si>
    <r>
      <rPr>
        <rFont val="Cambria"/>
        <b/>
        <color theme="1"/>
        <sz val="14.0"/>
      </rPr>
      <t>PJT2</t>
    </r>
    <r>
      <rPr>
        <rFont val="Noto Sans CJK SC"/>
        <b/>
        <color theme="1"/>
        <sz val="14.0"/>
      </rPr>
      <t>（ひらしん）収支計算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</si>
</sst>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\¥#,##0"/>
    <numFmt numFmtId="165" formatCode="0.0%"/>
  </numFmts>
  <fonts count="29">
    <font>
      <sz val="11.0"/>
      <color theme="1"/>
      <name val="Calibri"/>
      <scheme val="minor"/>
    </font>
    <font>
      <b/>
      <sz val="16.0"/>
      <color theme="1"/>
      <name val="Cambria"/>
    </font>
    <font>
      <b/>
      <sz val="11.0"/>
      <color theme="1"/>
      <name val="Noto Sans"/>
    </font>
    <font>
      <sz val="11.0"/>
      <color theme="1"/>
      <name val="Noto Sans"/>
    </font>
    <font>
      <b/>
      <sz val="11.0"/>
      <color rgb="FF0000FF"/>
      <name val="Cambria"/>
    </font>
    <font>
      <b/>
      <sz val="12.0"/>
      <color rgb="FFFFFFFF"/>
      <name val="Noto Sans"/>
    </font>
    <font>
      <b/>
      <sz val="12.0"/>
      <color rgb="FFFFFFFF"/>
      <name val="Cambria"/>
    </font>
    <font>
      <sz val="11.0"/>
      <color theme="1"/>
      <name val="Calibri"/>
    </font>
    <font>
      <b/>
      <sz val="14.0"/>
      <color theme="1"/>
      <name val="Cambria"/>
    </font>
    <font>
      <b/>
      <sz val="11.0"/>
      <color theme="1"/>
      <name val="Cambria"/>
    </font>
    <font>
      <color theme="1"/>
      <name val="Calibri"/>
      <scheme val="minor"/>
    </font>
    <font>
      <b/>
      <sz val="14.0"/>
      <color theme="1"/>
      <name val="Arial"/>
    </font>
    <font>
      <b/>
      <sz val="11.0"/>
      <color rgb="FFFFFFFF"/>
      <name val="Noto Sans"/>
    </font>
    <font/>
    <font>
      <sz val="11.0"/>
      <color rgb="FF000000"/>
      <name val="Cambria"/>
    </font>
    <font>
      <sz val="11.0"/>
      <color rgb="FF0000FF"/>
      <name val="Cambria"/>
    </font>
    <font>
      <b/>
      <sz val="12.0"/>
      <color theme="1"/>
      <name val="Noto Sans"/>
    </font>
    <font>
      <u/>
      <color rgb="FF0000FF"/>
    </font>
    <font>
      <b/>
      <sz val="14.0"/>
      <color theme="1"/>
      <name val="Noto Sans"/>
    </font>
    <font>
      <b/>
      <sz val="10.0"/>
      <color theme="1"/>
      <name val="Noto Sans"/>
    </font>
    <font>
      <sz val="10.0"/>
      <color theme="1"/>
      <name val="Noto Sans"/>
    </font>
    <font>
      <b/>
      <sz val="10.0"/>
      <color rgb="FF0000FF"/>
      <name val="Cambria"/>
    </font>
    <font>
      <sz val="10.0"/>
      <color theme="1"/>
      <name val="Calibri"/>
    </font>
    <font>
      <sz val="10.0"/>
      <color rgb="FF000000"/>
      <name val="Cambria"/>
    </font>
    <font>
      <b/>
      <sz val="10.0"/>
      <color theme="1"/>
      <name val="Cambria"/>
    </font>
    <font>
      <sz val="10.0"/>
      <color rgb="FFFF0000"/>
      <name val="Noto Sans"/>
    </font>
    <font>
      <sz val="10.0"/>
      <color rgb="FFFF0000"/>
      <name val="Calibri"/>
    </font>
    <font>
      <sz val="10.0"/>
      <color rgb="FF0000FF"/>
      <name val="Cambria"/>
    </font>
    <font>
      <sz val="10.0"/>
      <color theme="1"/>
      <name val="游ゴシック"/>
    </font>
  </fonts>
  <fills count="7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4E79"/>
        <bgColor rgb="FF1F4E79"/>
      </patternFill>
    </fill>
    <fill>
      <patternFill patternType="solid">
        <fgColor rgb="FFE2EFDA"/>
        <bgColor rgb="FFE2EFDA"/>
      </patternFill>
    </fill>
    <fill>
      <patternFill patternType="solid">
        <fgColor rgb="FFD9E2F3"/>
        <bgColor rgb="FFD9E2F3"/>
      </patternFill>
    </fill>
    <fill>
      <patternFill patternType="solid">
        <fgColor rgb="FFFFC000"/>
        <bgColor rgb="FFFFC000"/>
      </patternFill>
    </fill>
  </fills>
  <borders count="9">
    <border/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8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shrinkToFit="0" vertical="bottom" wrapText="0"/>
    </xf>
    <xf borderId="0" fillId="0" fontId="2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1" fillId="2" fontId="4" numFmtId="164" xfId="0" applyAlignment="1" applyBorder="1" applyFill="1" applyFont="1" applyNumberFormat="1">
      <alignment shrinkToFit="0" vertical="bottom" wrapText="0"/>
    </xf>
    <xf borderId="1" fillId="2" fontId="4" numFmtId="9" xfId="0" applyAlignment="1" applyBorder="1" applyFont="1" applyNumberFormat="1">
      <alignment shrinkToFit="0" vertical="bottom" wrapText="0"/>
    </xf>
    <xf borderId="2" fillId="3" fontId="5" numFmtId="0" xfId="0" applyAlignment="1" applyBorder="1" applyFill="1" applyFont="1">
      <alignment horizontal="center" shrinkToFit="0" vertical="bottom" wrapText="0"/>
    </xf>
    <xf borderId="2" fillId="3" fontId="6" numFmtId="0" xfId="0" applyAlignment="1" applyBorder="1" applyFont="1">
      <alignment horizontal="center" shrinkToFit="0" vertical="bottom" wrapText="0"/>
    </xf>
    <xf borderId="2" fillId="0" fontId="3" numFmtId="0" xfId="0" applyAlignment="1" applyBorder="1" applyFont="1">
      <alignment shrinkToFit="0" vertical="bottom" wrapText="0"/>
    </xf>
    <xf borderId="2" fillId="0" fontId="7" numFmtId="164" xfId="0" applyAlignment="1" applyBorder="1" applyFont="1" applyNumberFormat="1">
      <alignment shrinkToFit="0" vertical="bottom" wrapText="0"/>
    </xf>
    <xf borderId="2" fillId="0" fontId="7" numFmtId="165" xfId="0" applyAlignment="1" applyBorder="1" applyFont="1" applyNumberFormat="1">
      <alignment shrinkToFit="0" vertical="bottom" wrapText="0"/>
    </xf>
    <xf borderId="2" fillId="0" fontId="7" numFmtId="0" xfId="0" applyAlignment="1" applyBorder="1" applyFont="1">
      <alignment shrinkToFit="0" vertical="bottom" wrapText="0"/>
    </xf>
    <xf borderId="0" fillId="0" fontId="8" numFmtId="0" xfId="0" applyAlignment="1" applyFont="1">
      <alignment readingOrder="0" shrinkToFit="0" vertical="bottom" wrapText="0"/>
    </xf>
    <xf borderId="2" fillId="3" fontId="5" numFmtId="0" xfId="0" applyAlignment="1" applyBorder="1" applyFont="1">
      <alignment shrinkToFit="0" vertical="bottom" wrapText="0"/>
    </xf>
    <xf borderId="2" fillId="0" fontId="3" numFmtId="0" xfId="0" applyAlignment="1" applyBorder="1" applyFont="1">
      <alignment readingOrder="0" shrinkToFit="0" vertical="bottom" wrapText="0"/>
    </xf>
    <xf borderId="2" fillId="2" fontId="4" numFmtId="164" xfId="0" applyAlignment="1" applyBorder="1" applyFont="1" applyNumberFormat="1">
      <alignment readingOrder="0" shrinkToFit="0" vertical="bottom" wrapText="0"/>
    </xf>
    <xf borderId="2" fillId="2" fontId="4" numFmtId="0" xfId="0" applyAlignment="1" applyBorder="1" applyFont="1">
      <alignment readingOrder="0" shrinkToFit="0" vertical="bottom" wrapText="0"/>
    </xf>
    <xf borderId="2" fillId="2" fontId="4" numFmtId="164" xfId="0" applyAlignment="1" applyBorder="1" applyFont="1" applyNumberFormat="1">
      <alignment shrinkToFit="0" vertical="bottom" wrapText="0"/>
    </xf>
    <xf borderId="2" fillId="2" fontId="4" numFmtId="0" xfId="0" applyAlignment="1" applyBorder="1" applyFont="1">
      <alignment shrinkToFit="0" vertical="bottom" wrapText="0"/>
    </xf>
    <xf borderId="1" fillId="4" fontId="9" numFmtId="164" xfId="0" applyAlignment="1" applyBorder="1" applyFill="1" applyFont="1" applyNumberFormat="1">
      <alignment shrinkToFit="0" vertical="bottom" wrapText="0"/>
    </xf>
    <xf borderId="0" fillId="0" fontId="10" numFmtId="0" xfId="0" applyFont="1"/>
    <xf borderId="0" fillId="0" fontId="10" numFmtId="0" xfId="0" applyFont="1"/>
    <xf borderId="2" fillId="0" fontId="7" numFmtId="9" xfId="0" applyAlignment="1" applyBorder="1" applyFont="1" applyNumberFormat="1">
      <alignment readingOrder="0" shrinkToFit="0" vertical="bottom" wrapText="0"/>
    </xf>
    <xf borderId="0" fillId="0" fontId="10" numFmtId="0" xfId="0" applyAlignment="1" applyFont="1">
      <alignment readingOrder="0"/>
    </xf>
    <xf borderId="0" fillId="0" fontId="7" numFmtId="165" xfId="0" applyAlignment="1" applyFont="1" applyNumberFormat="1">
      <alignment shrinkToFit="0" vertical="bottom" wrapText="0"/>
    </xf>
    <xf borderId="2" fillId="3" fontId="5" numFmtId="0" xfId="0" applyAlignment="1" applyBorder="1" applyFont="1">
      <alignment readingOrder="0" shrinkToFit="0" vertical="bottom" wrapText="0"/>
    </xf>
    <xf borderId="0" fillId="0" fontId="8" numFmtId="0" xfId="0" applyAlignment="1" applyFont="1">
      <alignment shrinkToFit="0" vertical="bottom" wrapText="0"/>
    </xf>
    <xf borderId="2" fillId="2" fontId="4" numFmtId="0" xfId="0" applyAlignment="1" applyBorder="1" applyFont="1">
      <alignment shrinkToFit="0" vertical="bottom" wrapText="0"/>
    </xf>
    <xf borderId="0" fillId="0" fontId="11" numFmtId="0" xfId="0" applyAlignment="1" applyFont="1">
      <alignment readingOrder="0" shrinkToFit="0" vertical="bottom" wrapText="0"/>
    </xf>
    <xf borderId="2" fillId="3" fontId="12" numFmtId="0" xfId="0" applyAlignment="1" applyBorder="1" applyFont="1">
      <alignment horizontal="center" shrinkToFit="0" vertical="bottom" wrapText="0"/>
    </xf>
    <xf borderId="3" fillId="5" fontId="2" numFmtId="0" xfId="0" applyAlignment="1" applyBorder="1" applyFill="1" applyFont="1">
      <alignment shrinkToFit="0" vertical="bottom" wrapText="0"/>
    </xf>
    <xf borderId="4" fillId="0" fontId="13" numFmtId="0" xfId="0" applyBorder="1" applyFont="1"/>
    <xf borderId="5" fillId="0" fontId="13" numFmtId="0" xfId="0" applyBorder="1" applyFont="1"/>
    <xf borderId="2" fillId="2" fontId="4" numFmtId="3" xfId="0" applyAlignment="1" applyBorder="1" applyFont="1" applyNumberFormat="1">
      <alignment shrinkToFit="0" vertical="bottom" wrapText="0"/>
    </xf>
    <xf borderId="2" fillId="0" fontId="7" numFmtId="3" xfId="0" applyAlignment="1" applyBorder="1" applyFont="1" applyNumberFormat="1">
      <alignment shrinkToFit="0" vertical="bottom" wrapText="0"/>
    </xf>
    <xf borderId="2" fillId="0" fontId="3" numFmtId="3" xfId="0" applyAlignment="1" applyBorder="1" applyFont="1" applyNumberFormat="1">
      <alignment shrinkToFit="0" vertical="bottom" wrapText="0"/>
    </xf>
    <xf borderId="2" fillId="4" fontId="14" numFmtId="3" xfId="0" applyAlignment="1" applyBorder="1" applyFont="1" applyNumberFormat="1">
      <alignment shrinkToFit="0" vertical="bottom" wrapText="0"/>
    </xf>
    <xf borderId="2" fillId="4" fontId="9" numFmtId="3" xfId="0" applyAlignment="1" applyBorder="1" applyFont="1" applyNumberFormat="1">
      <alignment shrinkToFit="0" vertical="bottom" wrapText="0"/>
    </xf>
    <xf borderId="2" fillId="0" fontId="7" numFmtId="0" xfId="0" applyAlignment="1" applyBorder="1" applyFont="1">
      <alignment readingOrder="0" shrinkToFit="0" vertical="bottom" wrapText="0"/>
    </xf>
    <xf borderId="0" fillId="0" fontId="3" numFmtId="0" xfId="0" applyAlignment="1" applyFont="1">
      <alignment vertical="bottom"/>
    </xf>
    <xf borderId="1" fillId="4" fontId="15" numFmtId="3" xfId="0" applyAlignment="1" applyBorder="1" applyFont="1" applyNumberFormat="1">
      <alignment horizontal="right" vertical="bottom"/>
    </xf>
    <xf borderId="0" fillId="0" fontId="15" numFmtId="3" xfId="0" applyAlignment="1" applyFont="1" applyNumberFormat="1">
      <alignment horizontal="right" vertical="bottom"/>
    </xf>
    <xf borderId="0" fillId="0" fontId="7" numFmtId="0" xfId="0" applyAlignment="1" applyFont="1">
      <alignment vertical="bottom"/>
    </xf>
    <xf borderId="3" fillId="5" fontId="2" numFmtId="0" xfId="0" applyAlignment="1" applyBorder="1" applyFont="1">
      <alignment readingOrder="0" shrinkToFit="0" vertical="bottom" wrapText="0"/>
    </xf>
    <xf borderId="2" fillId="0" fontId="7" numFmtId="3" xfId="0" applyAlignment="1" applyBorder="1" applyFont="1" applyNumberFormat="1">
      <alignment readingOrder="0" shrinkToFit="0" vertical="bottom" wrapText="0"/>
    </xf>
    <xf borderId="0" fillId="0" fontId="7" numFmtId="3" xfId="0" applyAlignment="1" applyFont="1" applyNumberFormat="1">
      <alignment shrinkToFit="0" vertical="bottom" wrapText="0"/>
    </xf>
    <xf borderId="0" fillId="0" fontId="7" numFmtId="0" xfId="0" applyAlignment="1" applyFont="1">
      <alignment shrinkToFit="0" vertical="bottom" wrapText="0"/>
    </xf>
    <xf borderId="2" fillId="6" fontId="2" numFmtId="0" xfId="0" applyAlignment="1" applyBorder="1" applyFill="1" applyFont="1">
      <alignment readingOrder="0" shrinkToFit="0" vertical="bottom" wrapText="0"/>
    </xf>
    <xf borderId="2" fillId="6" fontId="2" numFmtId="3" xfId="0" applyAlignment="1" applyBorder="1" applyFont="1" applyNumberFormat="1">
      <alignment shrinkToFit="0" vertical="bottom" wrapText="0"/>
    </xf>
    <xf borderId="0" fillId="0" fontId="16" numFmtId="0" xfId="0" applyAlignment="1" applyFont="1">
      <alignment shrinkToFit="0" vertical="bottom" wrapText="0"/>
    </xf>
    <xf borderId="0" fillId="0" fontId="16" numFmtId="3" xfId="0" applyAlignment="1" applyFont="1" applyNumberFormat="1">
      <alignment shrinkToFit="0" vertical="bottom" wrapText="0"/>
    </xf>
    <xf borderId="0" fillId="0" fontId="17" numFmtId="0" xfId="0" applyAlignment="1" applyFont="1">
      <alignment readingOrder="0"/>
    </xf>
    <xf borderId="0" fillId="0" fontId="18" numFmtId="0" xfId="0" applyAlignment="1" applyFont="1">
      <alignment shrinkToFit="0" vertical="bottom" wrapText="0"/>
    </xf>
    <xf borderId="0" fillId="0" fontId="10" numFmtId="0" xfId="0" applyAlignment="1" applyFont="1">
      <alignment shrinkToFit="0" wrapText="0"/>
    </xf>
    <xf borderId="6" fillId="5" fontId="19" numFmtId="0" xfId="0" applyAlignment="1" applyBorder="1" applyFont="1">
      <alignment shrinkToFit="0" vertical="top" wrapText="0"/>
    </xf>
    <xf borderId="7" fillId="5" fontId="19" numFmtId="0" xfId="0" applyAlignment="1" applyBorder="1" applyFont="1">
      <alignment shrinkToFit="0" vertical="top" wrapText="0"/>
    </xf>
    <xf borderId="8" fillId="5" fontId="19" numFmtId="0" xfId="0" applyAlignment="1" applyBorder="1" applyFont="1">
      <alignment shrinkToFit="0" vertical="top" wrapText="0"/>
    </xf>
    <xf borderId="0" fillId="0" fontId="7" numFmtId="0" xfId="0" applyAlignment="1" applyFont="1">
      <alignment shrinkToFit="0" vertical="top" wrapText="0"/>
    </xf>
    <xf borderId="0" fillId="0" fontId="7" numFmtId="0" xfId="0" applyAlignment="1" applyFont="1">
      <alignment shrinkToFit="0" vertical="top" wrapText="0"/>
    </xf>
    <xf borderId="2" fillId="0" fontId="20" numFmtId="0" xfId="0" applyAlignment="1" applyBorder="1" applyFont="1">
      <alignment shrinkToFit="0" vertical="top" wrapText="0"/>
    </xf>
    <xf borderId="2" fillId="2" fontId="21" numFmtId="3" xfId="0" applyAlignment="1" applyBorder="1" applyFont="1" applyNumberFormat="1">
      <alignment shrinkToFit="0" vertical="top" wrapText="0"/>
    </xf>
    <xf borderId="2" fillId="0" fontId="22" numFmtId="3" xfId="0" applyAlignment="1" applyBorder="1" applyFont="1" applyNumberFormat="1">
      <alignment shrinkToFit="0" vertical="top" wrapText="0"/>
    </xf>
    <xf borderId="2" fillId="0" fontId="22" numFmtId="0" xfId="0" applyAlignment="1" applyBorder="1" applyFont="1">
      <alignment shrinkToFit="0" vertical="top" wrapText="0"/>
    </xf>
    <xf borderId="2" fillId="0" fontId="20" numFmtId="3" xfId="0" applyAlignment="1" applyBorder="1" applyFont="1" applyNumberFormat="1">
      <alignment shrinkToFit="0" vertical="top" wrapText="0"/>
    </xf>
    <xf borderId="2" fillId="4" fontId="23" numFmtId="3" xfId="0" applyAlignment="1" applyBorder="1" applyFont="1" applyNumberFormat="1">
      <alignment shrinkToFit="0" vertical="top" wrapText="0"/>
    </xf>
    <xf borderId="2" fillId="4" fontId="24" numFmtId="3" xfId="0" applyAlignment="1" applyBorder="1" applyFont="1" applyNumberFormat="1">
      <alignment shrinkToFit="0" vertical="top" wrapText="0"/>
    </xf>
    <xf borderId="2" fillId="0" fontId="25" numFmtId="0" xfId="0" applyAlignment="1" applyBorder="1" applyFont="1">
      <alignment shrinkToFit="0" vertical="top" wrapText="0"/>
    </xf>
    <xf borderId="2" fillId="0" fontId="26" numFmtId="0" xfId="0" applyAlignment="1" applyBorder="1" applyFont="1">
      <alignment readingOrder="0" shrinkToFit="0" vertical="top" wrapText="0"/>
    </xf>
    <xf borderId="2" fillId="0" fontId="26" numFmtId="0" xfId="0" applyAlignment="1" applyBorder="1" applyFont="1">
      <alignment shrinkToFit="0" vertical="top" wrapText="0"/>
    </xf>
    <xf borderId="6" fillId="5" fontId="19" numFmtId="0" xfId="0" applyAlignment="1" applyBorder="1" applyFont="1">
      <alignment readingOrder="0" shrinkToFit="0" vertical="top" wrapText="0"/>
    </xf>
    <xf borderId="2" fillId="2" fontId="21" numFmtId="3" xfId="0" applyAlignment="1" applyBorder="1" applyFont="1" applyNumberFormat="1">
      <alignment readingOrder="0" shrinkToFit="0" vertical="top" wrapText="0"/>
    </xf>
    <xf borderId="2" fillId="0" fontId="20" numFmtId="3" xfId="0" applyAlignment="1" applyBorder="1" applyFont="1" applyNumberFormat="1">
      <alignment readingOrder="0" shrinkToFit="0" vertical="top" wrapText="0"/>
    </xf>
    <xf borderId="2" fillId="0" fontId="22" numFmtId="0" xfId="0" applyAlignment="1" applyBorder="1" applyFont="1">
      <alignment readingOrder="0" shrinkToFit="0" vertical="top" wrapText="0"/>
    </xf>
    <xf borderId="2" fillId="4" fontId="27" numFmtId="3" xfId="0" applyAlignment="1" applyBorder="1" applyFont="1" applyNumberFormat="1">
      <alignment horizontal="right" shrinkToFit="0" vertical="top" wrapText="0"/>
    </xf>
    <xf borderId="2" fillId="0" fontId="27" numFmtId="3" xfId="0" applyAlignment="1" applyBorder="1" applyFont="1" applyNumberFormat="1">
      <alignment horizontal="right" shrinkToFit="0" vertical="top" wrapText="0"/>
    </xf>
    <xf borderId="0" fillId="0" fontId="7" numFmtId="0" xfId="0" applyAlignment="1" applyFont="1">
      <alignment readingOrder="0" shrinkToFit="0" vertical="top" wrapText="0"/>
    </xf>
    <xf borderId="2" fillId="0" fontId="26" numFmtId="3" xfId="0" applyAlignment="1" applyBorder="1" applyFont="1" applyNumberFormat="1">
      <alignment shrinkToFit="0" vertical="top" wrapText="0"/>
    </xf>
    <xf borderId="2" fillId="0" fontId="20" numFmtId="0" xfId="0" applyAlignment="1" applyBorder="1" applyFont="1">
      <alignment readingOrder="0" shrinkToFit="0" vertical="top" wrapText="0"/>
    </xf>
    <xf borderId="2" fillId="0" fontId="22" numFmtId="3" xfId="0" applyAlignment="1" applyBorder="1" applyFont="1" applyNumberFormat="1">
      <alignment readingOrder="0" shrinkToFit="0" vertical="top" wrapText="0"/>
    </xf>
    <xf borderId="2" fillId="0" fontId="28" numFmtId="0" xfId="0" applyAlignment="1" applyBorder="1" applyFont="1">
      <alignment readingOrder="0" shrinkToFit="0" vertical="top" wrapText="0"/>
    </xf>
    <xf borderId="2" fillId="6" fontId="2" numFmtId="0" xfId="0" applyAlignment="1" applyBorder="1" applyFont="1">
      <alignment shrinkToFit="0" vertical="bottom" wrapText="0"/>
    </xf>
    <xf borderId="2" fillId="0" fontId="2" numFmtId="0" xfId="0" applyAlignment="1" applyBorder="1" applyFont="1">
      <alignment shrinkToFit="0" vertical="bottom" wrapText="0"/>
    </xf>
    <xf borderId="2" fillId="4" fontId="9" numFmtId="164" xfId="0" applyAlignment="1" applyBorder="1" applyFont="1" applyNumberFormat="1">
      <alignment shrinkToFit="0" vertical="bottom" wrapText="0"/>
    </xf>
    <xf borderId="2" fillId="0" fontId="9" numFmtId="165" xfId="0" applyAlignment="1" applyBorder="1" applyFont="1" applyNumberFormat="1">
      <alignment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/>
</file>

<file path=xl/documenttasks/documenttask2.xml><?xml version="1.0" encoding="utf-8"?>
<Tasks xmlns="http://schemas.microsoft.com/office/tasks/2019/documenttasks"/>
</file>

<file path=xl/documenttasks/documenttask3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鈴木晴勝" id="{b6ce65bc-e3b0-4ac3-ac80-0d01e14d8967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C23" dT="2026-01-22T21:06:53.00" personId="{b6ce65bc-e3b0-4ac3-ac80-0d01e14d8967}" id="{a72e100d-fbb3-4c3a-8b39-e691b455e890}" done="0">
    <x18tc:text xml:space="preserve">https://docs.google.com/spreadsheets/d/1-tGYftL8W2aF0jS2QnfMQJO6S-1oZDEO6cAykJ7XLGI/edit?gid=902845489#gid=902845489</x18tc:text>
    <x18tc:extLst>
      <ext uri="{F7C98A9C-CBB3-438F-8F68-D28B6AF4A901}">
        <xltc2:checksum/>
        <xltc2:hyperlink startIndex="0" length="116" url="https://docs.google.com/spreadsheets/d/1-tGYftL8W2aF0jS2QnfMQJO6S-1oZDEO6cAykJ7XLGI/edit?gid=902845489#gid=902845489"/>
      </ext>
    </x18tc:extLst>
  </x18tc:threadedComment>
</x18tc:ThreadedComments>
</file>

<file path=xl/threadedComments/threadedComment2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C19" dT="2026-01-21T19:51:35.00" personId="{b6ce65bc-e3b0-4ac3-ac80-0d01e14d8967}" id="{fcd9effd-f80a-44bf-acde-ef2e8b989752}" done="1">
    <x18tc:text xml:space="preserve">上限は1200席</x18tc:text>
  </x18tc:threadedComment>
</x18tc:ThreadedComments>
</file>

<file path=xl/threadedComments/threadedComment3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69" dT="2026-04-03T02:31:55.00" personId="{b6ce65bc-e3b0-4ac3-ac80-0d01e14d8967}" id="{d8fabdec-b850-4726-991a-1d95c11e8476}" done="0">
    <x18tc:text xml:space="preserve">昨年のデータ
L 1.6T
＋選手の写真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2.xml"/><Relationship Id="rId5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microsoft.com/office/2017/10/relationships/threadedComment" Target="../threadedComments/threadedComment2.xml"/><Relationship Id="rId3" Type="http://schemas.microsoft.com/office/2019/04/relationships/documenttask" Target="../documenttasks/documenttask2.xml"/><Relationship Id="rId4" Type="http://schemas.openxmlformats.org/officeDocument/2006/relationships/drawing" Target="../drawings/drawing3.xml"/><Relationship Id="rId5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drive.google.com/drive/u/0/folders/1Iy8LnZKEgspHHHMGZJ46HhAciZgSWnIx" TargetMode="External"/><Relationship Id="rId2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microsoft.com/office/2017/10/relationships/threadedComment" Target="../threadedComments/threadedComment3.xml"/><Relationship Id="rId3" Type="http://schemas.microsoft.com/office/2019/04/relationships/documenttask" Target="../documenttasks/documenttask3.xml"/><Relationship Id="rId4" Type="http://schemas.openxmlformats.org/officeDocument/2006/relationships/drawing" Target="../drawings/drawing6.xml"/><Relationship Id="rId5" Type="http://schemas.openxmlformats.org/officeDocument/2006/relationships/vmlDrawing" Target="../drawings/vmlDrawing3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0"/>
    <col customWidth="1" min="2" max="5" width="15.0"/>
    <col customWidth="1" min="6" max="6" width="12.0"/>
    <col customWidth="1" min="7" max="7" width="8.71"/>
  </cols>
  <sheetData>
    <row r="1">
      <c r="A1" s="1" t="s">
        <v>0</v>
      </c>
    </row>
    <row r="3">
      <c r="A3" s="2" t="s">
        <v>1</v>
      </c>
    </row>
    <row r="4">
      <c r="A4" s="3" t="s">
        <v>2</v>
      </c>
      <c r="C4" s="4">
        <v>5.1653879E7</v>
      </c>
      <c r="D4" s="3" t="s">
        <v>3</v>
      </c>
    </row>
    <row r="5">
      <c r="A5" s="3" t="s">
        <v>4</v>
      </c>
      <c r="C5" s="5">
        <v>0.5</v>
      </c>
    </row>
    <row r="7">
      <c r="A7" s="2" t="s">
        <v>5</v>
      </c>
    </row>
    <row r="8">
      <c r="A8" s="6" t="s">
        <v>6</v>
      </c>
      <c r="B8" s="7" t="s">
        <v>7</v>
      </c>
      <c r="C8" s="7" t="s">
        <v>8</v>
      </c>
      <c r="D8" s="6" t="s">
        <v>9</v>
      </c>
      <c r="E8" s="6" t="s">
        <v>10</v>
      </c>
      <c r="F8" s="6" t="s">
        <v>11</v>
      </c>
    </row>
    <row r="9">
      <c r="A9" s="8" t="s">
        <v>12</v>
      </c>
      <c r="B9" s="9">
        <f>'PJT1_収支'!B4</f>
        <v>26290000</v>
      </c>
      <c r="C9" s="9">
        <f>'PJT2_収支'!B4</f>
        <v>27642000</v>
      </c>
      <c r="D9" s="9">
        <f t="shared" ref="D9:D11" si="1">B9+C9</f>
        <v>53932000</v>
      </c>
      <c r="E9" s="9">
        <f>C4</f>
        <v>51653879</v>
      </c>
      <c r="F9" s="10">
        <f>IF(E9=0,0,D9/E9)</f>
        <v>1.04410358</v>
      </c>
    </row>
    <row r="10">
      <c r="A10" s="8" t="s">
        <v>13</v>
      </c>
      <c r="B10" s="9">
        <f>'PJT1_収支'!B5</f>
        <v>23586840</v>
      </c>
      <c r="C10" s="9">
        <f>'PJT2_収支'!B5</f>
        <v>23586840</v>
      </c>
      <c r="D10" s="9">
        <f t="shared" si="1"/>
        <v>47173680</v>
      </c>
      <c r="E10" s="11" t="s">
        <v>14</v>
      </c>
      <c r="F10" s="11" t="s">
        <v>14</v>
      </c>
    </row>
    <row r="11">
      <c r="A11" s="8" t="s">
        <v>15</v>
      </c>
      <c r="B11" s="9">
        <f>'PJT1_収支'!B6</f>
        <v>2703160</v>
      </c>
      <c r="C11" s="9">
        <f>'PJT2_収支'!B6</f>
        <v>4055160</v>
      </c>
      <c r="D11" s="9">
        <f t="shared" si="1"/>
        <v>6758320</v>
      </c>
      <c r="E11" s="9">
        <f>D9*C5</f>
        <v>26966000</v>
      </c>
      <c r="F11" s="10">
        <f t="shared" ref="F11:F12" si="2">IF(E11=0,0,D11/E11)</f>
        <v>0.2506237484</v>
      </c>
    </row>
    <row r="12">
      <c r="A12" s="8" t="s">
        <v>16</v>
      </c>
      <c r="B12" s="10">
        <f>'PJT1_収支'!B7</f>
        <v>0.1028208444</v>
      </c>
      <c r="C12" s="10">
        <f>'PJT2_収支'!B7</f>
        <v>0.1467028435</v>
      </c>
      <c r="D12" s="10">
        <f>IF(D9=0,0,D11/D9)</f>
        <v>0.1253118742</v>
      </c>
      <c r="E12" s="10">
        <f>C5</f>
        <v>0.5</v>
      </c>
      <c r="F12" s="10">
        <f t="shared" si="2"/>
        <v>0.2506237484</v>
      </c>
    </row>
    <row r="14">
      <c r="A14" s="2" t="s">
        <v>17</v>
      </c>
    </row>
    <row r="15">
      <c r="A15" s="3" t="s">
        <v>18</v>
      </c>
      <c r="B15" s="3" t="str">
        <f>IF(D9&gt;=C4,"✓ 達成","✗ 未達")</f>
        <v>✓ 達成</v>
      </c>
    </row>
    <row r="16">
      <c r="A16" s="3" t="s">
        <v>19</v>
      </c>
      <c r="B16" s="3" t="str">
        <f>IF(D12&gt;=C5,"✓ 達成","✗ 未達")</f>
        <v>✗ 未達</v>
      </c>
    </row>
    <row r="18">
      <c r="A18" s="2" t="s">
        <v>20</v>
      </c>
    </row>
    <row r="19">
      <c r="A19" s="6" t="s">
        <v>21</v>
      </c>
      <c r="B19" s="7" t="s">
        <v>7</v>
      </c>
      <c r="C19" s="7" t="s">
        <v>8</v>
      </c>
      <c r="D19" s="6" t="s">
        <v>9</v>
      </c>
    </row>
    <row r="20">
      <c r="A20" s="8" t="s">
        <v>22</v>
      </c>
      <c r="B20" s="9">
        <f>'PJT1_収支'!B11</f>
        <v>6122000</v>
      </c>
      <c r="C20" s="9">
        <f>'PJT2_収支'!B11</f>
        <v>6122000</v>
      </c>
      <c r="D20" s="9">
        <f t="shared" ref="D20:D23" si="3">B20+C20</f>
        <v>12244000</v>
      </c>
    </row>
    <row r="21" ht="15.75" customHeight="1">
      <c r="A21" s="8" t="s">
        <v>23</v>
      </c>
      <c r="B21" s="9">
        <f>'PJT1_収支'!B12</f>
        <v>18468000</v>
      </c>
      <c r="C21" s="9">
        <f>'PJT2_収支'!B12</f>
        <v>12120000</v>
      </c>
      <c r="D21" s="9">
        <f t="shared" si="3"/>
        <v>30588000</v>
      </c>
    </row>
    <row r="22" ht="15.75" customHeight="1">
      <c r="A22" s="8" t="s">
        <v>24</v>
      </c>
      <c r="B22" s="9">
        <f>'PJT1_収支'!B13</f>
        <v>700000</v>
      </c>
      <c r="C22" s="9">
        <f>'PJT2_収支'!B13</f>
        <v>8400000</v>
      </c>
      <c r="D22" s="9">
        <f t="shared" si="3"/>
        <v>9100000</v>
      </c>
    </row>
    <row r="23" ht="15.75" customHeight="1">
      <c r="A23" s="8" t="s">
        <v>25</v>
      </c>
      <c r="B23" s="9">
        <f>'PJT1_収支'!B14</f>
        <v>1000000</v>
      </c>
      <c r="C23" s="9">
        <f>'PJT2_収支'!B14</f>
        <v>1000000</v>
      </c>
      <c r="D23" s="9">
        <f t="shared" si="3"/>
        <v>2000000</v>
      </c>
    </row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G1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7.86"/>
    <col customWidth="1" min="2" max="6" width="15.0"/>
  </cols>
  <sheetData>
    <row r="1">
      <c r="A1" s="12" t="s">
        <v>26</v>
      </c>
    </row>
    <row r="3">
      <c r="A3" s="2" t="s">
        <v>27</v>
      </c>
    </row>
    <row r="4">
      <c r="A4" s="13" t="s">
        <v>28</v>
      </c>
      <c r="B4" s="13" t="s">
        <v>29</v>
      </c>
      <c r="C4" s="13" t="s">
        <v>30</v>
      </c>
      <c r="D4" s="13" t="s">
        <v>31</v>
      </c>
    </row>
    <row r="5">
      <c r="A5" s="14" t="s">
        <v>32</v>
      </c>
      <c r="B5" s="15">
        <v>30000.0</v>
      </c>
      <c r="C5" s="16">
        <v>20.0</v>
      </c>
      <c r="D5" s="9">
        <f t="shared" ref="D5:D10" si="1">B5*C5</f>
        <v>600000</v>
      </c>
    </row>
    <row r="6">
      <c r="A6" s="8" t="s">
        <v>33</v>
      </c>
      <c r="B6" s="15">
        <v>20000.0</v>
      </c>
      <c r="C6" s="16">
        <v>220.0</v>
      </c>
      <c r="D6" s="9">
        <f t="shared" si="1"/>
        <v>4400000</v>
      </c>
    </row>
    <row r="7">
      <c r="A7" s="11" t="s">
        <v>34</v>
      </c>
      <c r="B7" s="17">
        <v>8000.0</v>
      </c>
      <c r="C7" s="16">
        <v>0.0</v>
      </c>
      <c r="D7" s="9">
        <f t="shared" si="1"/>
        <v>0</v>
      </c>
    </row>
    <row r="8">
      <c r="A8" s="8" t="s">
        <v>35</v>
      </c>
      <c r="B8" s="17">
        <v>8000.0</v>
      </c>
      <c r="C8" s="16">
        <v>0.0</v>
      </c>
      <c r="D8" s="9">
        <f t="shared" si="1"/>
        <v>0</v>
      </c>
    </row>
    <row r="9">
      <c r="A9" s="8" t="s">
        <v>36</v>
      </c>
      <c r="B9" s="17">
        <v>3300.0</v>
      </c>
      <c r="C9" s="18">
        <f>C6*1.5</f>
        <v>330</v>
      </c>
      <c r="D9" s="9">
        <f t="shared" si="1"/>
        <v>1089000</v>
      </c>
    </row>
    <row r="10">
      <c r="A10" s="8" t="s">
        <v>37</v>
      </c>
      <c r="B10" s="17">
        <v>3300.0</v>
      </c>
      <c r="C10" s="16">
        <v>10.0</v>
      </c>
      <c r="D10" s="9">
        <f t="shared" si="1"/>
        <v>33000</v>
      </c>
    </row>
    <row r="11">
      <c r="A11" s="2" t="s">
        <v>38</v>
      </c>
      <c r="D11" s="19">
        <f>SUM(D5:D10)</f>
        <v>6122000</v>
      </c>
    </row>
    <row r="13">
      <c r="A13" s="2" t="s">
        <v>39</v>
      </c>
      <c r="J13" s="20">
        <f>11*12*3.5</f>
        <v>462</v>
      </c>
    </row>
    <row r="14">
      <c r="A14" s="13" t="s">
        <v>40</v>
      </c>
      <c r="B14" s="13" t="s">
        <v>29</v>
      </c>
      <c r="C14" s="13" t="s">
        <v>41</v>
      </c>
      <c r="D14" s="13" t="s">
        <v>42</v>
      </c>
      <c r="E14" s="13" t="s">
        <v>31</v>
      </c>
      <c r="F14" s="13" t="s">
        <v>43</v>
      </c>
      <c r="K14" s="21"/>
    </row>
    <row r="15">
      <c r="A15" s="11" t="s">
        <v>44</v>
      </c>
      <c r="B15" s="17">
        <v>50000.0</v>
      </c>
      <c r="C15" s="16">
        <f t="shared" ref="C15:C18" si="2">G15*2</f>
        <v>60</v>
      </c>
      <c r="D15" s="18">
        <f t="shared" ref="D15:D18" si="3">C15*F15</f>
        <v>18</v>
      </c>
      <c r="E15" s="9">
        <f t="shared" ref="E15:E18" si="4">B15*D15</f>
        <v>900000</v>
      </c>
      <c r="F15" s="22">
        <v>0.3</v>
      </c>
      <c r="G15" s="23">
        <v>30.0</v>
      </c>
      <c r="K15" s="21"/>
    </row>
    <row r="16">
      <c r="A16" s="11" t="s">
        <v>45</v>
      </c>
      <c r="B16" s="15">
        <v>10000.0</v>
      </c>
      <c r="C16" s="16">
        <f t="shared" si="2"/>
        <v>1200</v>
      </c>
      <c r="D16" s="18">
        <f t="shared" si="3"/>
        <v>1200</v>
      </c>
      <c r="E16" s="9">
        <f t="shared" si="4"/>
        <v>12000000</v>
      </c>
      <c r="F16" s="22">
        <v>1.0</v>
      </c>
      <c r="G16" s="23">
        <v>600.0</v>
      </c>
      <c r="K16" s="21"/>
    </row>
    <row r="17">
      <c r="A17" s="11" t="s">
        <v>46</v>
      </c>
      <c r="B17" s="15">
        <v>9000.0</v>
      </c>
      <c r="C17" s="16">
        <f t="shared" si="2"/>
        <v>920</v>
      </c>
      <c r="D17" s="18">
        <f t="shared" si="3"/>
        <v>552</v>
      </c>
      <c r="E17" s="9">
        <f t="shared" si="4"/>
        <v>4968000</v>
      </c>
      <c r="F17" s="22">
        <v>0.6</v>
      </c>
      <c r="G17" s="23">
        <v>460.0</v>
      </c>
      <c r="K17" s="21"/>
    </row>
    <row r="18">
      <c r="A18" s="11" t="s">
        <v>47</v>
      </c>
      <c r="B18" s="15">
        <v>5000.0</v>
      </c>
      <c r="C18" s="16">
        <f t="shared" si="2"/>
        <v>200</v>
      </c>
      <c r="D18" s="18">
        <f t="shared" si="3"/>
        <v>120</v>
      </c>
      <c r="E18" s="9">
        <f t="shared" si="4"/>
        <v>600000</v>
      </c>
      <c r="F18" s="22">
        <v>0.6</v>
      </c>
      <c r="G18" s="23">
        <v>100.0</v>
      </c>
    </row>
    <row r="19">
      <c r="A19" s="2" t="s">
        <v>48</v>
      </c>
      <c r="C19" s="2">
        <f t="shared" ref="C19:E19" si="5">SUM(C15:C18)</f>
        <v>2380</v>
      </c>
      <c r="D19" s="2">
        <f t="shared" si="5"/>
        <v>1890</v>
      </c>
      <c r="E19" s="19">
        <f t="shared" si="5"/>
        <v>18468000</v>
      </c>
      <c r="F19" s="24">
        <f>IF(C19=0,0,D19/C19)</f>
        <v>0.7941176471</v>
      </c>
      <c r="G19" s="20">
        <f>C19/2</f>
        <v>1190</v>
      </c>
    </row>
    <row r="21">
      <c r="A21" s="2" t="s">
        <v>49</v>
      </c>
    </row>
    <row r="22" ht="15.75" customHeight="1">
      <c r="A22" s="13" t="s">
        <v>50</v>
      </c>
      <c r="B22" s="13" t="s">
        <v>29</v>
      </c>
      <c r="C22" s="13" t="s">
        <v>51</v>
      </c>
      <c r="D22" s="13" t="s">
        <v>31</v>
      </c>
      <c r="F22" s="25" t="s">
        <v>52</v>
      </c>
    </row>
    <row r="23" ht="15.75" customHeight="1">
      <c r="A23" s="11" t="s">
        <v>53</v>
      </c>
      <c r="B23" s="15">
        <v>5000000.0</v>
      </c>
      <c r="C23" s="16">
        <v>0.0</v>
      </c>
      <c r="D23" s="9">
        <f t="shared" ref="D23:D26" si="6">B23*C23</f>
        <v>0</v>
      </c>
      <c r="F23" s="16">
        <v>1.0</v>
      </c>
    </row>
    <row r="24" ht="15.75" customHeight="1">
      <c r="A24" s="11" t="s">
        <v>54</v>
      </c>
      <c r="B24" s="15">
        <v>700000.0</v>
      </c>
      <c r="C24" s="16">
        <v>1.0</v>
      </c>
      <c r="D24" s="9">
        <f t="shared" si="6"/>
        <v>700000</v>
      </c>
      <c r="F24" s="16">
        <v>4.0</v>
      </c>
    </row>
    <row r="25" ht="15.75" customHeight="1">
      <c r="A25" s="11" t="s">
        <v>55</v>
      </c>
      <c r="B25" s="15">
        <v>300000.0</v>
      </c>
      <c r="C25" s="16">
        <v>0.0</v>
      </c>
      <c r="D25" s="9">
        <f t="shared" si="6"/>
        <v>0</v>
      </c>
      <c r="F25" s="16">
        <v>4.0</v>
      </c>
    </row>
    <row r="26" ht="15.75" customHeight="1">
      <c r="A26" s="11"/>
      <c r="B26" s="15"/>
      <c r="C26" s="18"/>
      <c r="D26" s="9">
        <f t="shared" si="6"/>
        <v>0</v>
      </c>
      <c r="F26" s="18">
        <v>0.0</v>
      </c>
    </row>
    <row r="27" ht="15.75" customHeight="1">
      <c r="A27" s="2" t="s">
        <v>56</v>
      </c>
      <c r="D27" s="19">
        <f>SUM(D23:D26)</f>
        <v>700000</v>
      </c>
    </row>
    <row r="28" ht="15.75" customHeight="1"/>
    <row r="29" ht="15.75" customHeight="1">
      <c r="A29" s="2" t="s">
        <v>57</v>
      </c>
    </row>
    <row r="30" ht="15.75" customHeight="1">
      <c r="A30" s="13" t="s">
        <v>6</v>
      </c>
      <c r="B30" s="13" t="s">
        <v>31</v>
      </c>
    </row>
    <row r="31" ht="15.75" customHeight="1">
      <c r="A31" s="8" t="s">
        <v>58</v>
      </c>
      <c r="B31" s="17">
        <v>800000.0</v>
      </c>
      <c r="D31" s="23" t="s">
        <v>29</v>
      </c>
    </row>
    <row r="32" ht="15.75" customHeight="1">
      <c r="A32" s="8" t="s">
        <v>59</v>
      </c>
      <c r="B32" s="15">
        <v>0.0</v>
      </c>
      <c r="C32" s="23" t="s">
        <v>60</v>
      </c>
      <c r="D32" s="23">
        <v>2000.0</v>
      </c>
    </row>
    <row r="33" ht="15.75" customHeight="1">
      <c r="A33" s="8" t="s">
        <v>61</v>
      </c>
      <c r="B33" s="15">
        <v>0.0</v>
      </c>
      <c r="D33" s="23">
        <v>3000.0</v>
      </c>
    </row>
    <row r="34" ht="15.75" customHeight="1">
      <c r="A34" s="8" t="s">
        <v>62</v>
      </c>
      <c r="B34" s="17">
        <v>200000.0</v>
      </c>
    </row>
    <row r="35" ht="15.75" customHeight="1">
      <c r="A35" s="2" t="s">
        <v>63</v>
      </c>
      <c r="B35" s="19">
        <f>SUM(B31:B34)</f>
        <v>1000000</v>
      </c>
    </row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A1:E1"/>
  </mergeCells>
  <printOptions/>
  <pageMargins bottom="1.0" footer="0.0" header="0.0" left="0.75" right="0.75" top="1.0"/>
  <pageSetup paperSize="9" orientation="portrait"/>
  <drawing r:id="rId4"/>
  <legacyDrawing r:id="rId5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6" width="15.0"/>
  </cols>
  <sheetData>
    <row r="1">
      <c r="A1" s="26" t="s">
        <v>64</v>
      </c>
    </row>
    <row r="3">
      <c r="A3" s="2" t="s">
        <v>27</v>
      </c>
    </row>
    <row r="4">
      <c r="A4" s="13" t="s">
        <v>28</v>
      </c>
      <c r="B4" s="13" t="s">
        <v>29</v>
      </c>
      <c r="C4" s="13" t="s">
        <v>30</v>
      </c>
      <c r="D4" s="13" t="s">
        <v>31</v>
      </c>
    </row>
    <row r="5">
      <c r="A5" s="14" t="s">
        <v>32</v>
      </c>
      <c r="B5" s="15">
        <v>30000.0</v>
      </c>
      <c r="C5" s="16">
        <v>20.0</v>
      </c>
      <c r="D5" s="9">
        <f t="shared" ref="D5:D10" si="1">B5*C5</f>
        <v>600000</v>
      </c>
    </row>
    <row r="6">
      <c r="A6" s="8" t="s">
        <v>33</v>
      </c>
      <c r="B6" s="15">
        <v>20000.0</v>
      </c>
      <c r="C6" s="16">
        <v>220.0</v>
      </c>
      <c r="D6" s="9">
        <f t="shared" si="1"/>
        <v>4400000</v>
      </c>
    </row>
    <row r="7">
      <c r="A7" s="11" t="s">
        <v>65</v>
      </c>
      <c r="B7" s="17">
        <v>8000.0</v>
      </c>
      <c r="C7" s="16">
        <v>0.0</v>
      </c>
      <c r="D7" s="9">
        <f t="shared" si="1"/>
        <v>0</v>
      </c>
    </row>
    <row r="8">
      <c r="A8" s="8" t="s">
        <v>66</v>
      </c>
      <c r="B8" s="17">
        <v>8000.0</v>
      </c>
      <c r="C8" s="16">
        <v>0.0</v>
      </c>
      <c r="D8" s="9">
        <f t="shared" si="1"/>
        <v>0</v>
      </c>
    </row>
    <row r="9">
      <c r="A9" s="8" t="s">
        <v>36</v>
      </c>
      <c r="B9" s="17">
        <v>3300.0</v>
      </c>
      <c r="C9" s="18">
        <f>C6*1.5</f>
        <v>330</v>
      </c>
      <c r="D9" s="9">
        <f t="shared" si="1"/>
        <v>1089000</v>
      </c>
    </row>
    <row r="10">
      <c r="A10" s="8" t="s">
        <v>37</v>
      </c>
      <c r="B10" s="17">
        <v>3300.0</v>
      </c>
      <c r="C10" s="16">
        <v>10.0</v>
      </c>
      <c r="D10" s="9">
        <f t="shared" si="1"/>
        <v>33000</v>
      </c>
    </row>
    <row r="11">
      <c r="A11" s="2" t="s">
        <v>38</v>
      </c>
      <c r="D11" s="19">
        <f>SUM(D5:D10)</f>
        <v>6122000</v>
      </c>
    </row>
    <row r="13">
      <c r="A13" s="2" t="s">
        <v>39</v>
      </c>
    </row>
    <row r="14">
      <c r="A14" s="13" t="s">
        <v>40</v>
      </c>
      <c r="B14" s="13" t="s">
        <v>29</v>
      </c>
      <c r="C14" s="13" t="s">
        <v>41</v>
      </c>
      <c r="D14" s="13" t="s">
        <v>42</v>
      </c>
      <c r="E14" s="13" t="s">
        <v>31</v>
      </c>
      <c r="F14" s="13" t="s">
        <v>43</v>
      </c>
    </row>
    <row r="15">
      <c r="A15" s="11" t="s">
        <v>67</v>
      </c>
      <c r="B15" s="17">
        <v>50000.0</v>
      </c>
      <c r="C15" s="27">
        <v>20.0</v>
      </c>
      <c r="D15" s="18">
        <f t="shared" ref="D15:D18" si="2">C15*F15</f>
        <v>6</v>
      </c>
      <c r="E15" s="9">
        <f t="shared" ref="E15:E18" si="3">B15*D15</f>
        <v>300000</v>
      </c>
      <c r="F15" s="22">
        <v>0.3</v>
      </c>
      <c r="G15" s="23">
        <v>30.0</v>
      </c>
    </row>
    <row r="16">
      <c r="A16" s="11" t="s">
        <v>68</v>
      </c>
      <c r="B16" s="15">
        <v>10000.0</v>
      </c>
      <c r="C16" s="27">
        <v>300.0</v>
      </c>
      <c r="D16" s="18">
        <f t="shared" si="2"/>
        <v>300</v>
      </c>
      <c r="E16" s="9">
        <f t="shared" si="3"/>
        <v>3000000</v>
      </c>
      <c r="F16" s="22">
        <v>1.0</v>
      </c>
      <c r="G16" s="23">
        <v>600.0</v>
      </c>
    </row>
    <row r="17">
      <c r="A17" s="11" t="s">
        <v>69</v>
      </c>
      <c r="B17" s="15">
        <v>9000.0</v>
      </c>
      <c r="C17" s="27">
        <v>1300.0</v>
      </c>
      <c r="D17" s="18">
        <f t="shared" si="2"/>
        <v>780</v>
      </c>
      <c r="E17" s="9">
        <f t="shared" si="3"/>
        <v>7020000</v>
      </c>
      <c r="F17" s="22">
        <v>0.6</v>
      </c>
      <c r="G17" s="23">
        <v>460.0</v>
      </c>
    </row>
    <row r="18">
      <c r="A18" s="11" t="s">
        <v>70</v>
      </c>
      <c r="B18" s="15">
        <v>5000.0</v>
      </c>
      <c r="C18" s="18">
        <v>600.0</v>
      </c>
      <c r="D18" s="18">
        <f t="shared" si="2"/>
        <v>360</v>
      </c>
      <c r="E18" s="9">
        <f t="shared" si="3"/>
        <v>1800000</v>
      </c>
      <c r="F18" s="22">
        <v>0.6</v>
      </c>
      <c r="G18" s="23">
        <v>100.0</v>
      </c>
    </row>
    <row r="19">
      <c r="A19" s="2" t="s">
        <v>48</v>
      </c>
      <c r="C19" s="2">
        <f t="shared" ref="C19:E19" si="4">SUM(C15:C18)</f>
        <v>2220</v>
      </c>
      <c r="D19" s="2">
        <f t="shared" si="4"/>
        <v>1446</v>
      </c>
      <c r="E19" s="19">
        <f t="shared" si="4"/>
        <v>12120000</v>
      </c>
      <c r="F19" s="24">
        <f>IF(C19=0,0,D19/C19)</f>
        <v>0.6513513514</v>
      </c>
    </row>
    <row r="21">
      <c r="A21" s="2" t="s">
        <v>49</v>
      </c>
    </row>
    <row r="22" ht="15.75" customHeight="1">
      <c r="A22" s="13" t="s">
        <v>50</v>
      </c>
      <c r="B22" s="13" t="s">
        <v>29</v>
      </c>
      <c r="C22" s="13" t="s">
        <v>51</v>
      </c>
      <c r="D22" s="13" t="s">
        <v>31</v>
      </c>
      <c r="F22" s="25" t="s">
        <v>52</v>
      </c>
    </row>
    <row r="23" ht="15.75" customHeight="1">
      <c r="A23" s="11" t="s">
        <v>71</v>
      </c>
      <c r="B23" s="17">
        <v>5000000.0</v>
      </c>
      <c r="C23" s="16">
        <v>1.0</v>
      </c>
      <c r="D23" s="9">
        <f t="shared" ref="D23:D26" si="5">B23*C23</f>
        <v>5000000</v>
      </c>
      <c r="F23" s="16">
        <v>1.0</v>
      </c>
    </row>
    <row r="24" ht="15.75" customHeight="1">
      <c r="A24" s="11" t="s">
        <v>54</v>
      </c>
      <c r="B24" s="17">
        <v>700000.0</v>
      </c>
      <c r="C24" s="16">
        <v>4.0</v>
      </c>
      <c r="D24" s="9">
        <f t="shared" si="5"/>
        <v>2800000</v>
      </c>
      <c r="F24" s="16">
        <v>4.0</v>
      </c>
    </row>
    <row r="25" ht="15.75" customHeight="1">
      <c r="A25" s="11" t="s">
        <v>55</v>
      </c>
      <c r="B25" s="17">
        <v>300000.0</v>
      </c>
      <c r="C25" s="16">
        <v>2.0</v>
      </c>
      <c r="D25" s="9">
        <f t="shared" si="5"/>
        <v>600000</v>
      </c>
      <c r="F25" s="16">
        <v>4.0</v>
      </c>
    </row>
    <row r="26" ht="15.75" customHeight="1">
      <c r="A26" s="11"/>
      <c r="B26" s="17"/>
      <c r="C26" s="18"/>
      <c r="D26" s="9">
        <f t="shared" si="5"/>
        <v>0</v>
      </c>
      <c r="F26" s="18">
        <v>0.0</v>
      </c>
    </row>
    <row r="27" ht="15.75" customHeight="1">
      <c r="A27" s="2" t="s">
        <v>56</v>
      </c>
      <c r="D27" s="19">
        <f>SUM(D23:D26)</f>
        <v>8400000</v>
      </c>
    </row>
    <row r="28" ht="15.75" customHeight="1"/>
    <row r="29" ht="15.75" customHeight="1">
      <c r="A29" s="2" t="s">
        <v>57</v>
      </c>
    </row>
    <row r="30" ht="15.75" customHeight="1">
      <c r="A30" s="13" t="s">
        <v>6</v>
      </c>
      <c r="B30" s="13" t="s">
        <v>31</v>
      </c>
    </row>
    <row r="31" ht="15.75" customHeight="1">
      <c r="A31" s="8" t="s">
        <v>58</v>
      </c>
      <c r="B31" s="17">
        <v>800000.0</v>
      </c>
    </row>
    <row r="32" ht="15.75" customHeight="1">
      <c r="A32" s="8" t="s">
        <v>59</v>
      </c>
      <c r="B32" s="15">
        <v>0.0</v>
      </c>
    </row>
    <row r="33" ht="15.75" customHeight="1">
      <c r="A33" s="8" t="s">
        <v>61</v>
      </c>
      <c r="B33" s="15">
        <v>0.0</v>
      </c>
    </row>
    <row r="34" ht="15.75" customHeight="1">
      <c r="A34" s="8" t="s">
        <v>62</v>
      </c>
      <c r="B34" s="17">
        <v>200000.0</v>
      </c>
    </row>
    <row r="35" ht="15.75" customHeight="1">
      <c r="A35" s="2" t="s">
        <v>63</v>
      </c>
      <c r="B35" s="19">
        <f>SUM(B31:B34)</f>
        <v>1000000</v>
      </c>
    </row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A1:E1"/>
  </mergeCells>
  <printOptions/>
  <pageMargins bottom="1.0" footer="0.0" header="0.0" left="0.75" right="0.75" top="1.0"/>
  <pageSetup paperSize="9" orientation="portrait"/>
  <drawing r:id="rId4"/>
  <legacy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5.0"/>
    <col customWidth="1" min="2" max="3" width="15.0"/>
    <col customWidth="1" min="4" max="6" width="30.0"/>
  </cols>
  <sheetData>
    <row r="1">
      <c r="A1" s="28" t="s">
        <v>72</v>
      </c>
    </row>
    <row r="3">
      <c r="A3" s="29" t="s">
        <v>73</v>
      </c>
      <c r="B3" s="29" t="s">
        <v>74</v>
      </c>
      <c r="C3" s="29" t="s">
        <v>75</v>
      </c>
      <c r="D3" s="29" t="s">
        <v>76</v>
      </c>
      <c r="E3" s="29" t="s">
        <v>77</v>
      </c>
    </row>
    <row r="4">
      <c r="A4" s="30" t="s">
        <v>78</v>
      </c>
      <c r="B4" s="31"/>
      <c r="C4" s="31"/>
      <c r="D4" s="31"/>
      <c r="E4" s="32"/>
    </row>
    <row r="5">
      <c r="A5" s="8" t="s">
        <v>79</v>
      </c>
      <c r="B5" s="33">
        <v>2500000.0</v>
      </c>
      <c r="C5" s="34">
        <v>2500000.0</v>
      </c>
      <c r="D5" s="11" t="s">
        <v>80</v>
      </c>
      <c r="E5" s="11"/>
    </row>
    <row r="6">
      <c r="A6" s="8" t="s">
        <v>81</v>
      </c>
      <c r="B6" s="33">
        <v>100000.0</v>
      </c>
      <c r="C6" s="35">
        <v>100000.0</v>
      </c>
      <c r="D6" s="8" t="s">
        <v>82</v>
      </c>
      <c r="E6" s="11"/>
    </row>
    <row r="7">
      <c r="A7" s="8" t="s">
        <v>83</v>
      </c>
      <c r="B7" s="33">
        <v>50000.0</v>
      </c>
      <c r="C7" s="35">
        <v>50000.0</v>
      </c>
      <c r="D7" s="8" t="s">
        <v>84</v>
      </c>
      <c r="E7" s="11"/>
    </row>
    <row r="8">
      <c r="A8" s="8" t="s">
        <v>85</v>
      </c>
      <c r="B8" s="33">
        <v>30000.0</v>
      </c>
      <c r="C8" s="35">
        <v>30000.0</v>
      </c>
      <c r="D8" s="8" t="s">
        <v>86</v>
      </c>
      <c r="E8" s="11"/>
    </row>
    <row r="9">
      <c r="A9" s="8" t="s">
        <v>87</v>
      </c>
      <c r="B9" s="36">
        <v>500000.0</v>
      </c>
      <c r="C9" s="35">
        <v>500000.0</v>
      </c>
      <c r="D9" s="8" t="s">
        <v>88</v>
      </c>
      <c r="E9" s="11"/>
    </row>
    <row r="10">
      <c r="A10" s="30" t="s">
        <v>89</v>
      </c>
      <c r="B10" s="31"/>
      <c r="C10" s="31"/>
      <c r="D10" s="31"/>
      <c r="E10" s="32"/>
    </row>
    <row r="11">
      <c r="A11" s="8" t="s">
        <v>90</v>
      </c>
      <c r="B11" s="33">
        <v>800000.0</v>
      </c>
      <c r="C11" s="35">
        <v>800000.0</v>
      </c>
      <c r="D11" s="8" t="s">
        <v>91</v>
      </c>
      <c r="E11" s="11"/>
    </row>
    <row r="12">
      <c r="A12" s="8" t="s">
        <v>92</v>
      </c>
      <c r="B12" s="37">
        <v>700000.0</v>
      </c>
      <c r="C12" s="34">
        <v>700000.0</v>
      </c>
      <c r="D12" s="8" t="s">
        <v>91</v>
      </c>
      <c r="E12" s="11"/>
    </row>
    <row r="13">
      <c r="A13" s="8" t="s">
        <v>93</v>
      </c>
      <c r="B13" s="34">
        <v>500000.0</v>
      </c>
      <c r="C13" s="34">
        <v>500000.0</v>
      </c>
      <c r="D13" s="8" t="s">
        <v>94</v>
      </c>
      <c r="E13" s="11"/>
    </row>
    <row r="14">
      <c r="A14" s="8" t="s">
        <v>95</v>
      </c>
      <c r="B14" s="34">
        <v>500000.0</v>
      </c>
      <c r="C14" s="34">
        <v>500000.0</v>
      </c>
      <c r="D14" s="8" t="s">
        <v>96</v>
      </c>
      <c r="E14" s="11"/>
    </row>
    <row r="15">
      <c r="A15" s="30" t="s">
        <v>97</v>
      </c>
      <c r="B15" s="31"/>
      <c r="C15" s="31"/>
      <c r="D15" s="31"/>
      <c r="E15" s="32"/>
    </row>
    <row r="16">
      <c r="A16" s="8" t="s">
        <v>98</v>
      </c>
      <c r="B16" s="33">
        <v>135000.0</v>
      </c>
      <c r="C16" s="34">
        <v>135000.0</v>
      </c>
      <c r="D16" s="11" t="s">
        <v>99</v>
      </c>
      <c r="E16" s="11" t="s">
        <v>100</v>
      </c>
    </row>
    <row r="17">
      <c r="A17" s="8" t="s">
        <v>101</v>
      </c>
      <c r="B17" s="33">
        <v>75000.0</v>
      </c>
      <c r="C17" s="35">
        <v>75000.0</v>
      </c>
      <c r="D17" s="11" t="s">
        <v>102</v>
      </c>
      <c r="E17" s="11" t="s">
        <v>103</v>
      </c>
    </row>
    <row r="18">
      <c r="A18" s="8" t="s">
        <v>104</v>
      </c>
      <c r="B18" s="33">
        <v>30000.0</v>
      </c>
      <c r="C18" s="35">
        <v>30000.0</v>
      </c>
      <c r="D18" s="11" t="s">
        <v>105</v>
      </c>
      <c r="E18" s="11" t="s">
        <v>106</v>
      </c>
    </row>
    <row r="19">
      <c r="A19" s="8" t="s">
        <v>107</v>
      </c>
      <c r="B19" s="33">
        <v>80000.0</v>
      </c>
      <c r="C19" s="35">
        <v>80000.0</v>
      </c>
      <c r="D19" s="38" t="s">
        <v>108</v>
      </c>
      <c r="E19" s="11" t="s">
        <v>109</v>
      </c>
    </row>
    <row r="20">
      <c r="A20" s="8" t="s">
        <v>110</v>
      </c>
      <c r="B20" s="36">
        <v>30000.0</v>
      </c>
      <c r="C20" s="35">
        <v>30000.0</v>
      </c>
      <c r="D20" s="8" t="s">
        <v>111</v>
      </c>
      <c r="E20" s="11"/>
    </row>
    <row r="21" ht="15.75" customHeight="1">
      <c r="A21" s="8" t="s">
        <v>112</v>
      </c>
      <c r="B21" s="33">
        <v>70000.0</v>
      </c>
      <c r="C21" s="35">
        <v>70000.0</v>
      </c>
      <c r="D21" s="11" t="s">
        <v>113</v>
      </c>
      <c r="E21" s="11" t="s">
        <v>114</v>
      </c>
    </row>
    <row r="22" ht="15.75" customHeight="1">
      <c r="A22" s="30" t="s">
        <v>115</v>
      </c>
      <c r="B22" s="31"/>
      <c r="C22" s="31"/>
      <c r="D22" s="31"/>
      <c r="E22" s="32"/>
    </row>
    <row r="23" ht="15.75" customHeight="1">
      <c r="A23" s="8" t="s">
        <v>116</v>
      </c>
      <c r="B23" s="37">
        <v>200000.0</v>
      </c>
      <c r="C23" s="34">
        <v>0.0</v>
      </c>
      <c r="D23" s="8" t="s">
        <v>117</v>
      </c>
      <c r="E23" s="11"/>
    </row>
    <row r="24" ht="15.75" customHeight="1">
      <c r="A24" s="39" t="s">
        <v>118</v>
      </c>
      <c r="B24" s="40">
        <v>15000.0</v>
      </c>
      <c r="C24" s="41">
        <v>0.0</v>
      </c>
      <c r="D24" s="39" t="s">
        <v>119</v>
      </c>
      <c r="E24" s="42"/>
    </row>
    <row r="25" ht="15.75" customHeight="1">
      <c r="A25" s="8" t="s">
        <v>120</v>
      </c>
      <c r="B25" s="34">
        <v>50000.0</v>
      </c>
      <c r="C25" s="34">
        <v>0.0</v>
      </c>
      <c r="D25" s="8" t="s">
        <v>121</v>
      </c>
      <c r="E25" s="11"/>
    </row>
    <row r="26" ht="15.75" customHeight="1">
      <c r="A26" s="8" t="s">
        <v>122</v>
      </c>
      <c r="B26" s="34">
        <v>150000.0</v>
      </c>
      <c r="C26" s="34">
        <v>150000.0</v>
      </c>
      <c r="D26" s="8" t="s">
        <v>123</v>
      </c>
      <c r="E26" s="11"/>
    </row>
    <row r="27" ht="15.75" customHeight="1">
      <c r="A27" s="8" t="s">
        <v>124</v>
      </c>
      <c r="B27" s="34">
        <v>150000.0</v>
      </c>
      <c r="C27" s="34">
        <v>150000.0</v>
      </c>
      <c r="D27" s="8" t="s">
        <v>125</v>
      </c>
      <c r="E27" s="11"/>
    </row>
    <row r="28" ht="15.75" customHeight="1">
      <c r="A28" s="8" t="s">
        <v>126</v>
      </c>
      <c r="B28" s="34">
        <v>30000.0</v>
      </c>
      <c r="C28" s="34">
        <v>30000.0</v>
      </c>
      <c r="D28" s="8" t="s">
        <v>127</v>
      </c>
      <c r="E28" s="11"/>
    </row>
    <row r="29" ht="15.75" customHeight="1">
      <c r="A29" s="8" t="s">
        <v>128</v>
      </c>
      <c r="B29" s="34">
        <v>30000.0</v>
      </c>
      <c r="C29" s="34">
        <v>30000.0</v>
      </c>
      <c r="D29" s="11"/>
      <c r="E29" s="11"/>
    </row>
    <row r="30" ht="15.75" customHeight="1">
      <c r="A30" s="8" t="s">
        <v>129</v>
      </c>
      <c r="B30" s="34">
        <v>20000.0</v>
      </c>
      <c r="C30" s="34">
        <v>20000.0</v>
      </c>
      <c r="D30" s="8" t="s">
        <v>130</v>
      </c>
      <c r="E30" s="11"/>
    </row>
    <row r="31" ht="15.75" customHeight="1">
      <c r="A31" s="8" t="s">
        <v>131</v>
      </c>
      <c r="B31" s="34">
        <v>30000.0</v>
      </c>
      <c r="C31" s="34">
        <v>30000.0</v>
      </c>
      <c r="D31" s="8" t="s">
        <v>132</v>
      </c>
      <c r="E31" s="11"/>
    </row>
    <row r="32" ht="15.75" customHeight="1">
      <c r="A32" s="8" t="s">
        <v>133</v>
      </c>
      <c r="B32" s="34">
        <v>5000.0</v>
      </c>
      <c r="C32" s="34">
        <v>5000.0</v>
      </c>
      <c r="D32" s="8" t="s">
        <v>134</v>
      </c>
      <c r="E32" s="11"/>
    </row>
    <row r="33" ht="15.75" customHeight="1">
      <c r="A33" s="30" t="s">
        <v>135</v>
      </c>
      <c r="B33" s="31"/>
      <c r="C33" s="31"/>
      <c r="D33" s="31"/>
      <c r="E33" s="32"/>
    </row>
    <row r="34" ht="15.75" customHeight="1">
      <c r="A34" s="8" t="s">
        <v>136</v>
      </c>
      <c r="B34" s="34">
        <v>100000.0</v>
      </c>
      <c r="C34" s="34">
        <v>0.0</v>
      </c>
      <c r="D34" s="11" t="s">
        <v>137</v>
      </c>
      <c r="E34" s="11"/>
    </row>
    <row r="35" ht="15.75" customHeight="1">
      <c r="A35" s="8" t="s">
        <v>138</v>
      </c>
      <c r="B35" s="34">
        <v>50000.0</v>
      </c>
      <c r="C35" s="34">
        <v>50000.0</v>
      </c>
      <c r="D35" s="8" t="s">
        <v>123</v>
      </c>
      <c r="E35" s="11"/>
    </row>
    <row r="36" ht="15.75" customHeight="1">
      <c r="A36" s="8" t="s">
        <v>139</v>
      </c>
      <c r="B36" s="34">
        <v>50000.0</v>
      </c>
      <c r="C36" s="34">
        <v>0.0</v>
      </c>
      <c r="D36" s="11" t="s">
        <v>140</v>
      </c>
      <c r="E36" s="11"/>
    </row>
    <row r="37" ht="15.75" customHeight="1">
      <c r="A37" s="8" t="s">
        <v>141</v>
      </c>
      <c r="B37" s="34">
        <v>30000.0</v>
      </c>
      <c r="C37" s="34">
        <v>0.0</v>
      </c>
      <c r="D37" s="11" t="s">
        <v>142</v>
      </c>
      <c r="E37" s="11"/>
    </row>
    <row r="38" ht="15.75" customHeight="1">
      <c r="A38" s="30" t="s">
        <v>143</v>
      </c>
      <c r="B38" s="31"/>
      <c r="C38" s="31"/>
      <c r="D38" s="31"/>
      <c r="E38" s="32"/>
    </row>
    <row r="39" ht="15.75" customHeight="1">
      <c r="A39" s="8" t="s">
        <v>144</v>
      </c>
      <c r="B39" s="34">
        <v>300000.0</v>
      </c>
      <c r="C39" s="34">
        <v>0.0</v>
      </c>
      <c r="D39" s="8" t="s">
        <v>145</v>
      </c>
      <c r="E39" s="11"/>
    </row>
    <row r="40" ht="15.75" customHeight="1">
      <c r="A40" s="8" t="s">
        <v>146</v>
      </c>
      <c r="B40" s="34">
        <v>200000.0</v>
      </c>
      <c r="C40" s="34">
        <v>0.0</v>
      </c>
      <c r="D40" s="8" t="s">
        <v>147</v>
      </c>
      <c r="E40" s="11"/>
    </row>
    <row r="41" ht="15.75" customHeight="1">
      <c r="A41" s="8" t="s">
        <v>148</v>
      </c>
      <c r="B41" s="34">
        <f>('PJT1_入力'!D11+'PJT1_入力'!E19+'PJT1_入力'!D27+'PJT1_入力'!B35)*0.036</f>
        <v>946440</v>
      </c>
      <c r="C41" s="34">
        <f>('PJT2_入力'!D11+'PJT2_入力'!E19+'PJT2_入力'!D27+'PJT2_入力'!B35)*0.036</f>
        <v>995112</v>
      </c>
      <c r="D41" s="8" t="s">
        <v>149</v>
      </c>
      <c r="E41" s="11"/>
    </row>
    <row r="42" ht="15.75" customHeight="1">
      <c r="A42" s="30" t="s">
        <v>150</v>
      </c>
      <c r="B42" s="31"/>
      <c r="C42" s="31"/>
      <c r="D42" s="31"/>
      <c r="E42" s="32"/>
    </row>
    <row r="43" ht="15.75" customHeight="1">
      <c r="A43" s="8" t="s">
        <v>151</v>
      </c>
      <c r="B43" s="34">
        <v>50000.0</v>
      </c>
      <c r="C43" s="34">
        <v>50000.0</v>
      </c>
      <c r="D43" s="8" t="s">
        <v>152</v>
      </c>
      <c r="E43" s="11"/>
    </row>
    <row r="44" ht="15.75" customHeight="1">
      <c r="A44" s="8" t="s">
        <v>153</v>
      </c>
      <c r="B44" s="34">
        <v>20000.0</v>
      </c>
      <c r="C44" s="34">
        <v>20000.0</v>
      </c>
      <c r="D44" s="8" t="s">
        <v>154</v>
      </c>
      <c r="E44" s="11"/>
    </row>
    <row r="45" ht="15.75" customHeight="1">
      <c r="A45" s="8" t="s">
        <v>155</v>
      </c>
      <c r="B45" s="34">
        <v>50000.0</v>
      </c>
      <c r="C45" s="34">
        <v>0.0</v>
      </c>
      <c r="D45" s="8" t="s">
        <v>156</v>
      </c>
      <c r="E45" s="11"/>
    </row>
    <row r="46" ht="15.75" customHeight="1">
      <c r="A46" s="30" t="s">
        <v>157</v>
      </c>
      <c r="B46" s="31"/>
      <c r="C46" s="31"/>
      <c r="D46" s="31"/>
      <c r="E46" s="32"/>
    </row>
    <row r="47" ht="15.75" customHeight="1">
      <c r="A47" s="8" t="s">
        <v>158</v>
      </c>
      <c r="B47" s="34">
        <v>10000.0</v>
      </c>
      <c r="C47" s="34">
        <v>10000.0</v>
      </c>
      <c r="D47" s="8" t="s">
        <v>159</v>
      </c>
      <c r="E47" s="11"/>
    </row>
    <row r="48" ht="15.75" customHeight="1">
      <c r="A48" s="8" t="s">
        <v>160</v>
      </c>
      <c r="B48" s="34">
        <v>20000.0</v>
      </c>
      <c r="C48" s="34">
        <v>20000.0</v>
      </c>
      <c r="D48" s="11"/>
      <c r="E48" s="11"/>
    </row>
    <row r="49" ht="15.75" customHeight="1">
      <c r="A49" s="8" t="s">
        <v>161</v>
      </c>
      <c r="B49" s="34">
        <v>10000.0</v>
      </c>
      <c r="C49" s="34">
        <v>10000.0</v>
      </c>
      <c r="D49" s="11"/>
      <c r="E49" s="11"/>
    </row>
    <row r="50" ht="15.75" customHeight="1">
      <c r="A50" s="30" t="s">
        <v>162</v>
      </c>
      <c r="B50" s="31"/>
      <c r="C50" s="31"/>
      <c r="D50" s="31"/>
      <c r="E50" s="32"/>
    </row>
    <row r="51" ht="15.75" customHeight="1">
      <c r="A51" s="8" t="s">
        <v>163</v>
      </c>
      <c r="B51" s="34">
        <v>30000.0</v>
      </c>
      <c r="C51" s="34">
        <v>0.0</v>
      </c>
      <c r="D51" s="11" t="s">
        <v>164</v>
      </c>
      <c r="E51" s="11"/>
    </row>
    <row r="52" ht="15.75" customHeight="1">
      <c r="A52" s="8" t="s">
        <v>165</v>
      </c>
      <c r="B52" s="34">
        <v>50000.0</v>
      </c>
      <c r="C52" s="34">
        <v>50000.0</v>
      </c>
      <c r="D52" s="8" t="s">
        <v>166</v>
      </c>
      <c r="E52" s="11"/>
    </row>
    <row r="53" ht="15.75" customHeight="1">
      <c r="A53" s="8" t="s">
        <v>167</v>
      </c>
      <c r="B53" s="34">
        <v>100000.0</v>
      </c>
      <c r="C53" s="34">
        <v>0.0</v>
      </c>
      <c r="D53" s="8" t="s">
        <v>168</v>
      </c>
      <c r="E53" s="11"/>
    </row>
    <row r="54" ht="15.75" customHeight="1">
      <c r="A54" s="30" t="s">
        <v>169</v>
      </c>
      <c r="B54" s="31"/>
      <c r="C54" s="31"/>
      <c r="D54" s="31"/>
      <c r="E54" s="32"/>
    </row>
    <row r="55" ht="15.75" customHeight="1">
      <c r="A55" s="8" t="s">
        <v>170</v>
      </c>
      <c r="B55" s="34">
        <v>50000.0</v>
      </c>
      <c r="C55" s="34">
        <v>100000.0</v>
      </c>
      <c r="D55" s="8" t="s">
        <v>171</v>
      </c>
      <c r="E55" s="11"/>
    </row>
    <row r="56" ht="15.75" customHeight="1">
      <c r="A56" s="8" t="s">
        <v>172</v>
      </c>
      <c r="B56" s="34">
        <v>0.0</v>
      </c>
      <c r="C56" s="34">
        <v>100000.0</v>
      </c>
      <c r="D56" s="8" t="s">
        <v>173</v>
      </c>
      <c r="E56" s="11"/>
    </row>
    <row r="57" ht="15.75" customHeight="1">
      <c r="A57" s="30" t="s">
        <v>174</v>
      </c>
      <c r="B57" s="31"/>
      <c r="C57" s="31"/>
      <c r="D57" s="31"/>
      <c r="E57" s="32"/>
    </row>
    <row r="58" ht="15.75" customHeight="1">
      <c r="A58" s="8" t="s">
        <v>175</v>
      </c>
      <c r="B58" s="34">
        <v>50000.0</v>
      </c>
      <c r="C58" s="34">
        <v>50000.0</v>
      </c>
      <c r="D58" s="8" t="s">
        <v>176</v>
      </c>
      <c r="E58" s="11"/>
    </row>
    <row r="59" ht="15.75" customHeight="1">
      <c r="A59" s="8" t="s">
        <v>177</v>
      </c>
      <c r="B59" s="34">
        <v>300000.0</v>
      </c>
      <c r="C59" s="34">
        <v>300000.0</v>
      </c>
      <c r="D59" s="8" t="s">
        <v>178</v>
      </c>
      <c r="E59" s="11"/>
    </row>
    <row r="60" ht="15.75" customHeight="1">
      <c r="A60" s="43" t="s">
        <v>179</v>
      </c>
      <c r="B60" s="31"/>
      <c r="C60" s="31"/>
      <c r="D60" s="31"/>
      <c r="E60" s="32"/>
    </row>
    <row r="61" ht="15.75" customHeight="1">
      <c r="A61" s="14" t="s">
        <v>180</v>
      </c>
      <c r="B61" s="44">
        <v>4500000.0</v>
      </c>
      <c r="C61" s="44">
        <v>4500000.0</v>
      </c>
      <c r="D61" s="14" t="s">
        <v>181</v>
      </c>
      <c r="E61" s="11"/>
    </row>
    <row r="62" ht="15.75" customHeight="1">
      <c r="A62" s="3"/>
      <c r="B62" s="45"/>
      <c r="C62" s="45"/>
      <c r="D62" s="3"/>
      <c r="E62" s="46"/>
    </row>
    <row r="63" ht="15.75" customHeight="1"/>
    <row r="64" ht="15.75" customHeight="1">
      <c r="A64" s="47" t="s">
        <v>182</v>
      </c>
      <c r="B64" s="48">
        <f t="shared" ref="B64:C64" si="1">SUM(B5,B6,B7,B8,B9,B11,B12,B13,B14,B16,B17,B18,B19,B20,B21,B23,B25,B26,B27,B28,B29,B30,B31,B32,B34,B35,B36,B37,B39,B40,B41,B43,B44,B45,B47,B48,B49,B51,B52,B53,B55,B56,B58,B59,B61,B24)</f>
        <v>13696440</v>
      </c>
      <c r="C64" s="48">
        <f t="shared" si="1"/>
        <v>12770112</v>
      </c>
      <c r="D64" s="11"/>
      <c r="E64" s="11"/>
    </row>
    <row r="65" ht="15.75" customHeight="1"/>
    <row r="66" ht="15.75" customHeight="1">
      <c r="A66" s="49" t="s">
        <v>183</v>
      </c>
      <c r="B66" s="50">
        <f>B64+C64</f>
        <v>26466552</v>
      </c>
    </row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13">
    <mergeCell ref="A42:E42"/>
    <mergeCell ref="A46:E46"/>
    <mergeCell ref="A50:E50"/>
    <mergeCell ref="A54:E54"/>
    <mergeCell ref="A57:E57"/>
    <mergeCell ref="A60:E60"/>
    <mergeCell ref="A1:E1"/>
    <mergeCell ref="A4:E4"/>
    <mergeCell ref="A10:E10"/>
    <mergeCell ref="A15:E15"/>
    <mergeCell ref="A22:E22"/>
    <mergeCell ref="A33:E33"/>
    <mergeCell ref="A38:E38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5.0"/>
    <col customWidth="1" min="2" max="3" width="15.0"/>
    <col customWidth="1" min="4" max="6" width="30.0"/>
  </cols>
  <sheetData>
    <row r="1">
      <c r="A1" s="28" t="s">
        <v>72</v>
      </c>
    </row>
    <row r="3">
      <c r="A3" s="29" t="s">
        <v>73</v>
      </c>
      <c r="B3" s="29" t="s">
        <v>184</v>
      </c>
      <c r="C3" s="29" t="s">
        <v>185</v>
      </c>
      <c r="D3" s="29" t="s">
        <v>76</v>
      </c>
      <c r="E3" s="29" t="s">
        <v>186</v>
      </c>
    </row>
    <row r="4">
      <c r="A4" s="30" t="s">
        <v>187</v>
      </c>
      <c r="B4" s="31"/>
      <c r="C4" s="31"/>
      <c r="D4" s="31"/>
      <c r="E4" s="32"/>
      <c r="F4" s="51" t="s">
        <v>188</v>
      </c>
    </row>
    <row r="5">
      <c r="A5" s="8" t="s">
        <v>79</v>
      </c>
      <c r="B5" s="33">
        <v>2500000.0</v>
      </c>
      <c r="C5" s="34">
        <v>2500000.0</v>
      </c>
      <c r="D5" s="11" t="s">
        <v>189</v>
      </c>
      <c r="E5" s="11"/>
    </row>
    <row r="6">
      <c r="A6" s="8" t="s">
        <v>81</v>
      </c>
      <c r="B6" s="33">
        <v>100000.0</v>
      </c>
      <c r="C6" s="35">
        <v>100000.0</v>
      </c>
      <c r="D6" s="8" t="s">
        <v>82</v>
      </c>
      <c r="E6" s="11"/>
    </row>
    <row r="7">
      <c r="A7" s="8" t="s">
        <v>83</v>
      </c>
      <c r="B7" s="33">
        <v>50000.0</v>
      </c>
      <c r="C7" s="35">
        <v>50000.0</v>
      </c>
      <c r="D7" s="8" t="s">
        <v>84</v>
      </c>
      <c r="E7" s="11"/>
    </row>
    <row r="8">
      <c r="A8" s="8" t="s">
        <v>85</v>
      </c>
      <c r="B8" s="33">
        <v>30000.0</v>
      </c>
      <c r="C8" s="35">
        <v>30000.0</v>
      </c>
      <c r="D8" s="8" t="s">
        <v>86</v>
      </c>
      <c r="E8" s="11"/>
    </row>
    <row r="9">
      <c r="A9" s="8" t="s">
        <v>87</v>
      </c>
      <c r="B9" s="36">
        <v>500000.0</v>
      </c>
      <c r="C9" s="35">
        <v>500000.0</v>
      </c>
      <c r="D9" s="8" t="s">
        <v>88</v>
      </c>
      <c r="E9" s="11"/>
    </row>
    <row r="10">
      <c r="A10" s="30" t="s">
        <v>190</v>
      </c>
      <c r="B10" s="31"/>
      <c r="C10" s="31"/>
      <c r="D10" s="31"/>
      <c r="E10" s="32"/>
    </row>
    <row r="11">
      <c r="A11" s="8" t="s">
        <v>90</v>
      </c>
      <c r="B11" s="33">
        <v>800000.0</v>
      </c>
      <c r="C11" s="35">
        <v>800000.0</v>
      </c>
      <c r="D11" s="8" t="s">
        <v>91</v>
      </c>
      <c r="E11" s="11"/>
    </row>
    <row r="12">
      <c r="A12" s="8" t="s">
        <v>92</v>
      </c>
      <c r="B12" s="37">
        <v>700000.0</v>
      </c>
      <c r="C12" s="34">
        <v>700000.0</v>
      </c>
      <c r="D12" s="8" t="s">
        <v>91</v>
      </c>
      <c r="E12" s="11"/>
    </row>
    <row r="13">
      <c r="A13" s="8" t="s">
        <v>93</v>
      </c>
      <c r="B13" s="34">
        <v>500000.0</v>
      </c>
      <c r="C13" s="34">
        <v>500000.0</v>
      </c>
      <c r="D13" s="8" t="s">
        <v>94</v>
      </c>
      <c r="E13" s="11"/>
    </row>
    <row r="14">
      <c r="A14" s="8" t="s">
        <v>95</v>
      </c>
      <c r="B14" s="34">
        <v>500000.0</v>
      </c>
      <c r="C14" s="34">
        <v>500000.0</v>
      </c>
      <c r="D14" s="8" t="s">
        <v>96</v>
      </c>
      <c r="E14" s="11"/>
    </row>
    <row r="15">
      <c r="A15" s="30" t="s">
        <v>191</v>
      </c>
      <c r="B15" s="31"/>
      <c r="C15" s="31"/>
      <c r="D15" s="31"/>
      <c r="E15" s="32"/>
    </row>
    <row r="16">
      <c r="A16" s="8" t="s">
        <v>98</v>
      </c>
      <c r="B16" s="33">
        <v>135000.0</v>
      </c>
      <c r="C16" s="34">
        <v>135000.0</v>
      </c>
      <c r="D16" s="11" t="s">
        <v>192</v>
      </c>
      <c r="E16" s="11" t="s">
        <v>193</v>
      </c>
    </row>
    <row r="17">
      <c r="A17" s="8" t="s">
        <v>101</v>
      </c>
      <c r="B17" s="33">
        <v>75000.0</v>
      </c>
      <c r="C17" s="35">
        <v>75000.0</v>
      </c>
      <c r="D17" s="11" t="s">
        <v>194</v>
      </c>
      <c r="E17" s="11" t="s">
        <v>195</v>
      </c>
    </row>
    <row r="18">
      <c r="A18" s="8" t="s">
        <v>104</v>
      </c>
      <c r="B18" s="33">
        <v>30000.0</v>
      </c>
      <c r="C18" s="35">
        <v>30000.0</v>
      </c>
      <c r="D18" s="11" t="s">
        <v>196</v>
      </c>
      <c r="E18" s="11" t="s">
        <v>197</v>
      </c>
    </row>
    <row r="19">
      <c r="A19" s="8" t="s">
        <v>198</v>
      </c>
      <c r="B19" s="33">
        <v>80000.0</v>
      </c>
      <c r="C19" s="35">
        <v>80000.0</v>
      </c>
      <c r="D19" s="38" t="s">
        <v>199</v>
      </c>
      <c r="E19" s="11" t="s">
        <v>200</v>
      </c>
    </row>
    <row r="20">
      <c r="A20" s="8" t="s">
        <v>110</v>
      </c>
      <c r="B20" s="36">
        <v>30000.0</v>
      </c>
      <c r="C20" s="35">
        <v>30000.0</v>
      </c>
      <c r="D20" s="8" t="s">
        <v>111</v>
      </c>
      <c r="E20" s="11"/>
    </row>
    <row r="21" ht="15.75" customHeight="1">
      <c r="A21" s="8" t="s">
        <v>112</v>
      </c>
      <c r="B21" s="33">
        <v>70000.0</v>
      </c>
      <c r="C21" s="35">
        <v>70000.0</v>
      </c>
      <c r="D21" s="11" t="s">
        <v>201</v>
      </c>
      <c r="E21" s="11" t="s">
        <v>202</v>
      </c>
    </row>
    <row r="22" ht="15.75" customHeight="1">
      <c r="A22" s="30" t="s">
        <v>203</v>
      </c>
      <c r="B22" s="31"/>
      <c r="C22" s="31"/>
      <c r="D22" s="31"/>
      <c r="E22" s="32"/>
    </row>
    <row r="23" ht="15.75" customHeight="1">
      <c r="A23" s="8" t="s">
        <v>116</v>
      </c>
      <c r="B23" s="37">
        <v>200000.0</v>
      </c>
      <c r="C23" s="34">
        <v>0.0</v>
      </c>
      <c r="D23" s="8" t="s">
        <v>204</v>
      </c>
      <c r="E23" s="11"/>
    </row>
    <row r="24" ht="15.75" customHeight="1">
      <c r="A24" s="39" t="s">
        <v>118</v>
      </c>
      <c r="B24" s="40">
        <v>15000.0</v>
      </c>
      <c r="C24" s="41">
        <v>0.0</v>
      </c>
      <c r="D24" s="39" t="s">
        <v>205</v>
      </c>
      <c r="E24" s="42"/>
    </row>
    <row r="25" ht="15.75" customHeight="1">
      <c r="A25" s="8" t="s">
        <v>120</v>
      </c>
      <c r="B25" s="34">
        <v>50000.0</v>
      </c>
      <c r="C25" s="34">
        <v>0.0</v>
      </c>
      <c r="D25" s="8" t="s">
        <v>206</v>
      </c>
      <c r="E25" s="11"/>
    </row>
    <row r="26" ht="15.75" customHeight="1">
      <c r="A26" s="8" t="s">
        <v>122</v>
      </c>
      <c r="B26" s="34">
        <v>150000.0</v>
      </c>
      <c r="C26" s="34">
        <v>150000.0</v>
      </c>
      <c r="D26" s="8" t="s">
        <v>123</v>
      </c>
      <c r="E26" s="11"/>
    </row>
    <row r="27" ht="15.75" customHeight="1">
      <c r="A27" s="8" t="s">
        <v>124</v>
      </c>
      <c r="B27" s="34">
        <v>150000.0</v>
      </c>
      <c r="C27" s="34">
        <v>150000.0</v>
      </c>
      <c r="D27" s="8" t="s">
        <v>125</v>
      </c>
      <c r="E27" s="11"/>
    </row>
    <row r="28" ht="15.75" customHeight="1">
      <c r="A28" s="8" t="s">
        <v>126</v>
      </c>
      <c r="B28" s="34">
        <v>30000.0</v>
      </c>
      <c r="C28" s="34">
        <v>30000.0</v>
      </c>
      <c r="D28" s="8" t="s">
        <v>127</v>
      </c>
      <c r="E28" s="11"/>
    </row>
    <row r="29" ht="15.75" customHeight="1">
      <c r="A29" s="8" t="s">
        <v>128</v>
      </c>
      <c r="B29" s="34">
        <v>30000.0</v>
      </c>
      <c r="C29" s="34">
        <v>30000.0</v>
      </c>
      <c r="D29" s="11"/>
      <c r="E29" s="11"/>
    </row>
    <row r="30" ht="15.75" customHeight="1">
      <c r="A30" s="8" t="s">
        <v>129</v>
      </c>
      <c r="B30" s="34">
        <v>20000.0</v>
      </c>
      <c r="C30" s="34">
        <v>20000.0</v>
      </c>
      <c r="D30" s="8" t="s">
        <v>130</v>
      </c>
      <c r="E30" s="11"/>
    </row>
    <row r="31" ht="15.75" customHeight="1">
      <c r="A31" s="8" t="s">
        <v>131</v>
      </c>
      <c r="B31" s="34">
        <v>30000.0</v>
      </c>
      <c r="C31" s="34">
        <v>30000.0</v>
      </c>
      <c r="D31" s="8" t="s">
        <v>132</v>
      </c>
      <c r="E31" s="11"/>
    </row>
    <row r="32" ht="15.75" customHeight="1">
      <c r="A32" s="8" t="s">
        <v>133</v>
      </c>
      <c r="B32" s="34">
        <v>5000.0</v>
      </c>
      <c r="C32" s="34">
        <v>5000.0</v>
      </c>
      <c r="D32" s="8" t="s">
        <v>134</v>
      </c>
      <c r="E32" s="11"/>
    </row>
    <row r="33" ht="15.75" customHeight="1">
      <c r="A33" s="30" t="s">
        <v>207</v>
      </c>
      <c r="B33" s="31"/>
      <c r="C33" s="31"/>
      <c r="D33" s="31"/>
      <c r="E33" s="32"/>
    </row>
    <row r="34" ht="15.75" customHeight="1">
      <c r="A34" s="8" t="s">
        <v>136</v>
      </c>
      <c r="B34" s="34">
        <v>100000.0</v>
      </c>
      <c r="C34" s="34">
        <v>0.0</v>
      </c>
      <c r="D34" s="11" t="s">
        <v>208</v>
      </c>
      <c r="E34" s="11"/>
    </row>
    <row r="35" ht="15.75" customHeight="1">
      <c r="A35" s="8" t="s">
        <v>138</v>
      </c>
      <c r="B35" s="34">
        <v>50000.0</v>
      </c>
      <c r="C35" s="34">
        <v>50000.0</v>
      </c>
      <c r="D35" s="8" t="s">
        <v>123</v>
      </c>
      <c r="E35" s="11"/>
    </row>
    <row r="36" ht="15.75" customHeight="1">
      <c r="A36" s="8" t="s">
        <v>209</v>
      </c>
      <c r="B36" s="34">
        <v>50000.0</v>
      </c>
      <c r="C36" s="34">
        <v>0.0</v>
      </c>
      <c r="D36" s="11" t="s">
        <v>210</v>
      </c>
      <c r="E36" s="11"/>
    </row>
    <row r="37" ht="15.75" customHeight="1">
      <c r="A37" s="8" t="s">
        <v>211</v>
      </c>
      <c r="B37" s="34">
        <v>30000.0</v>
      </c>
      <c r="C37" s="34">
        <v>0.0</v>
      </c>
      <c r="D37" s="11" t="s">
        <v>212</v>
      </c>
      <c r="E37" s="11"/>
    </row>
    <row r="38" ht="15.75" customHeight="1">
      <c r="A38" s="30" t="s">
        <v>213</v>
      </c>
      <c r="B38" s="31"/>
      <c r="C38" s="31"/>
      <c r="D38" s="31"/>
      <c r="E38" s="32"/>
    </row>
    <row r="39" ht="15.75" customHeight="1">
      <c r="A39" s="8" t="s">
        <v>214</v>
      </c>
      <c r="B39" s="34">
        <v>300000.0</v>
      </c>
      <c r="C39" s="34">
        <v>0.0</v>
      </c>
      <c r="D39" s="8" t="s">
        <v>145</v>
      </c>
      <c r="E39" s="11"/>
    </row>
    <row r="40" ht="15.75" customHeight="1">
      <c r="A40" s="8" t="s">
        <v>215</v>
      </c>
      <c r="B40" s="34">
        <v>200000.0</v>
      </c>
      <c r="C40" s="34">
        <v>0.0</v>
      </c>
      <c r="D40" s="8" t="s">
        <v>147</v>
      </c>
      <c r="E40" s="11"/>
    </row>
    <row r="41" ht="15.75" customHeight="1">
      <c r="A41" s="8" t="s">
        <v>216</v>
      </c>
      <c r="B41" s="34">
        <f>('PJT1_入力'!D11+'PJT1_入力'!E19+'PJT1_入力'!D27+'PJT1_入力'!B35)*0.036</f>
        <v>946440</v>
      </c>
      <c r="C41" s="34">
        <f>('PJT2_入力'!D11+'PJT2_入力'!E19+'PJT2_入力'!D27+'PJT2_入力'!B35)*0.036</f>
        <v>995112</v>
      </c>
      <c r="D41" s="8" t="s">
        <v>149</v>
      </c>
      <c r="E41" s="11"/>
    </row>
    <row r="42" ht="15.75" customHeight="1">
      <c r="A42" s="30" t="s">
        <v>217</v>
      </c>
      <c r="B42" s="31"/>
      <c r="C42" s="31"/>
      <c r="D42" s="31"/>
      <c r="E42" s="32"/>
    </row>
    <row r="43" ht="15.75" customHeight="1">
      <c r="A43" s="8" t="s">
        <v>151</v>
      </c>
      <c r="B43" s="34">
        <v>50000.0</v>
      </c>
      <c r="C43" s="34">
        <v>50000.0</v>
      </c>
      <c r="D43" s="8" t="s">
        <v>218</v>
      </c>
      <c r="E43" s="11"/>
    </row>
    <row r="44" ht="15.75" customHeight="1">
      <c r="A44" s="8" t="s">
        <v>219</v>
      </c>
      <c r="B44" s="34">
        <v>20000.0</v>
      </c>
      <c r="C44" s="34">
        <v>20000.0</v>
      </c>
      <c r="D44" s="8" t="s">
        <v>154</v>
      </c>
      <c r="E44" s="11"/>
    </row>
    <row r="45" ht="15.75" customHeight="1">
      <c r="A45" s="8" t="s">
        <v>220</v>
      </c>
      <c r="B45" s="34">
        <v>50000.0</v>
      </c>
      <c r="C45" s="34">
        <v>0.0</v>
      </c>
      <c r="D45" s="8" t="s">
        <v>221</v>
      </c>
      <c r="E45" s="11"/>
    </row>
    <row r="46" ht="15.75" customHeight="1">
      <c r="A46" s="30" t="s">
        <v>222</v>
      </c>
      <c r="B46" s="31"/>
      <c r="C46" s="31"/>
      <c r="D46" s="31"/>
      <c r="E46" s="32"/>
    </row>
    <row r="47" ht="15.75" customHeight="1">
      <c r="A47" s="8" t="s">
        <v>158</v>
      </c>
      <c r="B47" s="34">
        <v>10000.0</v>
      </c>
      <c r="C47" s="34">
        <v>10000.0</v>
      </c>
      <c r="D47" s="8" t="s">
        <v>159</v>
      </c>
      <c r="E47" s="11"/>
    </row>
    <row r="48" ht="15.75" customHeight="1">
      <c r="A48" s="8" t="s">
        <v>160</v>
      </c>
      <c r="B48" s="34">
        <v>20000.0</v>
      </c>
      <c r="C48" s="34">
        <v>20000.0</v>
      </c>
      <c r="D48" s="11"/>
      <c r="E48" s="11"/>
    </row>
    <row r="49" ht="15.75" customHeight="1">
      <c r="A49" s="8" t="s">
        <v>161</v>
      </c>
      <c r="B49" s="34">
        <v>10000.0</v>
      </c>
      <c r="C49" s="34">
        <v>10000.0</v>
      </c>
      <c r="D49" s="11"/>
      <c r="E49" s="11"/>
    </row>
    <row r="50" ht="15.75" customHeight="1">
      <c r="A50" s="30" t="s">
        <v>223</v>
      </c>
      <c r="B50" s="31"/>
      <c r="C50" s="31"/>
      <c r="D50" s="31"/>
      <c r="E50" s="32"/>
    </row>
    <row r="51" ht="15.75" customHeight="1">
      <c r="A51" s="8" t="s">
        <v>163</v>
      </c>
      <c r="B51" s="34">
        <v>30000.0</v>
      </c>
      <c r="C51" s="34">
        <v>0.0</v>
      </c>
      <c r="D51" s="11" t="s">
        <v>224</v>
      </c>
      <c r="E51" s="11"/>
    </row>
    <row r="52" ht="15.75" customHeight="1">
      <c r="A52" s="8" t="s">
        <v>165</v>
      </c>
      <c r="B52" s="34">
        <v>50000.0</v>
      </c>
      <c r="C52" s="34">
        <v>50000.0</v>
      </c>
      <c r="D52" s="8" t="s">
        <v>166</v>
      </c>
      <c r="E52" s="11"/>
    </row>
    <row r="53" ht="15.75" customHeight="1">
      <c r="A53" s="8" t="s">
        <v>167</v>
      </c>
      <c r="B53" s="34">
        <v>100000.0</v>
      </c>
      <c r="C53" s="34">
        <v>0.0</v>
      </c>
      <c r="D53" s="8" t="s">
        <v>168</v>
      </c>
      <c r="E53" s="11"/>
    </row>
    <row r="54" ht="15.75" customHeight="1">
      <c r="A54" s="30" t="s">
        <v>225</v>
      </c>
      <c r="B54" s="31"/>
      <c r="C54" s="31"/>
      <c r="D54" s="31"/>
      <c r="E54" s="32"/>
    </row>
    <row r="55" ht="15.75" customHeight="1">
      <c r="A55" s="8" t="s">
        <v>170</v>
      </c>
      <c r="B55" s="34">
        <v>50000.0</v>
      </c>
      <c r="C55" s="34">
        <v>100000.0</v>
      </c>
      <c r="D55" s="8" t="s">
        <v>171</v>
      </c>
      <c r="E55" s="11"/>
    </row>
    <row r="56" ht="15.75" customHeight="1">
      <c r="A56" s="8" t="s">
        <v>172</v>
      </c>
      <c r="B56" s="34">
        <v>0.0</v>
      </c>
      <c r="C56" s="34">
        <v>100000.0</v>
      </c>
      <c r="D56" s="8" t="s">
        <v>173</v>
      </c>
      <c r="E56" s="11"/>
    </row>
    <row r="57" ht="15.75" customHeight="1">
      <c r="A57" s="30" t="s">
        <v>226</v>
      </c>
      <c r="B57" s="31"/>
      <c r="C57" s="31"/>
      <c r="D57" s="31"/>
      <c r="E57" s="32"/>
    </row>
    <row r="58" ht="15.75" customHeight="1">
      <c r="A58" s="8" t="s">
        <v>175</v>
      </c>
      <c r="B58" s="34">
        <v>50000.0</v>
      </c>
      <c r="C58" s="34">
        <v>50000.0</v>
      </c>
      <c r="D58" s="8" t="s">
        <v>176</v>
      </c>
      <c r="E58" s="11"/>
    </row>
    <row r="59" ht="15.75" customHeight="1">
      <c r="A59" s="8" t="s">
        <v>177</v>
      </c>
      <c r="B59" s="34">
        <v>300000.0</v>
      </c>
      <c r="C59" s="34">
        <v>300000.0</v>
      </c>
      <c r="D59" s="8" t="s">
        <v>178</v>
      </c>
      <c r="E59" s="11"/>
    </row>
    <row r="60" ht="15.75" customHeight="1">
      <c r="A60" s="43" t="s">
        <v>227</v>
      </c>
      <c r="B60" s="31"/>
      <c r="C60" s="31"/>
      <c r="D60" s="31"/>
      <c r="E60" s="32"/>
    </row>
    <row r="61" ht="15.75" customHeight="1">
      <c r="A61" s="14" t="s">
        <v>180</v>
      </c>
      <c r="B61" s="44">
        <v>4500000.0</v>
      </c>
      <c r="C61" s="44">
        <v>4500000.0</v>
      </c>
      <c r="D61" s="14" t="s">
        <v>181</v>
      </c>
      <c r="E61" s="11"/>
    </row>
    <row r="62" ht="15.75" customHeight="1">
      <c r="A62" s="3"/>
      <c r="B62" s="45"/>
      <c r="C62" s="45"/>
      <c r="D62" s="3"/>
      <c r="E62" s="46"/>
    </row>
    <row r="63" ht="15.75" customHeight="1"/>
    <row r="64" ht="15.75" customHeight="1">
      <c r="A64" s="47" t="s">
        <v>228</v>
      </c>
      <c r="B64" s="48">
        <f t="shared" ref="B64:C64" si="1">SUM(B5,B6,B7,B8,B9,B11,B12,B13,B14,B16,B17,B18,B19,B20,B21,B23,B25,B26,B27,B28,B29,B30,B31,B32,B34,B35,B36,B37,B39,B40,B41,B43,B44,B45,B47,B48,B49,B51,B52,B53,B55,B56,B58,B59,B61,B24)</f>
        <v>13696440</v>
      </c>
      <c r="C64" s="48">
        <f t="shared" si="1"/>
        <v>12770112</v>
      </c>
      <c r="D64" s="11"/>
      <c r="E64" s="11"/>
    </row>
    <row r="65" ht="15.75" customHeight="1"/>
    <row r="66" ht="15.75" customHeight="1">
      <c r="A66" s="49" t="s">
        <v>229</v>
      </c>
      <c r="B66" s="50">
        <f>B64+C64</f>
        <v>26466552</v>
      </c>
    </row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13">
    <mergeCell ref="A42:E42"/>
    <mergeCell ref="A46:E46"/>
    <mergeCell ref="A50:E50"/>
    <mergeCell ref="A54:E54"/>
    <mergeCell ref="A57:E57"/>
    <mergeCell ref="A60:E60"/>
    <mergeCell ref="A1:E1"/>
    <mergeCell ref="A4:E4"/>
    <mergeCell ref="A10:E10"/>
    <mergeCell ref="A15:E15"/>
    <mergeCell ref="A22:E22"/>
    <mergeCell ref="A33:E33"/>
    <mergeCell ref="A38:E38"/>
  </mergeCells>
  <hyperlinks>
    <hyperlink r:id="rId1" ref="F4"/>
  </hyperlinks>
  <printOptions/>
  <pageMargins bottom="1.0" footer="0.0" header="0.0" left="0.75" right="0.75" top="1.0"/>
  <pageSetup paperSize="9" orientation="portrait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5.0"/>
    <col customWidth="1" min="2" max="3" width="15.43"/>
    <col customWidth="1" min="4" max="4" width="30.0"/>
    <col customWidth="1" min="5" max="5" width="35.29"/>
    <col customWidth="1" min="6" max="25" width="8.71"/>
  </cols>
  <sheetData>
    <row r="1" ht="21.0" customHeight="1">
      <c r="A1" s="52" t="s">
        <v>230</v>
      </c>
      <c r="F1" s="53"/>
    </row>
    <row r="2">
      <c r="F2" s="53"/>
    </row>
    <row r="3" ht="16.5" customHeight="1">
      <c r="A3" s="29" t="s">
        <v>73</v>
      </c>
      <c r="B3" s="29" t="s">
        <v>231</v>
      </c>
      <c r="C3" s="29" t="s">
        <v>232</v>
      </c>
      <c r="D3" s="29" t="s">
        <v>76</v>
      </c>
      <c r="E3" s="29" t="s">
        <v>233</v>
      </c>
      <c r="F3" s="53"/>
    </row>
    <row r="4" ht="18.75" customHeight="1">
      <c r="A4" s="54" t="s">
        <v>234</v>
      </c>
      <c r="B4" s="55"/>
      <c r="C4" s="55"/>
      <c r="D4" s="55"/>
      <c r="E4" s="56"/>
      <c r="F4" s="57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  <c r="Y4" s="58"/>
      <c r="Z4" s="58"/>
    </row>
    <row r="5" ht="18.75" customHeight="1">
      <c r="A5" s="59" t="s">
        <v>79</v>
      </c>
      <c r="B5" s="60">
        <v>2500000.0</v>
      </c>
      <c r="C5" s="61">
        <v>2500000.0</v>
      </c>
      <c r="D5" s="62" t="s">
        <v>235</v>
      </c>
      <c r="E5" s="62"/>
      <c r="F5" s="57"/>
      <c r="G5" s="58"/>
      <c r="H5" s="58"/>
      <c r="I5" s="58"/>
      <c r="J5" s="58"/>
      <c r="K5" s="58"/>
      <c r="L5" s="58"/>
      <c r="M5" s="58"/>
      <c r="N5" s="58"/>
      <c r="O5" s="58"/>
      <c r="P5" s="58"/>
      <c r="Q5" s="58"/>
      <c r="R5" s="58"/>
      <c r="S5" s="58"/>
      <c r="T5" s="58"/>
      <c r="U5" s="58"/>
      <c r="V5" s="58"/>
      <c r="W5" s="58"/>
      <c r="X5" s="58"/>
      <c r="Y5" s="58"/>
      <c r="Z5" s="58"/>
    </row>
    <row r="6" ht="18.75" customHeight="1">
      <c r="A6" s="59" t="s">
        <v>81</v>
      </c>
      <c r="B6" s="60">
        <v>100000.0</v>
      </c>
      <c r="C6" s="63">
        <v>100000.0</v>
      </c>
      <c r="D6" s="59" t="s">
        <v>82</v>
      </c>
      <c r="E6" s="62"/>
      <c r="F6" s="57"/>
      <c r="G6" s="58"/>
      <c r="H6" s="58"/>
      <c r="I6" s="58"/>
      <c r="J6" s="58"/>
      <c r="K6" s="58"/>
      <c r="L6" s="58"/>
      <c r="M6" s="58"/>
      <c r="N6" s="58"/>
      <c r="O6" s="58"/>
      <c r="P6" s="58"/>
      <c r="Q6" s="58"/>
      <c r="R6" s="58"/>
      <c r="S6" s="58"/>
      <c r="T6" s="58"/>
      <c r="U6" s="58"/>
      <c r="V6" s="58"/>
      <c r="W6" s="58"/>
      <c r="X6" s="58"/>
      <c r="Y6" s="58"/>
      <c r="Z6" s="58"/>
    </row>
    <row r="7" ht="18.75" customHeight="1">
      <c r="A7" s="59" t="s">
        <v>83</v>
      </c>
      <c r="B7" s="60">
        <v>50000.0</v>
      </c>
      <c r="C7" s="63">
        <v>50000.0</v>
      </c>
      <c r="D7" s="59" t="s">
        <v>84</v>
      </c>
      <c r="E7" s="62"/>
      <c r="F7" s="57"/>
      <c r="G7" s="58"/>
      <c r="H7" s="58"/>
      <c r="I7" s="58"/>
      <c r="J7" s="58"/>
      <c r="K7" s="58"/>
      <c r="L7" s="58"/>
      <c r="M7" s="58"/>
      <c r="N7" s="58"/>
      <c r="O7" s="58"/>
      <c r="P7" s="58"/>
      <c r="Q7" s="58"/>
      <c r="R7" s="58"/>
      <c r="S7" s="58"/>
      <c r="T7" s="58"/>
      <c r="U7" s="58"/>
      <c r="V7" s="58"/>
      <c r="W7" s="58"/>
      <c r="X7" s="58"/>
      <c r="Y7" s="58"/>
      <c r="Z7" s="58"/>
    </row>
    <row r="8" ht="18.75" customHeight="1">
      <c r="A8" s="59" t="s">
        <v>85</v>
      </c>
      <c r="B8" s="60">
        <v>30000.0</v>
      </c>
      <c r="C8" s="63">
        <v>30000.0</v>
      </c>
      <c r="D8" s="59" t="s">
        <v>86</v>
      </c>
      <c r="E8" s="62"/>
      <c r="F8" s="57"/>
      <c r="G8" s="58"/>
      <c r="H8" s="58"/>
      <c r="I8" s="58"/>
      <c r="J8" s="58"/>
      <c r="K8" s="58"/>
      <c r="L8" s="58"/>
      <c r="M8" s="58"/>
      <c r="N8" s="58"/>
      <c r="O8" s="58"/>
      <c r="P8" s="58"/>
      <c r="Q8" s="58"/>
      <c r="R8" s="58"/>
      <c r="S8" s="58"/>
      <c r="T8" s="58"/>
      <c r="U8" s="58"/>
      <c r="V8" s="58"/>
      <c r="W8" s="58"/>
      <c r="X8" s="58"/>
      <c r="Y8" s="58"/>
      <c r="Z8" s="58"/>
    </row>
    <row r="9" ht="18.75" customHeight="1">
      <c r="A9" s="59" t="s">
        <v>87</v>
      </c>
      <c r="B9" s="64">
        <v>500000.0</v>
      </c>
      <c r="C9" s="63">
        <v>500000.0</v>
      </c>
      <c r="D9" s="59" t="s">
        <v>88</v>
      </c>
      <c r="E9" s="62"/>
      <c r="F9" s="57"/>
      <c r="G9" s="58"/>
      <c r="H9" s="58"/>
      <c r="I9" s="58"/>
      <c r="J9" s="58"/>
      <c r="K9" s="58"/>
      <c r="L9" s="58"/>
      <c r="M9" s="58"/>
      <c r="N9" s="58"/>
      <c r="O9" s="58"/>
      <c r="P9" s="58"/>
      <c r="Q9" s="58"/>
      <c r="R9" s="58"/>
      <c r="S9" s="58"/>
      <c r="T9" s="58"/>
      <c r="U9" s="58"/>
      <c r="V9" s="58"/>
      <c r="W9" s="58"/>
      <c r="X9" s="58"/>
      <c r="Y9" s="58"/>
      <c r="Z9" s="58"/>
    </row>
    <row r="10" ht="18.75" customHeight="1">
      <c r="A10" s="54" t="s">
        <v>236</v>
      </c>
      <c r="B10" s="55"/>
      <c r="C10" s="55"/>
      <c r="D10" s="55"/>
      <c r="E10" s="56"/>
      <c r="F10" s="57"/>
      <c r="G10" s="58"/>
      <c r="H10" s="58"/>
      <c r="I10" s="58"/>
      <c r="J10" s="58"/>
      <c r="K10" s="58"/>
      <c r="L10" s="58"/>
      <c r="M10" s="58"/>
      <c r="N10" s="58"/>
      <c r="O10" s="58"/>
      <c r="P10" s="58"/>
      <c r="Q10" s="58"/>
      <c r="R10" s="58"/>
      <c r="S10" s="58"/>
      <c r="T10" s="58"/>
      <c r="U10" s="58"/>
      <c r="V10" s="58"/>
      <c r="W10" s="58"/>
      <c r="X10" s="58"/>
      <c r="Y10" s="58"/>
      <c r="Z10" s="58"/>
    </row>
    <row r="11" ht="18.75" customHeight="1">
      <c r="A11" s="59" t="s">
        <v>90</v>
      </c>
      <c r="B11" s="60">
        <v>800000.0</v>
      </c>
      <c r="C11" s="63">
        <v>800000.0</v>
      </c>
      <c r="D11" s="59" t="s">
        <v>91</v>
      </c>
      <c r="E11" s="62"/>
      <c r="F11" s="57"/>
      <c r="G11" s="58"/>
      <c r="H11" s="58"/>
      <c r="I11" s="58"/>
      <c r="J11" s="58"/>
      <c r="K11" s="58"/>
      <c r="L11" s="58"/>
      <c r="M11" s="58"/>
      <c r="N11" s="58"/>
      <c r="O11" s="58"/>
      <c r="P11" s="58"/>
      <c r="Q11" s="58"/>
      <c r="R11" s="58"/>
      <c r="S11" s="58"/>
      <c r="T11" s="58"/>
      <c r="U11" s="58"/>
      <c r="V11" s="58"/>
      <c r="W11" s="58"/>
      <c r="X11" s="58"/>
      <c r="Y11" s="58"/>
      <c r="Z11" s="58"/>
    </row>
    <row r="12" ht="18.75" customHeight="1">
      <c r="A12" s="59" t="s">
        <v>92</v>
      </c>
      <c r="B12" s="65">
        <v>700000.0</v>
      </c>
      <c r="C12" s="61">
        <v>700000.0</v>
      </c>
      <c r="D12" s="59" t="s">
        <v>91</v>
      </c>
      <c r="E12" s="62"/>
      <c r="F12" s="57"/>
      <c r="G12" s="58"/>
      <c r="H12" s="58"/>
      <c r="I12" s="58"/>
      <c r="J12" s="58"/>
      <c r="K12" s="58"/>
      <c r="L12" s="58"/>
      <c r="M12" s="58"/>
      <c r="N12" s="58"/>
      <c r="O12" s="58"/>
      <c r="P12" s="58"/>
      <c r="Q12" s="58"/>
      <c r="R12" s="58"/>
      <c r="S12" s="58"/>
      <c r="T12" s="58"/>
      <c r="U12" s="58"/>
      <c r="V12" s="58"/>
      <c r="W12" s="58"/>
      <c r="X12" s="58"/>
      <c r="Y12" s="58"/>
      <c r="Z12" s="58"/>
    </row>
    <row r="13" ht="18.75" customHeight="1">
      <c r="A13" s="59" t="s">
        <v>93</v>
      </c>
      <c r="B13" s="61">
        <v>500000.0</v>
      </c>
      <c r="C13" s="61">
        <v>500000.0</v>
      </c>
      <c r="D13" s="59" t="s">
        <v>94</v>
      </c>
      <c r="E13" s="62"/>
      <c r="F13" s="57"/>
      <c r="G13" s="58"/>
      <c r="H13" s="58"/>
      <c r="I13" s="58"/>
      <c r="J13" s="58"/>
      <c r="K13" s="58"/>
      <c r="L13" s="58"/>
      <c r="M13" s="58"/>
      <c r="N13" s="58"/>
      <c r="O13" s="58"/>
      <c r="P13" s="58"/>
      <c r="Q13" s="58"/>
      <c r="R13" s="58"/>
      <c r="S13" s="58"/>
      <c r="T13" s="58"/>
      <c r="U13" s="58"/>
      <c r="V13" s="58"/>
      <c r="W13" s="58"/>
      <c r="X13" s="58"/>
      <c r="Y13" s="58"/>
      <c r="Z13" s="58"/>
    </row>
    <row r="14" ht="18.75" customHeight="1">
      <c r="A14" s="59" t="s">
        <v>95</v>
      </c>
      <c r="B14" s="61">
        <v>500000.0</v>
      </c>
      <c r="C14" s="61">
        <v>500000.0</v>
      </c>
      <c r="D14" s="59" t="s">
        <v>96</v>
      </c>
      <c r="E14" s="62"/>
      <c r="F14" s="57"/>
      <c r="G14" s="58"/>
      <c r="H14" s="58"/>
      <c r="I14" s="58"/>
      <c r="J14" s="58"/>
      <c r="K14" s="58"/>
      <c r="L14" s="58"/>
      <c r="M14" s="58"/>
      <c r="N14" s="58"/>
      <c r="O14" s="58"/>
      <c r="P14" s="58"/>
      <c r="Q14" s="58"/>
      <c r="R14" s="58"/>
      <c r="S14" s="58"/>
      <c r="T14" s="58"/>
      <c r="U14" s="58"/>
      <c r="V14" s="58"/>
      <c r="W14" s="58"/>
      <c r="X14" s="58"/>
      <c r="Y14" s="58"/>
      <c r="Z14" s="58"/>
    </row>
    <row r="15" ht="18.75" customHeight="1">
      <c r="A15" s="66" t="s">
        <v>237</v>
      </c>
      <c r="B15" s="67">
        <v>4600000.0</v>
      </c>
      <c r="C15" s="67">
        <v>4600000.0</v>
      </c>
      <c r="D15" s="68" t="s">
        <v>238</v>
      </c>
      <c r="E15" s="68"/>
      <c r="F15" s="57"/>
      <c r="G15" s="58"/>
      <c r="H15" s="58"/>
      <c r="I15" s="58"/>
      <c r="J15" s="58"/>
      <c r="K15" s="58"/>
      <c r="L15" s="58"/>
      <c r="M15" s="58"/>
      <c r="N15" s="58"/>
      <c r="O15" s="58"/>
      <c r="P15" s="58"/>
      <c r="Q15" s="58"/>
      <c r="R15" s="58"/>
      <c r="S15" s="58"/>
      <c r="T15" s="58"/>
      <c r="U15" s="58"/>
      <c r="V15" s="58"/>
      <c r="W15" s="58"/>
      <c r="X15" s="58"/>
      <c r="Y15" s="58"/>
      <c r="Z15" s="58"/>
    </row>
    <row r="16" ht="18.75" customHeight="1">
      <c r="A16" s="69" t="s">
        <v>239</v>
      </c>
      <c r="B16" s="55"/>
      <c r="C16" s="55"/>
      <c r="D16" s="55"/>
      <c r="E16" s="56"/>
      <c r="F16" s="57"/>
      <c r="G16" s="58"/>
      <c r="H16" s="58"/>
      <c r="I16" s="58"/>
      <c r="J16" s="58"/>
      <c r="K16" s="58"/>
      <c r="L16" s="58"/>
      <c r="M16" s="58"/>
      <c r="N16" s="58"/>
      <c r="O16" s="58"/>
      <c r="P16" s="58"/>
      <c r="Q16" s="58"/>
      <c r="R16" s="58"/>
      <c r="S16" s="58"/>
      <c r="T16" s="58"/>
      <c r="U16" s="58"/>
      <c r="V16" s="58"/>
      <c r="W16" s="58"/>
      <c r="X16" s="58"/>
      <c r="Y16" s="58"/>
      <c r="Z16" s="58"/>
    </row>
    <row r="17" ht="18.75" customHeight="1">
      <c r="A17" s="59" t="s">
        <v>98</v>
      </c>
      <c r="B17" s="60">
        <v>135000.0</v>
      </c>
      <c r="C17" s="61">
        <v>135000.0</v>
      </c>
      <c r="D17" s="62" t="s">
        <v>240</v>
      </c>
      <c r="E17" s="62" t="s">
        <v>241</v>
      </c>
      <c r="F17" s="57"/>
      <c r="G17" s="58"/>
      <c r="H17" s="58"/>
      <c r="I17" s="58"/>
      <c r="J17" s="58"/>
      <c r="K17" s="58"/>
      <c r="L17" s="58"/>
      <c r="M17" s="58"/>
      <c r="N17" s="58"/>
      <c r="O17" s="58"/>
      <c r="P17" s="58"/>
      <c r="Q17" s="58"/>
      <c r="R17" s="58"/>
      <c r="S17" s="58"/>
      <c r="T17" s="58"/>
      <c r="U17" s="58"/>
      <c r="V17" s="58"/>
      <c r="W17" s="58"/>
      <c r="X17" s="58"/>
      <c r="Y17" s="58"/>
      <c r="Z17" s="58"/>
    </row>
    <row r="18" ht="18.75" customHeight="1">
      <c r="A18" s="59" t="s">
        <v>101</v>
      </c>
      <c r="B18" s="70">
        <v>15000.0</v>
      </c>
      <c r="C18" s="71">
        <v>15000.0</v>
      </c>
      <c r="D18" s="72" t="s">
        <v>242</v>
      </c>
      <c r="E18" s="62" t="s">
        <v>243</v>
      </c>
      <c r="F18" s="57"/>
      <c r="G18" s="58"/>
      <c r="H18" s="58"/>
      <c r="I18" s="58"/>
      <c r="J18" s="58"/>
      <c r="K18" s="58"/>
      <c r="L18" s="58"/>
      <c r="M18" s="58"/>
      <c r="N18" s="58"/>
      <c r="O18" s="58"/>
      <c r="P18" s="58"/>
      <c r="Q18" s="58"/>
      <c r="R18" s="58"/>
      <c r="S18" s="58"/>
      <c r="T18" s="58"/>
      <c r="U18" s="58"/>
      <c r="V18" s="58"/>
      <c r="W18" s="58"/>
      <c r="X18" s="58"/>
      <c r="Y18" s="58"/>
      <c r="Z18" s="58"/>
    </row>
    <row r="19" ht="18.75" customHeight="1">
      <c r="A19" s="59" t="s">
        <v>104</v>
      </c>
      <c r="B19" s="60">
        <v>30000.0</v>
      </c>
      <c r="C19" s="63">
        <v>30000.0</v>
      </c>
      <c r="D19" s="72" t="s">
        <v>244</v>
      </c>
      <c r="E19" s="62" t="s">
        <v>245</v>
      </c>
      <c r="F19" s="57"/>
      <c r="G19" s="58"/>
      <c r="H19" s="58"/>
      <c r="I19" s="58"/>
      <c r="J19" s="58"/>
      <c r="K19" s="58"/>
      <c r="L19" s="58"/>
      <c r="M19" s="58"/>
      <c r="N19" s="58"/>
      <c r="O19" s="58"/>
      <c r="P19" s="58"/>
      <c r="Q19" s="58"/>
      <c r="R19" s="58"/>
      <c r="S19" s="58"/>
      <c r="T19" s="58"/>
      <c r="U19" s="58"/>
      <c r="V19" s="58"/>
      <c r="W19" s="58"/>
      <c r="X19" s="58"/>
      <c r="Y19" s="58"/>
      <c r="Z19" s="58"/>
    </row>
    <row r="20" ht="18.75" customHeight="1">
      <c r="A20" s="59" t="s">
        <v>246</v>
      </c>
      <c r="B20" s="60">
        <f t="shared" ref="B20:C20" si="1">35000*5</f>
        <v>175000</v>
      </c>
      <c r="C20" s="63">
        <f t="shared" si="1"/>
        <v>175000</v>
      </c>
      <c r="D20" s="62" t="s">
        <v>247</v>
      </c>
      <c r="E20" s="62"/>
      <c r="F20" s="57"/>
      <c r="G20" s="58"/>
      <c r="H20" s="58"/>
      <c r="I20" s="58"/>
      <c r="J20" s="58"/>
      <c r="K20" s="58"/>
      <c r="L20" s="58"/>
      <c r="M20" s="58"/>
      <c r="N20" s="58"/>
      <c r="O20" s="58"/>
      <c r="P20" s="58"/>
      <c r="Q20" s="58"/>
      <c r="R20" s="58"/>
      <c r="S20" s="58"/>
      <c r="T20" s="58"/>
      <c r="U20" s="58"/>
      <c r="V20" s="58"/>
      <c r="W20" s="58"/>
      <c r="X20" s="58"/>
      <c r="Y20" s="58"/>
      <c r="Z20" s="58"/>
    </row>
    <row r="21" ht="18.75" customHeight="1">
      <c r="A21" s="59" t="s">
        <v>248</v>
      </c>
      <c r="B21" s="60">
        <v>80000.0</v>
      </c>
      <c r="C21" s="63">
        <v>80000.0</v>
      </c>
      <c r="D21" s="62" t="s">
        <v>249</v>
      </c>
      <c r="E21" s="62" t="s">
        <v>250</v>
      </c>
      <c r="F21" s="57"/>
      <c r="G21" s="58"/>
      <c r="H21" s="58"/>
      <c r="I21" s="58"/>
      <c r="J21" s="58"/>
      <c r="K21" s="58"/>
      <c r="L21" s="58"/>
      <c r="M21" s="58"/>
      <c r="N21" s="58"/>
      <c r="O21" s="58"/>
      <c r="P21" s="58"/>
      <c r="Q21" s="58"/>
      <c r="R21" s="58"/>
      <c r="S21" s="58"/>
      <c r="T21" s="58"/>
      <c r="U21" s="58"/>
      <c r="V21" s="58"/>
      <c r="W21" s="58"/>
      <c r="X21" s="58"/>
      <c r="Y21" s="58"/>
      <c r="Z21" s="58"/>
    </row>
    <row r="22" ht="18.75" customHeight="1">
      <c r="A22" s="59" t="s">
        <v>110</v>
      </c>
      <c r="B22" s="64">
        <v>30000.0</v>
      </c>
      <c r="C22" s="63">
        <v>30000.0</v>
      </c>
      <c r="D22" s="59" t="s">
        <v>111</v>
      </c>
      <c r="E22" s="62"/>
      <c r="F22" s="57"/>
      <c r="G22" s="58"/>
      <c r="H22" s="58"/>
      <c r="I22" s="58"/>
      <c r="J22" s="58"/>
      <c r="K22" s="58"/>
      <c r="L22" s="58"/>
      <c r="M22" s="58"/>
      <c r="N22" s="58"/>
      <c r="O22" s="58"/>
      <c r="P22" s="58"/>
      <c r="Q22" s="58"/>
      <c r="R22" s="58"/>
      <c r="S22" s="58"/>
      <c r="T22" s="58"/>
      <c r="U22" s="58"/>
      <c r="V22" s="58"/>
      <c r="W22" s="58"/>
      <c r="X22" s="58"/>
      <c r="Y22" s="58"/>
      <c r="Z22" s="58"/>
    </row>
    <row r="23" ht="18.75" customHeight="1">
      <c r="A23" s="59" t="s">
        <v>112</v>
      </c>
      <c r="B23" s="62">
        <v>70000.0</v>
      </c>
      <c r="C23" s="62">
        <v>70000.0</v>
      </c>
      <c r="D23" s="62" t="s">
        <v>251</v>
      </c>
      <c r="E23" s="62"/>
      <c r="F23" s="57"/>
      <c r="G23" s="58"/>
      <c r="H23" s="58"/>
      <c r="I23" s="58"/>
      <c r="J23" s="58"/>
      <c r="K23" s="58"/>
      <c r="L23" s="58"/>
      <c r="M23" s="58"/>
      <c r="N23" s="58"/>
      <c r="O23" s="58"/>
      <c r="P23" s="58"/>
      <c r="Q23" s="58"/>
      <c r="R23" s="58"/>
      <c r="S23" s="58"/>
      <c r="T23" s="58"/>
      <c r="U23" s="58"/>
      <c r="V23" s="58"/>
      <c r="W23" s="58"/>
      <c r="X23" s="58"/>
      <c r="Y23" s="58"/>
      <c r="Z23" s="58"/>
    </row>
    <row r="24" ht="18.75" customHeight="1">
      <c r="A24" s="54" t="s">
        <v>252</v>
      </c>
      <c r="B24" s="55"/>
      <c r="C24" s="55"/>
      <c r="D24" s="55"/>
      <c r="E24" s="56"/>
      <c r="F24" s="57"/>
      <c r="G24" s="58"/>
      <c r="H24" s="58"/>
      <c r="I24" s="58"/>
      <c r="J24" s="58"/>
      <c r="K24" s="58"/>
      <c r="L24" s="58"/>
      <c r="M24" s="58"/>
      <c r="N24" s="58"/>
      <c r="O24" s="58"/>
      <c r="P24" s="58"/>
      <c r="Q24" s="58"/>
      <c r="R24" s="58"/>
      <c r="S24" s="58"/>
      <c r="T24" s="58"/>
      <c r="U24" s="58"/>
      <c r="V24" s="58"/>
      <c r="W24" s="58"/>
      <c r="X24" s="58"/>
      <c r="Y24" s="58"/>
      <c r="Z24" s="58"/>
    </row>
    <row r="25" ht="18.75" customHeight="1">
      <c r="A25" s="59" t="s">
        <v>116</v>
      </c>
      <c r="B25" s="65">
        <v>200000.0</v>
      </c>
      <c r="C25" s="61">
        <v>0.0</v>
      </c>
      <c r="D25" s="59" t="s">
        <v>253</v>
      </c>
      <c r="E25" s="62"/>
      <c r="F25" s="57"/>
      <c r="G25" s="58"/>
      <c r="H25" s="58"/>
      <c r="I25" s="58"/>
      <c r="J25" s="58"/>
      <c r="K25" s="58"/>
      <c r="L25" s="58"/>
      <c r="M25" s="58"/>
      <c r="N25" s="58"/>
      <c r="O25" s="58"/>
      <c r="P25" s="58"/>
      <c r="Q25" s="58"/>
      <c r="R25" s="58"/>
      <c r="S25" s="58"/>
      <c r="T25" s="58"/>
      <c r="U25" s="58"/>
      <c r="V25" s="58"/>
      <c r="W25" s="58"/>
      <c r="X25" s="58"/>
      <c r="Y25" s="58"/>
      <c r="Z25" s="58"/>
    </row>
    <row r="26" ht="18.75" customHeight="1">
      <c r="A26" s="59" t="s">
        <v>118</v>
      </c>
      <c r="B26" s="73">
        <v>15000.0</v>
      </c>
      <c r="C26" s="74">
        <v>0.0</v>
      </c>
      <c r="D26" s="59" t="s">
        <v>254</v>
      </c>
      <c r="E26" s="62"/>
      <c r="F26" s="57"/>
      <c r="G26" s="58"/>
      <c r="H26" s="58"/>
      <c r="I26" s="58"/>
      <c r="J26" s="58"/>
      <c r="K26" s="58"/>
      <c r="L26" s="58"/>
      <c r="M26" s="58"/>
      <c r="N26" s="58"/>
      <c r="O26" s="58"/>
      <c r="P26" s="58"/>
      <c r="Q26" s="58"/>
      <c r="R26" s="58"/>
      <c r="S26" s="58"/>
      <c r="T26" s="58"/>
      <c r="U26" s="58"/>
      <c r="V26" s="58"/>
      <c r="W26" s="58"/>
      <c r="X26" s="58"/>
      <c r="Y26" s="58"/>
      <c r="Z26" s="58"/>
    </row>
    <row r="27" ht="18.75" customHeight="1">
      <c r="A27" s="59" t="s">
        <v>120</v>
      </c>
      <c r="B27" s="61">
        <v>50000.0</v>
      </c>
      <c r="C27" s="61">
        <v>0.0</v>
      </c>
      <c r="D27" s="59" t="s">
        <v>255</v>
      </c>
      <c r="E27" s="62"/>
      <c r="F27" s="57"/>
      <c r="G27" s="58"/>
      <c r="H27" s="58"/>
      <c r="I27" s="58"/>
      <c r="J27" s="58"/>
      <c r="K27" s="58"/>
      <c r="L27" s="58"/>
      <c r="M27" s="58"/>
      <c r="N27" s="58"/>
      <c r="O27" s="58"/>
      <c r="P27" s="58"/>
      <c r="Q27" s="58"/>
      <c r="R27" s="58"/>
      <c r="S27" s="58"/>
      <c r="T27" s="58"/>
      <c r="U27" s="58"/>
      <c r="V27" s="58"/>
      <c r="W27" s="58"/>
      <c r="X27" s="58"/>
      <c r="Y27" s="58"/>
      <c r="Z27" s="58"/>
    </row>
    <row r="28" ht="18.75" customHeight="1">
      <c r="A28" s="59" t="s">
        <v>122</v>
      </c>
      <c r="B28" s="61">
        <v>150000.0</v>
      </c>
      <c r="C28" s="61">
        <v>150000.0</v>
      </c>
      <c r="D28" s="59" t="s">
        <v>123</v>
      </c>
      <c r="E28" s="62"/>
      <c r="F28" s="75" t="s">
        <v>256</v>
      </c>
      <c r="G28" s="58"/>
      <c r="H28" s="58"/>
      <c r="I28" s="58"/>
      <c r="J28" s="58"/>
      <c r="K28" s="58"/>
      <c r="L28" s="58"/>
      <c r="M28" s="58"/>
      <c r="N28" s="58"/>
      <c r="O28" s="58"/>
      <c r="P28" s="58"/>
      <c r="Q28" s="58"/>
      <c r="R28" s="58"/>
      <c r="S28" s="58"/>
      <c r="T28" s="58"/>
      <c r="U28" s="58"/>
      <c r="V28" s="58"/>
      <c r="W28" s="58"/>
      <c r="X28" s="58"/>
      <c r="Y28" s="58"/>
      <c r="Z28" s="58"/>
    </row>
    <row r="29" ht="18.75" customHeight="1">
      <c r="A29" s="59" t="s">
        <v>124</v>
      </c>
      <c r="B29" s="61">
        <v>150000.0</v>
      </c>
      <c r="C29" s="61">
        <v>150000.0</v>
      </c>
      <c r="D29" s="59" t="s">
        <v>125</v>
      </c>
      <c r="E29" s="59" t="s">
        <v>257</v>
      </c>
      <c r="F29" s="57"/>
      <c r="G29" s="58"/>
      <c r="H29" s="58"/>
      <c r="I29" s="58"/>
      <c r="J29" s="58"/>
      <c r="K29" s="58"/>
      <c r="L29" s="58"/>
      <c r="M29" s="58"/>
      <c r="N29" s="58"/>
      <c r="O29" s="58"/>
      <c r="P29" s="58"/>
      <c r="Q29" s="58"/>
      <c r="R29" s="58"/>
      <c r="S29" s="58"/>
      <c r="T29" s="58"/>
      <c r="U29" s="58"/>
      <c r="V29" s="58"/>
      <c r="W29" s="58"/>
      <c r="X29" s="58"/>
      <c r="Y29" s="58"/>
      <c r="Z29" s="58"/>
    </row>
    <row r="30" ht="18.75" customHeight="1">
      <c r="A30" s="59" t="s">
        <v>126</v>
      </c>
      <c r="B30" s="61">
        <v>30000.0</v>
      </c>
      <c r="C30" s="61">
        <v>30000.0</v>
      </c>
      <c r="D30" s="59" t="s">
        <v>127</v>
      </c>
      <c r="E30" s="59"/>
      <c r="F30" s="57"/>
      <c r="G30" s="58"/>
      <c r="H30" s="58"/>
      <c r="I30" s="58"/>
      <c r="J30" s="58"/>
      <c r="K30" s="58"/>
      <c r="L30" s="58"/>
      <c r="M30" s="58"/>
      <c r="N30" s="58"/>
      <c r="O30" s="58"/>
      <c r="P30" s="58"/>
      <c r="Q30" s="58"/>
      <c r="R30" s="58"/>
      <c r="S30" s="58"/>
      <c r="T30" s="58"/>
      <c r="U30" s="58"/>
      <c r="V30" s="58"/>
      <c r="W30" s="58"/>
      <c r="X30" s="58"/>
      <c r="Y30" s="58"/>
      <c r="Z30" s="58"/>
    </row>
    <row r="31" ht="18.75" customHeight="1">
      <c r="A31" s="66" t="s">
        <v>128</v>
      </c>
      <c r="B31" s="76">
        <v>30000.0</v>
      </c>
      <c r="C31" s="76">
        <v>30000.0</v>
      </c>
      <c r="D31" s="59"/>
      <c r="E31" s="59"/>
      <c r="F31" s="57"/>
      <c r="G31" s="58"/>
      <c r="H31" s="58"/>
      <c r="I31" s="58"/>
      <c r="J31" s="58"/>
      <c r="K31" s="58"/>
      <c r="L31" s="58"/>
      <c r="M31" s="58"/>
      <c r="N31" s="58"/>
      <c r="O31" s="58"/>
      <c r="P31" s="58"/>
      <c r="Q31" s="58"/>
      <c r="R31" s="58"/>
      <c r="S31" s="58"/>
      <c r="T31" s="58"/>
      <c r="U31" s="58"/>
      <c r="V31" s="58"/>
      <c r="W31" s="58"/>
      <c r="X31" s="58"/>
      <c r="Y31" s="58"/>
      <c r="Z31" s="58"/>
    </row>
    <row r="32" ht="18.75" customHeight="1">
      <c r="A32" s="59" t="s">
        <v>129</v>
      </c>
      <c r="B32" s="61">
        <v>20000.0</v>
      </c>
      <c r="C32" s="61">
        <v>20000.0</v>
      </c>
      <c r="D32" s="59" t="s">
        <v>130</v>
      </c>
      <c r="E32" s="59"/>
      <c r="F32" s="57"/>
      <c r="G32" s="58"/>
      <c r="H32" s="58"/>
      <c r="I32" s="58"/>
      <c r="J32" s="58"/>
      <c r="K32" s="58"/>
      <c r="L32" s="58"/>
      <c r="M32" s="58"/>
      <c r="N32" s="58"/>
      <c r="O32" s="58"/>
      <c r="P32" s="58"/>
      <c r="Q32" s="58"/>
      <c r="R32" s="58"/>
      <c r="S32" s="58"/>
      <c r="T32" s="58"/>
      <c r="U32" s="58"/>
      <c r="V32" s="58"/>
      <c r="W32" s="58"/>
      <c r="X32" s="58"/>
      <c r="Y32" s="58"/>
      <c r="Z32" s="58"/>
    </row>
    <row r="33" ht="18.75" customHeight="1">
      <c r="A33" s="59" t="s">
        <v>131</v>
      </c>
      <c r="B33" s="61">
        <v>30000.0</v>
      </c>
      <c r="C33" s="61">
        <v>30000.0</v>
      </c>
      <c r="D33" s="59" t="s">
        <v>132</v>
      </c>
      <c r="E33" s="59"/>
      <c r="F33" s="57"/>
      <c r="G33" s="58"/>
      <c r="H33" s="58"/>
      <c r="I33" s="58"/>
      <c r="J33" s="58"/>
      <c r="K33" s="58"/>
      <c r="L33" s="58"/>
      <c r="M33" s="58"/>
      <c r="N33" s="58"/>
      <c r="O33" s="58"/>
      <c r="P33" s="58"/>
      <c r="Q33" s="58"/>
      <c r="R33" s="58"/>
      <c r="S33" s="58"/>
      <c r="T33" s="58"/>
      <c r="U33" s="58"/>
      <c r="V33" s="58"/>
      <c r="W33" s="58"/>
      <c r="X33" s="58"/>
      <c r="Y33" s="58"/>
      <c r="Z33" s="58"/>
    </row>
    <row r="34" ht="18.75" customHeight="1">
      <c r="A34" s="59" t="s">
        <v>133</v>
      </c>
      <c r="B34" s="59">
        <v>5000.0</v>
      </c>
      <c r="C34" s="59">
        <v>5000.0</v>
      </c>
      <c r="D34" s="59" t="s">
        <v>134</v>
      </c>
      <c r="E34" s="59"/>
      <c r="F34" s="57"/>
      <c r="G34" s="58"/>
      <c r="H34" s="58"/>
      <c r="I34" s="58"/>
      <c r="J34" s="58"/>
      <c r="K34" s="58"/>
      <c r="L34" s="58"/>
      <c r="M34" s="58"/>
      <c r="N34" s="58"/>
      <c r="O34" s="58"/>
      <c r="P34" s="58"/>
      <c r="Q34" s="58"/>
      <c r="R34" s="58"/>
      <c r="S34" s="58"/>
      <c r="T34" s="58"/>
      <c r="U34" s="58"/>
      <c r="V34" s="58"/>
      <c r="W34" s="58"/>
      <c r="X34" s="58"/>
      <c r="Y34" s="58"/>
      <c r="Z34" s="58"/>
    </row>
    <row r="35" ht="18.75" customHeight="1">
      <c r="A35" s="66" t="s">
        <v>258</v>
      </c>
      <c r="B35" s="76">
        <v>50600.0</v>
      </c>
      <c r="C35" s="76">
        <v>0.0</v>
      </c>
      <c r="D35" s="66" t="s">
        <v>259</v>
      </c>
      <c r="E35" s="59"/>
      <c r="F35" s="57"/>
      <c r="G35" s="58"/>
      <c r="H35" s="58"/>
      <c r="I35" s="58"/>
      <c r="J35" s="58"/>
      <c r="K35" s="58"/>
      <c r="L35" s="58"/>
      <c r="M35" s="58"/>
      <c r="N35" s="58"/>
      <c r="O35" s="58"/>
      <c r="P35" s="58"/>
      <c r="Q35" s="58"/>
      <c r="R35" s="58"/>
      <c r="S35" s="58"/>
      <c r="T35" s="58"/>
      <c r="U35" s="58"/>
      <c r="V35" s="58"/>
      <c r="W35" s="58"/>
      <c r="X35" s="58"/>
      <c r="Y35" s="58"/>
      <c r="Z35" s="58"/>
    </row>
    <row r="36" ht="18.75" customHeight="1">
      <c r="A36" s="54" t="s">
        <v>260</v>
      </c>
      <c r="B36" s="55"/>
      <c r="C36" s="55"/>
      <c r="D36" s="55"/>
      <c r="E36" s="56"/>
      <c r="F36" s="57"/>
      <c r="G36" s="58"/>
      <c r="H36" s="58"/>
      <c r="I36" s="58"/>
      <c r="J36" s="58"/>
      <c r="K36" s="58"/>
      <c r="L36" s="58"/>
      <c r="M36" s="58"/>
      <c r="N36" s="58"/>
      <c r="O36" s="58"/>
      <c r="P36" s="58"/>
      <c r="Q36" s="58"/>
      <c r="R36" s="58"/>
      <c r="S36" s="58"/>
      <c r="T36" s="58"/>
      <c r="U36" s="58"/>
      <c r="V36" s="58"/>
      <c r="W36" s="58"/>
      <c r="X36" s="58"/>
      <c r="Y36" s="58"/>
      <c r="Z36" s="58"/>
    </row>
    <row r="37" ht="18.75" customHeight="1">
      <c r="A37" s="59" t="s">
        <v>136</v>
      </c>
      <c r="B37" s="61">
        <v>100000.0</v>
      </c>
      <c r="C37" s="61">
        <v>0.0</v>
      </c>
      <c r="D37" s="62" t="s">
        <v>261</v>
      </c>
      <c r="E37" s="59"/>
      <c r="F37" s="57"/>
      <c r="G37" s="58"/>
      <c r="H37" s="58"/>
      <c r="I37" s="58"/>
      <c r="J37" s="58"/>
      <c r="K37" s="58"/>
      <c r="L37" s="58"/>
      <c r="M37" s="58"/>
      <c r="N37" s="58"/>
      <c r="O37" s="58"/>
      <c r="P37" s="58"/>
      <c r="Q37" s="58"/>
      <c r="R37" s="58"/>
      <c r="S37" s="58"/>
      <c r="T37" s="58"/>
      <c r="U37" s="58"/>
      <c r="V37" s="58"/>
      <c r="W37" s="58"/>
      <c r="X37" s="58"/>
      <c r="Y37" s="58"/>
      <c r="Z37" s="58"/>
    </row>
    <row r="38" ht="18.75" customHeight="1">
      <c r="A38" s="59" t="s">
        <v>138</v>
      </c>
      <c r="B38" s="61">
        <v>50000.0</v>
      </c>
      <c r="C38" s="61">
        <v>50000.0</v>
      </c>
      <c r="D38" s="59" t="s">
        <v>123</v>
      </c>
      <c r="E38" s="59"/>
      <c r="F38" s="57"/>
      <c r="G38" s="58"/>
      <c r="H38" s="58"/>
      <c r="I38" s="58"/>
      <c r="J38" s="58"/>
      <c r="K38" s="58"/>
      <c r="L38" s="58"/>
      <c r="M38" s="58"/>
      <c r="N38" s="58"/>
      <c r="O38" s="58"/>
      <c r="P38" s="58"/>
      <c r="Q38" s="58"/>
      <c r="R38" s="58"/>
      <c r="S38" s="58"/>
      <c r="T38" s="58"/>
      <c r="U38" s="58"/>
      <c r="V38" s="58"/>
      <c r="W38" s="58"/>
      <c r="X38" s="58"/>
      <c r="Y38" s="58"/>
      <c r="Z38" s="58"/>
    </row>
    <row r="39" ht="18.75" customHeight="1">
      <c r="A39" s="59" t="s">
        <v>262</v>
      </c>
      <c r="B39" s="59">
        <v>50000.0</v>
      </c>
      <c r="C39" s="59">
        <v>0.0</v>
      </c>
      <c r="D39" s="62" t="s">
        <v>263</v>
      </c>
      <c r="E39" s="59"/>
      <c r="F39" s="57"/>
      <c r="G39" s="58"/>
      <c r="H39" s="58"/>
      <c r="I39" s="58"/>
      <c r="J39" s="58"/>
      <c r="K39" s="58"/>
      <c r="L39" s="58"/>
      <c r="M39" s="58"/>
      <c r="N39" s="58"/>
      <c r="O39" s="58"/>
      <c r="P39" s="58"/>
      <c r="Q39" s="58"/>
      <c r="R39" s="58"/>
      <c r="S39" s="58"/>
      <c r="T39" s="58"/>
      <c r="U39" s="58"/>
      <c r="V39" s="58"/>
      <c r="W39" s="58"/>
      <c r="X39" s="58"/>
      <c r="Y39" s="58"/>
      <c r="Z39" s="58"/>
    </row>
    <row r="40" ht="18.75" customHeight="1">
      <c r="A40" s="59" t="s">
        <v>264</v>
      </c>
      <c r="B40" s="61">
        <v>30000.0</v>
      </c>
      <c r="C40" s="61">
        <v>0.0</v>
      </c>
      <c r="D40" s="62" t="s">
        <v>265</v>
      </c>
      <c r="E40" s="59"/>
      <c r="F40" s="57"/>
      <c r="G40" s="58"/>
      <c r="H40" s="58"/>
      <c r="I40" s="58"/>
      <c r="J40" s="58"/>
      <c r="K40" s="58"/>
      <c r="L40" s="58"/>
      <c r="M40" s="58"/>
      <c r="N40" s="58"/>
      <c r="O40" s="58"/>
      <c r="P40" s="58"/>
      <c r="Q40" s="58"/>
      <c r="R40" s="58"/>
      <c r="S40" s="58"/>
      <c r="T40" s="58"/>
      <c r="U40" s="58"/>
      <c r="V40" s="58"/>
      <c r="W40" s="58"/>
      <c r="X40" s="58"/>
      <c r="Y40" s="58"/>
      <c r="Z40" s="58"/>
    </row>
    <row r="41" ht="18.75" customHeight="1">
      <c r="A41" s="54" t="s">
        <v>266</v>
      </c>
      <c r="B41" s="55"/>
      <c r="C41" s="55"/>
      <c r="D41" s="55"/>
      <c r="E41" s="56"/>
      <c r="F41" s="57"/>
      <c r="G41" s="58"/>
      <c r="H41" s="58"/>
      <c r="I41" s="58"/>
      <c r="J41" s="58"/>
      <c r="K41" s="58"/>
      <c r="L41" s="58"/>
      <c r="M41" s="58"/>
      <c r="N41" s="58"/>
      <c r="O41" s="58"/>
      <c r="P41" s="58"/>
      <c r="Q41" s="58"/>
      <c r="R41" s="58"/>
      <c r="S41" s="58"/>
      <c r="T41" s="58"/>
      <c r="U41" s="58"/>
      <c r="V41" s="58"/>
      <c r="W41" s="58"/>
      <c r="X41" s="58"/>
      <c r="Y41" s="58"/>
      <c r="Z41" s="58"/>
    </row>
    <row r="42" ht="18.75" customHeight="1">
      <c r="A42" s="59" t="s">
        <v>267</v>
      </c>
      <c r="B42" s="61">
        <v>300000.0</v>
      </c>
      <c r="C42" s="61">
        <v>0.0</v>
      </c>
      <c r="D42" s="59" t="s">
        <v>145</v>
      </c>
      <c r="E42" s="59"/>
      <c r="F42" s="57"/>
      <c r="G42" s="58"/>
      <c r="H42" s="58"/>
      <c r="I42" s="58"/>
      <c r="J42" s="58"/>
      <c r="K42" s="58"/>
      <c r="L42" s="58"/>
      <c r="M42" s="58"/>
      <c r="N42" s="58"/>
      <c r="O42" s="58"/>
      <c r="P42" s="58"/>
      <c r="Q42" s="58"/>
      <c r="R42" s="58"/>
      <c r="S42" s="58"/>
      <c r="T42" s="58"/>
      <c r="U42" s="58"/>
      <c r="V42" s="58"/>
      <c r="W42" s="58"/>
      <c r="X42" s="58"/>
      <c r="Y42" s="58"/>
      <c r="Z42" s="58"/>
    </row>
    <row r="43" ht="18.75" customHeight="1">
      <c r="A43" s="59" t="s">
        <v>268</v>
      </c>
      <c r="B43" s="59">
        <v>200000.0</v>
      </c>
      <c r="C43" s="59">
        <v>0.0</v>
      </c>
      <c r="D43" s="59" t="s">
        <v>147</v>
      </c>
      <c r="E43" s="59"/>
      <c r="F43" s="57"/>
      <c r="G43" s="58"/>
      <c r="H43" s="58"/>
      <c r="I43" s="58"/>
      <c r="J43" s="58"/>
      <c r="K43" s="58"/>
      <c r="L43" s="58"/>
      <c r="M43" s="58"/>
      <c r="N43" s="58"/>
      <c r="O43" s="58"/>
      <c r="P43" s="58"/>
      <c r="Q43" s="58"/>
      <c r="R43" s="58"/>
      <c r="S43" s="58"/>
      <c r="T43" s="58"/>
      <c r="U43" s="58"/>
      <c r="V43" s="58"/>
      <c r="W43" s="58"/>
      <c r="X43" s="58"/>
      <c r="Y43" s="58"/>
      <c r="Z43" s="58"/>
    </row>
    <row r="44" ht="18.75" customHeight="1">
      <c r="A44" s="59" t="s">
        <v>269</v>
      </c>
      <c r="B44" s="61">
        <f>('PJT1_入力'!D11+'PJT1_入力'!E19)*0.036</f>
        <v>885240</v>
      </c>
      <c r="C44" s="61">
        <f>('PJT2_入力'!D11+'PJT2_入力'!E19)*0.036</f>
        <v>656712</v>
      </c>
      <c r="D44" s="59" t="s">
        <v>149</v>
      </c>
      <c r="E44" s="59"/>
      <c r="F44" s="57"/>
      <c r="G44" s="58"/>
      <c r="H44" s="58"/>
      <c r="I44" s="58"/>
      <c r="J44" s="58"/>
      <c r="K44" s="58"/>
      <c r="L44" s="58"/>
      <c r="M44" s="58"/>
      <c r="N44" s="58"/>
      <c r="O44" s="58"/>
      <c r="P44" s="58"/>
      <c r="Q44" s="58"/>
      <c r="R44" s="58"/>
      <c r="S44" s="58"/>
      <c r="T44" s="58"/>
      <c r="U44" s="58"/>
      <c r="V44" s="58"/>
      <c r="W44" s="58"/>
      <c r="X44" s="58"/>
      <c r="Y44" s="58"/>
      <c r="Z44" s="58"/>
    </row>
    <row r="45" ht="18.75" customHeight="1">
      <c r="A45" s="54" t="s">
        <v>270</v>
      </c>
      <c r="B45" s="55"/>
      <c r="C45" s="55"/>
      <c r="D45" s="55"/>
      <c r="E45" s="56"/>
      <c r="F45" s="57"/>
      <c r="G45" s="58"/>
      <c r="H45" s="58"/>
      <c r="I45" s="58"/>
      <c r="J45" s="58"/>
      <c r="K45" s="58"/>
      <c r="L45" s="58"/>
      <c r="M45" s="58"/>
      <c r="N45" s="58"/>
      <c r="O45" s="58"/>
      <c r="P45" s="58"/>
      <c r="Q45" s="58"/>
      <c r="R45" s="58"/>
      <c r="S45" s="58"/>
      <c r="T45" s="58"/>
      <c r="U45" s="58"/>
      <c r="V45" s="58"/>
      <c r="W45" s="58"/>
      <c r="X45" s="58"/>
      <c r="Y45" s="58"/>
      <c r="Z45" s="58"/>
    </row>
    <row r="46" ht="18.75" customHeight="1">
      <c r="A46" s="59" t="s">
        <v>151</v>
      </c>
      <c r="B46" s="61">
        <v>50000.0</v>
      </c>
      <c r="C46" s="61">
        <v>50000.0</v>
      </c>
      <c r="D46" s="59" t="s">
        <v>271</v>
      </c>
      <c r="E46" s="59"/>
      <c r="F46" s="57"/>
      <c r="G46" s="58"/>
      <c r="H46" s="58"/>
      <c r="I46" s="58"/>
      <c r="J46" s="58"/>
      <c r="K46" s="58"/>
      <c r="L46" s="58"/>
      <c r="M46" s="58"/>
      <c r="N46" s="58"/>
      <c r="O46" s="58"/>
      <c r="P46" s="58"/>
      <c r="Q46" s="58"/>
      <c r="R46" s="58"/>
      <c r="S46" s="58"/>
      <c r="T46" s="58"/>
      <c r="U46" s="58"/>
      <c r="V46" s="58"/>
      <c r="W46" s="58"/>
      <c r="X46" s="58"/>
      <c r="Y46" s="58"/>
      <c r="Z46" s="58"/>
    </row>
    <row r="47" ht="18.75" customHeight="1">
      <c r="A47" s="59" t="s">
        <v>272</v>
      </c>
      <c r="B47" s="59">
        <v>20000.0</v>
      </c>
      <c r="C47" s="59">
        <v>20000.0</v>
      </c>
      <c r="D47" s="77" t="s">
        <v>273</v>
      </c>
      <c r="E47" s="59"/>
      <c r="F47" s="57"/>
      <c r="G47" s="58"/>
      <c r="H47" s="58"/>
      <c r="I47" s="58"/>
      <c r="J47" s="58"/>
      <c r="K47" s="58"/>
      <c r="L47" s="58"/>
      <c r="M47" s="58"/>
      <c r="N47" s="58"/>
      <c r="O47" s="58"/>
      <c r="P47" s="58"/>
      <c r="Q47" s="58"/>
      <c r="R47" s="58"/>
      <c r="S47" s="58"/>
      <c r="T47" s="58"/>
      <c r="U47" s="58"/>
      <c r="V47" s="58"/>
      <c r="W47" s="58"/>
      <c r="X47" s="58"/>
      <c r="Y47" s="58"/>
      <c r="Z47" s="58"/>
    </row>
    <row r="48" ht="18.75" customHeight="1">
      <c r="A48" s="59" t="s">
        <v>274</v>
      </c>
      <c r="B48" s="61">
        <v>50000.0</v>
      </c>
      <c r="C48" s="61">
        <v>0.0</v>
      </c>
      <c r="D48" s="59" t="s">
        <v>275</v>
      </c>
      <c r="E48" s="59"/>
      <c r="F48" s="57"/>
      <c r="G48" s="58"/>
      <c r="H48" s="58"/>
      <c r="I48" s="58"/>
      <c r="J48" s="58"/>
      <c r="K48" s="58"/>
      <c r="L48" s="58"/>
      <c r="M48" s="58"/>
      <c r="N48" s="58"/>
      <c r="O48" s="58"/>
      <c r="P48" s="58"/>
      <c r="Q48" s="58"/>
      <c r="R48" s="58"/>
      <c r="S48" s="58"/>
      <c r="T48" s="58"/>
      <c r="U48" s="58"/>
      <c r="V48" s="58"/>
      <c r="W48" s="58"/>
      <c r="X48" s="58"/>
      <c r="Y48" s="58"/>
      <c r="Z48" s="58"/>
    </row>
    <row r="49" ht="18.75" customHeight="1">
      <c r="A49" s="54" t="s">
        <v>276</v>
      </c>
      <c r="B49" s="55"/>
      <c r="C49" s="55"/>
      <c r="D49" s="55"/>
      <c r="E49" s="56"/>
      <c r="F49" s="57"/>
      <c r="G49" s="58"/>
      <c r="H49" s="58"/>
      <c r="I49" s="58"/>
      <c r="J49" s="58"/>
      <c r="K49" s="58"/>
      <c r="L49" s="58"/>
      <c r="M49" s="58"/>
      <c r="N49" s="58"/>
      <c r="O49" s="58"/>
      <c r="P49" s="58"/>
      <c r="Q49" s="58"/>
      <c r="R49" s="58"/>
      <c r="S49" s="58"/>
      <c r="T49" s="58"/>
      <c r="U49" s="58"/>
      <c r="V49" s="58"/>
      <c r="W49" s="58"/>
      <c r="X49" s="58"/>
      <c r="Y49" s="58"/>
      <c r="Z49" s="58"/>
    </row>
    <row r="50" ht="18.75" customHeight="1">
      <c r="A50" s="59" t="s">
        <v>158</v>
      </c>
      <c r="B50" s="61">
        <v>10000.0</v>
      </c>
      <c r="C50" s="61">
        <v>10000.0</v>
      </c>
      <c r="D50" s="59" t="s">
        <v>159</v>
      </c>
      <c r="E50" s="59"/>
      <c r="F50" s="57"/>
      <c r="G50" s="58"/>
      <c r="H50" s="58"/>
      <c r="I50" s="58"/>
      <c r="J50" s="58"/>
      <c r="K50" s="58"/>
      <c r="L50" s="58"/>
      <c r="M50" s="58"/>
      <c r="N50" s="58"/>
      <c r="O50" s="58"/>
      <c r="P50" s="58"/>
      <c r="Q50" s="58"/>
      <c r="R50" s="58"/>
      <c r="S50" s="58"/>
      <c r="T50" s="58"/>
      <c r="U50" s="58"/>
      <c r="V50" s="58"/>
      <c r="W50" s="58"/>
      <c r="X50" s="58"/>
      <c r="Y50" s="58"/>
      <c r="Z50" s="58"/>
    </row>
    <row r="51" ht="18.75" customHeight="1">
      <c r="A51" s="59" t="s">
        <v>160</v>
      </c>
      <c r="B51" s="59">
        <v>20000.0</v>
      </c>
      <c r="C51" s="59">
        <v>20000.0</v>
      </c>
      <c r="D51" s="59"/>
      <c r="E51" s="59"/>
      <c r="F51" s="57"/>
      <c r="G51" s="58"/>
      <c r="H51" s="58"/>
      <c r="I51" s="58"/>
      <c r="J51" s="58"/>
      <c r="K51" s="58"/>
      <c r="L51" s="58"/>
      <c r="M51" s="58"/>
      <c r="N51" s="58"/>
      <c r="O51" s="58"/>
      <c r="P51" s="58"/>
      <c r="Q51" s="58"/>
      <c r="R51" s="58"/>
      <c r="S51" s="58"/>
      <c r="T51" s="58"/>
      <c r="U51" s="58"/>
      <c r="V51" s="58"/>
      <c r="W51" s="58"/>
      <c r="X51" s="58"/>
      <c r="Y51" s="58"/>
      <c r="Z51" s="58"/>
    </row>
    <row r="52" ht="18.75" customHeight="1">
      <c r="A52" s="59" t="s">
        <v>161</v>
      </c>
      <c r="B52" s="61">
        <v>10000.0</v>
      </c>
      <c r="C52" s="61">
        <v>10000.0</v>
      </c>
      <c r="D52" s="59"/>
      <c r="E52" s="59"/>
      <c r="F52" s="57"/>
      <c r="G52" s="58"/>
      <c r="H52" s="58"/>
      <c r="I52" s="58"/>
      <c r="J52" s="58"/>
      <c r="K52" s="58"/>
      <c r="L52" s="58"/>
      <c r="M52" s="58"/>
      <c r="N52" s="58"/>
      <c r="O52" s="58"/>
      <c r="P52" s="58"/>
      <c r="Q52" s="58"/>
      <c r="R52" s="58"/>
      <c r="S52" s="58"/>
      <c r="T52" s="58"/>
      <c r="U52" s="58"/>
      <c r="V52" s="58"/>
      <c r="W52" s="58"/>
      <c r="X52" s="58"/>
      <c r="Y52" s="58"/>
      <c r="Z52" s="58"/>
    </row>
    <row r="53" ht="18.75" customHeight="1">
      <c r="A53" s="54" t="s">
        <v>277</v>
      </c>
      <c r="B53" s="55"/>
      <c r="C53" s="55"/>
      <c r="D53" s="55"/>
      <c r="E53" s="56"/>
      <c r="F53" s="57"/>
      <c r="G53" s="58"/>
      <c r="H53" s="58"/>
      <c r="I53" s="58"/>
      <c r="J53" s="58"/>
      <c r="K53" s="58"/>
      <c r="L53" s="58"/>
      <c r="M53" s="58"/>
      <c r="N53" s="58"/>
      <c r="O53" s="58"/>
      <c r="P53" s="58"/>
      <c r="Q53" s="58"/>
      <c r="R53" s="58"/>
      <c r="S53" s="58"/>
      <c r="T53" s="58"/>
      <c r="U53" s="58"/>
      <c r="V53" s="58"/>
      <c r="W53" s="58"/>
      <c r="X53" s="58"/>
      <c r="Y53" s="58"/>
      <c r="Z53" s="58"/>
    </row>
    <row r="54" ht="18.75" customHeight="1">
      <c r="A54" s="59" t="s">
        <v>163</v>
      </c>
      <c r="B54" s="61">
        <v>30000.0</v>
      </c>
      <c r="C54" s="61">
        <v>0.0</v>
      </c>
      <c r="D54" s="62" t="s">
        <v>278</v>
      </c>
      <c r="E54" s="59"/>
      <c r="F54" s="57"/>
      <c r="G54" s="58"/>
      <c r="H54" s="58"/>
      <c r="I54" s="58"/>
      <c r="J54" s="58"/>
      <c r="K54" s="58"/>
      <c r="L54" s="58"/>
      <c r="M54" s="58"/>
      <c r="N54" s="58"/>
      <c r="O54" s="58"/>
      <c r="P54" s="58"/>
      <c r="Q54" s="58"/>
      <c r="R54" s="58"/>
      <c r="S54" s="58"/>
      <c r="T54" s="58"/>
      <c r="U54" s="58"/>
      <c r="V54" s="58"/>
      <c r="W54" s="58"/>
      <c r="X54" s="58"/>
      <c r="Y54" s="58"/>
      <c r="Z54" s="58"/>
    </row>
    <row r="55" ht="18.75" customHeight="1">
      <c r="A55" s="59" t="s">
        <v>165</v>
      </c>
      <c r="B55" s="59">
        <v>50000.0</v>
      </c>
      <c r="C55" s="59">
        <v>50000.0</v>
      </c>
      <c r="D55" s="59" t="s">
        <v>166</v>
      </c>
      <c r="E55" s="59"/>
      <c r="F55" s="57"/>
      <c r="G55" s="58"/>
      <c r="H55" s="58"/>
      <c r="I55" s="58"/>
      <c r="J55" s="58"/>
      <c r="K55" s="58"/>
      <c r="L55" s="58"/>
      <c r="M55" s="58"/>
      <c r="N55" s="58"/>
      <c r="O55" s="58"/>
      <c r="P55" s="58"/>
      <c r="Q55" s="58"/>
      <c r="R55" s="58"/>
      <c r="S55" s="58"/>
      <c r="T55" s="58"/>
      <c r="U55" s="58"/>
      <c r="V55" s="58"/>
      <c r="W55" s="58"/>
      <c r="X55" s="58"/>
      <c r="Y55" s="58"/>
      <c r="Z55" s="58"/>
    </row>
    <row r="56" ht="18.75" customHeight="1">
      <c r="A56" s="59" t="s">
        <v>167</v>
      </c>
      <c r="B56" s="61">
        <v>100000.0</v>
      </c>
      <c r="C56" s="61">
        <v>0.0</v>
      </c>
      <c r="D56" s="59" t="s">
        <v>168</v>
      </c>
      <c r="E56" s="59"/>
      <c r="F56" s="57"/>
      <c r="G56" s="58"/>
      <c r="H56" s="58"/>
      <c r="I56" s="58"/>
      <c r="J56" s="58"/>
      <c r="K56" s="58"/>
      <c r="L56" s="58"/>
      <c r="M56" s="58"/>
      <c r="N56" s="58"/>
      <c r="O56" s="58"/>
      <c r="P56" s="58"/>
      <c r="Q56" s="58"/>
      <c r="R56" s="58"/>
      <c r="S56" s="58"/>
      <c r="T56" s="58"/>
      <c r="U56" s="58"/>
      <c r="V56" s="58"/>
      <c r="W56" s="58"/>
      <c r="X56" s="58"/>
      <c r="Y56" s="58"/>
      <c r="Z56" s="58"/>
    </row>
    <row r="57" ht="18.75" customHeight="1">
      <c r="A57" s="69" t="s">
        <v>279</v>
      </c>
      <c r="B57" s="55"/>
      <c r="C57" s="55"/>
      <c r="D57" s="55"/>
      <c r="E57" s="56"/>
      <c r="F57" s="57"/>
      <c r="G57" s="58"/>
      <c r="H57" s="58"/>
      <c r="I57" s="58"/>
      <c r="J57" s="58"/>
      <c r="K57" s="58"/>
      <c r="L57" s="58"/>
      <c r="M57" s="58"/>
      <c r="N57" s="58"/>
      <c r="O57" s="58"/>
      <c r="P57" s="58"/>
      <c r="Q57" s="58"/>
      <c r="R57" s="58"/>
      <c r="S57" s="58"/>
      <c r="T57" s="58"/>
      <c r="U57" s="58"/>
      <c r="V57" s="58"/>
      <c r="W57" s="58"/>
      <c r="X57" s="58"/>
      <c r="Y57" s="58"/>
      <c r="Z57" s="58"/>
    </row>
    <row r="58" ht="18.75" customHeight="1">
      <c r="A58" s="59" t="s">
        <v>170</v>
      </c>
      <c r="B58" s="77">
        <v>100000.0</v>
      </c>
      <c r="C58" s="77">
        <v>50000.0</v>
      </c>
      <c r="D58" s="59" t="s">
        <v>171</v>
      </c>
      <c r="E58" s="59"/>
      <c r="F58" s="57"/>
      <c r="G58" s="58"/>
      <c r="H58" s="58"/>
      <c r="I58" s="58"/>
      <c r="J58" s="58"/>
      <c r="K58" s="58"/>
      <c r="L58" s="58"/>
      <c r="M58" s="58"/>
      <c r="N58" s="58"/>
      <c r="O58" s="58"/>
      <c r="P58" s="58"/>
      <c r="Q58" s="58"/>
      <c r="R58" s="58"/>
      <c r="S58" s="58"/>
      <c r="T58" s="58"/>
      <c r="U58" s="58"/>
      <c r="V58" s="58"/>
      <c r="W58" s="58"/>
      <c r="X58" s="58"/>
      <c r="Y58" s="58"/>
      <c r="Z58" s="58"/>
    </row>
    <row r="59" ht="18.75" customHeight="1">
      <c r="A59" s="59" t="s">
        <v>172</v>
      </c>
      <c r="B59" s="78">
        <v>0.0</v>
      </c>
      <c r="C59" s="78">
        <v>100000.0</v>
      </c>
      <c r="D59" s="59" t="s">
        <v>173</v>
      </c>
      <c r="E59" s="59"/>
      <c r="F59" s="57"/>
      <c r="G59" s="58"/>
      <c r="H59" s="58"/>
      <c r="I59" s="58"/>
      <c r="J59" s="58"/>
      <c r="K59" s="58"/>
      <c r="L59" s="58"/>
      <c r="M59" s="58"/>
      <c r="N59" s="58"/>
      <c r="O59" s="58"/>
      <c r="P59" s="58"/>
      <c r="Q59" s="58"/>
      <c r="R59" s="58"/>
      <c r="S59" s="58"/>
      <c r="T59" s="58"/>
      <c r="U59" s="58"/>
      <c r="V59" s="58"/>
      <c r="W59" s="58"/>
      <c r="X59" s="58"/>
      <c r="Y59" s="58"/>
      <c r="Z59" s="58"/>
    </row>
    <row r="60" ht="18.75" customHeight="1">
      <c r="A60" s="59" t="s">
        <v>280</v>
      </c>
      <c r="B60" s="59">
        <f t="shared" ref="B60:C60" si="2">12000*3</f>
        <v>36000</v>
      </c>
      <c r="C60" s="59">
        <f t="shared" si="2"/>
        <v>36000</v>
      </c>
      <c r="D60" s="79" t="s">
        <v>281</v>
      </c>
      <c r="E60" s="59"/>
      <c r="F60" s="53"/>
      <c r="G60" s="58"/>
    </row>
    <row r="61" ht="18.75" customHeight="1">
      <c r="A61" s="54" t="s">
        <v>282</v>
      </c>
      <c r="B61" s="55"/>
      <c r="C61" s="55"/>
      <c r="D61" s="55"/>
      <c r="E61" s="56"/>
      <c r="F61" s="57"/>
      <c r="G61" s="58"/>
      <c r="H61" s="58"/>
      <c r="I61" s="58"/>
      <c r="J61" s="58"/>
      <c r="K61" s="58"/>
      <c r="L61" s="58"/>
      <c r="M61" s="58"/>
      <c r="N61" s="58"/>
      <c r="O61" s="58"/>
      <c r="P61" s="58"/>
      <c r="Q61" s="58"/>
      <c r="R61" s="58"/>
      <c r="S61" s="58"/>
      <c r="T61" s="58"/>
      <c r="U61" s="58"/>
      <c r="V61" s="58"/>
      <c r="W61" s="58"/>
      <c r="X61" s="58"/>
      <c r="Y61" s="58"/>
      <c r="Z61" s="58"/>
    </row>
    <row r="62" ht="18.75" customHeight="1">
      <c r="A62" s="59" t="s">
        <v>175</v>
      </c>
      <c r="B62" s="59">
        <v>50000.0</v>
      </c>
      <c r="C62" s="59">
        <v>50000.0</v>
      </c>
      <c r="D62" s="59" t="s">
        <v>176</v>
      </c>
      <c r="E62" s="59"/>
      <c r="F62" s="57"/>
      <c r="G62" s="58"/>
      <c r="H62" s="58"/>
      <c r="I62" s="58"/>
      <c r="J62" s="58"/>
      <c r="K62" s="58"/>
      <c r="L62" s="58"/>
      <c r="M62" s="58"/>
      <c r="N62" s="58"/>
      <c r="O62" s="58"/>
      <c r="P62" s="58"/>
      <c r="Q62" s="58"/>
      <c r="R62" s="58"/>
      <c r="S62" s="58"/>
      <c r="T62" s="58"/>
      <c r="U62" s="58"/>
      <c r="V62" s="58"/>
      <c r="W62" s="58"/>
      <c r="X62" s="58"/>
      <c r="Y62" s="58"/>
      <c r="Z62" s="58"/>
    </row>
    <row r="63" ht="18.75" customHeight="1">
      <c r="A63" s="59" t="s">
        <v>177</v>
      </c>
      <c r="B63" s="61">
        <v>300000.0</v>
      </c>
      <c r="C63" s="61">
        <v>300000.0</v>
      </c>
      <c r="D63" s="59" t="s">
        <v>178</v>
      </c>
      <c r="E63" s="59"/>
      <c r="F63" s="57"/>
      <c r="G63" s="58"/>
      <c r="H63" s="58"/>
      <c r="I63" s="58"/>
      <c r="J63" s="58"/>
      <c r="K63" s="58"/>
      <c r="L63" s="58"/>
      <c r="M63" s="58"/>
      <c r="N63" s="58"/>
      <c r="O63" s="58"/>
      <c r="P63" s="58"/>
      <c r="Q63" s="58"/>
      <c r="R63" s="58"/>
      <c r="S63" s="58"/>
      <c r="T63" s="58"/>
      <c r="U63" s="58"/>
      <c r="V63" s="58"/>
      <c r="W63" s="58"/>
      <c r="X63" s="58"/>
      <c r="Y63" s="58"/>
      <c r="Z63" s="58"/>
    </row>
    <row r="64" ht="18.75" customHeight="1">
      <c r="A64" s="54" t="s">
        <v>283</v>
      </c>
      <c r="B64" s="55"/>
      <c r="C64" s="55"/>
      <c r="D64" s="55"/>
      <c r="E64" s="56"/>
      <c r="F64" s="57"/>
      <c r="G64" s="58"/>
      <c r="H64" s="58"/>
      <c r="I64" s="58"/>
      <c r="J64" s="58"/>
      <c r="K64" s="58"/>
      <c r="L64" s="58"/>
      <c r="M64" s="58"/>
      <c r="N64" s="58"/>
      <c r="O64" s="58"/>
      <c r="P64" s="58"/>
      <c r="Q64" s="58"/>
      <c r="R64" s="58"/>
      <c r="S64" s="58"/>
      <c r="T64" s="58"/>
      <c r="U64" s="58"/>
      <c r="V64" s="58"/>
      <c r="W64" s="58"/>
      <c r="X64" s="58"/>
      <c r="Y64" s="58"/>
      <c r="Z64" s="58"/>
    </row>
    <row r="65" ht="18.75" customHeight="1">
      <c r="A65" s="59" t="s">
        <v>180</v>
      </c>
      <c r="B65" s="61">
        <v>4500000.0</v>
      </c>
      <c r="C65" s="61">
        <v>4500000.0</v>
      </c>
      <c r="D65" s="59" t="s">
        <v>284</v>
      </c>
      <c r="E65" s="59"/>
      <c r="F65" s="57"/>
      <c r="G65" s="58"/>
      <c r="H65" s="58"/>
      <c r="I65" s="58"/>
      <c r="J65" s="58"/>
      <c r="K65" s="58"/>
      <c r="L65" s="58"/>
      <c r="M65" s="58"/>
      <c r="N65" s="58"/>
      <c r="O65" s="58"/>
      <c r="P65" s="58"/>
      <c r="Q65" s="58"/>
      <c r="R65" s="58"/>
      <c r="S65" s="58"/>
      <c r="T65" s="58"/>
      <c r="U65" s="58"/>
      <c r="V65" s="58"/>
      <c r="W65" s="58"/>
      <c r="X65" s="58"/>
      <c r="Y65" s="58"/>
      <c r="Z65" s="58"/>
    </row>
    <row r="66" ht="18.75" customHeight="1">
      <c r="A66" s="54" t="s">
        <v>285</v>
      </c>
      <c r="B66" s="55"/>
      <c r="C66" s="55"/>
      <c r="D66" s="55"/>
      <c r="E66" s="56"/>
      <c r="F66" s="57"/>
      <c r="G66" s="58"/>
      <c r="H66" s="58"/>
      <c r="I66" s="58"/>
      <c r="J66" s="58"/>
      <c r="K66" s="58"/>
      <c r="L66" s="58"/>
      <c r="M66" s="58"/>
      <c r="N66" s="58"/>
      <c r="O66" s="58"/>
      <c r="P66" s="58"/>
      <c r="Q66" s="58"/>
      <c r="R66" s="58"/>
      <c r="S66" s="58"/>
      <c r="T66" s="58"/>
      <c r="U66" s="58"/>
      <c r="V66" s="58"/>
      <c r="W66" s="58"/>
      <c r="X66" s="58"/>
      <c r="Y66" s="58"/>
      <c r="Z66" s="58"/>
    </row>
    <row r="67" ht="18.75" customHeight="1">
      <c r="A67" s="66" t="s">
        <v>286</v>
      </c>
      <c r="B67" s="76">
        <v>5100000.0</v>
      </c>
      <c r="C67" s="76">
        <v>0.0</v>
      </c>
      <c r="D67" s="66" t="s">
        <v>287</v>
      </c>
      <c r="E67" s="66"/>
      <c r="F67" s="57"/>
      <c r="G67" s="58"/>
      <c r="H67" s="58"/>
      <c r="I67" s="58"/>
      <c r="J67" s="58"/>
      <c r="K67" s="58"/>
      <c r="L67" s="58"/>
      <c r="M67" s="58"/>
      <c r="N67" s="58"/>
      <c r="O67" s="58"/>
      <c r="P67" s="58"/>
      <c r="Q67" s="58"/>
      <c r="R67" s="58"/>
      <c r="S67" s="58"/>
      <c r="T67" s="58"/>
      <c r="U67" s="58"/>
      <c r="V67" s="58"/>
      <c r="W67" s="58"/>
      <c r="X67" s="58"/>
      <c r="Y67" s="58"/>
      <c r="Z67" s="58"/>
    </row>
    <row r="68" ht="15.75" customHeight="1">
      <c r="A68" s="3"/>
      <c r="B68" s="45"/>
      <c r="C68" s="45"/>
      <c r="D68" s="3"/>
      <c r="F68" s="53"/>
    </row>
    <row r="69" ht="15.75" customHeight="1">
      <c r="F69" s="53"/>
    </row>
    <row r="70" ht="15.75" customHeight="1">
      <c r="A70" s="23" t="s">
        <v>288</v>
      </c>
      <c r="F70" s="53"/>
    </row>
    <row r="71" ht="15.75" customHeight="1">
      <c r="F71" s="53"/>
    </row>
    <row r="72" ht="15.75" customHeight="1">
      <c r="A72" s="80" t="s">
        <v>289</v>
      </c>
      <c r="B72" s="48">
        <f t="shared" ref="B72:C72" si="3">SUM(B5:B67)</f>
        <v>23586840</v>
      </c>
      <c r="C72" s="48">
        <f t="shared" si="3"/>
        <v>17132712</v>
      </c>
      <c r="D72" s="11"/>
      <c r="E72" s="11"/>
      <c r="F72" s="53"/>
    </row>
    <row r="73" ht="15.75" customHeight="1">
      <c r="F73" s="53"/>
    </row>
    <row r="74" ht="15.75" customHeight="1">
      <c r="A74" s="49" t="s">
        <v>290</v>
      </c>
      <c r="B74" s="50">
        <f>B72+C72</f>
        <v>40719552</v>
      </c>
      <c r="F74" s="53"/>
    </row>
    <row r="75" ht="15.75" customHeight="1">
      <c r="F75" s="53"/>
    </row>
    <row r="76" ht="15.75" customHeight="1">
      <c r="F76" s="53"/>
    </row>
    <row r="77" ht="15.75" customHeight="1">
      <c r="F77" s="53"/>
    </row>
    <row r="78" ht="15.75" customHeight="1">
      <c r="F78" s="53"/>
    </row>
    <row r="79" ht="15.75" customHeight="1">
      <c r="F79" s="53"/>
    </row>
    <row r="80" ht="15.75" customHeight="1">
      <c r="F80" s="53"/>
    </row>
    <row r="81" ht="15.75" customHeight="1">
      <c r="F81" s="53"/>
    </row>
    <row r="82" ht="15.75" customHeight="1">
      <c r="F82" s="53"/>
    </row>
    <row r="83" ht="15.75" customHeight="1">
      <c r="F83" s="53"/>
    </row>
    <row r="84" ht="15.75" customHeight="1">
      <c r="F84" s="53"/>
    </row>
    <row r="85" ht="15.75" customHeight="1">
      <c r="F85" s="53"/>
    </row>
    <row r="86" ht="15.75" customHeight="1">
      <c r="F86" s="53"/>
    </row>
    <row r="87" ht="15.75" customHeight="1">
      <c r="F87" s="53"/>
    </row>
    <row r="88" ht="15.75" customHeight="1">
      <c r="F88" s="53"/>
    </row>
    <row r="89" ht="15.75" customHeight="1">
      <c r="F89" s="53"/>
    </row>
    <row r="90" ht="15.75" customHeight="1">
      <c r="F90" s="53"/>
    </row>
    <row r="91" ht="15.75" customHeight="1">
      <c r="F91" s="53"/>
    </row>
    <row r="92" ht="15.75" customHeight="1">
      <c r="F92" s="53"/>
    </row>
    <row r="93" ht="15.75" customHeight="1">
      <c r="F93" s="53"/>
    </row>
    <row r="94" ht="15.75" customHeight="1">
      <c r="F94" s="53"/>
    </row>
    <row r="95" ht="15.75" customHeight="1">
      <c r="F95" s="53"/>
    </row>
    <row r="96" ht="15.75" customHeight="1">
      <c r="F96" s="53"/>
    </row>
    <row r="97" ht="15.75" customHeight="1">
      <c r="F97" s="53"/>
    </row>
    <row r="98" ht="15.75" customHeight="1">
      <c r="F98" s="53"/>
    </row>
    <row r="99" ht="15.75" customHeight="1">
      <c r="F99" s="53"/>
    </row>
    <row r="100" ht="15.75" customHeight="1">
      <c r="F100" s="53"/>
    </row>
    <row r="101" ht="15.75" customHeight="1">
      <c r="F101" s="53"/>
    </row>
    <row r="102" ht="15.75" customHeight="1">
      <c r="F102" s="53"/>
    </row>
    <row r="103" ht="15.75" customHeight="1">
      <c r="F103" s="53"/>
    </row>
    <row r="104" ht="15.75" customHeight="1">
      <c r="F104" s="53"/>
    </row>
    <row r="105" ht="15.75" customHeight="1">
      <c r="F105" s="53"/>
    </row>
    <row r="106" ht="15.75" customHeight="1">
      <c r="F106" s="53"/>
    </row>
    <row r="107" ht="15.75" customHeight="1">
      <c r="F107" s="53"/>
    </row>
    <row r="108" ht="15.75" customHeight="1">
      <c r="F108" s="53"/>
    </row>
    <row r="109" ht="15.75" customHeight="1">
      <c r="F109" s="53"/>
    </row>
    <row r="110" ht="15.75" customHeight="1">
      <c r="F110" s="53"/>
    </row>
    <row r="111" ht="15.75" customHeight="1">
      <c r="F111" s="53"/>
    </row>
    <row r="112" ht="15.75" customHeight="1">
      <c r="F112" s="53"/>
    </row>
    <row r="113" ht="15.75" customHeight="1">
      <c r="F113" s="53"/>
    </row>
    <row r="114" ht="15.75" customHeight="1">
      <c r="F114" s="53"/>
    </row>
    <row r="115" ht="15.75" customHeight="1">
      <c r="F115" s="53"/>
    </row>
    <row r="116" ht="15.75" customHeight="1">
      <c r="F116" s="53"/>
    </row>
    <row r="117" ht="15.75" customHeight="1">
      <c r="F117" s="53"/>
    </row>
    <row r="118" ht="15.75" customHeight="1">
      <c r="F118" s="53"/>
    </row>
    <row r="119" ht="15.75" customHeight="1">
      <c r="F119" s="53"/>
    </row>
    <row r="120" ht="15.75" customHeight="1">
      <c r="F120" s="53"/>
    </row>
    <row r="121" ht="15.75" customHeight="1">
      <c r="F121" s="53"/>
    </row>
    <row r="122" ht="15.75" customHeight="1">
      <c r="F122" s="53"/>
    </row>
    <row r="123" ht="15.75" customHeight="1">
      <c r="F123" s="53"/>
    </row>
    <row r="124" ht="15.75" customHeight="1">
      <c r="F124" s="53"/>
    </row>
    <row r="125" ht="15.75" customHeight="1">
      <c r="F125" s="53"/>
    </row>
    <row r="126" ht="15.75" customHeight="1">
      <c r="F126" s="53"/>
    </row>
    <row r="127" ht="15.75" customHeight="1">
      <c r="F127" s="53"/>
    </row>
    <row r="128" ht="15.75" customHeight="1">
      <c r="F128" s="53"/>
    </row>
    <row r="129" ht="15.75" customHeight="1">
      <c r="F129" s="53"/>
    </row>
    <row r="130" ht="15.75" customHeight="1">
      <c r="F130" s="53"/>
    </row>
    <row r="131" ht="15.75" customHeight="1">
      <c r="F131" s="53"/>
    </row>
    <row r="132" ht="15.75" customHeight="1">
      <c r="F132" s="53"/>
    </row>
    <row r="133" ht="15.75" customHeight="1">
      <c r="F133" s="53"/>
    </row>
    <row r="134" ht="15.75" customHeight="1">
      <c r="F134" s="53"/>
    </row>
    <row r="135" ht="15.75" customHeight="1">
      <c r="F135" s="53"/>
    </row>
    <row r="136" ht="15.75" customHeight="1">
      <c r="F136" s="53"/>
    </row>
    <row r="137" ht="15.75" customHeight="1">
      <c r="F137" s="53"/>
    </row>
    <row r="138" ht="15.75" customHeight="1">
      <c r="F138" s="53"/>
    </row>
    <row r="139" ht="15.75" customHeight="1">
      <c r="F139" s="53"/>
    </row>
    <row r="140" ht="15.75" customHeight="1">
      <c r="F140" s="53"/>
    </row>
    <row r="141" ht="15.75" customHeight="1">
      <c r="F141" s="53"/>
    </row>
    <row r="142" ht="15.75" customHeight="1">
      <c r="F142" s="53"/>
    </row>
    <row r="143" ht="15.75" customHeight="1">
      <c r="F143" s="53"/>
    </row>
    <row r="144" ht="15.75" customHeight="1">
      <c r="F144" s="53"/>
    </row>
    <row r="145" ht="15.75" customHeight="1">
      <c r="F145" s="53"/>
    </row>
    <row r="146" ht="15.75" customHeight="1">
      <c r="F146" s="53"/>
    </row>
    <row r="147" ht="15.75" customHeight="1">
      <c r="F147" s="53"/>
    </row>
    <row r="148" ht="15.75" customHeight="1">
      <c r="F148" s="53"/>
    </row>
    <row r="149" ht="15.75" customHeight="1">
      <c r="F149" s="53"/>
    </row>
    <row r="150" ht="15.75" customHeight="1">
      <c r="F150" s="53"/>
    </row>
    <row r="151" ht="15.75" customHeight="1">
      <c r="F151" s="53"/>
    </row>
    <row r="152" ht="15.75" customHeight="1">
      <c r="F152" s="53"/>
    </row>
    <row r="153" ht="15.75" customHeight="1">
      <c r="F153" s="53"/>
    </row>
    <row r="154" ht="15.75" customHeight="1">
      <c r="F154" s="53"/>
    </row>
    <row r="155" ht="15.75" customHeight="1">
      <c r="F155" s="53"/>
    </row>
    <row r="156" ht="15.75" customHeight="1">
      <c r="F156" s="53"/>
    </row>
    <row r="157" ht="15.75" customHeight="1">
      <c r="F157" s="53"/>
    </row>
    <row r="158" ht="15.75" customHeight="1">
      <c r="F158" s="53"/>
    </row>
    <row r="159" ht="15.75" customHeight="1">
      <c r="F159" s="53"/>
    </row>
    <row r="160" ht="15.75" customHeight="1">
      <c r="F160" s="53"/>
    </row>
    <row r="161" ht="15.75" customHeight="1">
      <c r="F161" s="53"/>
    </row>
    <row r="162" ht="15.75" customHeight="1">
      <c r="F162" s="53"/>
    </row>
    <row r="163" ht="15.75" customHeight="1">
      <c r="F163" s="53"/>
    </row>
    <row r="164" ht="15.75" customHeight="1">
      <c r="F164" s="53"/>
    </row>
    <row r="165" ht="15.75" customHeight="1">
      <c r="F165" s="53"/>
    </row>
    <row r="166" ht="15.75" customHeight="1">
      <c r="F166" s="53"/>
    </row>
    <row r="167" ht="15.75" customHeight="1">
      <c r="F167" s="53"/>
    </row>
    <row r="168" ht="15.75" customHeight="1">
      <c r="F168" s="53"/>
    </row>
    <row r="169" ht="15.75" customHeight="1">
      <c r="F169" s="53"/>
    </row>
    <row r="170" ht="15.75" customHeight="1">
      <c r="F170" s="53"/>
    </row>
    <row r="171" ht="15.75" customHeight="1">
      <c r="F171" s="53"/>
    </row>
    <row r="172" ht="15.75" customHeight="1">
      <c r="F172" s="53"/>
    </row>
    <row r="173" ht="15.75" customHeight="1">
      <c r="F173" s="53"/>
    </row>
    <row r="174" ht="15.75" customHeight="1">
      <c r="F174" s="53"/>
    </row>
    <row r="175" ht="15.75" customHeight="1">
      <c r="F175" s="53"/>
    </row>
    <row r="176" ht="15.75" customHeight="1">
      <c r="F176" s="53"/>
    </row>
    <row r="177" ht="15.75" customHeight="1">
      <c r="F177" s="53"/>
    </row>
    <row r="178" ht="15.75" customHeight="1">
      <c r="F178" s="53"/>
    </row>
    <row r="179" ht="15.75" customHeight="1">
      <c r="F179" s="53"/>
    </row>
    <row r="180" ht="15.75" customHeight="1">
      <c r="F180" s="53"/>
    </row>
    <row r="181" ht="15.75" customHeight="1">
      <c r="F181" s="53"/>
    </row>
    <row r="182" ht="15.75" customHeight="1">
      <c r="F182" s="53"/>
    </row>
    <row r="183" ht="15.75" customHeight="1">
      <c r="F183" s="53"/>
    </row>
    <row r="184" ht="15.75" customHeight="1">
      <c r="F184" s="53"/>
    </row>
    <row r="185" ht="15.75" customHeight="1">
      <c r="F185" s="53"/>
    </row>
    <row r="186" ht="15.75" customHeight="1">
      <c r="F186" s="53"/>
    </row>
    <row r="187" ht="15.75" customHeight="1">
      <c r="F187" s="53"/>
    </row>
    <row r="188" ht="15.75" customHeight="1">
      <c r="F188" s="53"/>
    </row>
    <row r="189" ht="15.75" customHeight="1">
      <c r="F189" s="53"/>
    </row>
    <row r="190" ht="15.75" customHeight="1">
      <c r="F190" s="53"/>
    </row>
    <row r="191" ht="15.75" customHeight="1">
      <c r="F191" s="53"/>
    </row>
    <row r="192" ht="15.75" customHeight="1">
      <c r="F192" s="53"/>
    </row>
    <row r="193" ht="15.75" customHeight="1">
      <c r="F193" s="53"/>
    </row>
    <row r="194" ht="15.75" customHeight="1">
      <c r="F194" s="53"/>
    </row>
    <row r="195" ht="15.75" customHeight="1">
      <c r="F195" s="53"/>
    </row>
    <row r="196" ht="15.75" customHeight="1">
      <c r="F196" s="53"/>
    </row>
    <row r="197" ht="15.75" customHeight="1">
      <c r="F197" s="53"/>
    </row>
    <row r="198" ht="15.75" customHeight="1">
      <c r="F198" s="53"/>
    </row>
    <row r="199" ht="15.75" customHeight="1">
      <c r="F199" s="53"/>
    </row>
    <row r="200" ht="15.75" customHeight="1">
      <c r="F200" s="53"/>
    </row>
    <row r="201" ht="15.75" customHeight="1">
      <c r="F201" s="53"/>
    </row>
    <row r="202" ht="15.75" customHeight="1">
      <c r="F202" s="53"/>
    </row>
    <row r="203" ht="15.75" customHeight="1">
      <c r="F203" s="53"/>
    </row>
    <row r="204" ht="15.75" customHeight="1">
      <c r="F204" s="53"/>
    </row>
    <row r="205" ht="15.75" customHeight="1">
      <c r="F205" s="53"/>
    </row>
    <row r="206" ht="15.75" customHeight="1">
      <c r="F206" s="53"/>
    </row>
    <row r="207" ht="15.75" customHeight="1">
      <c r="F207" s="53"/>
    </row>
    <row r="208" ht="15.75" customHeight="1">
      <c r="F208" s="53"/>
    </row>
    <row r="209" ht="15.75" customHeight="1">
      <c r="F209" s="53"/>
    </row>
    <row r="210" ht="15.75" customHeight="1">
      <c r="F210" s="53"/>
    </row>
    <row r="211" ht="15.75" customHeight="1">
      <c r="F211" s="53"/>
    </row>
    <row r="212" ht="15.75" customHeight="1">
      <c r="F212" s="53"/>
    </row>
    <row r="213" ht="15.75" customHeight="1">
      <c r="F213" s="53"/>
    </row>
    <row r="214" ht="15.75" customHeight="1">
      <c r="F214" s="53"/>
    </row>
    <row r="215" ht="15.75" customHeight="1">
      <c r="F215" s="53"/>
    </row>
    <row r="216" ht="15.75" customHeight="1">
      <c r="F216" s="53"/>
    </row>
    <row r="217" ht="15.75" customHeight="1">
      <c r="F217" s="53"/>
    </row>
    <row r="218" ht="15.75" customHeight="1">
      <c r="F218" s="53"/>
    </row>
    <row r="219" ht="15.75" customHeight="1">
      <c r="F219" s="53"/>
    </row>
    <row r="220" ht="15.75" customHeight="1">
      <c r="F220" s="53"/>
    </row>
    <row r="221" ht="15.75" customHeight="1">
      <c r="F221" s="53"/>
    </row>
    <row r="222" ht="15.75" customHeight="1">
      <c r="F222" s="53"/>
    </row>
    <row r="223" ht="15.75" customHeight="1">
      <c r="F223" s="53"/>
    </row>
    <row r="224" ht="15.75" customHeight="1">
      <c r="F224" s="53"/>
    </row>
    <row r="225" ht="15.75" customHeight="1">
      <c r="F225" s="53"/>
    </row>
    <row r="226" ht="15.75" customHeight="1">
      <c r="F226" s="53"/>
    </row>
    <row r="227" ht="15.75" customHeight="1">
      <c r="F227" s="53"/>
    </row>
    <row r="228" ht="15.75" customHeight="1">
      <c r="F228" s="53"/>
    </row>
    <row r="229" ht="15.75" customHeight="1">
      <c r="F229" s="53"/>
    </row>
    <row r="230" ht="15.75" customHeight="1">
      <c r="F230" s="53"/>
    </row>
    <row r="231" ht="15.75" customHeight="1">
      <c r="F231" s="53"/>
    </row>
    <row r="232" ht="15.75" customHeight="1">
      <c r="F232" s="53"/>
    </row>
    <row r="233" ht="15.75" customHeight="1">
      <c r="F233" s="53"/>
    </row>
    <row r="234" ht="15.75" customHeight="1">
      <c r="F234" s="53"/>
    </row>
    <row r="235" ht="15.75" customHeight="1">
      <c r="F235" s="53"/>
    </row>
    <row r="236" ht="15.75" customHeight="1">
      <c r="F236" s="53"/>
    </row>
    <row r="237" ht="15.75" customHeight="1">
      <c r="F237" s="53"/>
    </row>
    <row r="238" ht="15.75" customHeight="1">
      <c r="F238" s="53"/>
    </row>
    <row r="239" ht="15.75" customHeight="1">
      <c r="F239" s="53"/>
    </row>
    <row r="240" ht="15.75" customHeight="1">
      <c r="F240" s="53"/>
    </row>
    <row r="241" ht="15.75" customHeight="1">
      <c r="F241" s="53"/>
    </row>
    <row r="242" ht="15.75" customHeight="1">
      <c r="F242" s="53"/>
    </row>
    <row r="243" ht="15.75" customHeight="1">
      <c r="F243" s="53"/>
    </row>
    <row r="244" ht="15.75" customHeight="1">
      <c r="F244" s="53"/>
    </row>
    <row r="245" ht="15.75" customHeight="1">
      <c r="F245" s="53"/>
    </row>
    <row r="246" ht="15.75" customHeight="1">
      <c r="F246" s="53"/>
    </row>
    <row r="247" ht="15.75" customHeight="1">
      <c r="F247" s="53"/>
    </row>
    <row r="248" ht="15.75" customHeight="1">
      <c r="F248" s="53"/>
    </row>
    <row r="249" ht="15.75" customHeight="1">
      <c r="F249" s="53"/>
    </row>
    <row r="250" ht="15.75" customHeight="1">
      <c r="F250" s="53"/>
    </row>
    <row r="251" ht="15.75" customHeight="1">
      <c r="F251" s="53"/>
    </row>
    <row r="252" ht="15.75" customHeight="1">
      <c r="F252" s="53"/>
    </row>
    <row r="253" ht="15.75" customHeight="1">
      <c r="F253" s="53"/>
    </row>
    <row r="254" ht="15.75" customHeight="1">
      <c r="F254" s="53"/>
    </row>
    <row r="255" ht="15.75" customHeight="1">
      <c r="F255" s="53"/>
    </row>
    <row r="256" ht="15.75" customHeight="1">
      <c r="F256" s="53"/>
    </row>
    <row r="257" ht="15.75" customHeight="1">
      <c r="F257" s="53"/>
    </row>
    <row r="258" ht="15.75" customHeight="1">
      <c r="F258" s="53"/>
    </row>
    <row r="259" ht="15.75" customHeight="1">
      <c r="F259" s="53"/>
    </row>
    <row r="260" ht="15.75" customHeight="1">
      <c r="F260" s="53"/>
    </row>
    <row r="261" ht="15.75" customHeight="1">
      <c r="F261" s="53"/>
    </row>
    <row r="262" ht="15.75" customHeight="1">
      <c r="F262" s="53"/>
    </row>
    <row r="263" ht="15.75" customHeight="1">
      <c r="F263" s="53"/>
    </row>
    <row r="264" ht="15.75" customHeight="1">
      <c r="F264" s="53"/>
    </row>
    <row r="265" ht="15.75" customHeight="1">
      <c r="F265" s="53"/>
    </row>
    <row r="266" ht="15.75" customHeight="1">
      <c r="F266" s="53"/>
    </row>
    <row r="267" ht="15.75" customHeight="1">
      <c r="F267" s="53"/>
    </row>
    <row r="268" ht="15.75" customHeight="1">
      <c r="F268" s="53"/>
    </row>
    <row r="269" ht="15.75" customHeight="1">
      <c r="F269" s="53"/>
    </row>
    <row r="270" ht="15.75" customHeight="1">
      <c r="F270" s="53"/>
    </row>
    <row r="271" ht="15.75" customHeight="1">
      <c r="F271" s="53"/>
    </row>
    <row r="272" ht="15.75" customHeight="1">
      <c r="F272" s="53"/>
    </row>
    <row r="273" ht="15.75" customHeight="1">
      <c r="F273" s="53"/>
    </row>
    <row r="274" ht="15.75" customHeight="1">
      <c r="F274" s="53"/>
    </row>
    <row r="275" ht="15.75" customHeight="1">
      <c r="F275" s="53"/>
    </row>
    <row r="276" ht="15.75" customHeight="1">
      <c r="F276" s="53"/>
    </row>
    <row r="277" ht="15.75" customHeight="1">
      <c r="F277" s="53"/>
    </row>
    <row r="278" ht="15.75" customHeight="1">
      <c r="F278" s="53"/>
    </row>
    <row r="279" ht="15.75" customHeight="1">
      <c r="F279" s="53"/>
    </row>
    <row r="280" ht="15.75" customHeight="1">
      <c r="F280" s="53"/>
    </row>
    <row r="281" ht="15.75" customHeight="1">
      <c r="F281" s="53"/>
    </row>
    <row r="282" ht="15.75" customHeight="1">
      <c r="F282" s="53"/>
    </row>
    <row r="283" ht="15.75" customHeight="1">
      <c r="F283" s="53"/>
    </row>
    <row r="284" ht="15.75" customHeight="1">
      <c r="F284" s="53"/>
    </row>
    <row r="285" ht="15.75" customHeight="1">
      <c r="F285" s="53"/>
    </row>
    <row r="286" ht="15.75" customHeight="1">
      <c r="F286" s="53"/>
    </row>
    <row r="287" ht="15.75" customHeight="1">
      <c r="F287" s="53"/>
    </row>
    <row r="288" ht="15.75" customHeight="1">
      <c r="F288" s="53"/>
    </row>
    <row r="289" ht="15.75" customHeight="1">
      <c r="F289" s="53"/>
    </row>
    <row r="290" ht="15.75" customHeight="1">
      <c r="F290" s="53"/>
    </row>
    <row r="291" ht="15.75" customHeight="1">
      <c r="F291" s="53"/>
    </row>
    <row r="292" ht="15.75" customHeight="1">
      <c r="F292" s="53"/>
    </row>
    <row r="293" ht="15.75" customHeight="1">
      <c r="F293" s="53"/>
    </row>
    <row r="294" ht="15.75" customHeight="1">
      <c r="F294" s="53"/>
    </row>
    <row r="295" ht="15.75" customHeight="1">
      <c r="F295" s="53"/>
    </row>
    <row r="296" ht="15.75" customHeight="1">
      <c r="F296" s="53"/>
    </row>
    <row r="297" ht="15.75" customHeight="1">
      <c r="F297" s="53"/>
    </row>
    <row r="298" ht="15.75" customHeight="1">
      <c r="F298" s="53"/>
    </row>
    <row r="299" ht="15.75" customHeight="1">
      <c r="F299" s="53"/>
    </row>
    <row r="300" ht="15.75" customHeight="1">
      <c r="F300" s="53"/>
    </row>
    <row r="301" ht="15.75" customHeight="1">
      <c r="F301" s="53"/>
    </row>
    <row r="302" ht="15.75" customHeight="1">
      <c r="F302" s="53"/>
    </row>
    <row r="303" ht="15.75" customHeight="1">
      <c r="F303" s="53"/>
    </row>
    <row r="304" ht="15.75" customHeight="1">
      <c r="F304" s="53"/>
    </row>
    <row r="305" ht="15.75" customHeight="1">
      <c r="F305" s="53"/>
    </row>
    <row r="306" ht="15.75" customHeight="1">
      <c r="F306" s="53"/>
    </row>
    <row r="307" ht="15.75" customHeight="1">
      <c r="F307" s="53"/>
    </row>
    <row r="308" ht="15.75" customHeight="1">
      <c r="F308" s="53"/>
    </row>
    <row r="309" ht="15.75" customHeight="1">
      <c r="F309" s="53"/>
    </row>
    <row r="310" ht="15.75" customHeight="1">
      <c r="F310" s="53"/>
    </row>
    <row r="311" ht="15.75" customHeight="1">
      <c r="F311" s="53"/>
    </row>
    <row r="312" ht="15.75" customHeight="1">
      <c r="F312" s="53"/>
    </row>
    <row r="313" ht="15.75" customHeight="1">
      <c r="F313" s="53"/>
    </row>
    <row r="314" ht="15.75" customHeight="1">
      <c r="F314" s="53"/>
    </row>
    <row r="315" ht="15.75" customHeight="1">
      <c r="F315" s="53"/>
    </row>
    <row r="316" ht="15.75" customHeight="1">
      <c r="F316" s="53"/>
    </row>
    <row r="317" ht="15.75" customHeight="1">
      <c r="F317" s="53"/>
    </row>
    <row r="318" ht="15.75" customHeight="1">
      <c r="F318" s="53"/>
    </row>
    <row r="319" ht="15.75" customHeight="1">
      <c r="F319" s="53"/>
    </row>
    <row r="320" ht="15.75" customHeight="1">
      <c r="F320" s="53"/>
    </row>
    <row r="321" ht="15.75" customHeight="1">
      <c r="F321" s="53"/>
    </row>
    <row r="322" ht="15.75" customHeight="1">
      <c r="F322" s="53"/>
    </row>
    <row r="323" ht="15.75" customHeight="1">
      <c r="F323" s="53"/>
    </row>
    <row r="324" ht="15.75" customHeight="1">
      <c r="F324" s="53"/>
    </row>
    <row r="325" ht="15.75" customHeight="1">
      <c r="F325" s="53"/>
    </row>
    <row r="326" ht="15.75" customHeight="1">
      <c r="F326" s="53"/>
    </row>
    <row r="327" ht="15.75" customHeight="1">
      <c r="F327" s="53"/>
    </row>
    <row r="328" ht="15.75" customHeight="1">
      <c r="F328" s="53"/>
    </row>
    <row r="329" ht="15.75" customHeight="1">
      <c r="F329" s="53"/>
    </row>
    <row r="330" ht="15.75" customHeight="1">
      <c r="F330" s="53"/>
    </row>
    <row r="331" ht="15.75" customHeight="1">
      <c r="F331" s="53"/>
    </row>
    <row r="332" ht="15.75" customHeight="1">
      <c r="F332" s="53"/>
    </row>
    <row r="333" ht="15.75" customHeight="1">
      <c r="F333" s="53"/>
    </row>
    <row r="334" ht="15.75" customHeight="1">
      <c r="F334" s="53"/>
    </row>
    <row r="335" ht="15.75" customHeight="1">
      <c r="F335" s="53"/>
    </row>
    <row r="336" ht="15.75" customHeight="1">
      <c r="F336" s="53"/>
    </row>
    <row r="337" ht="15.75" customHeight="1">
      <c r="F337" s="53"/>
    </row>
    <row r="338" ht="15.75" customHeight="1">
      <c r="F338" s="53"/>
    </row>
    <row r="339" ht="15.75" customHeight="1">
      <c r="F339" s="53"/>
    </row>
    <row r="340" ht="15.75" customHeight="1">
      <c r="F340" s="53"/>
    </row>
    <row r="341" ht="15.75" customHeight="1">
      <c r="F341" s="53"/>
    </row>
    <row r="342" ht="15.75" customHeight="1">
      <c r="F342" s="53"/>
    </row>
    <row r="343" ht="15.75" customHeight="1">
      <c r="F343" s="53"/>
    </row>
    <row r="344" ht="15.75" customHeight="1">
      <c r="F344" s="53"/>
    </row>
    <row r="345" ht="15.75" customHeight="1">
      <c r="F345" s="53"/>
    </row>
    <row r="346" ht="15.75" customHeight="1">
      <c r="F346" s="53"/>
    </row>
    <row r="347" ht="15.75" customHeight="1">
      <c r="F347" s="53"/>
    </row>
    <row r="348" ht="15.75" customHeight="1">
      <c r="F348" s="53"/>
    </row>
    <row r="349" ht="15.75" customHeight="1">
      <c r="F349" s="53"/>
    </row>
    <row r="350" ht="15.75" customHeight="1">
      <c r="F350" s="53"/>
    </row>
    <row r="351" ht="15.75" customHeight="1">
      <c r="F351" s="53"/>
    </row>
    <row r="352" ht="15.75" customHeight="1">
      <c r="F352" s="53"/>
    </row>
    <row r="353" ht="15.75" customHeight="1">
      <c r="F353" s="53"/>
    </row>
    <row r="354" ht="15.75" customHeight="1">
      <c r="F354" s="53"/>
    </row>
    <row r="355" ht="15.75" customHeight="1">
      <c r="F355" s="53"/>
    </row>
    <row r="356" ht="15.75" customHeight="1">
      <c r="F356" s="53"/>
    </row>
    <row r="357" ht="15.75" customHeight="1">
      <c r="F357" s="53"/>
    </row>
    <row r="358" ht="15.75" customHeight="1">
      <c r="F358" s="53"/>
    </row>
    <row r="359" ht="15.75" customHeight="1">
      <c r="F359" s="53"/>
    </row>
    <row r="360" ht="15.75" customHeight="1">
      <c r="F360" s="53"/>
    </row>
    <row r="361" ht="15.75" customHeight="1">
      <c r="F361" s="53"/>
    </row>
    <row r="362" ht="15.75" customHeight="1">
      <c r="F362" s="53"/>
    </row>
    <row r="363" ht="15.75" customHeight="1">
      <c r="F363" s="53"/>
    </row>
    <row r="364" ht="15.75" customHeight="1">
      <c r="F364" s="53"/>
    </row>
    <row r="365" ht="15.75" customHeight="1">
      <c r="F365" s="53"/>
    </row>
    <row r="366" ht="15.75" customHeight="1">
      <c r="F366" s="53"/>
    </row>
    <row r="367" ht="15.75" customHeight="1">
      <c r="F367" s="53"/>
    </row>
    <row r="368" ht="15.75" customHeight="1">
      <c r="F368" s="53"/>
    </row>
    <row r="369" ht="15.75" customHeight="1">
      <c r="F369" s="53"/>
    </row>
    <row r="370" ht="15.75" customHeight="1">
      <c r="F370" s="53"/>
    </row>
    <row r="371" ht="15.75" customHeight="1">
      <c r="F371" s="53"/>
    </row>
    <row r="372" ht="15.75" customHeight="1">
      <c r="F372" s="53"/>
    </row>
    <row r="373" ht="15.75" customHeight="1">
      <c r="F373" s="53"/>
    </row>
    <row r="374" ht="15.75" customHeight="1">
      <c r="F374" s="53"/>
    </row>
    <row r="375" ht="15.75" customHeight="1">
      <c r="F375" s="53"/>
    </row>
    <row r="376" ht="15.75" customHeight="1">
      <c r="F376" s="53"/>
    </row>
    <row r="377" ht="15.75" customHeight="1">
      <c r="F377" s="53"/>
    </row>
    <row r="378" ht="15.75" customHeight="1">
      <c r="F378" s="53"/>
    </row>
    <row r="379" ht="15.75" customHeight="1">
      <c r="F379" s="53"/>
    </row>
    <row r="380" ht="15.75" customHeight="1">
      <c r="F380" s="53"/>
    </row>
    <row r="381" ht="15.75" customHeight="1">
      <c r="F381" s="53"/>
    </row>
    <row r="382" ht="15.75" customHeight="1">
      <c r="F382" s="53"/>
    </row>
    <row r="383" ht="15.75" customHeight="1">
      <c r="F383" s="53"/>
    </row>
    <row r="384" ht="15.75" customHeight="1">
      <c r="F384" s="53"/>
    </row>
    <row r="385" ht="15.75" customHeight="1">
      <c r="F385" s="53"/>
    </row>
    <row r="386" ht="15.75" customHeight="1">
      <c r="F386" s="53"/>
    </row>
    <row r="387" ht="15.75" customHeight="1">
      <c r="F387" s="53"/>
    </row>
    <row r="388" ht="15.75" customHeight="1">
      <c r="F388" s="53"/>
    </row>
    <row r="389" ht="15.75" customHeight="1">
      <c r="F389" s="53"/>
    </row>
    <row r="390" ht="15.75" customHeight="1">
      <c r="F390" s="53"/>
    </row>
    <row r="391" ht="15.75" customHeight="1">
      <c r="F391" s="53"/>
    </row>
    <row r="392" ht="15.75" customHeight="1">
      <c r="F392" s="53"/>
    </row>
    <row r="393" ht="15.75" customHeight="1">
      <c r="F393" s="53"/>
    </row>
    <row r="394" ht="15.75" customHeight="1">
      <c r="F394" s="53"/>
    </row>
    <row r="395" ht="15.75" customHeight="1">
      <c r="F395" s="53"/>
    </row>
    <row r="396" ht="15.75" customHeight="1">
      <c r="F396" s="53"/>
    </row>
    <row r="397" ht="15.75" customHeight="1">
      <c r="F397" s="53"/>
    </row>
    <row r="398" ht="15.75" customHeight="1">
      <c r="F398" s="53"/>
    </row>
    <row r="399" ht="15.75" customHeight="1">
      <c r="F399" s="53"/>
    </row>
    <row r="400" ht="15.75" customHeight="1">
      <c r="F400" s="53"/>
    </row>
    <row r="401" ht="15.75" customHeight="1">
      <c r="F401" s="53"/>
    </row>
    <row r="402" ht="15.75" customHeight="1">
      <c r="F402" s="53"/>
    </row>
    <row r="403" ht="15.75" customHeight="1">
      <c r="F403" s="53"/>
    </row>
    <row r="404" ht="15.75" customHeight="1">
      <c r="F404" s="53"/>
    </row>
    <row r="405" ht="15.75" customHeight="1">
      <c r="F405" s="53"/>
    </row>
    <row r="406" ht="15.75" customHeight="1">
      <c r="F406" s="53"/>
    </row>
    <row r="407" ht="15.75" customHeight="1">
      <c r="F407" s="53"/>
    </row>
    <row r="408" ht="15.75" customHeight="1">
      <c r="F408" s="53"/>
    </row>
    <row r="409" ht="15.75" customHeight="1">
      <c r="F409" s="53"/>
    </row>
    <row r="410" ht="15.75" customHeight="1">
      <c r="F410" s="53"/>
    </row>
    <row r="411" ht="15.75" customHeight="1">
      <c r="F411" s="53"/>
    </row>
    <row r="412" ht="15.75" customHeight="1">
      <c r="F412" s="53"/>
    </row>
    <row r="413" ht="15.75" customHeight="1">
      <c r="F413" s="53"/>
    </row>
    <row r="414" ht="15.75" customHeight="1">
      <c r="F414" s="53"/>
    </row>
    <row r="415" ht="15.75" customHeight="1">
      <c r="F415" s="53"/>
    </row>
    <row r="416" ht="15.75" customHeight="1">
      <c r="F416" s="53"/>
    </row>
    <row r="417" ht="15.75" customHeight="1">
      <c r="F417" s="53"/>
    </row>
    <row r="418" ht="15.75" customHeight="1">
      <c r="F418" s="53"/>
    </row>
    <row r="419" ht="15.75" customHeight="1">
      <c r="F419" s="53"/>
    </row>
    <row r="420" ht="15.75" customHeight="1">
      <c r="F420" s="53"/>
    </row>
    <row r="421" ht="15.75" customHeight="1">
      <c r="F421" s="53"/>
    </row>
    <row r="422" ht="15.75" customHeight="1">
      <c r="F422" s="53"/>
    </row>
    <row r="423" ht="15.75" customHeight="1">
      <c r="F423" s="53"/>
    </row>
    <row r="424" ht="15.75" customHeight="1">
      <c r="F424" s="53"/>
    </row>
    <row r="425" ht="15.75" customHeight="1">
      <c r="F425" s="53"/>
    </row>
    <row r="426" ht="15.75" customHeight="1">
      <c r="F426" s="53"/>
    </row>
    <row r="427" ht="15.75" customHeight="1">
      <c r="F427" s="53"/>
    </row>
    <row r="428" ht="15.75" customHeight="1">
      <c r="F428" s="53"/>
    </row>
    <row r="429" ht="15.75" customHeight="1">
      <c r="F429" s="53"/>
    </row>
    <row r="430" ht="15.75" customHeight="1">
      <c r="F430" s="53"/>
    </row>
    <row r="431" ht="15.75" customHeight="1">
      <c r="F431" s="53"/>
    </row>
    <row r="432" ht="15.75" customHeight="1">
      <c r="F432" s="53"/>
    </row>
    <row r="433" ht="15.75" customHeight="1">
      <c r="F433" s="53"/>
    </row>
    <row r="434" ht="15.75" customHeight="1">
      <c r="F434" s="53"/>
    </row>
    <row r="435" ht="15.75" customHeight="1">
      <c r="F435" s="53"/>
    </row>
    <row r="436" ht="15.75" customHeight="1">
      <c r="F436" s="53"/>
    </row>
    <row r="437" ht="15.75" customHeight="1">
      <c r="F437" s="53"/>
    </row>
    <row r="438" ht="15.75" customHeight="1">
      <c r="F438" s="53"/>
    </row>
    <row r="439" ht="15.75" customHeight="1">
      <c r="F439" s="53"/>
    </row>
    <row r="440" ht="15.75" customHeight="1">
      <c r="F440" s="53"/>
    </row>
    <row r="441" ht="15.75" customHeight="1">
      <c r="F441" s="53"/>
    </row>
    <row r="442" ht="15.75" customHeight="1">
      <c r="F442" s="53"/>
    </row>
    <row r="443" ht="15.75" customHeight="1">
      <c r="F443" s="53"/>
    </row>
    <row r="444" ht="15.75" customHeight="1">
      <c r="F444" s="53"/>
    </row>
    <row r="445" ht="15.75" customHeight="1">
      <c r="F445" s="53"/>
    </row>
    <row r="446" ht="15.75" customHeight="1">
      <c r="F446" s="53"/>
    </row>
    <row r="447" ht="15.75" customHeight="1">
      <c r="F447" s="53"/>
    </row>
    <row r="448" ht="15.75" customHeight="1">
      <c r="F448" s="53"/>
    </row>
    <row r="449" ht="15.75" customHeight="1">
      <c r="F449" s="53"/>
    </row>
    <row r="450" ht="15.75" customHeight="1">
      <c r="F450" s="53"/>
    </row>
    <row r="451" ht="15.75" customHeight="1">
      <c r="F451" s="53"/>
    </row>
    <row r="452" ht="15.75" customHeight="1">
      <c r="F452" s="53"/>
    </row>
    <row r="453" ht="15.75" customHeight="1">
      <c r="F453" s="53"/>
    </row>
    <row r="454" ht="15.75" customHeight="1">
      <c r="F454" s="53"/>
    </row>
    <row r="455" ht="15.75" customHeight="1">
      <c r="F455" s="53"/>
    </row>
    <row r="456" ht="15.75" customHeight="1">
      <c r="F456" s="53"/>
    </row>
    <row r="457" ht="15.75" customHeight="1">
      <c r="F457" s="53"/>
    </row>
    <row r="458" ht="15.75" customHeight="1">
      <c r="F458" s="53"/>
    </row>
    <row r="459" ht="15.75" customHeight="1">
      <c r="F459" s="53"/>
    </row>
    <row r="460" ht="15.75" customHeight="1">
      <c r="F460" s="53"/>
    </row>
    <row r="461" ht="15.75" customHeight="1">
      <c r="F461" s="53"/>
    </row>
    <row r="462" ht="15.75" customHeight="1">
      <c r="F462" s="53"/>
    </row>
    <row r="463" ht="15.75" customHeight="1">
      <c r="F463" s="53"/>
    </row>
    <row r="464" ht="15.75" customHeight="1">
      <c r="F464" s="53"/>
    </row>
    <row r="465" ht="15.75" customHeight="1">
      <c r="F465" s="53"/>
    </row>
    <row r="466" ht="15.75" customHeight="1">
      <c r="F466" s="53"/>
    </row>
    <row r="467" ht="15.75" customHeight="1">
      <c r="F467" s="53"/>
    </row>
    <row r="468" ht="15.75" customHeight="1">
      <c r="F468" s="53"/>
    </row>
    <row r="469" ht="15.75" customHeight="1">
      <c r="F469" s="53"/>
    </row>
    <row r="470" ht="15.75" customHeight="1">
      <c r="F470" s="53"/>
    </row>
    <row r="471" ht="15.75" customHeight="1">
      <c r="F471" s="53"/>
    </row>
    <row r="472" ht="15.75" customHeight="1">
      <c r="F472" s="53"/>
    </row>
    <row r="473" ht="15.75" customHeight="1">
      <c r="F473" s="53"/>
    </row>
    <row r="474" ht="15.75" customHeight="1">
      <c r="F474" s="53"/>
    </row>
    <row r="475" ht="15.75" customHeight="1">
      <c r="F475" s="53"/>
    </row>
    <row r="476" ht="15.75" customHeight="1">
      <c r="F476" s="53"/>
    </row>
    <row r="477" ht="15.75" customHeight="1">
      <c r="F477" s="53"/>
    </row>
    <row r="478" ht="15.75" customHeight="1">
      <c r="F478" s="53"/>
    </row>
    <row r="479" ht="15.75" customHeight="1">
      <c r="F479" s="53"/>
    </row>
    <row r="480" ht="15.75" customHeight="1">
      <c r="F480" s="53"/>
    </row>
    <row r="481" ht="15.75" customHeight="1">
      <c r="F481" s="53"/>
    </row>
    <row r="482" ht="15.75" customHeight="1">
      <c r="F482" s="53"/>
    </row>
    <row r="483" ht="15.75" customHeight="1">
      <c r="F483" s="53"/>
    </row>
    <row r="484" ht="15.75" customHeight="1">
      <c r="F484" s="53"/>
    </row>
    <row r="485" ht="15.75" customHeight="1">
      <c r="F485" s="53"/>
    </row>
    <row r="486" ht="15.75" customHeight="1">
      <c r="F486" s="53"/>
    </row>
    <row r="487" ht="15.75" customHeight="1">
      <c r="F487" s="53"/>
    </row>
    <row r="488" ht="15.75" customHeight="1">
      <c r="F488" s="53"/>
    </row>
    <row r="489" ht="15.75" customHeight="1">
      <c r="F489" s="53"/>
    </row>
    <row r="490" ht="15.75" customHeight="1">
      <c r="F490" s="53"/>
    </row>
    <row r="491" ht="15.75" customHeight="1">
      <c r="F491" s="53"/>
    </row>
    <row r="492" ht="15.75" customHeight="1">
      <c r="F492" s="53"/>
    </row>
    <row r="493" ht="15.75" customHeight="1">
      <c r="F493" s="53"/>
    </row>
    <row r="494" ht="15.75" customHeight="1">
      <c r="F494" s="53"/>
    </row>
    <row r="495" ht="15.75" customHeight="1">
      <c r="F495" s="53"/>
    </row>
    <row r="496" ht="15.75" customHeight="1">
      <c r="F496" s="53"/>
    </row>
    <row r="497" ht="15.75" customHeight="1">
      <c r="F497" s="53"/>
    </row>
    <row r="498" ht="15.75" customHeight="1">
      <c r="F498" s="53"/>
    </row>
    <row r="499" ht="15.75" customHeight="1">
      <c r="F499" s="53"/>
    </row>
    <row r="500" ht="15.75" customHeight="1">
      <c r="F500" s="53"/>
    </row>
    <row r="501" ht="15.75" customHeight="1">
      <c r="F501" s="53"/>
    </row>
    <row r="502" ht="15.75" customHeight="1">
      <c r="F502" s="53"/>
    </row>
    <row r="503" ht="15.75" customHeight="1">
      <c r="F503" s="53"/>
    </row>
    <row r="504" ht="15.75" customHeight="1">
      <c r="F504" s="53"/>
    </row>
    <row r="505" ht="15.75" customHeight="1">
      <c r="F505" s="53"/>
    </row>
    <row r="506" ht="15.75" customHeight="1">
      <c r="F506" s="53"/>
    </row>
    <row r="507" ht="15.75" customHeight="1">
      <c r="F507" s="53"/>
    </row>
    <row r="508" ht="15.75" customHeight="1">
      <c r="F508" s="53"/>
    </row>
    <row r="509" ht="15.75" customHeight="1">
      <c r="F509" s="53"/>
    </row>
    <row r="510" ht="15.75" customHeight="1">
      <c r="F510" s="53"/>
    </row>
    <row r="511" ht="15.75" customHeight="1">
      <c r="F511" s="53"/>
    </row>
    <row r="512" ht="15.75" customHeight="1">
      <c r="F512" s="53"/>
    </row>
    <row r="513" ht="15.75" customHeight="1">
      <c r="F513" s="53"/>
    </row>
    <row r="514" ht="15.75" customHeight="1">
      <c r="F514" s="53"/>
    </row>
    <row r="515" ht="15.75" customHeight="1">
      <c r="F515" s="53"/>
    </row>
    <row r="516" ht="15.75" customHeight="1">
      <c r="F516" s="53"/>
    </row>
    <row r="517" ht="15.75" customHeight="1">
      <c r="F517" s="53"/>
    </row>
    <row r="518" ht="15.75" customHeight="1">
      <c r="F518" s="53"/>
    </row>
    <row r="519" ht="15.75" customHeight="1">
      <c r="F519" s="53"/>
    </row>
    <row r="520" ht="15.75" customHeight="1">
      <c r="F520" s="53"/>
    </row>
    <row r="521" ht="15.75" customHeight="1">
      <c r="F521" s="53"/>
    </row>
    <row r="522" ht="15.75" customHeight="1">
      <c r="F522" s="53"/>
    </row>
    <row r="523" ht="15.75" customHeight="1">
      <c r="F523" s="53"/>
    </row>
    <row r="524" ht="15.75" customHeight="1">
      <c r="F524" s="53"/>
    </row>
    <row r="525" ht="15.75" customHeight="1">
      <c r="F525" s="53"/>
    </row>
    <row r="526" ht="15.75" customHeight="1">
      <c r="F526" s="53"/>
    </row>
    <row r="527" ht="15.75" customHeight="1">
      <c r="F527" s="53"/>
    </row>
    <row r="528" ht="15.75" customHeight="1">
      <c r="F528" s="53"/>
    </row>
    <row r="529" ht="15.75" customHeight="1">
      <c r="F529" s="53"/>
    </row>
    <row r="530" ht="15.75" customHeight="1">
      <c r="F530" s="53"/>
    </row>
    <row r="531" ht="15.75" customHeight="1">
      <c r="F531" s="53"/>
    </row>
    <row r="532" ht="15.75" customHeight="1">
      <c r="F532" s="53"/>
    </row>
    <row r="533" ht="15.75" customHeight="1">
      <c r="F533" s="53"/>
    </row>
    <row r="534" ht="15.75" customHeight="1">
      <c r="F534" s="53"/>
    </row>
    <row r="535" ht="15.75" customHeight="1">
      <c r="F535" s="53"/>
    </row>
    <row r="536" ht="15.75" customHeight="1">
      <c r="F536" s="53"/>
    </row>
    <row r="537" ht="15.75" customHeight="1">
      <c r="F537" s="53"/>
    </row>
    <row r="538" ht="15.75" customHeight="1">
      <c r="F538" s="53"/>
    </row>
    <row r="539" ht="15.75" customHeight="1">
      <c r="F539" s="53"/>
    </row>
    <row r="540" ht="15.75" customHeight="1">
      <c r="F540" s="53"/>
    </row>
    <row r="541" ht="15.75" customHeight="1">
      <c r="F541" s="53"/>
    </row>
    <row r="542" ht="15.75" customHeight="1">
      <c r="F542" s="53"/>
    </row>
    <row r="543" ht="15.75" customHeight="1">
      <c r="F543" s="53"/>
    </row>
    <row r="544" ht="15.75" customHeight="1">
      <c r="F544" s="53"/>
    </row>
    <row r="545" ht="15.75" customHeight="1">
      <c r="F545" s="53"/>
    </row>
    <row r="546" ht="15.75" customHeight="1">
      <c r="F546" s="53"/>
    </row>
    <row r="547" ht="15.75" customHeight="1">
      <c r="F547" s="53"/>
    </row>
    <row r="548" ht="15.75" customHeight="1">
      <c r="F548" s="53"/>
    </row>
    <row r="549" ht="15.75" customHeight="1">
      <c r="F549" s="53"/>
    </row>
    <row r="550" ht="15.75" customHeight="1">
      <c r="F550" s="53"/>
    </row>
    <row r="551" ht="15.75" customHeight="1">
      <c r="F551" s="53"/>
    </row>
    <row r="552" ht="15.75" customHeight="1">
      <c r="F552" s="53"/>
    </row>
    <row r="553" ht="15.75" customHeight="1">
      <c r="F553" s="53"/>
    </row>
    <row r="554" ht="15.75" customHeight="1">
      <c r="F554" s="53"/>
    </row>
    <row r="555" ht="15.75" customHeight="1">
      <c r="F555" s="53"/>
    </row>
    <row r="556" ht="15.75" customHeight="1">
      <c r="F556" s="53"/>
    </row>
    <row r="557" ht="15.75" customHeight="1">
      <c r="F557" s="53"/>
    </row>
    <row r="558" ht="15.75" customHeight="1">
      <c r="F558" s="53"/>
    </row>
    <row r="559" ht="15.75" customHeight="1">
      <c r="F559" s="53"/>
    </row>
    <row r="560" ht="15.75" customHeight="1">
      <c r="F560" s="53"/>
    </row>
    <row r="561" ht="15.75" customHeight="1">
      <c r="F561" s="53"/>
    </row>
    <row r="562" ht="15.75" customHeight="1">
      <c r="F562" s="53"/>
    </row>
    <row r="563" ht="15.75" customHeight="1">
      <c r="F563" s="53"/>
    </row>
    <row r="564" ht="15.75" customHeight="1">
      <c r="F564" s="53"/>
    </row>
    <row r="565" ht="15.75" customHeight="1">
      <c r="F565" s="53"/>
    </row>
    <row r="566" ht="15.75" customHeight="1">
      <c r="F566" s="53"/>
    </row>
    <row r="567" ht="15.75" customHeight="1">
      <c r="F567" s="53"/>
    </row>
    <row r="568" ht="15.75" customHeight="1">
      <c r="F568" s="53"/>
    </row>
    <row r="569" ht="15.75" customHeight="1">
      <c r="F569" s="53"/>
    </row>
    <row r="570" ht="15.75" customHeight="1">
      <c r="F570" s="53"/>
    </row>
    <row r="571" ht="15.75" customHeight="1">
      <c r="F571" s="53"/>
    </row>
    <row r="572" ht="15.75" customHeight="1">
      <c r="F572" s="53"/>
    </row>
    <row r="573" ht="15.75" customHeight="1">
      <c r="F573" s="53"/>
    </row>
    <row r="574" ht="15.75" customHeight="1">
      <c r="F574" s="53"/>
    </row>
    <row r="575" ht="15.75" customHeight="1">
      <c r="F575" s="53"/>
    </row>
    <row r="576" ht="15.75" customHeight="1">
      <c r="F576" s="53"/>
    </row>
    <row r="577" ht="15.75" customHeight="1">
      <c r="F577" s="53"/>
    </row>
    <row r="578" ht="15.75" customHeight="1">
      <c r="F578" s="53"/>
    </row>
    <row r="579" ht="15.75" customHeight="1">
      <c r="F579" s="53"/>
    </row>
    <row r="580" ht="15.75" customHeight="1">
      <c r="F580" s="53"/>
    </row>
    <row r="581" ht="15.75" customHeight="1">
      <c r="F581" s="53"/>
    </row>
    <row r="582" ht="15.75" customHeight="1">
      <c r="F582" s="53"/>
    </row>
    <row r="583" ht="15.75" customHeight="1">
      <c r="F583" s="53"/>
    </row>
    <row r="584" ht="15.75" customHeight="1">
      <c r="F584" s="53"/>
    </row>
    <row r="585" ht="15.75" customHeight="1">
      <c r="F585" s="53"/>
    </row>
    <row r="586" ht="15.75" customHeight="1">
      <c r="F586" s="53"/>
    </row>
    <row r="587" ht="15.75" customHeight="1">
      <c r="F587" s="53"/>
    </row>
    <row r="588" ht="15.75" customHeight="1">
      <c r="F588" s="53"/>
    </row>
    <row r="589" ht="15.75" customHeight="1">
      <c r="F589" s="53"/>
    </row>
    <row r="590" ht="15.75" customHeight="1">
      <c r="F590" s="53"/>
    </row>
    <row r="591" ht="15.75" customHeight="1">
      <c r="F591" s="53"/>
    </row>
    <row r="592" ht="15.75" customHeight="1">
      <c r="F592" s="53"/>
    </row>
    <row r="593" ht="15.75" customHeight="1">
      <c r="F593" s="53"/>
    </row>
    <row r="594" ht="15.75" customHeight="1">
      <c r="F594" s="53"/>
    </row>
    <row r="595" ht="15.75" customHeight="1">
      <c r="F595" s="53"/>
    </row>
    <row r="596" ht="15.75" customHeight="1">
      <c r="F596" s="53"/>
    </row>
    <row r="597" ht="15.75" customHeight="1">
      <c r="F597" s="53"/>
    </row>
    <row r="598" ht="15.75" customHeight="1">
      <c r="F598" s="53"/>
    </row>
    <row r="599" ht="15.75" customHeight="1">
      <c r="F599" s="53"/>
    </row>
    <row r="600" ht="15.75" customHeight="1">
      <c r="F600" s="53"/>
    </row>
    <row r="601" ht="15.75" customHeight="1">
      <c r="F601" s="53"/>
    </row>
    <row r="602" ht="15.75" customHeight="1">
      <c r="F602" s="53"/>
    </row>
    <row r="603" ht="15.75" customHeight="1">
      <c r="F603" s="53"/>
    </row>
    <row r="604" ht="15.75" customHeight="1">
      <c r="F604" s="53"/>
    </row>
    <row r="605" ht="15.75" customHeight="1">
      <c r="F605" s="53"/>
    </row>
    <row r="606" ht="15.75" customHeight="1">
      <c r="F606" s="53"/>
    </row>
    <row r="607" ht="15.75" customHeight="1">
      <c r="F607" s="53"/>
    </row>
    <row r="608" ht="15.75" customHeight="1">
      <c r="F608" s="53"/>
    </row>
    <row r="609" ht="15.75" customHeight="1">
      <c r="F609" s="53"/>
    </row>
    <row r="610" ht="15.75" customHeight="1">
      <c r="F610" s="53"/>
    </row>
    <row r="611" ht="15.75" customHeight="1">
      <c r="F611" s="53"/>
    </row>
    <row r="612" ht="15.75" customHeight="1">
      <c r="F612" s="53"/>
    </row>
    <row r="613" ht="15.75" customHeight="1">
      <c r="F613" s="53"/>
    </row>
    <row r="614" ht="15.75" customHeight="1">
      <c r="F614" s="53"/>
    </row>
    <row r="615" ht="15.75" customHeight="1">
      <c r="F615" s="53"/>
    </row>
    <row r="616" ht="15.75" customHeight="1">
      <c r="F616" s="53"/>
    </row>
    <row r="617" ht="15.75" customHeight="1">
      <c r="F617" s="53"/>
    </row>
    <row r="618" ht="15.75" customHeight="1">
      <c r="F618" s="53"/>
    </row>
    <row r="619" ht="15.75" customHeight="1">
      <c r="F619" s="53"/>
    </row>
    <row r="620" ht="15.75" customHeight="1">
      <c r="F620" s="53"/>
    </row>
    <row r="621" ht="15.75" customHeight="1">
      <c r="F621" s="53"/>
    </row>
    <row r="622" ht="15.75" customHeight="1">
      <c r="F622" s="53"/>
    </row>
    <row r="623" ht="15.75" customHeight="1">
      <c r="F623" s="53"/>
    </row>
    <row r="624" ht="15.75" customHeight="1">
      <c r="F624" s="53"/>
    </row>
    <row r="625" ht="15.75" customHeight="1">
      <c r="F625" s="53"/>
    </row>
    <row r="626" ht="15.75" customHeight="1">
      <c r="F626" s="53"/>
    </row>
    <row r="627" ht="15.75" customHeight="1">
      <c r="F627" s="53"/>
    </row>
    <row r="628" ht="15.75" customHeight="1">
      <c r="F628" s="53"/>
    </row>
    <row r="629" ht="15.75" customHeight="1">
      <c r="F629" s="53"/>
    </row>
    <row r="630" ht="15.75" customHeight="1">
      <c r="F630" s="53"/>
    </row>
    <row r="631" ht="15.75" customHeight="1">
      <c r="F631" s="53"/>
    </row>
    <row r="632" ht="15.75" customHeight="1">
      <c r="F632" s="53"/>
    </row>
    <row r="633" ht="15.75" customHeight="1">
      <c r="F633" s="53"/>
    </row>
    <row r="634" ht="15.75" customHeight="1">
      <c r="F634" s="53"/>
    </row>
    <row r="635" ht="15.75" customHeight="1">
      <c r="F635" s="53"/>
    </row>
    <row r="636" ht="15.75" customHeight="1">
      <c r="F636" s="53"/>
    </row>
    <row r="637" ht="15.75" customHeight="1">
      <c r="F637" s="53"/>
    </row>
    <row r="638" ht="15.75" customHeight="1">
      <c r="F638" s="53"/>
    </row>
    <row r="639" ht="15.75" customHeight="1">
      <c r="F639" s="53"/>
    </row>
    <row r="640" ht="15.75" customHeight="1">
      <c r="F640" s="53"/>
    </row>
    <row r="641" ht="15.75" customHeight="1">
      <c r="F641" s="53"/>
    </row>
    <row r="642" ht="15.75" customHeight="1">
      <c r="F642" s="53"/>
    </row>
    <row r="643" ht="15.75" customHeight="1">
      <c r="F643" s="53"/>
    </row>
    <row r="644" ht="15.75" customHeight="1">
      <c r="F644" s="53"/>
    </row>
    <row r="645" ht="15.75" customHeight="1">
      <c r="F645" s="53"/>
    </row>
    <row r="646" ht="15.75" customHeight="1">
      <c r="F646" s="53"/>
    </row>
    <row r="647" ht="15.75" customHeight="1">
      <c r="F647" s="53"/>
    </row>
    <row r="648" ht="15.75" customHeight="1">
      <c r="F648" s="53"/>
    </row>
    <row r="649" ht="15.75" customHeight="1">
      <c r="F649" s="53"/>
    </row>
    <row r="650" ht="15.75" customHeight="1">
      <c r="F650" s="53"/>
    </row>
    <row r="651" ht="15.75" customHeight="1">
      <c r="F651" s="53"/>
    </row>
    <row r="652" ht="15.75" customHeight="1">
      <c r="F652" s="53"/>
    </row>
    <row r="653" ht="15.75" customHeight="1">
      <c r="F653" s="53"/>
    </row>
    <row r="654" ht="15.75" customHeight="1">
      <c r="F654" s="53"/>
    </row>
    <row r="655" ht="15.75" customHeight="1">
      <c r="F655" s="53"/>
    </row>
    <row r="656" ht="15.75" customHeight="1">
      <c r="F656" s="53"/>
    </row>
    <row r="657" ht="15.75" customHeight="1">
      <c r="F657" s="53"/>
    </row>
    <row r="658" ht="15.75" customHeight="1">
      <c r="F658" s="53"/>
    </row>
    <row r="659" ht="15.75" customHeight="1">
      <c r="F659" s="53"/>
    </row>
    <row r="660" ht="15.75" customHeight="1">
      <c r="F660" s="53"/>
    </row>
    <row r="661" ht="15.75" customHeight="1">
      <c r="F661" s="53"/>
    </row>
    <row r="662" ht="15.75" customHeight="1">
      <c r="F662" s="53"/>
    </row>
    <row r="663" ht="15.75" customHeight="1">
      <c r="F663" s="53"/>
    </row>
    <row r="664" ht="15.75" customHeight="1">
      <c r="F664" s="53"/>
    </row>
    <row r="665" ht="15.75" customHeight="1">
      <c r="F665" s="53"/>
    </row>
    <row r="666" ht="15.75" customHeight="1">
      <c r="F666" s="53"/>
    </row>
    <row r="667" ht="15.75" customHeight="1">
      <c r="F667" s="53"/>
    </row>
    <row r="668" ht="15.75" customHeight="1">
      <c r="F668" s="53"/>
    </row>
    <row r="669" ht="15.75" customHeight="1">
      <c r="F669" s="53"/>
    </row>
    <row r="670" ht="15.75" customHeight="1">
      <c r="F670" s="53"/>
    </row>
    <row r="671" ht="15.75" customHeight="1">
      <c r="F671" s="53"/>
    </row>
    <row r="672" ht="15.75" customHeight="1">
      <c r="F672" s="53"/>
    </row>
    <row r="673" ht="15.75" customHeight="1">
      <c r="F673" s="53"/>
    </row>
    <row r="674" ht="15.75" customHeight="1">
      <c r="F674" s="53"/>
    </row>
    <row r="675" ht="15.75" customHeight="1">
      <c r="F675" s="53"/>
    </row>
    <row r="676" ht="15.75" customHeight="1">
      <c r="F676" s="53"/>
    </row>
    <row r="677" ht="15.75" customHeight="1">
      <c r="F677" s="53"/>
    </row>
    <row r="678" ht="15.75" customHeight="1">
      <c r="F678" s="53"/>
    </row>
    <row r="679" ht="15.75" customHeight="1">
      <c r="F679" s="53"/>
    </row>
    <row r="680" ht="15.75" customHeight="1">
      <c r="F680" s="53"/>
    </row>
    <row r="681" ht="15.75" customHeight="1">
      <c r="F681" s="53"/>
    </row>
    <row r="682" ht="15.75" customHeight="1">
      <c r="F682" s="53"/>
    </row>
    <row r="683" ht="15.75" customHeight="1">
      <c r="F683" s="53"/>
    </row>
    <row r="684" ht="15.75" customHeight="1">
      <c r="F684" s="53"/>
    </row>
    <row r="685" ht="15.75" customHeight="1">
      <c r="F685" s="53"/>
    </row>
    <row r="686" ht="15.75" customHeight="1">
      <c r="F686" s="53"/>
    </row>
    <row r="687" ht="15.75" customHeight="1">
      <c r="F687" s="53"/>
    </row>
    <row r="688" ht="15.75" customHeight="1">
      <c r="F688" s="53"/>
    </row>
    <row r="689" ht="15.75" customHeight="1">
      <c r="F689" s="53"/>
    </row>
    <row r="690" ht="15.75" customHeight="1">
      <c r="F690" s="53"/>
    </row>
    <row r="691" ht="15.75" customHeight="1">
      <c r="F691" s="53"/>
    </row>
    <row r="692" ht="15.75" customHeight="1">
      <c r="F692" s="53"/>
    </row>
    <row r="693" ht="15.75" customHeight="1">
      <c r="F693" s="53"/>
    </row>
    <row r="694" ht="15.75" customHeight="1">
      <c r="F694" s="53"/>
    </row>
    <row r="695" ht="15.75" customHeight="1">
      <c r="F695" s="53"/>
    </row>
    <row r="696" ht="15.75" customHeight="1">
      <c r="F696" s="53"/>
    </row>
    <row r="697" ht="15.75" customHeight="1">
      <c r="F697" s="53"/>
    </row>
    <row r="698" ht="15.75" customHeight="1">
      <c r="F698" s="53"/>
    </row>
    <row r="699" ht="15.75" customHeight="1">
      <c r="F699" s="53"/>
    </row>
    <row r="700" ht="15.75" customHeight="1">
      <c r="F700" s="53"/>
    </row>
    <row r="701" ht="15.75" customHeight="1">
      <c r="F701" s="53"/>
    </row>
    <row r="702" ht="15.75" customHeight="1">
      <c r="F702" s="53"/>
    </row>
    <row r="703" ht="15.75" customHeight="1">
      <c r="F703" s="53"/>
    </row>
    <row r="704" ht="15.75" customHeight="1">
      <c r="F704" s="53"/>
    </row>
    <row r="705" ht="15.75" customHeight="1">
      <c r="F705" s="53"/>
    </row>
    <row r="706" ht="15.75" customHeight="1">
      <c r="F706" s="53"/>
    </row>
    <row r="707" ht="15.75" customHeight="1">
      <c r="F707" s="53"/>
    </row>
    <row r="708" ht="15.75" customHeight="1">
      <c r="F708" s="53"/>
    </row>
    <row r="709" ht="15.75" customHeight="1">
      <c r="F709" s="53"/>
    </row>
    <row r="710" ht="15.75" customHeight="1">
      <c r="F710" s="53"/>
    </row>
    <row r="711" ht="15.75" customHeight="1">
      <c r="F711" s="53"/>
    </row>
    <row r="712" ht="15.75" customHeight="1">
      <c r="F712" s="53"/>
    </row>
    <row r="713" ht="15.75" customHeight="1">
      <c r="F713" s="53"/>
    </row>
    <row r="714" ht="15.75" customHeight="1">
      <c r="F714" s="53"/>
    </row>
    <row r="715" ht="15.75" customHeight="1">
      <c r="F715" s="53"/>
    </row>
    <row r="716" ht="15.75" customHeight="1">
      <c r="F716" s="53"/>
    </row>
    <row r="717" ht="15.75" customHeight="1">
      <c r="F717" s="53"/>
    </row>
    <row r="718" ht="15.75" customHeight="1">
      <c r="F718" s="53"/>
    </row>
    <row r="719" ht="15.75" customHeight="1">
      <c r="F719" s="53"/>
    </row>
    <row r="720" ht="15.75" customHeight="1">
      <c r="F720" s="53"/>
    </row>
    <row r="721" ht="15.75" customHeight="1">
      <c r="F721" s="53"/>
    </row>
    <row r="722" ht="15.75" customHeight="1">
      <c r="F722" s="53"/>
    </row>
    <row r="723" ht="15.75" customHeight="1">
      <c r="F723" s="53"/>
    </row>
    <row r="724" ht="15.75" customHeight="1">
      <c r="F724" s="53"/>
    </row>
    <row r="725" ht="15.75" customHeight="1">
      <c r="F725" s="53"/>
    </row>
    <row r="726" ht="15.75" customHeight="1">
      <c r="F726" s="53"/>
    </row>
    <row r="727" ht="15.75" customHeight="1">
      <c r="F727" s="53"/>
    </row>
    <row r="728" ht="15.75" customHeight="1">
      <c r="F728" s="53"/>
    </row>
    <row r="729" ht="15.75" customHeight="1">
      <c r="F729" s="53"/>
    </row>
    <row r="730" ht="15.75" customHeight="1">
      <c r="F730" s="53"/>
    </row>
    <row r="731" ht="15.75" customHeight="1">
      <c r="F731" s="53"/>
    </row>
    <row r="732" ht="15.75" customHeight="1">
      <c r="F732" s="53"/>
    </row>
    <row r="733" ht="15.75" customHeight="1">
      <c r="F733" s="53"/>
    </row>
    <row r="734" ht="15.75" customHeight="1">
      <c r="F734" s="53"/>
    </row>
    <row r="735" ht="15.75" customHeight="1">
      <c r="F735" s="53"/>
    </row>
    <row r="736" ht="15.75" customHeight="1">
      <c r="F736" s="53"/>
    </row>
    <row r="737" ht="15.75" customHeight="1">
      <c r="F737" s="53"/>
    </row>
    <row r="738" ht="15.75" customHeight="1">
      <c r="F738" s="53"/>
    </row>
    <row r="739" ht="15.75" customHeight="1">
      <c r="F739" s="53"/>
    </row>
    <row r="740" ht="15.75" customHeight="1">
      <c r="F740" s="53"/>
    </row>
    <row r="741" ht="15.75" customHeight="1">
      <c r="F741" s="53"/>
    </row>
    <row r="742" ht="15.75" customHeight="1">
      <c r="F742" s="53"/>
    </row>
    <row r="743" ht="15.75" customHeight="1">
      <c r="F743" s="53"/>
    </row>
    <row r="744" ht="15.75" customHeight="1">
      <c r="F744" s="53"/>
    </row>
    <row r="745" ht="15.75" customHeight="1">
      <c r="F745" s="53"/>
    </row>
    <row r="746" ht="15.75" customHeight="1">
      <c r="F746" s="53"/>
    </row>
    <row r="747" ht="15.75" customHeight="1">
      <c r="F747" s="53"/>
    </row>
    <row r="748" ht="15.75" customHeight="1">
      <c r="F748" s="53"/>
    </row>
    <row r="749" ht="15.75" customHeight="1">
      <c r="F749" s="53"/>
    </row>
    <row r="750" ht="15.75" customHeight="1">
      <c r="F750" s="53"/>
    </row>
    <row r="751" ht="15.75" customHeight="1">
      <c r="F751" s="53"/>
    </row>
    <row r="752" ht="15.75" customHeight="1">
      <c r="F752" s="53"/>
    </row>
    <row r="753" ht="15.75" customHeight="1">
      <c r="F753" s="53"/>
    </row>
    <row r="754" ht="15.75" customHeight="1">
      <c r="F754" s="53"/>
    </row>
    <row r="755" ht="15.75" customHeight="1">
      <c r="F755" s="53"/>
    </row>
    <row r="756" ht="15.75" customHeight="1">
      <c r="F756" s="53"/>
    </row>
    <row r="757" ht="15.75" customHeight="1">
      <c r="F757" s="53"/>
    </row>
    <row r="758" ht="15.75" customHeight="1">
      <c r="F758" s="53"/>
    </row>
    <row r="759" ht="15.75" customHeight="1">
      <c r="F759" s="53"/>
    </row>
    <row r="760" ht="15.75" customHeight="1">
      <c r="F760" s="53"/>
    </row>
    <row r="761" ht="15.75" customHeight="1">
      <c r="F761" s="53"/>
    </row>
    <row r="762" ht="15.75" customHeight="1">
      <c r="F762" s="53"/>
    </row>
    <row r="763" ht="15.75" customHeight="1">
      <c r="F763" s="53"/>
    </row>
    <row r="764" ht="15.75" customHeight="1">
      <c r="F764" s="53"/>
    </row>
    <row r="765" ht="15.75" customHeight="1">
      <c r="F765" s="53"/>
    </row>
    <row r="766" ht="15.75" customHeight="1">
      <c r="F766" s="53"/>
    </row>
    <row r="767" ht="15.75" customHeight="1">
      <c r="F767" s="53"/>
    </row>
    <row r="768" ht="15.75" customHeight="1">
      <c r="F768" s="53"/>
    </row>
    <row r="769" ht="15.75" customHeight="1">
      <c r="F769" s="53"/>
    </row>
    <row r="770" ht="15.75" customHeight="1">
      <c r="F770" s="53"/>
    </row>
    <row r="771" ht="15.75" customHeight="1">
      <c r="F771" s="53"/>
    </row>
    <row r="772" ht="15.75" customHeight="1">
      <c r="F772" s="53"/>
    </row>
    <row r="773" ht="15.75" customHeight="1">
      <c r="F773" s="53"/>
    </row>
    <row r="774" ht="15.75" customHeight="1">
      <c r="F774" s="53"/>
    </row>
    <row r="775" ht="15.75" customHeight="1">
      <c r="F775" s="53"/>
    </row>
    <row r="776" ht="15.75" customHeight="1">
      <c r="F776" s="53"/>
    </row>
    <row r="777" ht="15.75" customHeight="1">
      <c r="F777" s="53"/>
    </row>
    <row r="778" ht="15.75" customHeight="1">
      <c r="F778" s="53"/>
    </row>
    <row r="779" ht="15.75" customHeight="1">
      <c r="F779" s="53"/>
    </row>
    <row r="780" ht="15.75" customHeight="1">
      <c r="F780" s="53"/>
    </row>
    <row r="781" ht="15.75" customHeight="1">
      <c r="F781" s="53"/>
    </row>
    <row r="782" ht="15.75" customHeight="1">
      <c r="F782" s="53"/>
    </row>
    <row r="783" ht="15.75" customHeight="1">
      <c r="F783" s="53"/>
    </row>
    <row r="784" ht="15.75" customHeight="1">
      <c r="F784" s="53"/>
    </row>
    <row r="785" ht="15.75" customHeight="1">
      <c r="F785" s="53"/>
    </row>
    <row r="786" ht="15.75" customHeight="1">
      <c r="F786" s="53"/>
    </row>
    <row r="787" ht="15.75" customHeight="1">
      <c r="F787" s="53"/>
    </row>
    <row r="788" ht="15.75" customHeight="1">
      <c r="F788" s="53"/>
    </row>
    <row r="789" ht="15.75" customHeight="1">
      <c r="F789" s="53"/>
    </row>
    <row r="790" ht="15.75" customHeight="1">
      <c r="F790" s="53"/>
    </row>
    <row r="791" ht="15.75" customHeight="1">
      <c r="F791" s="53"/>
    </row>
    <row r="792" ht="15.75" customHeight="1">
      <c r="F792" s="53"/>
    </row>
    <row r="793" ht="15.75" customHeight="1">
      <c r="F793" s="53"/>
    </row>
    <row r="794" ht="15.75" customHeight="1">
      <c r="F794" s="53"/>
    </row>
    <row r="795" ht="15.75" customHeight="1">
      <c r="F795" s="53"/>
    </row>
    <row r="796" ht="15.75" customHeight="1">
      <c r="F796" s="53"/>
    </row>
    <row r="797" ht="15.75" customHeight="1">
      <c r="F797" s="53"/>
    </row>
    <row r="798" ht="15.75" customHeight="1">
      <c r="F798" s="53"/>
    </row>
    <row r="799" ht="15.75" customHeight="1">
      <c r="F799" s="53"/>
    </row>
    <row r="800" ht="15.75" customHeight="1">
      <c r="F800" s="53"/>
    </row>
    <row r="801" ht="15.75" customHeight="1">
      <c r="F801" s="53"/>
    </row>
    <row r="802" ht="15.75" customHeight="1">
      <c r="F802" s="53"/>
    </row>
    <row r="803" ht="15.75" customHeight="1">
      <c r="F803" s="53"/>
    </row>
    <row r="804" ht="15.75" customHeight="1">
      <c r="F804" s="53"/>
    </row>
    <row r="805" ht="15.75" customHeight="1">
      <c r="F805" s="53"/>
    </row>
    <row r="806" ht="15.75" customHeight="1">
      <c r="F806" s="53"/>
    </row>
    <row r="807" ht="15.75" customHeight="1">
      <c r="F807" s="53"/>
    </row>
    <row r="808" ht="15.75" customHeight="1">
      <c r="F808" s="53"/>
    </row>
    <row r="809" ht="15.75" customHeight="1">
      <c r="F809" s="53"/>
    </row>
    <row r="810" ht="15.75" customHeight="1">
      <c r="F810" s="53"/>
    </row>
    <row r="811" ht="15.75" customHeight="1">
      <c r="F811" s="53"/>
    </row>
    <row r="812" ht="15.75" customHeight="1">
      <c r="F812" s="53"/>
    </row>
    <row r="813" ht="15.75" customHeight="1">
      <c r="F813" s="53"/>
    </row>
    <row r="814" ht="15.75" customHeight="1">
      <c r="F814" s="53"/>
    </row>
    <row r="815" ht="15.75" customHeight="1">
      <c r="F815" s="53"/>
    </row>
    <row r="816" ht="15.75" customHeight="1">
      <c r="F816" s="53"/>
    </row>
    <row r="817" ht="15.75" customHeight="1">
      <c r="F817" s="53"/>
    </row>
    <row r="818" ht="15.75" customHeight="1">
      <c r="F818" s="53"/>
    </row>
    <row r="819" ht="15.75" customHeight="1">
      <c r="F819" s="53"/>
    </row>
    <row r="820" ht="15.75" customHeight="1">
      <c r="F820" s="53"/>
    </row>
    <row r="821" ht="15.75" customHeight="1">
      <c r="F821" s="53"/>
    </row>
    <row r="822" ht="15.75" customHeight="1">
      <c r="F822" s="53"/>
    </row>
    <row r="823" ht="15.75" customHeight="1">
      <c r="F823" s="53"/>
    </row>
    <row r="824" ht="15.75" customHeight="1">
      <c r="F824" s="53"/>
    </row>
    <row r="825" ht="15.75" customHeight="1">
      <c r="F825" s="53"/>
    </row>
    <row r="826" ht="15.75" customHeight="1">
      <c r="F826" s="53"/>
    </row>
    <row r="827" ht="15.75" customHeight="1">
      <c r="F827" s="53"/>
    </row>
    <row r="828" ht="15.75" customHeight="1">
      <c r="F828" s="53"/>
    </row>
    <row r="829" ht="15.75" customHeight="1">
      <c r="F829" s="53"/>
    </row>
    <row r="830" ht="15.75" customHeight="1">
      <c r="F830" s="53"/>
    </row>
    <row r="831" ht="15.75" customHeight="1">
      <c r="F831" s="53"/>
    </row>
    <row r="832" ht="15.75" customHeight="1">
      <c r="F832" s="53"/>
    </row>
    <row r="833" ht="15.75" customHeight="1">
      <c r="F833" s="53"/>
    </row>
    <row r="834" ht="15.75" customHeight="1">
      <c r="F834" s="53"/>
    </row>
    <row r="835" ht="15.75" customHeight="1">
      <c r="F835" s="53"/>
    </row>
    <row r="836" ht="15.75" customHeight="1">
      <c r="F836" s="53"/>
    </row>
    <row r="837" ht="15.75" customHeight="1">
      <c r="F837" s="53"/>
    </row>
    <row r="838" ht="15.75" customHeight="1">
      <c r="F838" s="53"/>
    </row>
    <row r="839" ht="15.75" customHeight="1">
      <c r="F839" s="53"/>
    </row>
    <row r="840" ht="15.75" customHeight="1">
      <c r="F840" s="53"/>
    </row>
    <row r="841" ht="15.75" customHeight="1">
      <c r="F841" s="53"/>
    </row>
    <row r="842" ht="15.75" customHeight="1">
      <c r="F842" s="53"/>
    </row>
    <row r="843" ht="15.75" customHeight="1">
      <c r="F843" s="53"/>
    </row>
    <row r="844" ht="15.75" customHeight="1">
      <c r="F844" s="53"/>
    </row>
    <row r="845" ht="15.75" customHeight="1">
      <c r="F845" s="53"/>
    </row>
    <row r="846" ht="15.75" customHeight="1">
      <c r="F846" s="53"/>
    </row>
    <row r="847" ht="15.75" customHeight="1">
      <c r="F847" s="53"/>
    </row>
    <row r="848" ht="15.75" customHeight="1">
      <c r="F848" s="53"/>
    </row>
    <row r="849" ht="15.75" customHeight="1">
      <c r="F849" s="53"/>
    </row>
    <row r="850" ht="15.75" customHeight="1">
      <c r="F850" s="53"/>
    </row>
    <row r="851" ht="15.75" customHeight="1">
      <c r="F851" s="53"/>
    </row>
    <row r="852" ht="15.75" customHeight="1">
      <c r="F852" s="53"/>
    </row>
    <row r="853" ht="15.75" customHeight="1">
      <c r="F853" s="53"/>
    </row>
    <row r="854" ht="15.75" customHeight="1">
      <c r="F854" s="53"/>
    </row>
    <row r="855" ht="15.75" customHeight="1">
      <c r="F855" s="53"/>
    </row>
    <row r="856" ht="15.75" customHeight="1">
      <c r="F856" s="53"/>
    </row>
    <row r="857" ht="15.75" customHeight="1">
      <c r="F857" s="53"/>
    </row>
    <row r="858" ht="15.75" customHeight="1">
      <c r="F858" s="53"/>
    </row>
    <row r="859" ht="15.75" customHeight="1">
      <c r="F859" s="53"/>
    </row>
    <row r="860" ht="15.75" customHeight="1">
      <c r="F860" s="53"/>
    </row>
    <row r="861" ht="15.75" customHeight="1">
      <c r="F861" s="53"/>
    </row>
    <row r="862" ht="15.75" customHeight="1">
      <c r="F862" s="53"/>
    </row>
    <row r="863" ht="15.75" customHeight="1">
      <c r="F863" s="53"/>
    </row>
    <row r="864" ht="15.75" customHeight="1">
      <c r="F864" s="53"/>
    </row>
    <row r="865" ht="15.75" customHeight="1">
      <c r="F865" s="53"/>
    </row>
    <row r="866" ht="15.75" customHeight="1">
      <c r="F866" s="53"/>
    </row>
    <row r="867" ht="15.75" customHeight="1">
      <c r="F867" s="53"/>
    </row>
    <row r="868" ht="15.75" customHeight="1">
      <c r="F868" s="53"/>
    </row>
    <row r="869" ht="15.75" customHeight="1">
      <c r="F869" s="53"/>
    </row>
    <row r="870" ht="15.75" customHeight="1">
      <c r="F870" s="53"/>
    </row>
    <row r="871" ht="15.75" customHeight="1">
      <c r="F871" s="53"/>
    </row>
    <row r="872" ht="15.75" customHeight="1">
      <c r="F872" s="53"/>
    </row>
    <row r="873" ht="15.75" customHeight="1">
      <c r="F873" s="53"/>
    </row>
    <row r="874" ht="15.75" customHeight="1">
      <c r="F874" s="53"/>
    </row>
    <row r="875" ht="15.75" customHeight="1">
      <c r="F875" s="53"/>
    </row>
    <row r="876" ht="15.75" customHeight="1">
      <c r="F876" s="53"/>
    </row>
    <row r="877" ht="15.75" customHeight="1">
      <c r="F877" s="53"/>
    </row>
    <row r="878" ht="15.75" customHeight="1">
      <c r="F878" s="53"/>
    </row>
    <row r="879" ht="15.75" customHeight="1">
      <c r="F879" s="53"/>
    </row>
    <row r="880" ht="15.75" customHeight="1">
      <c r="F880" s="53"/>
    </row>
    <row r="881" ht="15.75" customHeight="1">
      <c r="F881" s="53"/>
    </row>
    <row r="882" ht="15.75" customHeight="1">
      <c r="F882" s="53"/>
    </row>
    <row r="883" ht="15.75" customHeight="1">
      <c r="F883" s="53"/>
    </row>
    <row r="884" ht="15.75" customHeight="1">
      <c r="F884" s="53"/>
    </row>
    <row r="885" ht="15.75" customHeight="1">
      <c r="F885" s="53"/>
    </row>
    <row r="886" ht="15.75" customHeight="1">
      <c r="F886" s="53"/>
    </row>
    <row r="887" ht="15.75" customHeight="1">
      <c r="F887" s="53"/>
    </row>
    <row r="888" ht="15.75" customHeight="1">
      <c r="F888" s="53"/>
    </row>
    <row r="889" ht="15.75" customHeight="1">
      <c r="F889" s="53"/>
    </row>
    <row r="890" ht="15.75" customHeight="1">
      <c r="F890" s="53"/>
    </row>
    <row r="891" ht="15.75" customHeight="1">
      <c r="F891" s="53"/>
    </row>
    <row r="892" ht="15.75" customHeight="1">
      <c r="F892" s="53"/>
    </row>
    <row r="893" ht="15.75" customHeight="1">
      <c r="F893" s="53"/>
    </row>
    <row r="894" ht="15.75" customHeight="1">
      <c r="F894" s="53"/>
    </row>
    <row r="895" ht="15.75" customHeight="1">
      <c r="F895" s="53"/>
    </row>
    <row r="896" ht="15.75" customHeight="1">
      <c r="F896" s="53"/>
    </row>
    <row r="897" ht="15.75" customHeight="1">
      <c r="F897" s="53"/>
    </row>
    <row r="898" ht="15.75" customHeight="1">
      <c r="F898" s="53"/>
    </row>
    <row r="899" ht="15.75" customHeight="1">
      <c r="F899" s="53"/>
    </row>
    <row r="900" ht="15.75" customHeight="1">
      <c r="F900" s="53"/>
    </row>
    <row r="901" ht="15.75" customHeight="1">
      <c r="F901" s="53"/>
    </row>
    <row r="902" ht="15.75" customHeight="1">
      <c r="F902" s="53"/>
    </row>
    <row r="903" ht="15.75" customHeight="1">
      <c r="F903" s="53"/>
    </row>
    <row r="904" ht="15.75" customHeight="1">
      <c r="F904" s="53"/>
    </row>
    <row r="905" ht="15.75" customHeight="1">
      <c r="F905" s="53"/>
    </row>
    <row r="906" ht="15.75" customHeight="1">
      <c r="F906" s="53"/>
    </row>
    <row r="907" ht="15.75" customHeight="1">
      <c r="F907" s="53"/>
    </row>
    <row r="908" ht="15.75" customHeight="1">
      <c r="F908" s="53"/>
    </row>
    <row r="909" ht="15.75" customHeight="1">
      <c r="F909" s="53"/>
    </row>
    <row r="910" ht="15.75" customHeight="1">
      <c r="F910" s="53"/>
    </row>
    <row r="911" ht="15.75" customHeight="1">
      <c r="F911" s="53"/>
    </row>
    <row r="912" ht="15.75" customHeight="1">
      <c r="F912" s="53"/>
    </row>
    <row r="913" ht="15.75" customHeight="1">
      <c r="F913" s="53"/>
    </row>
    <row r="914" ht="15.75" customHeight="1">
      <c r="F914" s="53"/>
    </row>
    <row r="915" ht="15.75" customHeight="1">
      <c r="F915" s="53"/>
    </row>
    <row r="916" ht="15.75" customHeight="1">
      <c r="F916" s="53"/>
    </row>
    <row r="917" ht="15.75" customHeight="1">
      <c r="F917" s="53"/>
    </row>
    <row r="918" ht="15.75" customHeight="1">
      <c r="F918" s="53"/>
    </row>
    <row r="919" ht="15.75" customHeight="1">
      <c r="F919" s="53"/>
    </row>
    <row r="920" ht="15.75" customHeight="1">
      <c r="F920" s="53"/>
    </row>
    <row r="921" ht="15.75" customHeight="1">
      <c r="F921" s="53"/>
    </row>
    <row r="922" ht="15.75" customHeight="1">
      <c r="F922" s="53"/>
    </row>
    <row r="923" ht="15.75" customHeight="1">
      <c r="F923" s="53"/>
    </row>
    <row r="924" ht="15.75" customHeight="1">
      <c r="F924" s="53"/>
    </row>
    <row r="925" ht="15.75" customHeight="1">
      <c r="F925" s="53"/>
    </row>
    <row r="926" ht="15.75" customHeight="1">
      <c r="F926" s="53"/>
    </row>
    <row r="927" ht="15.75" customHeight="1">
      <c r="F927" s="53"/>
    </row>
    <row r="928" ht="15.75" customHeight="1">
      <c r="F928" s="53"/>
    </row>
    <row r="929" ht="15.75" customHeight="1">
      <c r="F929" s="53"/>
    </row>
    <row r="930" ht="15.75" customHeight="1">
      <c r="F930" s="53"/>
    </row>
    <row r="931" ht="15.75" customHeight="1">
      <c r="F931" s="53"/>
    </row>
    <row r="932" ht="15.75" customHeight="1">
      <c r="F932" s="53"/>
    </row>
    <row r="933" ht="15.75" customHeight="1">
      <c r="F933" s="53"/>
    </row>
    <row r="934" ht="15.75" customHeight="1">
      <c r="F934" s="53"/>
    </row>
    <row r="935" ht="15.75" customHeight="1">
      <c r="F935" s="53"/>
    </row>
    <row r="936" ht="15.75" customHeight="1">
      <c r="F936" s="53"/>
    </row>
    <row r="937" ht="15.75" customHeight="1">
      <c r="F937" s="53"/>
    </row>
    <row r="938" ht="15.75" customHeight="1">
      <c r="F938" s="53"/>
    </row>
    <row r="939" ht="15.75" customHeight="1">
      <c r="F939" s="53"/>
    </row>
    <row r="940" ht="15.75" customHeight="1">
      <c r="F940" s="53"/>
    </row>
    <row r="941" ht="15.75" customHeight="1">
      <c r="F941" s="53"/>
    </row>
    <row r="942" ht="15.75" customHeight="1">
      <c r="F942" s="53"/>
    </row>
    <row r="943" ht="15.75" customHeight="1">
      <c r="F943" s="53"/>
    </row>
    <row r="944" ht="15.75" customHeight="1">
      <c r="F944" s="53"/>
    </row>
    <row r="945" ht="15.75" customHeight="1">
      <c r="F945" s="53"/>
    </row>
    <row r="946" ht="15.75" customHeight="1">
      <c r="F946" s="53"/>
    </row>
    <row r="947" ht="15.75" customHeight="1">
      <c r="F947" s="53"/>
    </row>
    <row r="948" ht="15.75" customHeight="1">
      <c r="F948" s="53"/>
    </row>
    <row r="949" ht="15.75" customHeight="1">
      <c r="F949" s="53"/>
    </row>
    <row r="950" ht="15.75" customHeight="1">
      <c r="F950" s="53"/>
    </row>
    <row r="951" ht="15.75" customHeight="1">
      <c r="F951" s="53"/>
    </row>
    <row r="952" ht="15.75" customHeight="1">
      <c r="F952" s="53"/>
    </row>
    <row r="953" ht="15.75" customHeight="1">
      <c r="F953" s="53"/>
    </row>
    <row r="954" ht="15.75" customHeight="1">
      <c r="F954" s="53"/>
    </row>
    <row r="955" ht="15.75" customHeight="1">
      <c r="F955" s="53"/>
    </row>
    <row r="956" ht="15.75" customHeight="1">
      <c r="F956" s="53"/>
    </row>
    <row r="957" ht="15.75" customHeight="1">
      <c r="F957" s="53"/>
    </row>
    <row r="958" ht="15.75" customHeight="1">
      <c r="F958" s="53"/>
    </row>
    <row r="959" ht="15.75" customHeight="1">
      <c r="F959" s="53"/>
    </row>
    <row r="960" ht="15.75" customHeight="1">
      <c r="F960" s="53"/>
    </row>
    <row r="961" ht="15.75" customHeight="1">
      <c r="F961" s="53"/>
    </row>
    <row r="962" ht="15.75" customHeight="1">
      <c r="F962" s="53"/>
    </row>
    <row r="963" ht="15.75" customHeight="1">
      <c r="F963" s="53"/>
    </row>
    <row r="964" ht="15.75" customHeight="1">
      <c r="F964" s="53"/>
    </row>
    <row r="965" ht="15.75" customHeight="1">
      <c r="F965" s="53"/>
    </row>
    <row r="966" ht="15.75" customHeight="1">
      <c r="F966" s="53"/>
    </row>
    <row r="967" ht="15.75" customHeight="1">
      <c r="F967" s="53"/>
    </row>
    <row r="968" ht="15.75" customHeight="1">
      <c r="F968" s="53"/>
    </row>
    <row r="969" ht="15.75" customHeight="1">
      <c r="F969" s="53"/>
    </row>
    <row r="970" ht="15.75" customHeight="1">
      <c r="F970" s="53"/>
    </row>
    <row r="971" ht="15.75" customHeight="1">
      <c r="F971" s="53"/>
    </row>
    <row r="972" ht="15.75" customHeight="1">
      <c r="F972" s="53"/>
    </row>
    <row r="973" ht="15.75" customHeight="1">
      <c r="F973" s="53"/>
    </row>
    <row r="974" ht="15.75" customHeight="1">
      <c r="F974" s="53"/>
    </row>
    <row r="975" ht="15.75" customHeight="1">
      <c r="F975" s="53"/>
    </row>
    <row r="976" ht="15.75" customHeight="1">
      <c r="F976" s="53"/>
    </row>
    <row r="977" ht="15.75" customHeight="1">
      <c r="F977" s="53"/>
    </row>
    <row r="978" ht="15.75" customHeight="1">
      <c r="F978" s="53"/>
    </row>
    <row r="979" ht="15.75" customHeight="1">
      <c r="F979" s="53"/>
    </row>
    <row r="980" ht="15.75" customHeight="1">
      <c r="F980" s="53"/>
    </row>
    <row r="981" ht="15.75" customHeight="1">
      <c r="F981" s="53"/>
    </row>
    <row r="982" ht="15.75" customHeight="1">
      <c r="F982" s="53"/>
    </row>
    <row r="983" ht="15.75" customHeight="1">
      <c r="F983" s="53"/>
    </row>
    <row r="984" ht="15.75" customHeight="1">
      <c r="F984" s="53"/>
    </row>
    <row r="985" ht="15.75" customHeight="1">
      <c r="F985" s="53"/>
    </row>
    <row r="986" ht="15.75" customHeight="1">
      <c r="F986" s="53"/>
    </row>
    <row r="987" ht="15.75" customHeight="1">
      <c r="F987" s="53"/>
    </row>
    <row r="988" ht="15.75" customHeight="1">
      <c r="F988" s="53"/>
    </row>
    <row r="989" ht="15.75" customHeight="1">
      <c r="F989" s="53"/>
    </row>
    <row r="990" ht="15.75" customHeight="1">
      <c r="F990" s="53"/>
    </row>
    <row r="991" ht="15.75" customHeight="1">
      <c r="F991" s="53"/>
    </row>
    <row r="992" ht="15.75" customHeight="1">
      <c r="F992" s="53"/>
    </row>
    <row r="993" ht="15.75" customHeight="1">
      <c r="F993" s="53"/>
    </row>
    <row r="994" ht="15.75" customHeight="1">
      <c r="F994" s="53"/>
    </row>
    <row r="995" ht="15.75" customHeight="1">
      <c r="F995" s="53"/>
    </row>
    <row r="996" ht="15.75" customHeight="1">
      <c r="F996" s="53"/>
    </row>
    <row r="997" ht="15.75" customHeight="1">
      <c r="F997" s="53"/>
    </row>
    <row r="998" ht="15.75" customHeight="1">
      <c r="F998" s="53"/>
    </row>
    <row r="999" ht="15.75" customHeight="1">
      <c r="F999" s="53"/>
    </row>
    <row r="1000" ht="15.75" customHeight="1">
      <c r="F1000" s="53"/>
    </row>
    <row r="1001" ht="15.75" customHeight="1">
      <c r="F1001" s="53"/>
    </row>
    <row r="1002" ht="15.75" customHeight="1">
      <c r="F1002" s="53"/>
    </row>
  </sheetData>
  <mergeCells count="1">
    <mergeCell ref="A1:E1"/>
  </mergeCells>
  <printOptions/>
  <pageMargins bottom="1.0" footer="0.0" header="0.0" left="0.75" right="0.75" top="1.0"/>
  <pageSetup orientation="landscape"/>
  <drawing r:id="rId4"/>
  <legacyDrawing r:id="rId5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8.0"/>
    <col customWidth="1" min="2" max="2" width="15.0"/>
    <col customWidth="1" min="3" max="3" width="12.0"/>
    <col customWidth="1" min="4" max="6" width="8.71"/>
  </cols>
  <sheetData>
    <row r="1">
      <c r="A1" s="26" t="s">
        <v>291</v>
      </c>
    </row>
    <row r="3">
      <c r="A3" s="81" t="s">
        <v>6</v>
      </c>
      <c r="B3" s="8" t="s">
        <v>292</v>
      </c>
    </row>
    <row r="4">
      <c r="A4" s="8" t="s">
        <v>12</v>
      </c>
      <c r="B4" s="82">
        <f>B11+B12+B13+B14</f>
        <v>26290000</v>
      </c>
    </row>
    <row r="5">
      <c r="A5" s="8" t="s">
        <v>13</v>
      </c>
      <c r="B5" s="9">
        <f>'コスト'!B72</f>
        <v>23586840</v>
      </c>
    </row>
    <row r="6">
      <c r="A6" s="8" t="s">
        <v>15</v>
      </c>
      <c r="B6" s="82">
        <f>B4-B5</f>
        <v>2703160</v>
      </c>
    </row>
    <row r="7">
      <c r="A7" s="8" t="s">
        <v>16</v>
      </c>
      <c r="B7" s="83">
        <f>IF(B4=0,0,B6/B4)</f>
        <v>0.1028208444</v>
      </c>
    </row>
    <row r="9">
      <c r="A9" s="2" t="s">
        <v>293</v>
      </c>
    </row>
    <row r="10">
      <c r="A10" s="13" t="s">
        <v>28</v>
      </c>
      <c r="B10" s="13" t="s">
        <v>292</v>
      </c>
      <c r="C10" s="13" t="s">
        <v>294</v>
      </c>
    </row>
    <row r="11">
      <c r="A11" s="8" t="s">
        <v>22</v>
      </c>
      <c r="B11" s="9">
        <f>'PJT1_入力'!D11</f>
        <v>6122000</v>
      </c>
      <c r="C11" s="10">
        <f t="shared" ref="C11:C14" si="1">IF($B$4=0,0,B11/$B$4)</f>
        <v>0.2328642069</v>
      </c>
    </row>
    <row r="12">
      <c r="A12" s="8" t="s">
        <v>23</v>
      </c>
      <c r="B12" s="9">
        <f>'PJT1_入力'!E19</f>
        <v>18468000</v>
      </c>
      <c r="C12" s="10">
        <f t="shared" si="1"/>
        <v>0.702472423</v>
      </c>
    </row>
    <row r="13">
      <c r="A13" s="8" t="s">
        <v>24</v>
      </c>
      <c r="B13" s="9">
        <f>'PJT1_入力'!D27</f>
        <v>700000</v>
      </c>
      <c r="C13" s="10">
        <f t="shared" si="1"/>
        <v>0.02662609357</v>
      </c>
    </row>
    <row r="14">
      <c r="A14" s="8" t="s">
        <v>25</v>
      </c>
      <c r="B14" s="9">
        <f>'PJT1_入力'!B35</f>
        <v>1000000</v>
      </c>
      <c r="C14" s="10">
        <f t="shared" si="1"/>
        <v>0.03803727653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8.0"/>
    <col customWidth="1" min="2" max="2" width="15.0"/>
    <col customWidth="1" min="3" max="3" width="12.0"/>
    <col customWidth="1" min="4" max="6" width="8.71"/>
  </cols>
  <sheetData>
    <row r="1">
      <c r="A1" s="26" t="s">
        <v>295</v>
      </c>
    </row>
    <row r="3">
      <c r="A3" s="81" t="s">
        <v>6</v>
      </c>
      <c r="B3" s="8" t="s">
        <v>292</v>
      </c>
    </row>
    <row r="4">
      <c r="A4" s="8" t="s">
        <v>12</v>
      </c>
      <c r="B4" s="82">
        <f>B11+B12+B13+B14</f>
        <v>27642000</v>
      </c>
    </row>
    <row r="5">
      <c r="A5" s="8" t="s">
        <v>13</v>
      </c>
      <c r="B5" s="9">
        <f>'コスト'!B72</f>
        <v>23586840</v>
      </c>
    </row>
    <row r="6">
      <c r="A6" s="8" t="s">
        <v>15</v>
      </c>
      <c r="B6" s="82">
        <f>B4-B5</f>
        <v>4055160</v>
      </c>
    </row>
    <row r="7">
      <c r="A7" s="8" t="s">
        <v>16</v>
      </c>
      <c r="B7" s="83">
        <f>IF(B4=0,0,B6/B4)</f>
        <v>0.1467028435</v>
      </c>
    </row>
    <row r="9">
      <c r="A9" s="2" t="s">
        <v>293</v>
      </c>
    </row>
    <row r="10">
      <c r="A10" s="13" t="s">
        <v>28</v>
      </c>
      <c r="B10" s="13" t="s">
        <v>292</v>
      </c>
      <c r="C10" s="13" t="s">
        <v>294</v>
      </c>
    </row>
    <row r="11">
      <c r="A11" s="8" t="s">
        <v>22</v>
      </c>
      <c r="B11" s="9">
        <f>'PJT2_入力'!D11</f>
        <v>6122000</v>
      </c>
      <c r="C11" s="10">
        <f t="shared" ref="C11:C14" si="1">IF($B$4=0,0,B11/$B$4)</f>
        <v>0.2214745677</v>
      </c>
    </row>
    <row r="12">
      <c r="A12" s="8" t="s">
        <v>23</v>
      </c>
      <c r="B12" s="9">
        <f>'PJT2_入力'!E19</f>
        <v>12120000</v>
      </c>
      <c r="C12" s="10">
        <f t="shared" si="1"/>
        <v>0.4384632082</v>
      </c>
    </row>
    <row r="13">
      <c r="A13" s="8" t="s">
        <v>24</v>
      </c>
      <c r="B13" s="9">
        <f>'PJT2_入力'!D27</f>
        <v>8400000</v>
      </c>
      <c r="C13" s="10">
        <f t="shared" si="1"/>
        <v>0.3038853918</v>
      </c>
    </row>
    <row r="14">
      <c r="A14" s="8" t="s">
        <v>25</v>
      </c>
      <c r="B14" s="9">
        <f>'PJT2_入力'!B35</f>
        <v>1000000</v>
      </c>
      <c r="C14" s="10">
        <f t="shared" si="1"/>
        <v>0.03617683236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