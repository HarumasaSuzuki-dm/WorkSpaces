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①応援スタイル改革" sheetId="1" r:id="rId5"/>
    <sheet state="visible" name="②ドキュメンタリー" sheetId="2" r:id="rId6"/>
    <sheet state="visible" name="③SFF顔シール" sheetId="3" r:id="rId7"/>
    <sheet state="visible" name="④バックステージ実況中継" sheetId="4" r:id="rId8"/>
  </sheets>
  <definedNames/>
  <calcPr/>
</workbook>
</file>

<file path=xl/sharedStrings.xml><?xml version="1.0" encoding="utf-8"?>
<sst xmlns="http://schemas.openxmlformats.org/spreadsheetml/2006/main" count="611" uniqueCount="458">
  <si>
    <t>SFF2026 企画書：一体感を生む応援スタイル改革 : 4日分</t>
  </si>
  <si>
    <r>
      <rPr>
        <rFont val="Arial"/>
        <b/>
        <color rgb="FFFFFFFF"/>
        <sz val="11.0"/>
      </rPr>
      <t xml:space="preserve">1. </t>
    </r>
    <r>
      <rPr>
        <rFont val="Noto Sans CJK SC"/>
        <b/>
        <color rgb="FFFFFFFF"/>
        <sz val="11.0"/>
      </rPr>
      <t>企画概要</t>
    </r>
  </si>
  <si>
    <t>企画名</t>
  </si>
  <si>
    <t>一体感を生む応援スタイル改革</t>
  </si>
  <si>
    <t>起案者</t>
  </si>
  <si>
    <t>天池成久</t>
  </si>
  <si>
    <t>起案日</t>
  </si>
  <si>
    <t>2026/1/31</t>
  </si>
  <si>
    <t>関与レベル</t>
  </si>
  <si>
    <r>
      <rPr>
        <rFont val="Noto Sans CJK SC"/>
        <color rgb="FF000000"/>
        <sz val="10.0"/>
      </rPr>
      <t>主導したい（熱量：</t>
    </r>
    <r>
      <rPr>
        <rFont val="Arial"/>
        <color rgb="FF000000"/>
        <sz val="10.0"/>
      </rPr>
      <t>5/5</t>
    </r>
    <r>
      <rPr>
        <rFont val="Noto Sans CJK SC"/>
        <color rgb="FF000000"/>
        <sz val="10.0"/>
      </rPr>
      <t>）</t>
    </r>
  </si>
  <si>
    <t>企画概要</t>
  </si>
  <si>
    <t>選手に音の鳴る応援アイテム（ハリセンのようなもの）を配布し、観客がMCのコールに合わせて叩いたり、同じ番号を叫ぶ応援スタイルを導入する。
一体感のある歓声を生み、選手が応援の中で戦える空間をつくる。
観客も参加できて楽しく、SFFの名物文化として定着させたい。</t>
  </si>
  <si>
    <r>
      <rPr>
        <rFont val="Arial"/>
        <b/>
        <color rgb="FFFFFFFF"/>
        <sz val="11.0"/>
      </rPr>
      <t xml:space="preserve">2. </t>
    </r>
    <r>
      <rPr>
        <rFont val="Noto Sans CJK SC"/>
        <b/>
        <color rgb="FFFFFFFF"/>
        <sz val="11.0"/>
      </rPr>
      <t>目的・課題・期待効果</t>
    </r>
  </si>
  <si>
    <t>解決したい課題</t>
  </si>
  <si>
    <t>・応援がバラバラで会場が盛り上がり切らない
・初めて来た観客が応援しづらい
・選手が孤独に感じる瞬間がある
・会場全体の熱量をもっと高めたい</t>
  </si>
  <si>
    <t>今やる理由</t>
  </si>
  <si>
    <r>
      <rPr>
        <rFont val="Noto Sans CJK SC"/>
        <color rgb="FF000000"/>
        <sz val="10.0"/>
      </rPr>
      <t>・他大会との差別化につながり、</t>
    </r>
    <r>
      <rPr>
        <rFont val="Arial"/>
        <color rgb="FF000000"/>
        <sz val="10.0"/>
      </rPr>
      <t>SFF</t>
    </r>
    <r>
      <rPr>
        <rFont val="Noto Sans CJK SC"/>
        <color rgb="FF000000"/>
        <sz val="10.0"/>
      </rPr>
      <t>ならではの文化を作れる
・順位がつかなくても選手にとって最高のステージ体験になる</t>
    </r>
  </si>
  <si>
    <t>期待効果</t>
  </si>
  <si>
    <r>
      <rPr>
        <rFont val="Noto Sans CJK SC"/>
        <color rgb="FF000000"/>
        <sz val="10.0"/>
      </rPr>
      <t>・ユーザー満足度の向上
・継続率・利用頻度の向上
・ブランド価値向上
・</t>
    </r>
    <r>
      <rPr>
        <rFont val="Arial"/>
        <color rgb="FF000000"/>
        <sz val="10.0"/>
      </rPr>
      <t>SNS</t>
    </r>
    <r>
      <rPr>
        <rFont val="Noto Sans CJK SC"/>
        <color rgb="FF000000"/>
        <sz val="10.0"/>
      </rPr>
      <t>拡散による認知拡大</t>
    </r>
  </si>
  <si>
    <r>
      <rPr>
        <rFont val="Arial"/>
        <color rgb="FF333333"/>
        <sz val="10.0"/>
      </rPr>
      <t>KPI</t>
    </r>
    <r>
      <rPr>
        <rFont val="Noto Sans CJK SC"/>
        <color rgb="FF333333"/>
        <sz val="10.0"/>
      </rPr>
      <t>（成功指標）</t>
    </r>
  </si>
  <si>
    <t>・来場者アンケート満足度 90%以上
・「応援が楽しかった」回答率 80%以上
・SNS投稿数（#SFF応援）前回比150%</t>
  </si>
  <si>
    <r>
      <rPr>
        <rFont val="Arial"/>
        <b/>
        <color rgb="FFFFFFFF"/>
        <sz val="11.0"/>
      </rPr>
      <t xml:space="preserve">3. </t>
    </r>
    <r>
      <rPr>
        <rFont val="Noto Sans CJK SC"/>
        <b/>
        <color rgb="FFFFFFFF"/>
        <sz val="11.0"/>
      </rPr>
      <t>ターゲット</t>
    </r>
  </si>
  <si>
    <t>メインターゲット</t>
  </si>
  <si>
    <t>会場来場者（観客）全員</t>
  </si>
  <si>
    <t>サブターゲット</t>
  </si>
  <si>
    <t>出場選手、SNS視聴者</t>
  </si>
  <si>
    <r>
      <rPr>
        <rFont val="Arial"/>
        <b/>
        <color rgb="FFFFFFFF"/>
        <sz val="11.0"/>
      </rPr>
      <t xml:space="preserve">4. </t>
    </r>
    <r>
      <rPr>
        <rFont val="Noto Sans CJK SC"/>
        <b/>
        <color rgb="FFFFFFFF"/>
        <sz val="11.0"/>
      </rPr>
      <t>施策の構成要素</t>
    </r>
  </si>
  <si>
    <t>応援アイテム</t>
  </si>
  <si>
    <t>・スティックバルーン型のハリセン（両面SFFロゴ入り）
・協賛企業ロゴを片面に入れることで費用分担を検討→できればね
・素材：PP製（軽量・耐久・低コスト）</t>
  </si>
  <si>
    <r>
      <rPr>
        <rFont val="Arial"/>
        <color rgb="FF333333"/>
        <sz val="10.0"/>
      </rPr>
      <t>MC</t>
    </r>
    <r>
      <rPr>
        <rFont val="Noto Sans CJK SC"/>
        <color rgb="FF333333"/>
        <sz val="10.0"/>
      </rPr>
      <t>運用設計</t>
    </r>
  </si>
  <si>
    <t>・コールパターンを3種類に絞る（選手番号コール／リズム叩き／一斉応援）
・開会前に「応援練習タイム」を3分間実施
・MCスクリプトにコール指示を組み込む</t>
  </si>
  <si>
    <r>
      <rPr>
        <rFont val="Arial"/>
        <b/>
        <color rgb="FFFFFFFF"/>
        <sz val="11.0"/>
      </rPr>
      <t xml:space="preserve">5. </t>
    </r>
    <r>
      <rPr>
        <rFont val="Noto Sans CJK SC"/>
        <b/>
        <color rgb="FFFFFFFF"/>
        <sz val="11.0"/>
      </rPr>
      <t>スケジュール（大会日から逆算）</t>
    </r>
  </si>
  <si>
    <t>マイルストーン</t>
  </si>
  <si>
    <t>期限</t>
  </si>
  <si>
    <t>担当者</t>
  </si>
  <si>
    <t>備考・詳細</t>
  </si>
  <si>
    <r>
      <rPr>
        <rFont val="Noto Sans CJK SC"/>
        <color rgb="FF000000"/>
        <sz val="10.0"/>
      </rPr>
      <t>企画確定・</t>
    </r>
    <r>
      <rPr>
        <rFont val="Arial"/>
        <color rgb="FF000000"/>
        <sz val="10.0"/>
      </rPr>
      <t>Go</t>
    </r>
    <r>
      <rPr>
        <rFont val="Noto Sans CJK SC"/>
        <color rgb="FF000000"/>
        <sz val="10.0"/>
      </rPr>
      <t>判断</t>
    </r>
  </si>
  <si>
    <r>
      <rPr>
        <rFont val="Noto Sans CJK SC"/>
        <color rgb="FF0000FF"/>
        <sz val="10.0"/>
      </rPr>
      <t>大会</t>
    </r>
    <r>
      <rPr>
        <rFont val="Arial"/>
        <color rgb="FF0000FF"/>
        <sz val="10.0"/>
      </rPr>
      <t>4</t>
    </r>
    <r>
      <rPr>
        <rFont val="Noto Sans CJK SC"/>
        <color rgb="FF0000FF"/>
        <sz val="10.0"/>
      </rPr>
      <t>ヶ月前</t>
    </r>
  </si>
  <si>
    <t>なーすけさん</t>
  </si>
  <si>
    <t>経営会議で承認</t>
  </si>
  <si>
    <t>応援アイテムデザイン決定</t>
  </si>
  <si>
    <r>
      <rPr>
        <rFont val="Noto Sans CJK SC"/>
        <color rgb="FF0000FF"/>
        <sz val="10.0"/>
      </rPr>
      <t>大会</t>
    </r>
    <r>
      <rPr>
        <rFont val="Arial"/>
        <color rgb="FF0000FF"/>
        <sz val="10.0"/>
      </rPr>
      <t>3.5</t>
    </r>
    <r>
      <rPr>
        <rFont val="Noto Sans CJK SC"/>
        <color rgb="FF0000FF"/>
        <sz val="10.0"/>
      </rPr>
      <t>ヶ月前</t>
    </r>
  </si>
  <si>
    <t>なーすけさん / おしりちゃん</t>
  </si>
  <si>
    <t>ロゴ・協賛ロゴのレイアウト確定</t>
  </si>
  <si>
    <t>協賛企業へのロゴ掲載打診</t>
  </si>
  <si>
    <r>
      <rPr>
        <rFont val="Noto Sans CJK SC"/>
        <color rgb="FF0000FF"/>
        <sz val="10.0"/>
      </rPr>
      <t>大会</t>
    </r>
    <r>
      <rPr>
        <rFont val="Arial"/>
        <color rgb="FF0000FF"/>
        <sz val="10.0"/>
      </rPr>
      <t>3</t>
    </r>
    <r>
      <rPr>
        <rFont val="Noto Sans CJK SC"/>
        <color rgb="FF0000FF"/>
        <sz val="10.0"/>
      </rPr>
      <t>ヶ月前</t>
    </r>
  </si>
  <si>
    <t>ぼんちゃん</t>
  </si>
  <si>
    <t>費用分担の交渉→できればね</t>
  </si>
  <si>
    <t>アイテム発注</t>
  </si>
  <si>
    <r>
      <rPr>
        <rFont val="Noto Sans CJK SC"/>
        <color rgb="FF0000FF"/>
        <sz val="10.0"/>
      </rPr>
      <t>大会</t>
    </r>
    <r>
      <rPr>
        <rFont val="Arial"/>
        <color rgb="FF0000FF"/>
        <sz val="10.0"/>
      </rPr>
      <t>2.5</t>
    </r>
    <r>
      <rPr>
        <rFont val="Noto Sans CJK SC"/>
        <color rgb="FF0000FF"/>
        <sz val="10.0"/>
      </rPr>
      <t>ヶ月前</t>
    </r>
  </si>
  <si>
    <r>
      <rPr>
        <rFont val="Noto Sans CJK SC"/>
        <color rgb="FF000000"/>
        <sz val="10.0"/>
      </rPr>
      <t>数量確定（来場見込</t>
    </r>
    <r>
      <rPr>
        <rFont val="Arial"/>
        <color rgb="FF000000"/>
        <sz val="10.0"/>
      </rPr>
      <t>×1.1</t>
    </r>
    <r>
      <rPr>
        <rFont val="Noto Sans CJK SC"/>
        <color rgb="FF000000"/>
        <sz val="10.0"/>
      </rPr>
      <t>）</t>
    </r>
  </si>
  <si>
    <r>
      <rPr>
        <rFont val="Arial"/>
        <color rgb="FF000000"/>
        <sz val="10.0"/>
      </rPr>
      <t>MC</t>
    </r>
    <r>
      <rPr>
        <rFont val="Noto Sans CJK SC"/>
        <color rgb="FF000000"/>
        <sz val="10.0"/>
      </rPr>
      <t>スクリプト作成</t>
    </r>
  </si>
  <si>
    <r>
      <rPr>
        <rFont val="Noto Sans CJK SC"/>
        <color rgb="FF0000FF"/>
        <sz val="10.0"/>
      </rPr>
      <t>大会</t>
    </r>
    <r>
      <rPr>
        <rFont val="Arial"/>
        <color rgb="FF0000FF"/>
        <sz val="10.0"/>
      </rPr>
      <t>2</t>
    </r>
    <r>
      <rPr>
        <rFont val="Noto Sans CJK SC"/>
        <color rgb="FF0000FF"/>
        <sz val="10.0"/>
      </rPr>
      <t>ヶ月前</t>
    </r>
  </si>
  <si>
    <t>なーすけさん / MC担当</t>
  </si>
  <si>
    <r>
      <rPr>
        <rFont val="Noto Sans CJK SC"/>
        <color rgb="FF000000"/>
        <sz val="10.0"/>
      </rPr>
      <t>コールパターン</t>
    </r>
    <r>
      <rPr>
        <rFont val="Arial"/>
        <color rgb="FF000000"/>
        <sz val="10.0"/>
      </rPr>
      <t>3</t>
    </r>
    <r>
      <rPr>
        <rFont val="Noto Sans CJK SC"/>
        <color rgb="FF000000"/>
        <sz val="10.0"/>
      </rPr>
      <t>種の台本</t>
    </r>
  </si>
  <si>
    <r>
      <rPr>
        <rFont val="Arial"/>
        <color rgb="FF000000"/>
        <sz val="10.0"/>
      </rPr>
      <t>MC</t>
    </r>
    <r>
      <rPr>
        <rFont val="Noto Sans CJK SC"/>
        <color rgb="FF000000"/>
        <sz val="10.0"/>
      </rPr>
      <t>・スタッフリハーサル</t>
    </r>
  </si>
  <si>
    <r>
      <rPr>
        <rFont val="Noto Sans CJK SC"/>
        <color rgb="FF0000FF"/>
        <sz val="10.0"/>
      </rPr>
      <t>大会</t>
    </r>
    <r>
      <rPr>
        <rFont val="Arial"/>
        <color rgb="FF0000FF"/>
        <sz val="10.0"/>
      </rPr>
      <t>1</t>
    </r>
    <r>
      <rPr>
        <rFont val="Noto Sans CJK SC"/>
        <color rgb="FF0000FF"/>
        <sz val="10.0"/>
      </rPr>
      <t>ヶ月前</t>
    </r>
  </si>
  <si>
    <t>なーすけさん / MC / スタッフ</t>
  </si>
  <si>
    <t>当日の配布動線も確認</t>
  </si>
  <si>
    <t>アイテム納品・検品</t>
  </si>
  <si>
    <r>
      <rPr>
        <rFont val="Noto Sans CJK SC"/>
        <color rgb="FF0000FF"/>
        <sz val="10.0"/>
      </rPr>
      <t>大会</t>
    </r>
    <r>
      <rPr>
        <rFont val="Arial"/>
        <color rgb="FF0000FF"/>
        <sz val="10.0"/>
      </rPr>
      <t>2</t>
    </r>
    <r>
      <rPr>
        <rFont val="Noto Sans CJK SC"/>
        <color rgb="FF0000FF"/>
        <sz val="10.0"/>
      </rPr>
      <t>週間前</t>
    </r>
  </si>
  <si>
    <t>数量・品質チェック</t>
  </si>
  <si>
    <t>大会当日 運用</t>
  </si>
  <si>
    <t>当日</t>
  </si>
  <si>
    <t>ぼんちゃん / MC / スタッフ</t>
  </si>
  <si>
    <t>配布→練習→本番の流れ</t>
  </si>
  <si>
    <t>効果測定・振り返り</t>
  </si>
  <si>
    <r>
      <rPr>
        <rFont val="Noto Sans CJK SC"/>
        <color rgb="FF0000FF"/>
        <sz val="10.0"/>
      </rPr>
      <t>大会</t>
    </r>
    <r>
      <rPr>
        <rFont val="Arial"/>
        <color rgb="FF0000FF"/>
        <sz val="10.0"/>
      </rPr>
      <t>1</t>
    </r>
    <r>
      <rPr>
        <rFont val="Noto Sans CJK SC"/>
        <color rgb="FF0000FF"/>
        <sz val="10.0"/>
      </rPr>
      <t>週間後</t>
    </r>
  </si>
  <si>
    <t>アンケート集計・改善点整理</t>
  </si>
  <si>
    <r>
      <rPr>
        <rFont val="Arial"/>
        <b/>
        <color rgb="FFFFFFFF"/>
        <sz val="11.0"/>
      </rPr>
      <t xml:space="preserve">6. </t>
    </r>
    <r>
      <rPr>
        <rFont val="Noto Sans CJK SC"/>
        <b/>
        <color rgb="FFFFFFFF"/>
        <sz val="11.0"/>
      </rPr>
      <t>費用見積もり</t>
    </r>
  </si>
  <si>
    <t>費用項目</t>
  </si>
  <si>
    <t>数量</t>
  </si>
  <si>
    <t>単位</t>
  </si>
  <si>
    <r>
      <rPr>
        <rFont val="Noto Sans CJK SC"/>
        <b/>
        <color rgb="FF1F4E79"/>
        <sz val="10.0"/>
      </rPr>
      <t>単価</t>
    </r>
    <r>
      <rPr>
        <rFont val="Arial"/>
        <b/>
        <color rgb="FF1F4E79"/>
        <sz val="10.0"/>
      </rPr>
      <t>(</t>
    </r>
    <r>
      <rPr>
        <rFont val="Noto Sans CJK SC"/>
        <b/>
        <color rgb="FF1F4E79"/>
        <sz val="10.0"/>
      </rPr>
      <t>円</t>
    </r>
    <r>
      <rPr>
        <rFont val="Arial"/>
        <b/>
        <color rgb="FF1F4E79"/>
        <sz val="10.0"/>
      </rPr>
      <t>)</t>
    </r>
  </si>
  <si>
    <r>
      <rPr>
        <rFont val="Noto Sans CJK SC"/>
        <b/>
        <color rgb="FF1F4E79"/>
        <sz val="10.0"/>
      </rPr>
      <t>小計</t>
    </r>
    <r>
      <rPr>
        <rFont val="Arial"/>
        <b/>
        <color rgb="FF1F4E79"/>
        <sz val="10.0"/>
      </rPr>
      <t>(</t>
    </r>
    <r>
      <rPr>
        <rFont val="Noto Sans CJK SC"/>
        <b/>
        <color rgb="FF1F4E79"/>
        <sz val="10.0"/>
      </rPr>
      <t>円</t>
    </r>
    <r>
      <rPr>
        <rFont val="Arial"/>
        <b/>
        <color rgb="FF1F4E79"/>
        <sz val="10.0"/>
      </rPr>
      <t>)</t>
    </r>
  </si>
  <si>
    <t>備考</t>
  </si>
  <si>
    <t>スティックバルーン制作</t>
  </si>
  <si>
    <t>本</t>
  </si>
  <si>
    <r>
      <rPr>
        <rFont val="Arial"/>
        <color rgb="FF000000"/>
        <sz val="10.0"/>
      </rPr>
      <t xml:space="preserve">PP製・両面印刷・協賛ロゴ入り・1日あたり300本と仮定
参考
</t>
    </r>
    <r>
      <rPr>
        <rFont val="Arial"/>
        <color rgb="FF1155CC"/>
        <sz val="10.0"/>
        <u/>
      </rPr>
      <t>https://item.rakuten.co.jp/promoshop/bz00500000005/</t>
    </r>
  </si>
  <si>
    <t>デザイン費（ロゴレイアウト）</t>
  </si>
  <si>
    <t>式</t>
  </si>
  <si>
    <r>
      <rPr>
        <rFont val="Noto Sans CJK SC"/>
        <color rgb="FF000000"/>
        <sz val="10.0"/>
      </rPr>
      <t>外注の場合。内製なら</t>
    </r>
    <r>
      <rPr>
        <rFont val="Arial"/>
        <color rgb="FF000000"/>
        <sz val="10.0"/>
      </rPr>
      <t>0</t>
    </r>
    <r>
      <rPr>
        <rFont val="Noto Sans CJK SC"/>
        <color rgb="FF000000"/>
        <sz val="10.0"/>
      </rPr>
      <t>円</t>
    </r>
  </si>
  <si>
    <r>
      <rPr>
        <rFont val="Arial"/>
        <color rgb="FF000000"/>
        <sz val="10.0"/>
      </rPr>
      <t>MC</t>
    </r>
    <r>
      <rPr>
        <rFont val="Noto Sans CJK SC"/>
        <color rgb="FF000000"/>
        <sz val="10.0"/>
      </rPr>
      <t>台本制作</t>
    </r>
  </si>
  <si>
    <t>内製対応</t>
  </si>
  <si>
    <t>配布用バスケット・袋</t>
  </si>
  <si>
    <t>個</t>
  </si>
  <si>
    <t>当日配布用の容器</t>
  </si>
  <si>
    <t>予備費</t>
  </si>
  <si>
    <t>破損・追加対応</t>
  </si>
  <si>
    <t>合計</t>
  </si>
  <si>
    <r>
      <rPr>
        <rFont val="Arial"/>
        <b/>
        <color rgb="FFFFFFFF"/>
        <sz val="11.0"/>
      </rPr>
      <t xml:space="preserve">7. </t>
    </r>
    <r>
      <rPr>
        <rFont val="Noto Sans CJK SC"/>
        <b/>
        <color rgb="FFFFFFFF"/>
        <sz val="11.0"/>
      </rPr>
      <t>工数見積もり</t>
    </r>
  </si>
  <si>
    <t>タスク</t>
  </si>
  <si>
    <t>担当</t>
  </si>
  <si>
    <r>
      <rPr>
        <rFont val="Noto Sans CJK SC"/>
        <b/>
        <color rgb="FF1F4E79"/>
        <sz val="10.0"/>
      </rPr>
      <t>想定工数</t>
    </r>
    <r>
      <rPr>
        <rFont val="Arial"/>
        <b/>
        <color rgb="FF1F4E79"/>
        <sz val="10.0"/>
      </rPr>
      <t>(h)</t>
    </r>
  </si>
  <si>
    <t>企画設計・コール設計</t>
  </si>
  <si>
    <t>応援パターン・配布フローの設計</t>
  </si>
  <si>
    <t>デザインディレクション</t>
  </si>
  <si>
    <t>外注デザイナーへの指示・確認</t>
  </si>
  <si>
    <t>協賛打診・調整</t>
  </si>
  <si>
    <t>企業への提案・契約</t>
  </si>
  <si>
    <r>
      <rPr>
        <rFont val="Arial"/>
        <color rgb="FF000000"/>
        <sz val="10.0"/>
      </rPr>
      <t>MC</t>
    </r>
    <r>
      <rPr>
        <rFont val="Noto Sans CJK SC"/>
        <color rgb="FF000000"/>
        <sz val="10.0"/>
      </rPr>
      <t>スクリプト作成</t>
    </r>
  </si>
  <si>
    <t>なーすけさん / MC</t>
  </si>
  <si>
    <t>台本・リハ用資料</t>
  </si>
  <si>
    <t>リハーサル</t>
  </si>
  <si>
    <r>
      <rPr>
        <rFont val="Arial"/>
        <color rgb="FF000000"/>
        <sz val="10.0"/>
      </rPr>
      <t>2</t>
    </r>
    <r>
      <rPr>
        <rFont val="Noto Sans CJK SC"/>
        <color rgb="FF000000"/>
        <sz val="10.0"/>
      </rPr>
      <t>回実施（卓上＋会場）</t>
    </r>
  </si>
  <si>
    <t>当日運営（配布・進行管理）</t>
  </si>
  <si>
    <t>ぼんちゃん / スタッフ3名</t>
  </si>
  <si>
    <t>設営〜撤収</t>
  </si>
  <si>
    <t>効果測定・レポート</t>
  </si>
  <si>
    <t>アンケート設計〜集計</t>
  </si>
  <si>
    <t>合計工数</t>
  </si>
  <si>
    <r>
      <rPr>
        <rFont val="Arial"/>
        <b/>
        <color rgb="FFFFFFFF"/>
        <sz val="11.0"/>
      </rPr>
      <t xml:space="preserve">8. </t>
    </r>
    <r>
      <rPr>
        <rFont val="Noto Sans CJK SC"/>
        <b/>
        <color rgb="FFFFFFFF"/>
        <sz val="11.0"/>
      </rPr>
      <t>リスクと対策</t>
    </r>
  </si>
  <si>
    <t>リスク項目 → 影響度 → 対策</t>
  </si>
  <si>
    <r>
      <rPr>
        <rFont val="Arial"/>
        <color rgb="FF333333"/>
        <sz val="10.0"/>
      </rPr>
      <t>[</t>
    </r>
    <r>
      <rPr>
        <rFont val="Noto Sans CJK SC"/>
        <color rgb="FF333333"/>
        <sz val="10.0"/>
      </rPr>
      <t>影響度</t>
    </r>
    <r>
      <rPr>
        <rFont val="Arial"/>
        <color rgb="FF333333"/>
        <sz val="10.0"/>
      </rPr>
      <t>:</t>
    </r>
    <r>
      <rPr>
        <rFont val="Noto Sans CJK SC"/>
        <color rgb="FF333333"/>
        <sz val="10.0"/>
      </rPr>
      <t>中</t>
    </r>
    <r>
      <rPr>
        <rFont val="Arial"/>
        <color rgb="FF333333"/>
        <sz val="10.0"/>
      </rPr>
      <t xml:space="preserve">] </t>
    </r>
    <r>
      <rPr>
        <rFont val="Noto Sans CJK SC"/>
        <color rgb="FF333333"/>
        <sz val="10.0"/>
      </rPr>
      <t>応援アイテム配布にコストがかかる</t>
    </r>
  </si>
  <si>
    <r>
      <rPr>
        <rFont val="Noto Sans CJK SC"/>
        <color rgb="FF000000"/>
        <sz val="10.0"/>
      </rPr>
      <t>対策：協賛ロゴ掲載で費用分担。</t>
    </r>
    <r>
      <rPr>
        <rFont val="Arial"/>
        <color rgb="FF000000"/>
        <sz val="10.0"/>
      </rPr>
      <t>MVP</t>
    </r>
    <r>
      <rPr>
        <rFont val="Noto Sans CJK SC"/>
        <color rgb="FF000000"/>
        <sz val="10.0"/>
      </rPr>
      <t>実施で最小投資から開始</t>
    </r>
  </si>
  <si>
    <r>
      <rPr>
        <rFont val="Arial"/>
        <color rgb="FF333333"/>
        <sz val="10.0"/>
      </rPr>
      <t>[</t>
    </r>
    <r>
      <rPr>
        <rFont val="Noto Sans CJK SC"/>
        <color rgb="FF333333"/>
        <sz val="10.0"/>
      </rPr>
      <t>影響度</t>
    </r>
    <r>
      <rPr>
        <rFont val="Arial"/>
        <color rgb="FF333333"/>
        <sz val="10.0"/>
      </rPr>
      <t>:</t>
    </r>
    <r>
      <rPr>
        <rFont val="Noto Sans CJK SC"/>
        <color rgb="FF333333"/>
        <sz val="10.0"/>
      </rPr>
      <t>中</t>
    </r>
    <r>
      <rPr>
        <rFont val="Arial"/>
        <color rgb="FF333333"/>
        <sz val="10.0"/>
      </rPr>
      <t>] MC</t>
    </r>
    <r>
      <rPr>
        <rFont val="Noto Sans CJK SC"/>
        <color rgb="FF333333"/>
        <sz val="10.0"/>
      </rPr>
      <t>運用の難易度が高い</t>
    </r>
  </si>
  <si>
    <r>
      <rPr>
        <rFont val="Noto Sans CJK SC"/>
        <color rgb="FF000000"/>
        <sz val="10.0"/>
      </rPr>
      <t>対策：コールパターンを</t>
    </r>
    <r>
      <rPr>
        <rFont val="Arial"/>
        <color rgb="FF000000"/>
        <sz val="10.0"/>
      </rPr>
      <t>3</t>
    </r>
    <r>
      <rPr>
        <rFont val="Noto Sans CJK SC"/>
        <color rgb="FF000000"/>
        <sz val="10.0"/>
      </rPr>
      <t>種に絞りシンプル化。開始前に練習タイム設置</t>
    </r>
  </si>
  <si>
    <r>
      <rPr>
        <rFont val="Arial"/>
        <color rgb="FF333333"/>
        <sz val="10.0"/>
      </rPr>
      <t>[</t>
    </r>
    <r>
      <rPr>
        <rFont val="Noto Sans CJK SC"/>
        <color rgb="FF333333"/>
        <sz val="10.0"/>
      </rPr>
      <t>影響度</t>
    </r>
    <r>
      <rPr>
        <rFont val="Arial"/>
        <color rgb="FF333333"/>
        <sz val="10.0"/>
      </rPr>
      <t>:</t>
    </r>
    <r>
      <rPr>
        <rFont val="Noto Sans CJK SC"/>
        <color rgb="FF333333"/>
        <sz val="10.0"/>
      </rPr>
      <t>低</t>
    </r>
    <r>
      <rPr>
        <rFont val="Arial"/>
        <color rgb="FF333333"/>
        <sz val="10.0"/>
      </rPr>
      <t xml:space="preserve">] </t>
    </r>
    <r>
      <rPr>
        <rFont val="Noto Sans CJK SC"/>
        <color rgb="FF333333"/>
        <sz val="10.0"/>
      </rPr>
      <t>観客が乗ってこない</t>
    </r>
  </si>
  <si>
    <r>
      <rPr>
        <rFont val="Noto Sans CJK SC"/>
        <color rgb="FF000000"/>
        <sz val="10.0"/>
      </rPr>
      <t>対策：練習タイムの導入、</t>
    </r>
    <r>
      <rPr>
        <rFont val="Arial"/>
        <color rgb="FF000000"/>
        <sz val="10.0"/>
      </rPr>
      <t>MC</t>
    </r>
    <r>
      <rPr>
        <rFont val="Noto Sans CJK SC"/>
        <color rgb="FF000000"/>
        <sz val="10.0"/>
      </rPr>
      <t>のスキルアップ研修</t>
    </r>
  </si>
  <si>
    <r>
      <rPr>
        <rFont val="Arial"/>
        <color rgb="FF333333"/>
        <sz val="10.0"/>
      </rPr>
      <t>[</t>
    </r>
    <r>
      <rPr>
        <rFont val="Noto Sans CJK SC"/>
        <color rgb="FF333333"/>
        <sz val="10.0"/>
      </rPr>
      <t>影響度</t>
    </r>
    <r>
      <rPr>
        <rFont val="Arial"/>
        <color rgb="FF333333"/>
        <sz val="10.0"/>
      </rPr>
      <t>:</t>
    </r>
    <r>
      <rPr>
        <rFont val="Noto Sans CJK SC"/>
        <color rgb="FF333333"/>
        <sz val="10.0"/>
      </rPr>
      <t>高</t>
    </r>
    <r>
      <rPr>
        <rFont val="Arial"/>
        <color rgb="FF333333"/>
        <sz val="10.0"/>
      </rPr>
      <t xml:space="preserve">] </t>
    </r>
    <r>
      <rPr>
        <rFont val="Noto Sans CJK SC"/>
        <color rgb="FF333333"/>
        <sz val="10.0"/>
      </rPr>
      <t>アイテムの納期遅延</t>
    </r>
  </si>
  <si>
    <r>
      <rPr>
        <rFont val="Noto Sans CJK SC"/>
        <color rgb="FF000000"/>
        <sz val="10.0"/>
      </rPr>
      <t>対策：発注を早めに行い、納期バッファを</t>
    </r>
    <r>
      <rPr>
        <rFont val="Arial"/>
        <color rgb="FF000000"/>
        <sz val="10.0"/>
      </rPr>
      <t>2</t>
    </r>
    <r>
      <rPr>
        <rFont val="Noto Sans CJK SC"/>
        <color rgb="FF000000"/>
        <sz val="10.0"/>
      </rPr>
      <t>週間確保</t>
    </r>
  </si>
  <si>
    <r>
      <rPr>
        <rFont val="Arial"/>
        <b/>
        <color rgb="FFFFFFFF"/>
        <sz val="11.0"/>
      </rPr>
      <t xml:space="preserve">9. Go/No-Go </t>
    </r>
    <r>
      <rPr>
        <rFont val="Noto Sans CJK SC"/>
        <b/>
        <color rgb="FFFFFFFF"/>
        <sz val="11.0"/>
      </rPr>
      <t>判断基準</t>
    </r>
  </si>
  <si>
    <r>
      <rPr>
        <rFont val="Arial"/>
        <color rgb="FF333333"/>
        <sz val="10.0"/>
      </rPr>
      <t>Go</t>
    </r>
    <r>
      <rPr>
        <rFont val="Noto Sans CJK SC"/>
        <color rgb="FF333333"/>
        <sz val="10.0"/>
      </rPr>
      <t>条件</t>
    </r>
  </si>
  <si>
    <t>・費用が予算内に収まること
・MCリハーサルで運用フローが確認できること
・アイテム納品が大会2週間前までに完了すること</t>
  </si>
  <si>
    <r>
      <rPr>
        <rFont val="Arial"/>
        <color rgb="FF333333"/>
        <sz val="10.0"/>
      </rPr>
      <t>No-Go</t>
    </r>
    <r>
      <rPr>
        <rFont val="Noto Sans CJK SC"/>
        <color rgb="FF333333"/>
        <sz val="10.0"/>
      </rPr>
      <t>時の代替案</t>
    </r>
  </si>
  <si>
    <t>・アイテム無しでMCコールのみ実施
・スマホライト点灯での一体感演出に切り替え</t>
  </si>
  <si>
    <r>
      <rPr>
        <rFont val="Arial"/>
        <b/>
        <color rgb="FFFFFFFF"/>
        <sz val="11.0"/>
      </rPr>
      <t xml:space="preserve">10. </t>
    </r>
    <r>
      <rPr>
        <rFont val="Noto Sans CJK SC"/>
        <b/>
        <color rgb="FFFFFFFF"/>
        <sz val="11.0"/>
      </rPr>
      <t>効果測定</t>
    </r>
  </si>
  <si>
    <t>定量指標</t>
  </si>
  <si>
    <t>・来場者アンケート満足度スコア
・SNS投稿数（#SFF応援 タグ）
・選手アンケート「応援を感じた」回答率</t>
  </si>
  <si>
    <t>定性指標</t>
  </si>
  <si>
    <r>
      <rPr>
        <rFont val="Noto Sans CJK SC"/>
        <color rgb="FF000000"/>
        <sz val="10.0"/>
      </rPr>
      <t>・来場者・選手の</t>
    </r>
    <r>
      <rPr>
        <rFont val="Arial"/>
        <color rgb="FF000000"/>
        <sz val="10.0"/>
      </rPr>
      <t>SNS</t>
    </r>
    <r>
      <rPr>
        <rFont val="Noto Sans CJK SC"/>
        <color rgb="FF000000"/>
        <sz val="10.0"/>
      </rPr>
      <t>投稿の内容・トーン
・</t>
    </r>
    <r>
      <rPr>
        <rFont val="Arial"/>
        <color rgb="FF000000"/>
        <sz val="10.0"/>
      </rPr>
      <t>MC</t>
    </r>
    <r>
      <rPr>
        <rFont val="Noto Sans CJK SC"/>
        <color rgb="FF000000"/>
        <sz val="10.0"/>
      </rPr>
      <t>からの運用フィードバック</t>
    </r>
  </si>
  <si>
    <t>振り返りタイミング</t>
  </si>
  <si>
    <r>
      <rPr>
        <rFont val="Noto Sans CJK SC"/>
        <color rgb="FF000000"/>
        <sz val="10.0"/>
      </rPr>
      <t>大会終了後</t>
    </r>
    <r>
      <rPr>
        <rFont val="Arial"/>
        <color rgb="FF000000"/>
        <sz val="10.0"/>
      </rPr>
      <t>1</t>
    </r>
    <r>
      <rPr>
        <rFont val="Noto Sans CJK SC"/>
        <color rgb="FF000000"/>
        <sz val="10.0"/>
      </rPr>
      <t>週間以内にレビュー会実施</t>
    </r>
  </si>
  <si>
    <t>SFF2026 企画書：挑戦の裏側ドキュメンタリー : 日数関係なし</t>
  </si>
  <si>
    <r>
      <rPr>
        <rFont val="Arial"/>
        <b/>
        <color rgb="FFFFFFFF"/>
        <sz val="11.0"/>
      </rPr>
      <t xml:space="preserve">1. </t>
    </r>
    <r>
      <rPr>
        <rFont val="Noto Sans CJK SC"/>
        <b/>
        <color rgb="FFFFFFFF"/>
        <sz val="11.0"/>
      </rPr>
      <t>企画概要</t>
    </r>
  </si>
  <si>
    <t>挑戦の裏側ドキュメンタリー</t>
  </si>
  <si>
    <r>
      <rPr>
        <rFont val="Noto Sans CJK SC"/>
        <color rgb="FF000000"/>
        <sz val="10.0"/>
      </rPr>
      <t>主導したい（熱量：</t>
    </r>
    <r>
      <rPr>
        <rFont val="Arial"/>
        <color rgb="FF000000"/>
        <sz val="10.0"/>
      </rPr>
      <t>5/5</t>
    </r>
    <r>
      <rPr>
        <rFont val="Noto Sans CJK SC"/>
        <color rgb="FF000000"/>
        <sz val="10.0"/>
      </rPr>
      <t>）</t>
    </r>
  </si>
  <si>
    <r>
      <rPr>
        <rFont val="Noto Sans CJK SC"/>
        <color rgb="FF000000"/>
        <sz val="10.0"/>
      </rPr>
      <t>大会前の選手を取材し、挑戦の背景を</t>
    </r>
    <r>
      <rPr>
        <rFont val="Arial"/>
        <color rgb="FF000000"/>
        <sz val="10.0"/>
      </rPr>
      <t>SFF</t>
    </r>
    <r>
      <rPr>
        <rFont val="Noto Sans CJK SC"/>
        <color rgb="FF000000"/>
        <sz val="10.0"/>
      </rPr>
      <t>公式</t>
    </r>
    <r>
      <rPr>
        <rFont val="Arial"/>
        <color rgb="FF000000"/>
        <sz val="10.0"/>
      </rPr>
      <t>YouTube</t>
    </r>
    <r>
      <rPr>
        <rFont val="Noto Sans CJK SC"/>
        <color rgb="FF000000"/>
        <sz val="10.0"/>
      </rPr>
      <t>で発信する。
視聴者が「自分も挑戦したい」と思える状態をつくる。
また選手にとってもかけがえのない財産になる。</t>
    </r>
  </si>
  <si>
    <r>
      <rPr>
        <rFont val="Arial"/>
        <b/>
        <color rgb="FFFFFFFF"/>
        <sz val="11.0"/>
      </rPr>
      <t xml:space="preserve">2. </t>
    </r>
    <r>
      <rPr>
        <rFont val="Noto Sans CJK SC"/>
        <b/>
        <color rgb="FFFFFFFF"/>
        <sz val="11.0"/>
      </rPr>
      <t>目的・課題・期待効果</t>
    </r>
  </si>
  <si>
    <t>・出場の価値や物語が外に伝わりきっていない
・新規のお客様が増えにくい</t>
  </si>
  <si>
    <r>
      <rPr>
        <rFont val="Noto Sans CJK SC"/>
        <color rgb="FF000000"/>
        <sz val="10.0"/>
      </rPr>
      <t>・</t>
    </r>
    <r>
      <rPr>
        <rFont val="Arial"/>
        <color rgb="FF000000"/>
        <sz val="10.0"/>
      </rPr>
      <t>SNS</t>
    </r>
    <r>
      <rPr>
        <rFont val="Noto Sans CJK SC"/>
        <color rgb="FF000000"/>
        <sz val="10.0"/>
      </rPr>
      <t>でも</t>
    </r>
    <r>
      <rPr>
        <rFont val="Arial"/>
        <color rgb="FF000000"/>
        <sz val="10.0"/>
      </rPr>
      <t>SFF</t>
    </r>
    <r>
      <rPr>
        <rFont val="Noto Sans CJK SC"/>
        <color rgb="FF000000"/>
        <sz val="10.0"/>
      </rPr>
      <t>の魅力を知ってもらうべき
・</t>
    </r>
    <r>
      <rPr>
        <rFont val="Arial"/>
        <color rgb="FF000000"/>
        <sz val="10.0"/>
      </rPr>
      <t>YouTube</t>
    </r>
    <r>
      <rPr>
        <rFont val="Noto Sans CJK SC"/>
        <color rgb="FF000000"/>
        <sz val="10.0"/>
      </rPr>
      <t>コンテンツの拡充が必要なタイミング</t>
    </r>
  </si>
  <si>
    <r>
      <rPr>
        <rFont val="Noto Sans CJK SC"/>
        <color rgb="FF000000"/>
        <sz val="10.0"/>
      </rPr>
      <t>・売上</t>
    </r>
    <r>
      <rPr>
        <rFont val="Arial"/>
        <color rgb="FF000000"/>
        <sz val="10.0"/>
      </rPr>
      <t>/LTV</t>
    </r>
    <r>
      <rPr>
        <rFont val="Noto Sans CJK SC"/>
        <color rgb="FF000000"/>
        <sz val="10.0"/>
      </rPr>
      <t>の向上
・ユーザー満足度の向上
・ブランド価値向上
・</t>
    </r>
    <r>
      <rPr>
        <rFont val="Arial"/>
        <color rgb="FF000000"/>
        <sz val="10.0"/>
      </rPr>
      <t>SFF</t>
    </r>
    <r>
      <rPr>
        <rFont val="Noto Sans CJK SC"/>
        <color rgb="FF000000"/>
        <sz val="10.0"/>
      </rPr>
      <t>＝物語のある大会として認知される</t>
    </r>
  </si>
  <si>
    <r>
      <rPr>
        <rFont val="Arial"/>
        <color rgb="FF333333"/>
        <sz val="10.0"/>
      </rPr>
      <t>KPI</t>
    </r>
    <r>
      <rPr>
        <rFont val="Noto Sans CJK SC"/>
        <color rgb="FF333333"/>
        <sz val="10.0"/>
      </rPr>
      <t>（成功指標）</t>
    </r>
  </si>
  <si>
    <r>
      <rPr>
        <rFont val="Noto Sans CJK SC"/>
        <color rgb="FF0000FF"/>
        <sz val="10.0"/>
      </rPr>
      <t>・動画</t>
    </r>
    <r>
      <rPr>
        <rFont val="Arial"/>
        <color rgb="FF0000FF"/>
        <sz val="10.0"/>
      </rPr>
      <t>1</t>
    </r>
    <r>
      <rPr>
        <rFont val="Noto Sans CJK SC"/>
        <color rgb="FF0000FF"/>
        <sz val="10.0"/>
      </rPr>
      <t xml:space="preserve">本あたり再生数 </t>
    </r>
    <r>
      <rPr>
        <rFont val="Arial"/>
        <color rgb="FF0000FF"/>
        <sz val="10.0"/>
      </rPr>
      <t>5,000</t>
    </r>
    <r>
      <rPr>
        <rFont val="Noto Sans CJK SC"/>
        <color rgb="FF0000FF"/>
        <sz val="10.0"/>
      </rPr>
      <t>回以上
・動画経由の</t>
    </r>
    <r>
      <rPr>
        <rFont val="Arial"/>
        <color rgb="FF0000FF"/>
        <sz val="10.0"/>
      </rPr>
      <t>SFF</t>
    </r>
    <r>
      <rPr>
        <rFont val="Noto Sans CJK SC"/>
        <color rgb="FF0000FF"/>
        <sz val="10.0"/>
      </rPr>
      <t xml:space="preserve">申込み </t>
    </r>
    <r>
      <rPr>
        <rFont val="Arial"/>
        <color rgb="FF0000FF"/>
        <sz val="10.0"/>
      </rPr>
      <t>10</t>
    </r>
    <r>
      <rPr>
        <rFont val="Noto Sans CJK SC"/>
        <color rgb="FF0000FF"/>
        <sz val="10.0"/>
      </rPr>
      <t xml:space="preserve">件以上
・選手満足度アンケート </t>
    </r>
    <r>
      <rPr>
        <rFont val="Arial"/>
        <color rgb="FF0000FF"/>
        <sz val="10.0"/>
      </rPr>
      <t>95%</t>
    </r>
    <r>
      <rPr>
        <rFont val="Noto Sans CJK SC"/>
        <color rgb="FF0000FF"/>
        <sz val="10.0"/>
      </rPr>
      <t>以上</t>
    </r>
  </si>
  <si>
    <r>
      <rPr>
        <rFont val="Arial"/>
        <b/>
        <color rgb="FFFFFFFF"/>
        <sz val="11.0"/>
      </rPr>
      <t xml:space="preserve">3. </t>
    </r>
    <r>
      <rPr>
        <rFont val="Noto Sans CJK SC"/>
        <b/>
        <color rgb="FFFFFFFF"/>
        <sz val="11.0"/>
      </rPr>
      <t>ターゲット</t>
    </r>
  </si>
  <si>
    <r>
      <rPr>
        <rFont val="Noto Sans CJK SC"/>
        <color rgb="FF000000"/>
        <sz val="10.0"/>
      </rPr>
      <t>フィットネスに関心のある</t>
    </r>
    <r>
      <rPr>
        <rFont val="Arial"/>
        <color rgb="FF000000"/>
        <sz val="10.0"/>
      </rPr>
      <t>YouTube</t>
    </r>
    <r>
      <rPr>
        <rFont val="Noto Sans CJK SC"/>
        <color rgb="FF000000"/>
        <sz val="10.0"/>
      </rPr>
      <t>視聴者（潜在出場者）</t>
    </r>
  </si>
  <si>
    <r>
      <rPr>
        <rFont val="Noto Sans CJK SC"/>
        <color rgb="FF000000"/>
        <sz val="10.0"/>
      </rPr>
      <t>既存</t>
    </r>
    <r>
      <rPr>
        <rFont val="Arial"/>
        <color rgb="FF000000"/>
        <sz val="10.0"/>
      </rPr>
      <t>SFF</t>
    </r>
    <r>
      <rPr>
        <rFont val="Noto Sans CJK SC"/>
        <color rgb="FF000000"/>
        <sz val="10.0"/>
      </rPr>
      <t>出場者・ファン、協賛企業</t>
    </r>
  </si>
  <si>
    <r>
      <rPr>
        <rFont val="Arial"/>
        <b/>
        <color rgb="FFFFFFFF"/>
        <sz val="11.0"/>
      </rPr>
      <t xml:space="preserve">4. </t>
    </r>
    <r>
      <rPr>
        <rFont val="Noto Sans CJK SC"/>
        <b/>
        <color rgb="FFFFFFFF"/>
        <sz val="11.0"/>
      </rPr>
      <t>施策の構成要素</t>
    </r>
  </si>
  <si>
    <t>撮影構成</t>
  </si>
  <si>
    <r>
      <rPr>
        <rFont val="Arial"/>
        <color rgb="FF000000"/>
        <sz val="10.0"/>
      </rPr>
      <t>1</t>
    </r>
    <r>
      <rPr>
        <rFont val="Noto Sans CJK SC"/>
        <color rgb="FF000000"/>
        <sz val="10.0"/>
      </rPr>
      <t>本あたりの構成（約</t>
    </r>
    <r>
      <rPr>
        <rFont val="Arial"/>
        <color rgb="FF000000"/>
        <sz val="10.0"/>
      </rPr>
      <t>2</t>
    </r>
    <r>
      <rPr>
        <rFont val="Noto Sans CJK SC"/>
        <color rgb="FF000000"/>
        <sz val="10.0"/>
      </rPr>
      <t>時間撮影）：
① 自宅インタビュー（挑戦の動機・想い）</t>
    </r>
    <r>
      <rPr>
        <rFont val="Arial"/>
        <color rgb="FF000000"/>
        <sz val="10.0"/>
      </rPr>
      <t>30</t>
    </r>
    <r>
      <rPr>
        <rFont val="Noto Sans CJK SC"/>
        <color rgb="FF000000"/>
        <sz val="10.0"/>
      </rPr>
      <t>分
② トレーニング風景（日常の努力）</t>
    </r>
    <r>
      <rPr>
        <rFont val="Arial"/>
        <color rgb="FF000000"/>
        <sz val="10.0"/>
      </rPr>
      <t>60</t>
    </r>
    <r>
      <rPr>
        <rFont val="Noto Sans CJK SC"/>
        <color rgb="FF000000"/>
        <sz val="10.0"/>
      </rPr>
      <t>分
③ クロージング（大会への意気込み）</t>
    </r>
    <r>
      <rPr>
        <rFont val="Arial"/>
        <color rgb="FF000000"/>
        <sz val="10.0"/>
      </rPr>
      <t>30</t>
    </r>
    <r>
      <rPr>
        <rFont val="Noto Sans CJK SC"/>
        <color rgb="FF000000"/>
        <sz val="10.0"/>
      </rPr>
      <t>分</t>
    </r>
  </si>
  <si>
    <t>制作本数</t>
  </si>
  <si>
    <r>
      <rPr>
        <rFont val="Arial"/>
        <color rgb="FF0000FF"/>
        <sz val="10.0"/>
      </rPr>
      <t>3</t>
    </r>
    <r>
      <rPr>
        <rFont val="Noto Sans CJK SC"/>
        <color rgb="FF0000FF"/>
        <sz val="10.0"/>
      </rPr>
      <t>〜</t>
    </r>
    <r>
      <rPr>
        <rFont val="Arial"/>
        <color rgb="FF0000FF"/>
        <sz val="10.0"/>
      </rPr>
      <t>5</t>
    </r>
    <r>
      <rPr>
        <rFont val="Noto Sans CJK SC"/>
        <color rgb="FF0000FF"/>
        <sz val="10.0"/>
      </rPr>
      <t>本（出場選手の中から選出）</t>
    </r>
  </si>
  <si>
    <t>配信プラットフォーム</t>
  </si>
  <si>
    <r>
      <rPr>
        <rFont val="Arial"/>
        <color rgb="FF000000"/>
        <sz val="10.0"/>
      </rPr>
      <t>SFF</t>
    </r>
    <r>
      <rPr>
        <rFont val="Noto Sans CJK SC"/>
        <color rgb="FF000000"/>
        <sz val="10.0"/>
      </rPr>
      <t>公式</t>
    </r>
    <r>
      <rPr>
        <rFont val="Arial"/>
        <color rgb="FF000000"/>
        <sz val="10.0"/>
      </rPr>
      <t>YouTube</t>
    </r>
    <r>
      <rPr>
        <rFont val="Noto Sans CJK SC"/>
        <color rgb="FF000000"/>
        <sz val="10.0"/>
      </rPr>
      <t>、</t>
    </r>
    <r>
      <rPr>
        <rFont val="Arial"/>
        <color rgb="FF000000"/>
        <sz val="10.0"/>
      </rPr>
      <t>Instagram Reels</t>
    </r>
    <r>
      <rPr>
        <rFont val="Noto Sans CJK SC"/>
        <color rgb="FF000000"/>
        <sz val="10.0"/>
      </rPr>
      <t>（ショート版）、</t>
    </r>
    <r>
      <rPr>
        <rFont val="Arial"/>
        <color rgb="FF000000"/>
        <sz val="10.0"/>
      </rPr>
      <t>X</t>
    </r>
  </si>
  <si>
    <r>
      <rPr>
        <rFont val="Arial"/>
        <b/>
        <color rgb="FFFFFFFF"/>
        <sz val="11.0"/>
      </rPr>
      <t xml:space="preserve">5. </t>
    </r>
    <r>
      <rPr>
        <rFont val="Noto Sans CJK SC"/>
        <b/>
        <color rgb="FFFFFFFF"/>
        <sz val="11.0"/>
      </rPr>
      <t>スケジュール（大会日から逆算）</t>
    </r>
  </si>
  <si>
    <t>企画確定・選手選定基準決定</t>
  </si>
  <si>
    <r>
      <rPr>
        <rFont val="Noto Sans CJK SC"/>
        <color rgb="FF0000FF"/>
        <sz val="10.0"/>
      </rPr>
      <t>大会</t>
    </r>
    <r>
      <rPr>
        <rFont val="Arial"/>
        <color rgb="FF0000FF"/>
        <sz val="10.0"/>
      </rPr>
      <t>4</t>
    </r>
    <r>
      <rPr>
        <rFont val="Noto Sans CJK SC"/>
        <color rgb="FF0000FF"/>
        <sz val="10.0"/>
      </rPr>
      <t>ヶ月前</t>
    </r>
  </si>
  <si>
    <t>選定基準：ストーリー性・発信力</t>
  </si>
  <si>
    <t>取材対象選手の選定・依頼</t>
  </si>
  <si>
    <r>
      <rPr>
        <rFont val="Noto Sans CJK SC"/>
        <color rgb="FF0000FF"/>
        <sz val="10.0"/>
      </rPr>
      <t>大会</t>
    </r>
    <r>
      <rPr>
        <rFont val="Arial"/>
        <color rgb="FF0000FF"/>
        <sz val="10.0"/>
      </rPr>
      <t>3.5</t>
    </r>
    <r>
      <rPr>
        <rFont val="Noto Sans CJK SC"/>
        <color rgb="FF0000FF"/>
        <sz val="10.0"/>
      </rPr>
      <t>ヶ月前</t>
    </r>
  </si>
  <si>
    <r>
      <rPr>
        <rFont val="Arial"/>
        <color rgb="FF000000"/>
        <sz val="10.0"/>
      </rPr>
      <t>3</t>
    </r>
    <r>
      <rPr>
        <rFont val="Noto Sans CJK SC"/>
        <color rgb="FF000000"/>
        <sz val="10.0"/>
      </rPr>
      <t>〜</t>
    </r>
    <r>
      <rPr>
        <rFont val="Arial"/>
        <color rgb="FF000000"/>
        <sz val="10.0"/>
      </rPr>
      <t>5</t>
    </r>
    <r>
      <rPr>
        <rFont val="Noto Sans CJK SC"/>
        <color rgb="FF000000"/>
        <sz val="10.0"/>
      </rPr>
      <t>名にオファー、撮影日調整</t>
    </r>
  </si>
  <si>
    <t>撮影テンプレ・質問リスト作成</t>
  </si>
  <si>
    <r>
      <rPr>
        <rFont val="Noto Sans CJK SC"/>
        <color rgb="FF0000FF"/>
        <sz val="10.0"/>
      </rPr>
      <t>大会</t>
    </r>
    <r>
      <rPr>
        <rFont val="Arial"/>
        <color rgb="FF0000FF"/>
        <sz val="10.0"/>
      </rPr>
      <t>3</t>
    </r>
    <r>
      <rPr>
        <rFont val="Noto Sans CJK SC"/>
        <color rgb="FF0000FF"/>
        <sz val="10.0"/>
      </rPr>
      <t>ヶ月前</t>
    </r>
  </si>
  <si>
    <t>構成台本・インタビュー質問</t>
  </si>
  <si>
    <r>
      <rPr>
        <rFont val="Noto Sans CJK SC"/>
        <color rgb="FF000000"/>
        <sz val="10.0"/>
      </rPr>
      <t>第</t>
    </r>
    <r>
      <rPr>
        <rFont val="Arial"/>
        <color rgb="FF000000"/>
        <sz val="10.0"/>
      </rPr>
      <t>1</t>
    </r>
    <r>
      <rPr>
        <rFont val="Noto Sans CJK SC"/>
        <color rgb="FF000000"/>
        <sz val="10.0"/>
      </rPr>
      <t>本目 撮影</t>
    </r>
  </si>
  <si>
    <r>
      <rPr>
        <rFont val="Noto Sans CJK SC"/>
        <color rgb="FF0000FF"/>
        <sz val="10.0"/>
      </rPr>
      <t>大会</t>
    </r>
    <r>
      <rPr>
        <rFont val="Arial"/>
        <color rgb="FF0000FF"/>
        <sz val="10.0"/>
      </rPr>
      <t>2.5</t>
    </r>
    <r>
      <rPr>
        <rFont val="Noto Sans CJK SC"/>
        <color rgb="FF0000FF"/>
        <sz val="10.0"/>
      </rPr>
      <t>ヶ月前</t>
    </r>
  </si>
  <si>
    <t>なーすけさん / カメラマン</t>
  </si>
  <si>
    <r>
      <rPr>
        <rFont val="Noto Sans CJK SC"/>
        <color rgb="FF000000"/>
        <sz val="10.0"/>
      </rPr>
      <t>撮影</t>
    </r>
    <r>
      <rPr>
        <rFont val="Arial"/>
        <color rgb="FF000000"/>
        <sz val="10.0"/>
      </rPr>
      <t>2h</t>
    </r>
    <r>
      <rPr>
        <rFont val="Noto Sans CJK SC"/>
        <color rgb="FF000000"/>
        <sz val="10.0"/>
      </rPr>
      <t>＋移動</t>
    </r>
  </si>
  <si>
    <r>
      <rPr>
        <rFont val="Noto Sans CJK SC"/>
        <color rgb="FF000000"/>
        <sz val="10.0"/>
      </rPr>
      <t>第</t>
    </r>
    <r>
      <rPr>
        <rFont val="Arial"/>
        <color rgb="FF000000"/>
        <sz val="10.0"/>
      </rPr>
      <t>1</t>
    </r>
    <r>
      <rPr>
        <rFont val="Noto Sans CJK SC"/>
        <color rgb="FF000000"/>
        <sz val="10.0"/>
      </rPr>
      <t>本目 編集・公開</t>
    </r>
  </si>
  <si>
    <r>
      <rPr>
        <rFont val="Noto Sans CJK SC"/>
        <color rgb="FF0000FF"/>
        <sz val="10.0"/>
      </rPr>
      <t>大会</t>
    </r>
    <r>
      <rPr>
        <rFont val="Arial"/>
        <color rgb="FF0000FF"/>
        <sz val="10.0"/>
      </rPr>
      <t>2</t>
    </r>
    <r>
      <rPr>
        <rFont val="Noto Sans CJK SC"/>
        <color rgb="FF0000FF"/>
        <sz val="10.0"/>
      </rPr>
      <t>ヶ月前</t>
    </r>
  </si>
  <si>
    <t>なーすけさん / 編集者</t>
  </si>
  <si>
    <r>
      <rPr>
        <rFont val="Noto Sans CJK SC"/>
        <color rgb="FF000000"/>
        <sz val="10.0"/>
      </rPr>
      <t>編集</t>
    </r>
    <r>
      <rPr>
        <rFont val="Arial"/>
        <color rgb="FF000000"/>
        <sz val="10.0"/>
      </rPr>
      <t>1</t>
    </r>
    <r>
      <rPr>
        <rFont val="Noto Sans CJK SC"/>
        <color rgb="FF000000"/>
        <sz val="10.0"/>
      </rPr>
      <t>週間→レビュー→公開</t>
    </r>
  </si>
  <si>
    <r>
      <rPr>
        <rFont val="Noto Sans CJK SC"/>
        <color rgb="FF000000"/>
        <sz val="10.0"/>
      </rPr>
      <t>第</t>
    </r>
    <r>
      <rPr>
        <rFont val="Arial"/>
        <color rgb="FF000000"/>
        <sz val="10.0"/>
      </rPr>
      <t>2</t>
    </r>
    <r>
      <rPr>
        <rFont val="Noto Sans CJK SC"/>
        <color rgb="FF000000"/>
        <sz val="10.0"/>
      </rPr>
      <t>〜</t>
    </r>
    <r>
      <rPr>
        <rFont val="Arial"/>
        <color rgb="FF000000"/>
        <sz val="10.0"/>
      </rPr>
      <t>5</t>
    </r>
    <r>
      <rPr>
        <rFont val="Noto Sans CJK SC"/>
        <color rgb="FF000000"/>
        <sz val="10.0"/>
      </rPr>
      <t>本目 撮影・編集</t>
    </r>
  </si>
  <si>
    <r>
      <rPr>
        <rFont val="Noto Sans CJK SC"/>
        <color rgb="FF0000FF"/>
        <sz val="10.0"/>
      </rPr>
      <t>大会</t>
    </r>
    <r>
      <rPr>
        <rFont val="Arial"/>
        <color rgb="FF0000FF"/>
        <sz val="10.0"/>
      </rPr>
      <t>2</t>
    </r>
    <r>
      <rPr>
        <rFont val="Noto Sans CJK SC"/>
        <color rgb="FF0000FF"/>
        <sz val="10.0"/>
      </rPr>
      <t>ヶ月〜</t>
    </r>
    <r>
      <rPr>
        <rFont val="Arial"/>
        <color rgb="FF0000FF"/>
        <sz val="10.0"/>
      </rPr>
      <t>2</t>
    </r>
    <r>
      <rPr>
        <rFont val="Noto Sans CJK SC"/>
        <color rgb="FF0000FF"/>
        <sz val="10.0"/>
      </rPr>
      <t>週間前</t>
    </r>
  </si>
  <si>
    <t>なーすけさん / カメラマン / 編集者</t>
  </si>
  <si>
    <r>
      <rPr>
        <rFont val="Arial"/>
        <color rgb="FF000000"/>
        <sz val="10.0"/>
      </rPr>
      <t>2</t>
    </r>
    <r>
      <rPr>
        <rFont val="Noto Sans CJK SC"/>
        <color rgb="FF000000"/>
        <sz val="10.0"/>
      </rPr>
      <t>週間に</t>
    </r>
    <r>
      <rPr>
        <rFont val="Arial"/>
        <color rgb="FF000000"/>
        <sz val="10.0"/>
      </rPr>
      <t>1</t>
    </r>
    <r>
      <rPr>
        <rFont val="Noto Sans CJK SC"/>
        <color rgb="FF000000"/>
        <sz val="10.0"/>
      </rPr>
      <t>本ペースで公開</t>
    </r>
  </si>
  <si>
    <r>
      <rPr>
        <rFont val="Arial"/>
        <color rgb="FF000000"/>
        <sz val="10.0"/>
      </rPr>
      <t>SNS</t>
    </r>
    <r>
      <rPr>
        <rFont val="Noto Sans CJK SC"/>
        <color rgb="FF000000"/>
        <sz val="10.0"/>
      </rPr>
      <t>プロモーション</t>
    </r>
  </si>
  <si>
    <t>公開後随時</t>
  </si>
  <si>
    <t>なーすけさん / SNS担当</t>
  </si>
  <si>
    <t>ショート版切り出し・拡散</t>
  </si>
  <si>
    <r>
      <rPr>
        <rFont val="Noto Sans CJK SC"/>
        <color rgb="FF0000FF"/>
        <sz val="10.0"/>
      </rPr>
      <t>大会</t>
    </r>
    <r>
      <rPr>
        <rFont val="Arial"/>
        <color rgb="FF0000FF"/>
        <sz val="10.0"/>
      </rPr>
      <t>1</t>
    </r>
    <r>
      <rPr>
        <rFont val="Noto Sans CJK SC"/>
        <color rgb="FF0000FF"/>
        <sz val="10.0"/>
      </rPr>
      <t>週間後</t>
    </r>
  </si>
  <si>
    <t>再生数・申込数・アンケート集計</t>
  </si>
  <si>
    <r>
      <rPr>
        <rFont val="Arial"/>
        <b/>
        <color rgb="FFFFFFFF"/>
        <sz val="11.0"/>
      </rPr>
      <t xml:space="preserve">6. </t>
    </r>
    <r>
      <rPr>
        <rFont val="Noto Sans CJK SC"/>
        <b/>
        <color rgb="FFFFFFFF"/>
        <sz val="11.0"/>
      </rPr>
      <t>費用見積もり</t>
    </r>
  </si>
  <si>
    <r>
      <rPr>
        <rFont val="Noto Sans CJK SC"/>
        <b/>
        <color rgb="FF1F4E79"/>
        <sz val="10.0"/>
      </rPr>
      <t>単価</t>
    </r>
    <r>
      <rPr>
        <rFont val="Arial"/>
        <b/>
        <color rgb="FF1F4E79"/>
        <sz val="10.0"/>
      </rPr>
      <t>(</t>
    </r>
    <r>
      <rPr>
        <rFont val="Noto Sans CJK SC"/>
        <b/>
        <color rgb="FF1F4E79"/>
        <sz val="10.0"/>
      </rPr>
      <t>円</t>
    </r>
    <r>
      <rPr>
        <rFont val="Arial"/>
        <b/>
        <color rgb="FF1F4E79"/>
        <sz val="10.0"/>
      </rPr>
      <t>)</t>
    </r>
  </si>
  <si>
    <r>
      <rPr>
        <rFont val="Noto Sans CJK SC"/>
        <b/>
        <color rgb="FF1F4E79"/>
        <sz val="10.0"/>
      </rPr>
      <t>小計</t>
    </r>
    <r>
      <rPr>
        <rFont val="Arial"/>
        <b/>
        <color rgb="FF1F4E79"/>
        <sz val="10.0"/>
      </rPr>
      <t>(</t>
    </r>
    <r>
      <rPr>
        <rFont val="Noto Sans CJK SC"/>
        <b/>
        <color rgb="FF1F4E79"/>
        <sz val="10.0"/>
      </rPr>
      <t>円</t>
    </r>
    <r>
      <rPr>
        <rFont val="Arial"/>
        <b/>
        <color rgb="FF1F4E79"/>
        <sz val="10.0"/>
      </rPr>
      <t>)</t>
    </r>
  </si>
  <si>
    <t>カメラマン費（撮影）</t>
  </si>
  <si>
    <t>回</t>
  </si>
  <si>
    <r>
      <rPr>
        <rFont val="Arial"/>
        <color rgb="FF000000"/>
        <sz val="10.0"/>
      </rPr>
      <t>1</t>
    </r>
    <r>
      <rPr>
        <rFont val="Noto Sans CJK SC"/>
        <color rgb="FF000000"/>
        <sz val="10.0"/>
      </rPr>
      <t>回</t>
    </r>
    <r>
      <rPr>
        <rFont val="Arial"/>
        <color rgb="FF000000"/>
        <sz val="10.0"/>
      </rPr>
      <t>2h</t>
    </r>
    <r>
      <rPr>
        <rFont val="Noto Sans CJK SC"/>
        <color rgb="FF000000"/>
        <sz val="10.0"/>
      </rPr>
      <t>撮影。内製の場合</t>
    </r>
    <r>
      <rPr>
        <rFont val="Arial"/>
        <color rgb="FF000000"/>
        <sz val="10.0"/>
      </rPr>
      <t>0</t>
    </r>
    <r>
      <rPr>
        <rFont val="Noto Sans CJK SC"/>
        <color rgb="FF000000"/>
        <sz val="10.0"/>
      </rPr>
      <t>円</t>
    </r>
  </si>
  <si>
    <t>編集費（動画編集）</t>
  </si>
  <si>
    <r>
      <rPr>
        <rFont val="Arial"/>
        <color rgb="FF000000"/>
        <sz val="10.0"/>
      </rPr>
      <t>10</t>
    </r>
    <r>
      <rPr>
        <rFont val="Noto Sans CJK SC"/>
        <color rgb="FF000000"/>
        <sz val="10.0"/>
      </rPr>
      <t>〜</t>
    </r>
    <r>
      <rPr>
        <rFont val="Arial"/>
        <color rgb="FF000000"/>
        <sz val="10.0"/>
      </rPr>
      <t>15</t>
    </r>
    <r>
      <rPr>
        <rFont val="Noto Sans CJK SC"/>
        <color rgb="FF000000"/>
        <sz val="10.0"/>
      </rPr>
      <t>分の動画。内製の場合</t>
    </r>
    <r>
      <rPr>
        <rFont val="Arial"/>
        <color rgb="FF000000"/>
        <sz val="10.0"/>
      </rPr>
      <t>0</t>
    </r>
    <r>
      <rPr>
        <rFont val="Noto Sans CJK SC"/>
        <color rgb="FF000000"/>
        <sz val="10.0"/>
      </rPr>
      <t>円</t>
    </r>
  </si>
  <si>
    <t>交通費（撮影先への移動）</t>
  </si>
  <si>
    <t>都内想定</t>
  </si>
  <si>
    <r>
      <rPr>
        <rFont val="Arial"/>
        <color rgb="FF000000"/>
        <sz val="10.0"/>
      </rPr>
      <t>BGM</t>
    </r>
    <r>
      <rPr>
        <rFont val="Noto Sans CJK SC"/>
        <color rgb="FF000000"/>
        <sz val="10.0"/>
      </rPr>
      <t>・素材費</t>
    </r>
  </si>
  <si>
    <r>
      <rPr>
        <rFont val="Noto Sans CJK SC"/>
        <color rgb="FF000000"/>
        <sz val="10.0"/>
      </rPr>
      <t xml:space="preserve">フリー素材サブスク </t>
    </r>
    <r>
      <rPr>
        <rFont val="Arial"/>
        <color rgb="FF000000"/>
        <sz val="10.0"/>
      </rPr>
      <t xml:space="preserve">or </t>
    </r>
    <r>
      <rPr>
        <rFont val="Noto Sans CJK SC"/>
        <color rgb="FF000000"/>
        <sz val="10.0"/>
      </rPr>
      <t>買い切り</t>
    </r>
  </si>
  <si>
    <t>サムネイルデザイン</t>
  </si>
  <si>
    <t>枚</t>
  </si>
  <si>
    <r>
      <rPr>
        <rFont val="Noto Sans CJK SC"/>
        <color rgb="FF000000"/>
        <sz val="10.0"/>
      </rPr>
      <t>外注の場合。内製なら</t>
    </r>
    <r>
      <rPr>
        <rFont val="Arial"/>
        <color rgb="FF000000"/>
        <sz val="10.0"/>
      </rPr>
      <t>0</t>
    </r>
    <r>
      <rPr>
        <rFont val="Noto Sans CJK SC"/>
        <color rgb="FF000000"/>
        <sz val="10.0"/>
      </rPr>
      <t>円</t>
    </r>
  </si>
  <si>
    <t>追加撮影・修正対応</t>
  </si>
  <si>
    <r>
      <rPr>
        <rFont val="Arial"/>
        <b/>
        <color rgb="FFFFFFFF"/>
        <sz val="11.0"/>
      </rPr>
      <t xml:space="preserve">7. </t>
    </r>
    <r>
      <rPr>
        <rFont val="Noto Sans CJK SC"/>
        <b/>
        <color rgb="FFFFFFFF"/>
        <sz val="11.0"/>
      </rPr>
      <t>工数見積もり</t>
    </r>
  </si>
  <si>
    <r>
      <rPr>
        <rFont val="Noto Sans CJK SC"/>
        <b/>
        <color rgb="FF1F4E79"/>
        <sz val="10.0"/>
      </rPr>
      <t>想定工数</t>
    </r>
    <r>
      <rPr>
        <rFont val="Arial"/>
        <b/>
        <color rgb="FF1F4E79"/>
        <sz val="10.0"/>
      </rPr>
      <t>(h)</t>
    </r>
  </si>
  <si>
    <t>企画設計・選手選定</t>
  </si>
  <si>
    <t>選定基準策定・オファー・日程調整</t>
  </si>
  <si>
    <t>構成台本・質問設計</t>
  </si>
  <si>
    <r>
      <rPr>
        <rFont val="Noto Sans CJK SC"/>
        <color rgb="FF000000"/>
        <sz val="10.0"/>
      </rPr>
      <t>撮影（</t>
    </r>
    <r>
      <rPr>
        <rFont val="Arial"/>
        <color rgb="FF000000"/>
        <sz val="10.0"/>
      </rPr>
      <t>5</t>
    </r>
    <r>
      <rPr>
        <rFont val="Noto Sans CJK SC"/>
        <color rgb="FF000000"/>
        <sz val="10.0"/>
      </rPr>
      <t>本分）</t>
    </r>
  </si>
  <si>
    <r>
      <rPr>
        <rFont val="Arial"/>
        <color rgb="FF000000"/>
        <sz val="10.0"/>
      </rPr>
      <t>1</t>
    </r>
    <r>
      <rPr>
        <rFont val="Noto Sans CJK SC"/>
        <color rgb="FF000000"/>
        <sz val="10.0"/>
      </rPr>
      <t>本あたり撮影</t>
    </r>
    <r>
      <rPr>
        <rFont val="Arial"/>
        <color rgb="FF000000"/>
        <sz val="10.0"/>
      </rPr>
      <t>2h</t>
    </r>
    <r>
      <rPr>
        <rFont val="Noto Sans CJK SC"/>
        <color rgb="FF000000"/>
        <sz val="10.0"/>
      </rPr>
      <t>＋移動</t>
    </r>
    <r>
      <rPr>
        <rFont val="Arial"/>
        <color rgb="FF000000"/>
        <sz val="10.0"/>
      </rPr>
      <t>1h</t>
    </r>
  </si>
  <si>
    <t>編集ディレクション</t>
  </si>
  <si>
    <r>
      <rPr>
        <rFont val="Arial"/>
        <color rgb="FF000000"/>
        <sz val="10.0"/>
      </rPr>
      <t>1</t>
    </r>
    <r>
      <rPr>
        <rFont val="Noto Sans CJK SC"/>
        <color rgb="FF000000"/>
        <sz val="10.0"/>
      </rPr>
      <t>本あたりレビュー</t>
    </r>
    <r>
      <rPr>
        <rFont val="Arial"/>
        <color rgb="FF000000"/>
        <sz val="10.0"/>
      </rPr>
      <t>2h×5</t>
    </r>
    <r>
      <rPr>
        <rFont val="Noto Sans CJK SC"/>
        <color rgb="FF000000"/>
        <sz val="10.0"/>
      </rPr>
      <t>本</t>
    </r>
  </si>
  <si>
    <r>
      <rPr>
        <rFont val="Noto Sans CJK SC"/>
        <color rgb="FF000000"/>
        <sz val="10.0"/>
      </rPr>
      <t>動画編集（</t>
    </r>
    <r>
      <rPr>
        <rFont val="Arial"/>
        <color rgb="FF000000"/>
        <sz val="10.0"/>
      </rPr>
      <t>5</t>
    </r>
    <r>
      <rPr>
        <rFont val="Noto Sans CJK SC"/>
        <color rgb="FF000000"/>
        <sz val="10.0"/>
      </rPr>
      <t>本分）</t>
    </r>
  </si>
  <si>
    <t>編集者</t>
  </si>
  <si>
    <r>
      <rPr>
        <rFont val="Arial"/>
        <color rgb="FF000000"/>
        <sz val="10.0"/>
      </rPr>
      <t>1</t>
    </r>
    <r>
      <rPr>
        <rFont val="Noto Sans CJK SC"/>
        <color rgb="FF000000"/>
        <sz val="10.0"/>
      </rPr>
      <t>本あたり</t>
    </r>
    <r>
      <rPr>
        <rFont val="Arial"/>
        <color rgb="FF000000"/>
        <sz val="10.0"/>
      </rPr>
      <t>10h</t>
    </r>
    <r>
      <rPr>
        <rFont val="Noto Sans CJK SC"/>
        <color rgb="FF000000"/>
        <sz val="10.0"/>
      </rPr>
      <t>（外注の場合は工数</t>
    </r>
    <r>
      <rPr>
        <rFont val="Arial"/>
        <color rgb="FF000000"/>
        <sz val="10.0"/>
      </rPr>
      <t>0</t>
    </r>
    <r>
      <rPr>
        <rFont val="Noto Sans CJK SC"/>
        <color rgb="FF000000"/>
        <sz val="10.0"/>
      </rPr>
      <t>）</t>
    </r>
  </si>
  <si>
    <r>
      <rPr>
        <rFont val="Arial"/>
        <color rgb="FF000000"/>
        <sz val="10.0"/>
      </rPr>
      <t>SNS</t>
    </r>
    <r>
      <rPr>
        <rFont val="Noto Sans CJK SC"/>
        <color rgb="FF000000"/>
        <sz val="10.0"/>
      </rPr>
      <t>展開・プロモーション</t>
    </r>
  </si>
  <si>
    <t>ショート版作成・投稿・コメント対応</t>
  </si>
  <si>
    <t>再生数分析・アンケート集計</t>
  </si>
  <si>
    <r>
      <rPr>
        <rFont val="Arial"/>
        <b/>
        <color rgb="FFFFFFFF"/>
        <sz val="11.0"/>
      </rPr>
      <t xml:space="preserve">8. </t>
    </r>
    <r>
      <rPr>
        <rFont val="Noto Sans CJK SC"/>
        <b/>
        <color rgb="FFFFFFFF"/>
        <sz val="11.0"/>
      </rPr>
      <t>リスクと対策</t>
    </r>
  </si>
  <si>
    <r>
      <rPr>
        <rFont val="Arial"/>
        <color rgb="FF333333"/>
        <sz val="10.0"/>
      </rPr>
      <t>[</t>
    </r>
    <r>
      <rPr>
        <rFont val="Noto Sans CJK SC"/>
        <color rgb="FF333333"/>
        <sz val="10.0"/>
      </rPr>
      <t>影響度</t>
    </r>
    <r>
      <rPr>
        <rFont val="Arial"/>
        <color rgb="FF333333"/>
        <sz val="10.0"/>
      </rPr>
      <t>:</t>
    </r>
    <r>
      <rPr>
        <rFont val="Noto Sans CJK SC"/>
        <color rgb="FF333333"/>
        <sz val="10.0"/>
      </rPr>
      <t>高</t>
    </r>
    <r>
      <rPr>
        <rFont val="Arial"/>
        <color rgb="FF333333"/>
        <sz val="10.0"/>
      </rPr>
      <t xml:space="preserve">] </t>
    </r>
    <r>
      <rPr>
        <rFont val="Noto Sans CJK SC"/>
        <color rgb="FF333333"/>
        <sz val="10.0"/>
      </rPr>
      <t>撮影工数が増える</t>
    </r>
  </si>
  <si>
    <r>
      <rPr>
        <rFont val="Noto Sans CJK SC"/>
        <color rgb="FF000000"/>
        <sz val="10.0"/>
      </rPr>
      <t>対策：撮影テンプレ・質問リストを固定して効率化。</t>
    </r>
    <r>
      <rPr>
        <rFont val="Arial"/>
        <color rgb="FF000000"/>
        <sz val="10.0"/>
      </rPr>
      <t>1</t>
    </r>
    <r>
      <rPr>
        <rFont val="Noto Sans CJK SC"/>
        <color rgb="FF000000"/>
        <sz val="10.0"/>
      </rPr>
      <t>本目で型を確立</t>
    </r>
  </si>
  <si>
    <r>
      <rPr>
        <rFont val="Arial"/>
        <color rgb="FF333333"/>
        <sz val="10.0"/>
      </rPr>
      <t>[</t>
    </r>
    <r>
      <rPr>
        <rFont val="Noto Sans CJK SC"/>
        <color rgb="FF333333"/>
        <sz val="10.0"/>
      </rPr>
      <t>影響度</t>
    </r>
    <r>
      <rPr>
        <rFont val="Arial"/>
        <color rgb="FF333333"/>
        <sz val="10.0"/>
      </rPr>
      <t>:</t>
    </r>
    <r>
      <rPr>
        <rFont val="Noto Sans CJK SC"/>
        <color rgb="FF333333"/>
        <sz val="10.0"/>
      </rPr>
      <t>高</t>
    </r>
    <r>
      <rPr>
        <rFont val="Arial"/>
        <color rgb="FF333333"/>
        <sz val="10.0"/>
      </rPr>
      <t xml:space="preserve">] </t>
    </r>
    <r>
      <rPr>
        <rFont val="Noto Sans CJK SC"/>
        <color rgb="FF333333"/>
        <sz val="10.0"/>
      </rPr>
      <t>編集コストがかかる</t>
    </r>
  </si>
  <si>
    <r>
      <rPr>
        <rFont val="Noto Sans CJK SC"/>
        <color rgb="FF000000"/>
        <sz val="10.0"/>
      </rPr>
      <t xml:space="preserve">対策：内製できるメンバーを育成 </t>
    </r>
    <r>
      <rPr>
        <rFont val="Arial"/>
        <color rgb="FF000000"/>
        <sz val="10.0"/>
      </rPr>
      <t xml:space="preserve">or </t>
    </r>
    <r>
      <rPr>
        <rFont val="Noto Sans CJK SC"/>
        <color rgb="FF000000"/>
        <sz val="10.0"/>
      </rPr>
      <t>テンプレ編集で外注単価を下げる</t>
    </r>
  </si>
  <si>
    <r>
      <rPr>
        <rFont val="Arial"/>
        <color rgb="FF333333"/>
        <sz val="10.0"/>
      </rPr>
      <t>[</t>
    </r>
    <r>
      <rPr>
        <rFont val="Noto Sans CJK SC"/>
        <color rgb="FF333333"/>
        <sz val="10.0"/>
      </rPr>
      <t>影響度</t>
    </r>
    <r>
      <rPr>
        <rFont val="Arial"/>
        <color rgb="FF333333"/>
        <sz val="10.0"/>
      </rPr>
      <t>:</t>
    </r>
    <r>
      <rPr>
        <rFont val="Noto Sans CJK SC"/>
        <color rgb="FF333333"/>
        <sz val="10.0"/>
      </rPr>
      <t>中</t>
    </r>
    <r>
      <rPr>
        <rFont val="Arial"/>
        <color rgb="FF333333"/>
        <sz val="10.0"/>
      </rPr>
      <t xml:space="preserve">] </t>
    </r>
    <r>
      <rPr>
        <rFont val="Noto Sans CJK SC"/>
        <color rgb="FF333333"/>
        <sz val="10.0"/>
      </rPr>
      <t>選手のスケジュール調整が困難</t>
    </r>
  </si>
  <si>
    <r>
      <rPr>
        <rFont val="Noto Sans CJK SC"/>
        <color rgb="FF000000"/>
        <sz val="10.0"/>
      </rPr>
      <t>対策：早期にオファー。予備候補を</t>
    </r>
    <r>
      <rPr>
        <rFont val="Arial"/>
        <color rgb="FF000000"/>
        <sz val="10.0"/>
      </rPr>
      <t>2</t>
    </r>
    <r>
      <rPr>
        <rFont val="Noto Sans CJK SC"/>
        <color rgb="FF000000"/>
        <sz val="10.0"/>
      </rPr>
      <t>名確保</t>
    </r>
  </si>
  <si>
    <r>
      <rPr>
        <rFont val="Arial"/>
        <color rgb="FF333333"/>
        <sz val="10.0"/>
      </rPr>
      <t>[</t>
    </r>
    <r>
      <rPr>
        <rFont val="Noto Sans CJK SC"/>
        <color rgb="FF333333"/>
        <sz val="10.0"/>
      </rPr>
      <t>影響度</t>
    </r>
    <r>
      <rPr>
        <rFont val="Arial"/>
        <color rgb="FF333333"/>
        <sz val="10.0"/>
      </rPr>
      <t>:</t>
    </r>
    <r>
      <rPr>
        <rFont val="Noto Sans CJK SC"/>
        <color rgb="FF333333"/>
        <sz val="10.0"/>
      </rPr>
      <t>中</t>
    </r>
    <r>
      <rPr>
        <rFont val="Arial"/>
        <color rgb="FF333333"/>
        <sz val="10.0"/>
      </rPr>
      <t xml:space="preserve">] </t>
    </r>
    <r>
      <rPr>
        <rFont val="Noto Sans CJK SC"/>
        <color rgb="FF333333"/>
        <sz val="10.0"/>
      </rPr>
      <t>再生数が伸びない</t>
    </r>
  </si>
  <si>
    <r>
      <rPr>
        <rFont val="Noto Sans CJK SC"/>
        <color rgb="FF000000"/>
        <sz val="10.0"/>
      </rPr>
      <t>対策：サムネイル・タイトルの</t>
    </r>
    <r>
      <rPr>
        <rFont val="Arial"/>
        <color rgb="FF000000"/>
        <sz val="10.0"/>
      </rPr>
      <t>A/B</t>
    </r>
    <r>
      <rPr>
        <rFont val="Noto Sans CJK SC"/>
        <color rgb="FF000000"/>
        <sz val="10.0"/>
      </rPr>
      <t>テスト。ショート版で認知拡大</t>
    </r>
  </si>
  <si>
    <r>
      <rPr>
        <rFont val="Arial"/>
        <color rgb="FF333333"/>
        <sz val="10.0"/>
      </rPr>
      <t>[</t>
    </r>
    <r>
      <rPr>
        <rFont val="Noto Sans CJK SC"/>
        <color rgb="FF333333"/>
        <sz val="10.0"/>
      </rPr>
      <t>影響度</t>
    </r>
    <r>
      <rPr>
        <rFont val="Arial"/>
        <color rgb="FF333333"/>
        <sz val="10.0"/>
      </rPr>
      <t>:</t>
    </r>
    <r>
      <rPr>
        <rFont val="Noto Sans CJK SC"/>
        <color rgb="FF333333"/>
        <sz val="10.0"/>
      </rPr>
      <t>低</t>
    </r>
    <r>
      <rPr>
        <rFont val="Arial"/>
        <color rgb="FF333333"/>
        <sz val="10.0"/>
      </rPr>
      <t xml:space="preserve">] </t>
    </r>
    <r>
      <rPr>
        <rFont val="Noto Sans CJK SC"/>
        <color rgb="FF333333"/>
        <sz val="10.0"/>
      </rPr>
      <t>選手のプライバシー懸念</t>
    </r>
  </si>
  <si>
    <t>対策：事前に公開範囲を確認。編集チェックを必ず選手に依頼</t>
  </si>
  <si>
    <r>
      <rPr>
        <rFont val="Arial"/>
        <b/>
        <color rgb="FFFFFFFF"/>
        <sz val="11.0"/>
      </rPr>
      <t xml:space="preserve">9. Go/No-Go </t>
    </r>
    <r>
      <rPr>
        <rFont val="Noto Sans CJK SC"/>
        <b/>
        <color rgb="FFFFFFFF"/>
        <sz val="11.0"/>
      </rPr>
      <t>判断基準</t>
    </r>
  </si>
  <si>
    <r>
      <rPr>
        <rFont val="Arial"/>
        <color rgb="FF333333"/>
        <sz val="10.0"/>
      </rPr>
      <t>Go</t>
    </r>
    <r>
      <rPr>
        <rFont val="Noto Sans CJK SC"/>
        <color rgb="FF333333"/>
        <sz val="10.0"/>
      </rPr>
      <t>条件</t>
    </r>
  </si>
  <si>
    <r>
      <rPr>
        <rFont val="Noto Sans CJK SC"/>
        <color rgb="FF0000FF"/>
        <sz val="10.0"/>
      </rPr>
      <t>・撮影対象選手が最低</t>
    </r>
    <r>
      <rPr>
        <rFont val="Arial"/>
        <color rgb="FF0000FF"/>
        <sz val="10.0"/>
      </rPr>
      <t>3</t>
    </r>
    <r>
      <rPr>
        <rFont val="Noto Sans CJK SC"/>
        <color rgb="FF0000FF"/>
        <sz val="10.0"/>
      </rPr>
      <t>名確保できること
・撮影〜編集の体制（内製</t>
    </r>
    <r>
      <rPr>
        <rFont val="Arial"/>
        <color rgb="FF0000FF"/>
        <sz val="10.0"/>
      </rPr>
      <t>or</t>
    </r>
    <r>
      <rPr>
        <rFont val="Noto Sans CJK SC"/>
        <color rgb="FF0000FF"/>
        <sz val="10.0"/>
      </rPr>
      <t>外注）が確定していること
・</t>
    </r>
    <r>
      <rPr>
        <rFont val="Arial"/>
        <color rgb="FF0000FF"/>
        <sz val="10.0"/>
      </rPr>
      <t>1</t>
    </r>
    <r>
      <rPr>
        <rFont val="Noto Sans CJK SC"/>
        <color rgb="FF0000FF"/>
        <sz val="10.0"/>
      </rPr>
      <t>本目の公開が大会</t>
    </r>
    <r>
      <rPr>
        <rFont val="Arial"/>
        <color rgb="FF0000FF"/>
        <sz val="10.0"/>
      </rPr>
      <t>2</t>
    </r>
    <r>
      <rPr>
        <rFont val="Noto Sans CJK SC"/>
        <color rgb="FF0000FF"/>
        <sz val="10.0"/>
      </rPr>
      <t>ヶ月前に間に合うこと</t>
    </r>
  </si>
  <si>
    <r>
      <rPr>
        <rFont val="Arial"/>
        <color rgb="FF333333"/>
        <sz val="10.0"/>
      </rPr>
      <t>No-Go</t>
    </r>
    <r>
      <rPr>
        <rFont val="Noto Sans CJK SC"/>
        <color rgb="FF333333"/>
        <sz val="10.0"/>
      </rPr>
      <t>時の代替案</t>
    </r>
  </si>
  <si>
    <r>
      <rPr>
        <rFont val="Noto Sans CJK SC"/>
        <color rgb="FF0000FF"/>
        <sz val="10.0"/>
      </rPr>
      <t>・撮影を当日のバックステージインタビューに切り替え
・テキスト＋写真の</t>
    </r>
    <r>
      <rPr>
        <rFont val="Arial"/>
        <color rgb="FF0000FF"/>
        <sz val="10.0"/>
      </rPr>
      <t>SNS</t>
    </r>
    <r>
      <rPr>
        <rFont val="Noto Sans CJK SC"/>
        <color rgb="FF0000FF"/>
        <sz val="10.0"/>
      </rPr>
      <t>投稿シリーズに変更</t>
    </r>
  </si>
  <si>
    <r>
      <rPr>
        <rFont val="Arial"/>
        <b/>
        <color rgb="FFFFFFFF"/>
        <sz val="11.0"/>
      </rPr>
      <t xml:space="preserve">10. </t>
    </r>
    <r>
      <rPr>
        <rFont val="Noto Sans CJK SC"/>
        <b/>
        <color rgb="FFFFFFFF"/>
        <sz val="11.0"/>
      </rPr>
      <t>効果測定</t>
    </r>
  </si>
  <si>
    <r>
      <rPr>
        <rFont val="Noto Sans CJK SC"/>
        <color rgb="FF000000"/>
        <sz val="10.0"/>
      </rPr>
      <t>・</t>
    </r>
    <r>
      <rPr>
        <rFont val="Arial"/>
        <color rgb="FF000000"/>
        <sz val="10.0"/>
      </rPr>
      <t>YouTube</t>
    </r>
    <r>
      <rPr>
        <rFont val="Noto Sans CJK SC"/>
        <color rgb="FF000000"/>
        <sz val="10.0"/>
      </rPr>
      <t>再生数・視聴維持率
・動画経由の</t>
    </r>
    <r>
      <rPr>
        <rFont val="Arial"/>
        <color rgb="FF000000"/>
        <sz val="10.0"/>
      </rPr>
      <t>SFF</t>
    </r>
    <r>
      <rPr>
        <rFont val="Noto Sans CJK SC"/>
        <color rgb="FF000000"/>
        <sz val="10.0"/>
      </rPr>
      <t>公式サイト流入数
・</t>
    </r>
    <r>
      <rPr>
        <rFont val="Arial"/>
        <color rgb="FF000000"/>
        <sz val="10.0"/>
      </rPr>
      <t>SFF</t>
    </r>
    <r>
      <rPr>
        <rFont val="Noto Sans CJK SC"/>
        <color rgb="FF000000"/>
        <sz val="10.0"/>
      </rPr>
      <t>申込み数への寄与</t>
    </r>
  </si>
  <si>
    <t>・コメント欄の反応（「出たい」「応援したい」等）
・選手本人の満足度</t>
  </si>
  <si>
    <r>
      <rPr>
        <rFont val="Noto Sans CJK SC"/>
        <color rgb="FF000000"/>
        <sz val="10.0"/>
      </rPr>
      <t>各動画公開後</t>
    </r>
    <r>
      <rPr>
        <rFont val="Arial"/>
        <color rgb="FF000000"/>
        <sz val="10.0"/>
      </rPr>
      <t>1</t>
    </r>
    <r>
      <rPr>
        <rFont val="Noto Sans CJK SC"/>
        <color rgb="FF000000"/>
        <sz val="10.0"/>
      </rPr>
      <t>週間＋大会後の総括レビュー</t>
    </r>
  </si>
  <si>
    <t>SFF2026 企画書：SFF顔シール : 1〜2日分</t>
  </si>
  <si>
    <r>
      <rPr>
        <rFont val="Arial"/>
        <b/>
        <color rgb="FFFFFFFF"/>
        <sz val="11.0"/>
      </rPr>
      <t xml:space="preserve">1. </t>
    </r>
    <r>
      <rPr>
        <rFont val="Noto Sans CJK SC"/>
        <b/>
        <color rgb="FFFFFFFF"/>
        <sz val="11.0"/>
      </rPr>
      <t>企画概要</t>
    </r>
  </si>
  <si>
    <r>
      <rPr>
        <rFont val="Arial"/>
        <color rgb="FF000000"/>
        <sz val="10.0"/>
      </rPr>
      <t>SFF</t>
    </r>
    <r>
      <rPr>
        <rFont val="Noto Sans CJK SC"/>
        <color rgb="FF000000"/>
        <sz val="10.0"/>
      </rPr>
      <t>顔シール</t>
    </r>
  </si>
  <si>
    <t>かおんさん</t>
  </si>
  <si>
    <t>2026/2/3</t>
  </si>
  <si>
    <r>
      <rPr>
        <rFont val="Noto Sans CJK SC"/>
        <color rgb="FF000000"/>
        <sz val="10.0"/>
      </rPr>
      <t>協力できる（熱量：</t>
    </r>
    <r>
      <rPr>
        <rFont val="Arial"/>
        <color rgb="FF000000"/>
        <sz val="10.0"/>
      </rPr>
      <t>5/5</t>
    </r>
    <r>
      <rPr>
        <rFont val="Noto Sans CJK SC"/>
        <color rgb="FF000000"/>
        <sz val="10.0"/>
      </rPr>
      <t>）</t>
    </r>
  </si>
  <si>
    <r>
      <rPr>
        <rFont val="Noto Sans CJK SC"/>
        <color rgb="FF000000"/>
        <sz val="10.0"/>
      </rPr>
      <t>当日の受付時に、顔に貼れるシールを配る。
お客さんが貼って写真を撮り</t>
    </r>
    <r>
      <rPr>
        <rFont val="Arial"/>
        <color rgb="FF000000"/>
        <sz val="10.0"/>
      </rPr>
      <t>SNS</t>
    </r>
    <r>
      <rPr>
        <rFont val="Noto Sans CJK SC"/>
        <color rgb="FF000000"/>
        <sz val="10.0"/>
      </rPr>
      <t>投稿などの拡散を目指す。
協賛企業のロゴ入りバージョンも検討。</t>
    </r>
  </si>
  <si>
    <r>
      <rPr>
        <rFont val="Arial"/>
        <b/>
        <color rgb="FFFFFFFF"/>
        <sz val="11.0"/>
      </rPr>
      <t xml:space="preserve">2. </t>
    </r>
    <r>
      <rPr>
        <rFont val="Noto Sans CJK SC"/>
        <b/>
        <color rgb="FFFFFFFF"/>
        <sz val="11.0"/>
      </rPr>
      <t>目的・課題・期待効果</t>
    </r>
  </si>
  <si>
    <r>
      <rPr>
        <rFont val="Noto Sans CJK SC"/>
        <color rgb="FF000000"/>
        <sz val="10.0"/>
      </rPr>
      <t>・お客様の一体感向上
・お客様が観覧だけで帰ってしまうことを避ける
・</t>
    </r>
    <r>
      <rPr>
        <rFont val="Arial"/>
        <color rgb="FF000000"/>
        <sz val="10.0"/>
      </rPr>
      <t>SNS</t>
    </r>
    <r>
      <rPr>
        <rFont val="Noto Sans CJK SC"/>
        <color rgb="FF000000"/>
        <sz val="10.0"/>
      </rPr>
      <t>投稿の自然な促進</t>
    </r>
  </si>
  <si>
    <t>・HYROXなどSNS投稿で盛り上がりを見せているフィットネスイベントが増えてきた
・SFFもSNSを中心に広がっていく構想があるため、投稿を自然にしたくなる仕組みが必要</t>
  </si>
  <si>
    <r>
      <rPr>
        <rFont val="Noto Sans CJK SC"/>
        <color rgb="FF000000"/>
        <sz val="10.0"/>
      </rPr>
      <t>・ユーザー満足度の向上
・継続率・利用頻度の向上
・ブランド価値向上
・</t>
    </r>
    <r>
      <rPr>
        <rFont val="Arial"/>
        <color rgb="FF000000"/>
        <sz val="10.0"/>
      </rPr>
      <t>UGC</t>
    </r>
    <r>
      <rPr>
        <rFont val="Noto Sans CJK SC"/>
        <color rgb="FF000000"/>
        <sz val="10.0"/>
      </rPr>
      <t>（ユーザー生成コンテンツ）増加</t>
    </r>
  </si>
  <si>
    <r>
      <rPr>
        <rFont val="Arial"/>
        <color rgb="FF333333"/>
        <sz val="10.0"/>
      </rPr>
      <t>KPI</t>
    </r>
    <r>
      <rPr>
        <rFont val="Noto Sans CJK SC"/>
        <color rgb="FF333333"/>
        <sz val="10.0"/>
      </rPr>
      <t>（成功指標）</t>
    </r>
  </si>
  <si>
    <r>
      <rPr>
        <rFont val="Noto Sans CJK SC"/>
        <color rgb="FF0000FF"/>
        <sz val="10.0"/>
      </rPr>
      <t xml:space="preserve">・シール着用率 </t>
    </r>
    <r>
      <rPr>
        <rFont val="Arial"/>
        <color rgb="FF0000FF"/>
        <sz val="10.0"/>
      </rPr>
      <t>70%</t>
    </r>
    <r>
      <rPr>
        <rFont val="Noto Sans CJK SC"/>
        <color rgb="FF0000FF"/>
        <sz val="10.0"/>
      </rPr>
      <t>以上
・</t>
    </r>
    <r>
      <rPr>
        <rFont val="Arial"/>
        <color rgb="FF0000FF"/>
        <sz val="10.0"/>
      </rPr>
      <t>SNS</t>
    </r>
    <r>
      <rPr>
        <rFont val="Noto Sans CJK SC"/>
        <color rgb="FF0000FF"/>
        <sz val="10.0"/>
      </rPr>
      <t>投稿数（</t>
    </r>
    <r>
      <rPr>
        <rFont val="Arial"/>
        <color rgb="FF0000FF"/>
        <sz val="10.0"/>
      </rPr>
      <t xml:space="preserve">#SFF / </t>
    </r>
    <r>
      <rPr>
        <rFont val="Noto Sans CJK SC"/>
        <color rgb="FF0000FF"/>
        <sz val="10.0"/>
      </rPr>
      <t>シール着用写真）前回比</t>
    </r>
    <r>
      <rPr>
        <rFont val="Arial"/>
        <color rgb="FF0000FF"/>
        <sz val="10.0"/>
      </rPr>
      <t xml:space="preserve">200%
</t>
    </r>
    <r>
      <rPr>
        <rFont val="Noto Sans CJK SC"/>
        <color rgb="FF0000FF"/>
        <sz val="10.0"/>
      </rPr>
      <t xml:space="preserve">・来場者アンケート「また来たい」回答率 </t>
    </r>
    <r>
      <rPr>
        <rFont val="Arial"/>
        <color rgb="FF0000FF"/>
        <sz val="10.0"/>
      </rPr>
      <t>85%</t>
    </r>
    <r>
      <rPr>
        <rFont val="Noto Sans CJK SC"/>
        <color rgb="FF0000FF"/>
        <sz val="10.0"/>
      </rPr>
      <t>以上</t>
    </r>
  </si>
  <si>
    <r>
      <rPr>
        <rFont val="Arial"/>
        <b/>
        <color rgb="FFFFFFFF"/>
        <sz val="11.0"/>
      </rPr>
      <t xml:space="preserve">3. </t>
    </r>
    <r>
      <rPr>
        <rFont val="Noto Sans CJK SC"/>
        <b/>
        <color rgb="FFFFFFFF"/>
        <sz val="11.0"/>
      </rPr>
      <t>ターゲット</t>
    </r>
  </si>
  <si>
    <t>会場来場者（観客・選手）全員</t>
  </si>
  <si>
    <r>
      <rPr>
        <rFont val="Arial"/>
        <color rgb="FF000000"/>
        <sz val="10.0"/>
      </rPr>
      <t>SNS</t>
    </r>
    <r>
      <rPr>
        <rFont val="Noto Sans CJK SC"/>
        <color rgb="FF000000"/>
        <sz val="10.0"/>
      </rPr>
      <t>フォロワー（投稿を見た人）、協賛企業</t>
    </r>
  </si>
  <si>
    <r>
      <rPr>
        <rFont val="Arial"/>
        <b/>
        <color rgb="FFFFFFFF"/>
        <sz val="11.0"/>
      </rPr>
      <t xml:space="preserve">4. </t>
    </r>
    <r>
      <rPr>
        <rFont val="Noto Sans CJK SC"/>
        <b/>
        <color rgb="FFFFFFFF"/>
        <sz val="11.0"/>
      </rPr>
      <t>施策の構成要素</t>
    </r>
  </si>
  <si>
    <t>シール仕様</t>
  </si>
  <si>
    <r>
      <rPr>
        <rFont val="Noto Sans CJK SC"/>
        <color rgb="FF000000"/>
        <sz val="10.0"/>
      </rPr>
      <t>・顔に貼れるフェイスシール（</t>
    </r>
    <r>
      <rPr>
        <rFont val="Arial"/>
        <color rgb="FF000000"/>
        <sz val="10.0"/>
      </rPr>
      <t>3cm×3cm</t>
    </r>
    <r>
      <rPr>
        <rFont val="Noto Sans CJK SC"/>
        <color rgb="FF000000"/>
        <sz val="10.0"/>
      </rPr>
      <t>程度）
・</t>
    </r>
    <r>
      <rPr>
        <rFont val="Arial"/>
        <color rgb="FF000000"/>
        <sz val="10.0"/>
      </rPr>
      <t>SFF</t>
    </r>
    <r>
      <rPr>
        <rFont val="Noto Sans CJK SC"/>
        <color rgb="FF000000"/>
        <sz val="10.0"/>
      </rPr>
      <t>ロゴデザイン＋大会年号
・医療用テープ素材（肌に優しい・アレルギー対応）
・参考：</t>
    </r>
    <r>
      <rPr>
        <rFont val="Arial"/>
        <color rgb="FF000000"/>
        <sz val="10.0"/>
      </rPr>
      <t>faceseal.jp</t>
    </r>
  </si>
  <si>
    <t>バリエーション</t>
  </si>
  <si>
    <r>
      <rPr>
        <rFont val="Noto Sans CJK SC"/>
        <color rgb="FF0000FF"/>
        <sz val="10.0"/>
      </rPr>
      <t>・</t>
    </r>
    <r>
      <rPr>
        <rFont val="Arial"/>
        <color rgb="FF0000FF"/>
        <sz val="10.0"/>
      </rPr>
      <t>SFF</t>
    </r>
    <r>
      <rPr>
        <rFont val="Noto Sans CJK SC"/>
        <color rgb="FF0000FF"/>
        <sz val="10.0"/>
      </rPr>
      <t>ロゴ版（メイン）
・協賛企業ロゴ版（費用分担用）
・選手番号版（推し応援用）</t>
    </r>
  </si>
  <si>
    <t>配布方法</t>
  </si>
  <si>
    <r>
      <rPr>
        <rFont val="Noto Sans CJK SC"/>
        <color rgb="FF000000"/>
        <sz val="10.0"/>
      </rPr>
      <t>受付時に全来場者に配布（</t>
    </r>
    <r>
      <rPr>
        <rFont val="Arial"/>
        <color rgb="FF000000"/>
        <sz val="10.0"/>
      </rPr>
      <t>1</t>
    </r>
    <r>
      <rPr>
        <rFont val="Noto Sans CJK SC"/>
        <color rgb="FF000000"/>
        <sz val="10.0"/>
      </rPr>
      <t>人</t>
    </r>
    <r>
      <rPr>
        <rFont val="Arial"/>
        <color rgb="FF000000"/>
        <sz val="10.0"/>
      </rPr>
      <t>2</t>
    </r>
    <r>
      <rPr>
        <rFont val="Noto Sans CJK SC"/>
        <color rgb="FF000000"/>
        <sz val="10.0"/>
      </rPr>
      <t>〜</t>
    </r>
    <r>
      <rPr>
        <rFont val="Arial"/>
        <color rgb="FF000000"/>
        <sz val="10.0"/>
      </rPr>
      <t>3</t>
    </r>
    <r>
      <rPr>
        <rFont val="Noto Sans CJK SC"/>
        <color rgb="FF000000"/>
        <sz val="10.0"/>
      </rPr>
      <t>枚）</t>
    </r>
  </si>
  <si>
    <r>
      <rPr>
        <rFont val="Arial"/>
        <b/>
        <color rgb="FFFFFFFF"/>
        <sz val="11.0"/>
      </rPr>
      <t xml:space="preserve">5. </t>
    </r>
    <r>
      <rPr>
        <rFont val="Noto Sans CJK SC"/>
        <b/>
        <color rgb="FFFFFFFF"/>
        <sz val="11.0"/>
      </rPr>
      <t>スケジュール（大会日から逆算）</t>
    </r>
  </si>
  <si>
    <r>
      <rPr>
        <rFont val="Noto Sans CJK SC"/>
        <color rgb="FF000000"/>
        <sz val="10.0"/>
      </rPr>
      <t>企画確定・</t>
    </r>
    <r>
      <rPr>
        <rFont val="Arial"/>
        <color rgb="FF000000"/>
        <sz val="10.0"/>
      </rPr>
      <t>Go</t>
    </r>
    <r>
      <rPr>
        <rFont val="Noto Sans CJK SC"/>
        <color rgb="FF000000"/>
        <sz val="10.0"/>
      </rPr>
      <t>判断</t>
    </r>
  </si>
  <si>
    <r>
      <rPr>
        <rFont val="Noto Sans CJK SC"/>
        <color rgb="FF0000FF"/>
        <sz val="10.0"/>
      </rPr>
      <t>大会</t>
    </r>
    <r>
      <rPr>
        <rFont val="Arial"/>
        <color rgb="FF0000FF"/>
        <sz val="10.0"/>
      </rPr>
      <t>3</t>
    </r>
    <r>
      <rPr>
        <rFont val="Noto Sans CJK SC"/>
        <color rgb="FF0000FF"/>
        <sz val="10.0"/>
      </rPr>
      <t>ヶ月前</t>
    </r>
  </si>
  <si>
    <r>
      <rPr>
        <rFont val="Noto Sans CJK SC"/>
        <color rgb="FF000000"/>
        <sz val="10.0"/>
      </rPr>
      <t xml:space="preserve">かおんさん </t>
    </r>
    <r>
      <rPr>
        <rFont val="Arial"/>
        <color rgb="FF000000"/>
        <sz val="10.0"/>
      </rPr>
      <t>/ PM</t>
    </r>
  </si>
  <si>
    <t>予算承認</t>
  </si>
  <si>
    <t>シールデザイン決定</t>
  </si>
  <si>
    <r>
      <rPr>
        <rFont val="Noto Sans CJK SC"/>
        <color rgb="FF0000FF"/>
        <sz val="10.0"/>
      </rPr>
      <t>大会</t>
    </r>
    <r>
      <rPr>
        <rFont val="Arial"/>
        <color rgb="FF0000FF"/>
        <sz val="10.0"/>
      </rPr>
      <t>2.5</t>
    </r>
    <r>
      <rPr>
        <rFont val="Noto Sans CJK SC"/>
        <color rgb="FF0000FF"/>
        <sz val="10.0"/>
      </rPr>
      <t>ヶ月前</t>
    </r>
  </si>
  <si>
    <t>かおんさん / デザイナー</t>
  </si>
  <si>
    <r>
      <rPr>
        <rFont val="Arial"/>
        <color rgb="FF000000"/>
        <sz val="10.0"/>
      </rPr>
      <t>SFF</t>
    </r>
    <r>
      <rPr>
        <rFont val="Noto Sans CJK SC"/>
        <color rgb="FF000000"/>
        <sz val="10.0"/>
      </rPr>
      <t>ロゴベースのデザイン</t>
    </r>
  </si>
  <si>
    <t>発注先選定・見積取得</t>
  </si>
  <si>
    <r>
      <rPr>
        <rFont val="Noto Sans CJK SC"/>
        <color rgb="FF0000FF"/>
        <sz val="10.0"/>
      </rPr>
      <t>大会</t>
    </r>
    <r>
      <rPr>
        <rFont val="Arial"/>
        <color rgb="FF0000FF"/>
        <sz val="10.0"/>
      </rPr>
      <t>2.5</t>
    </r>
    <r>
      <rPr>
        <rFont val="Noto Sans CJK SC"/>
        <color rgb="FF0000FF"/>
        <sz val="10.0"/>
      </rPr>
      <t>ヶ月前</t>
    </r>
  </si>
  <si>
    <r>
      <rPr>
        <rFont val="Arial"/>
        <color rgb="FF000000"/>
        <sz val="10.0"/>
      </rPr>
      <t>faceseal.jp</t>
    </r>
    <r>
      <rPr>
        <rFont val="Noto Sans CJK SC"/>
        <color rgb="FF000000"/>
        <sz val="10.0"/>
      </rPr>
      <t>等から見積取得</t>
    </r>
  </si>
  <si>
    <t>発注（数量確定）</t>
  </si>
  <si>
    <r>
      <rPr>
        <rFont val="Noto Sans CJK SC"/>
        <color rgb="FF0000FF"/>
        <sz val="10.0"/>
      </rPr>
      <t>大会</t>
    </r>
    <r>
      <rPr>
        <rFont val="Arial"/>
        <color rgb="FF0000FF"/>
        <sz val="10.0"/>
      </rPr>
      <t>2</t>
    </r>
    <r>
      <rPr>
        <rFont val="Noto Sans CJK SC"/>
        <color rgb="FF0000FF"/>
        <sz val="10.0"/>
      </rPr>
      <t>ヶ月前</t>
    </r>
  </si>
  <si>
    <r>
      <rPr>
        <rFont val="Noto Sans CJK SC"/>
        <color rgb="FF000000"/>
        <sz val="10.0"/>
      </rPr>
      <t>来場見込</t>
    </r>
    <r>
      <rPr>
        <rFont val="Arial"/>
        <color rgb="FF000000"/>
        <sz val="10.0"/>
      </rPr>
      <t>×3</t>
    </r>
    <r>
      <rPr>
        <rFont val="Noto Sans CJK SC"/>
        <color rgb="FF000000"/>
        <sz val="10.0"/>
      </rPr>
      <t>枚</t>
    </r>
    <r>
      <rPr>
        <rFont val="Arial"/>
        <color rgb="FF000000"/>
        <sz val="10.0"/>
      </rPr>
      <t>×1.1</t>
    </r>
    <r>
      <rPr>
        <rFont val="Noto Sans CJK SC"/>
        <color rgb="FF000000"/>
        <sz val="10.0"/>
      </rPr>
      <t>（予備）</t>
    </r>
  </si>
  <si>
    <r>
      <rPr>
        <rFont val="Arial"/>
        <color rgb="FF000000"/>
        <sz val="10.0"/>
      </rPr>
      <t>SNS</t>
    </r>
    <r>
      <rPr>
        <rFont val="Noto Sans CJK SC"/>
        <color rgb="FF000000"/>
        <sz val="10.0"/>
      </rPr>
      <t>投稿促進用</t>
    </r>
    <r>
      <rPr>
        <rFont val="Arial"/>
        <color rgb="FF000000"/>
        <sz val="10.0"/>
      </rPr>
      <t>POP</t>
    </r>
    <r>
      <rPr>
        <rFont val="Noto Sans CJK SC"/>
        <color rgb="FF000000"/>
        <sz val="10.0"/>
      </rPr>
      <t>作成</t>
    </r>
  </si>
  <si>
    <r>
      <rPr>
        <rFont val="Noto Sans CJK SC"/>
        <color rgb="FF0000FF"/>
        <sz val="10.0"/>
      </rPr>
      <t>大会</t>
    </r>
    <r>
      <rPr>
        <rFont val="Arial"/>
        <color rgb="FF0000FF"/>
        <sz val="10.0"/>
      </rPr>
      <t>1.5</t>
    </r>
    <r>
      <rPr>
        <rFont val="Noto Sans CJK SC"/>
        <color rgb="FF0000FF"/>
        <sz val="10.0"/>
      </rPr>
      <t>ヶ月前</t>
    </r>
  </si>
  <si>
    <r>
      <rPr>
        <rFont val="Noto Sans CJK SC"/>
        <color rgb="FF000000"/>
        <sz val="10.0"/>
      </rPr>
      <t xml:space="preserve">かおんさん </t>
    </r>
    <r>
      <rPr>
        <rFont val="Arial"/>
        <color rgb="FF000000"/>
        <sz val="10.0"/>
      </rPr>
      <t xml:space="preserve">/ </t>
    </r>
    <r>
      <rPr>
        <rFont val="Noto Sans CJK SC"/>
        <color rgb="FF000000"/>
        <sz val="10.0"/>
      </rPr>
      <t>デザイナー</t>
    </r>
  </si>
  <si>
    <r>
      <rPr>
        <rFont val="Noto Sans CJK SC"/>
        <color rgb="FF000000"/>
        <sz val="10.0"/>
      </rPr>
      <t>撮影スポット</t>
    </r>
    <r>
      <rPr>
        <rFont val="Arial"/>
        <color rgb="FF000000"/>
        <sz val="10.0"/>
      </rPr>
      <t>POP</t>
    </r>
    <r>
      <rPr>
        <rFont val="Noto Sans CJK SC"/>
        <color rgb="FF000000"/>
        <sz val="10.0"/>
      </rPr>
      <t>・ハッシュタグ案内</t>
    </r>
  </si>
  <si>
    <t>納品・検品</t>
  </si>
  <si>
    <r>
      <rPr>
        <rFont val="Noto Sans CJK SC"/>
        <color rgb="FF0000FF"/>
        <sz val="10.0"/>
      </rPr>
      <t>大会</t>
    </r>
    <r>
      <rPr>
        <rFont val="Arial"/>
        <color rgb="FF0000FF"/>
        <sz val="10.0"/>
      </rPr>
      <t>2</t>
    </r>
    <r>
      <rPr>
        <rFont val="Noto Sans CJK SC"/>
        <color rgb="FF0000FF"/>
        <sz val="10.0"/>
      </rPr>
      <t>週間前</t>
    </r>
  </si>
  <si>
    <t>品質・数量チェック、肌テスト</t>
  </si>
  <si>
    <t>大会当日 配布運用</t>
  </si>
  <si>
    <t>ぼんちゃん / 受付スタッフ</t>
  </si>
  <si>
    <t>受付で配布＋貼り方説明</t>
  </si>
  <si>
    <r>
      <rPr>
        <rFont val="Noto Sans CJK SC"/>
        <color rgb="FF0000FF"/>
        <sz val="10.0"/>
      </rPr>
      <t>大会</t>
    </r>
    <r>
      <rPr>
        <rFont val="Arial"/>
        <color rgb="FF0000FF"/>
        <sz val="10.0"/>
      </rPr>
      <t>1</t>
    </r>
    <r>
      <rPr>
        <rFont val="Noto Sans CJK SC"/>
        <color rgb="FF0000FF"/>
        <sz val="10.0"/>
      </rPr>
      <t>週間後</t>
    </r>
  </si>
  <si>
    <r>
      <rPr>
        <rFont val="Arial"/>
        <color rgb="FF000000"/>
        <sz val="10.0"/>
      </rPr>
      <t>SNS</t>
    </r>
    <r>
      <rPr>
        <rFont val="Noto Sans CJK SC"/>
        <color rgb="FF000000"/>
        <sz val="10.0"/>
      </rPr>
      <t>投稿数集計・アンケート</t>
    </r>
  </si>
  <si>
    <r>
      <rPr>
        <rFont val="Arial"/>
        <b/>
        <color rgb="FFFFFFFF"/>
        <sz val="11.0"/>
      </rPr>
      <t xml:space="preserve">6. </t>
    </r>
    <r>
      <rPr>
        <rFont val="Noto Sans CJK SC"/>
        <b/>
        <color rgb="FFFFFFFF"/>
        <sz val="11.0"/>
      </rPr>
      <t>費用見積もり</t>
    </r>
  </si>
  <si>
    <r>
      <rPr>
        <rFont val="Noto Sans CJK SC"/>
        <b/>
        <color rgb="FF1F4E79"/>
        <sz val="10.0"/>
      </rPr>
      <t>単価</t>
    </r>
    <r>
      <rPr>
        <rFont val="Arial"/>
        <b/>
        <color rgb="FF1F4E79"/>
        <sz val="10.0"/>
      </rPr>
      <t>(</t>
    </r>
    <r>
      <rPr>
        <rFont val="Noto Sans CJK SC"/>
        <b/>
        <color rgb="FF1F4E79"/>
        <sz val="10.0"/>
      </rPr>
      <t>円</t>
    </r>
    <r>
      <rPr>
        <rFont val="Arial"/>
        <b/>
        <color rgb="FF1F4E79"/>
        <sz val="10.0"/>
      </rPr>
      <t>)</t>
    </r>
  </si>
  <si>
    <r>
      <rPr>
        <rFont val="Noto Sans CJK SC"/>
        <b/>
        <color rgb="FF1F4E79"/>
        <sz val="10.0"/>
      </rPr>
      <t>小計</t>
    </r>
    <r>
      <rPr>
        <rFont val="Arial"/>
        <b/>
        <color rgb="FF1F4E79"/>
        <sz val="10.0"/>
      </rPr>
      <t>(</t>
    </r>
    <r>
      <rPr>
        <rFont val="Noto Sans CJK SC"/>
        <b/>
        <color rgb="FF1F4E79"/>
        <sz val="10.0"/>
      </rPr>
      <t>円</t>
    </r>
    <r>
      <rPr>
        <rFont val="Arial"/>
        <b/>
        <color rgb="FF1F4E79"/>
        <sz val="10.0"/>
      </rPr>
      <t>)</t>
    </r>
  </si>
  <si>
    <t>フェイスシール制作</t>
  </si>
  <si>
    <r>
      <rPr>
        <rFont val="Arial"/>
        <color rgb="FF000000"/>
        <sz val="10.0"/>
      </rPr>
      <t xml:space="preserve">医療用素材・500名×3枚。
参考
</t>
    </r>
    <r>
      <rPr>
        <rFont val="Arial"/>
        <color rgb="FF1155CC"/>
        <sz val="10.0"/>
        <u/>
      </rPr>
      <t>https://www.wave-inc.co.jp/order/index.php?main_page=page_407624</t>
    </r>
  </si>
  <si>
    <t>デザイン費</t>
  </si>
  <si>
    <t>ロゴレイアウト。内製の場合0円</t>
  </si>
  <si>
    <r>
      <rPr>
        <rFont val="Arial"/>
        <color rgb="FF000000"/>
        <sz val="10.0"/>
      </rPr>
      <t>SNS</t>
    </r>
    <r>
      <rPr>
        <rFont val="Noto Sans CJK SC"/>
        <color rgb="FF000000"/>
        <sz val="10.0"/>
      </rPr>
      <t>促進</t>
    </r>
    <r>
      <rPr>
        <rFont val="Arial"/>
        <color rgb="FF000000"/>
        <sz val="10.0"/>
      </rPr>
      <t>POP</t>
    </r>
    <r>
      <rPr>
        <rFont val="Noto Sans CJK SC"/>
        <color rgb="FF000000"/>
        <sz val="10.0"/>
      </rPr>
      <t>制作・印刷</t>
    </r>
  </si>
  <si>
    <t>A3サイズ・撮影スポット用</t>
  </si>
  <si>
    <t>肌アレルギーテスト</t>
  </si>
  <si>
    <t>事前の安全性確認</t>
  </si>
  <si>
    <t>追加発注・トラブル対応</t>
  </si>
  <si>
    <r>
      <rPr>
        <rFont val="Arial"/>
        <b/>
        <color rgb="FFFFFFFF"/>
        <sz val="11.0"/>
      </rPr>
      <t xml:space="preserve">7. </t>
    </r>
    <r>
      <rPr>
        <rFont val="Noto Sans CJK SC"/>
        <b/>
        <color rgb="FFFFFFFF"/>
        <sz val="11.0"/>
      </rPr>
      <t>工数見積もり</t>
    </r>
  </si>
  <si>
    <r>
      <rPr>
        <rFont val="Noto Sans CJK SC"/>
        <b/>
        <color rgb="FF1F4E79"/>
        <sz val="10.0"/>
      </rPr>
      <t>想定工数</t>
    </r>
    <r>
      <rPr>
        <rFont val="Arial"/>
        <b/>
        <color rgb="FF1F4E79"/>
        <sz val="10.0"/>
      </rPr>
      <t>(h)</t>
    </r>
  </si>
  <si>
    <t>企画設計・仕様策定</t>
  </si>
  <si>
    <t>シールサイズ・素材・デザイン方針</t>
  </si>
  <si>
    <t>発注先リサーチ・見積取得</t>
  </si>
  <si>
    <t>faceseal.jp他 比較検討</t>
  </si>
  <si>
    <r>
      <rPr>
        <rFont val="Noto Sans CJK SC"/>
        <color rgb="FF000000"/>
        <sz val="10.0"/>
      </rPr>
      <t xml:space="preserve">かおんさん </t>
    </r>
    <r>
      <rPr>
        <rFont val="Arial"/>
        <color rgb="FF000000"/>
        <sz val="10.0"/>
      </rPr>
      <t xml:space="preserve">/ </t>
    </r>
    <r>
      <rPr>
        <rFont val="Noto Sans CJK SC"/>
        <color rgb="FF000000"/>
        <sz val="10.0"/>
      </rPr>
      <t>デザイナー</t>
    </r>
  </si>
  <si>
    <t>ロゴレイアウト・校正</t>
  </si>
  <si>
    <t>発注・納品管理</t>
  </si>
  <si>
    <t>発注手配・検品</t>
  </si>
  <si>
    <r>
      <rPr>
        <rFont val="Arial"/>
        <color rgb="FF000000"/>
        <sz val="10.0"/>
      </rPr>
      <t>POP</t>
    </r>
    <r>
      <rPr>
        <rFont val="Noto Sans CJK SC"/>
        <color rgb="FF000000"/>
        <sz val="10.0"/>
      </rPr>
      <t>制作</t>
    </r>
  </si>
  <si>
    <r>
      <rPr>
        <rFont val="Noto Sans CJK SC"/>
        <color rgb="FF000000"/>
        <sz val="10.0"/>
      </rPr>
      <t xml:space="preserve">かおんさん </t>
    </r>
    <r>
      <rPr>
        <rFont val="Arial"/>
        <color rgb="FF000000"/>
        <sz val="10.0"/>
      </rPr>
      <t xml:space="preserve">/ </t>
    </r>
    <r>
      <rPr>
        <rFont val="Noto Sans CJK SC"/>
        <color rgb="FF000000"/>
        <sz val="10.0"/>
      </rPr>
      <t>デザイナー</t>
    </r>
  </si>
  <si>
    <r>
      <rPr>
        <rFont val="Arial"/>
        <color rgb="FF000000"/>
        <sz val="10.0"/>
      </rPr>
      <t>SNS</t>
    </r>
    <r>
      <rPr>
        <rFont val="Noto Sans CJK SC"/>
        <color rgb="FF000000"/>
        <sz val="10.0"/>
      </rPr>
      <t>投稿促進用</t>
    </r>
  </si>
  <si>
    <t>当日配布オペレーション</t>
  </si>
  <si>
    <t>ぼんちゃん / 受付スタッフ2名</t>
  </si>
  <si>
    <t>受付配布・貼り方説明</t>
  </si>
  <si>
    <r>
      <rPr>
        <rFont val="Arial"/>
        <color rgb="FF000000"/>
        <sz val="10.0"/>
      </rPr>
      <t>SNS</t>
    </r>
    <r>
      <rPr>
        <rFont val="Noto Sans CJK SC"/>
        <color rgb="FF000000"/>
        <sz val="10.0"/>
      </rPr>
      <t>投稿数・アンケート集計</t>
    </r>
  </si>
  <si>
    <r>
      <rPr>
        <rFont val="Arial"/>
        <b/>
        <color rgb="FFFFFFFF"/>
        <sz val="11.0"/>
      </rPr>
      <t xml:space="preserve">8. </t>
    </r>
    <r>
      <rPr>
        <rFont val="Noto Sans CJK SC"/>
        <b/>
        <color rgb="FFFFFFFF"/>
        <sz val="11.0"/>
      </rPr>
      <t>リスクと対策</t>
    </r>
  </si>
  <si>
    <r>
      <rPr>
        <rFont val="Arial"/>
        <color rgb="FF333333"/>
        <sz val="10.0"/>
      </rPr>
      <t>[</t>
    </r>
    <r>
      <rPr>
        <rFont val="Noto Sans CJK SC"/>
        <color rgb="FF333333"/>
        <sz val="10.0"/>
      </rPr>
      <t>影響度</t>
    </r>
    <r>
      <rPr>
        <rFont val="Arial"/>
        <color rgb="FF333333"/>
        <sz val="10.0"/>
      </rPr>
      <t>:</t>
    </r>
    <r>
      <rPr>
        <rFont val="Noto Sans CJK SC"/>
        <color rgb="FF333333"/>
        <sz val="10.0"/>
      </rPr>
      <t>高</t>
    </r>
    <r>
      <rPr>
        <rFont val="Arial"/>
        <color rgb="FF333333"/>
        <sz val="10.0"/>
      </rPr>
      <t xml:space="preserve">] </t>
    </r>
    <r>
      <rPr>
        <rFont val="Noto Sans CJK SC"/>
        <color rgb="FF333333"/>
        <sz val="10.0"/>
      </rPr>
      <t>肌のアレルギー反応</t>
    </r>
  </si>
  <si>
    <t>対策：医療用テープ素材を使用。事前に肌テスト実施。注意書きを同封</t>
  </si>
  <si>
    <r>
      <rPr>
        <rFont val="Arial"/>
        <color rgb="FF333333"/>
        <sz val="10.0"/>
      </rPr>
      <t>[</t>
    </r>
    <r>
      <rPr>
        <rFont val="Noto Sans CJK SC"/>
        <color rgb="FF333333"/>
        <sz val="10.0"/>
      </rPr>
      <t>影響度</t>
    </r>
    <r>
      <rPr>
        <rFont val="Arial"/>
        <color rgb="FF333333"/>
        <sz val="10.0"/>
      </rPr>
      <t>:</t>
    </r>
    <r>
      <rPr>
        <rFont val="Noto Sans CJK SC"/>
        <color rgb="FF333333"/>
        <sz val="10.0"/>
      </rPr>
      <t>中</t>
    </r>
    <r>
      <rPr>
        <rFont val="Arial"/>
        <color rgb="FF333333"/>
        <sz val="10.0"/>
      </rPr>
      <t xml:space="preserve">] </t>
    </r>
    <r>
      <rPr>
        <rFont val="Noto Sans CJK SC"/>
        <color rgb="FF333333"/>
        <sz val="10.0"/>
      </rPr>
      <t>全員分作るための費用</t>
    </r>
  </si>
  <si>
    <r>
      <rPr>
        <rFont val="Noto Sans CJK SC"/>
        <color rgb="FF000000"/>
        <sz val="10.0"/>
      </rPr>
      <t>対策：協賛企業ロゴ版で費用分担。</t>
    </r>
    <r>
      <rPr>
        <rFont val="Arial"/>
        <color rgb="FF000000"/>
        <sz val="10.0"/>
      </rPr>
      <t>MVP</t>
    </r>
    <r>
      <rPr>
        <rFont val="Noto Sans CJK SC"/>
        <color rgb="FF000000"/>
        <sz val="10.0"/>
      </rPr>
      <t>版で最小ロットから開始</t>
    </r>
  </si>
  <si>
    <r>
      <rPr>
        <rFont val="Arial"/>
        <color rgb="FF333333"/>
        <sz val="10.0"/>
      </rPr>
      <t>[</t>
    </r>
    <r>
      <rPr>
        <rFont val="Noto Sans CJK SC"/>
        <color rgb="FF333333"/>
        <sz val="10.0"/>
      </rPr>
      <t>影響度</t>
    </r>
    <r>
      <rPr>
        <rFont val="Arial"/>
        <color rgb="FF333333"/>
        <sz val="10.0"/>
      </rPr>
      <t>:</t>
    </r>
    <r>
      <rPr>
        <rFont val="Noto Sans CJK SC"/>
        <color rgb="FF333333"/>
        <sz val="10.0"/>
      </rPr>
      <t>中</t>
    </r>
    <r>
      <rPr>
        <rFont val="Arial"/>
        <color rgb="FF333333"/>
        <sz val="10.0"/>
      </rPr>
      <t xml:space="preserve">] </t>
    </r>
    <r>
      <rPr>
        <rFont val="Noto Sans CJK SC"/>
        <color rgb="FF333333"/>
        <sz val="10.0"/>
      </rPr>
      <t>シールを貼らない人が多い</t>
    </r>
  </si>
  <si>
    <r>
      <rPr>
        <rFont val="Noto Sans CJK SC"/>
        <color rgb="FF000000"/>
        <sz val="10.0"/>
      </rPr>
      <t>対策：</t>
    </r>
    <r>
      <rPr>
        <rFont val="Arial"/>
        <color rgb="FF000000"/>
        <sz val="10.0"/>
      </rPr>
      <t>MC</t>
    </r>
    <r>
      <rPr>
        <rFont val="Noto Sans CJK SC"/>
        <color rgb="FF000000"/>
        <sz val="10.0"/>
      </rPr>
      <t>が積極的に着用を促進。スタッフが率先して着用。撮影スポット設置</t>
    </r>
  </si>
  <si>
    <r>
      <rPr>
        <rFont val="Arial"/>
        <color rgb="FF333333"/>
        <sz val="10.0"/>
      </rPr>
      <t>[</t>
    </r>
    <r>
      <rPr>
        <rFont val="Noto Sans CJK SC"/>
        <color rgb="FF333333"/>
        <sz val="10.0"/>
      </rPr>
      <t>影響度</t>
    </r>
    <r>
      <rPr>
        <rFont val="Arial"/>
        <color rgb="FF333333"/>
        <sz val="10.0"/>
      </rPr>
      <t>:</t>
    </r>
    <r>
      <rPr>
        <rFont val="Noto Sans CJK SC"/>
        <color rgb="FF333333"/>
        <sz val="10.0"/>
      </rPr>
      <t>中</t>
    </r>
    <r>
      <rPr>
        <rFont val="Arial"/>
        <color rgb="FF333333"/>
        <sz val="10.0"/>
      </rPr>
      <t>] SNS</t>
    </r>
    <r>
      <rPr>
        <rFont val="Noto Sans CJK SC"/>
        <color rgb="FF333333"/>
        <sz val="10.0"/>
      </rPr>
      <t>投稿につながらない</t>
    </r>
  </si>
  <si>
    <r>
      <rPr>
        <rFont val="Noto Sans CJK SC"/>
        <color rgb="FF000000"/>
        <sz val="10.0"/>
      </rPr>
      <t>対策：ハッシュタグ入り</t>
    </r>
    <r>
      <rPr>
        <rFont val="Arial"/>
        <color rgb="FF000000"/>
        <sz val="10.0"/>
      </rPr>
      <t>POP</t>
    </r>
    <r>
      <rPr>
        <rFont val="Noto Sans CJK SC"/>
        <color rgb="FF000000"/>
        <sz val="10.0"/>
      </rPr>
      <t>設置。投稿キャンペーン（抽選プレゼント等）併用</t>
    </r>
  </si>
  <si>
    <r>
      <rPr>
        <rFont val="Arial"/>
        <b/>
        <color rgb="FFFFFFFF"/>
        <sz val="11.0"/>
      </rPr>
      <t xml:space="preserve">9. Go/No-Go </t>
    </r>
    <r>
      <rPr>
        <rFont val="Noto Sans CJK SC"/>
        <b/>
        <color rgb="FFFFFFFF"/>
        <sz val="11.0"/>
      </rPr>
      <t>判断基準</t>
    </r>
  </si>
  <si>
    <r>
      <rPr>
        <rFont val="Arial"/>
        <color rgb="FF333333"/>
        <sz val="10.0"/>
      </rPr>
      <t>Go</t>
    </r>
    <r>
      <rPr>
        <rFont val="Noto Sans CJK SC"/>
        <color rgb="FF333333"/>
        <sz val="10.0"/>
      </rPr>
      <t>条件</t>
    </r>
  </si>
  <si>
    <t>・肌に安全な素材が確保できること
・費用が予算内に収まること
・納品が大会2週間前に完了すること</t>
  </si>
  <si>
    <r>
      <rPr>
        <rFont val="Arial"/>
        <color rgb="FF333333"/>
        <sz val="10.0"/>
      </rPr>
      <t>No-Go</t>
    </r>
    <r>
      <rPr>
        <rFont val="Noto Sans CJK SC"/>
        <color rgb="FF333333"/>
        <sz val="10.0"/>
      </rPr>
      <t>時の代替案</t>
    </r>
  </si>
  <si>
    <r>
      <rPr>
        <rFont val="Noto Sans CJK SC"/>
        <color rgb="FF0000FF"/>
        <sz val="10.0"/>
      </rPr>
      <t xml:space="preserve">・シールの代わりにリストバンド </t>
    </r>
    <r>
      <rPr>
        <rFont val="Arial"/>
        <color rgb="FF0000FF"/>
        <sz val="10.0"/>
      </rPr>
      <t xml:space="preserve">or </t>
    </r>
    <r>
      <rPr>
        <rFont val="Noto Sans CJK SC"/>
        <color rgb="FF0000FF"/>
        <sz val="10.0"/>
      </rPr>
      <t>ステッカー（衣服用）に切り替え
・既製品のフェイスペイントキットを活用</t>
    </r>
  </si>
  <si>
    <r>
      <rPr>
        <rFont val="Arial"/>
        <b/>
        <color rgb="FFFFFFFF"/>
        <sz val="11.0"/>
      </rPr>
      <t xml:space="preserve">10. </t>
    </r>
    <r>
      <rPr>
        <rFont val="Noto Sans CJK SC"/>
        <b/>
        <color rgb="FFFFFFFF"/>
        <sz val="11.0"/>
      </rPr>
      <t>効果測定</t>
    </r>
  </si>
  <si>
    <r>
      <rPr>
        <rFont val="Noto Sans CJK SC"/>
        <color rgb="FF000000"/>
        <sz val="10.0"/>
      </rPr>
      <t>・シール着用率（会場目視カウント）
・</t>
    </r>
    <r>
      <rPr>
        <rFont val="Arial"/>
        <color rgb="FF000000"/>
        <sz val="10.0"/>
      </rPr>
      <t>SNS</t>
    </r>
    <r>
      <rPr>
        <rFont val="Noto Sans CJK SC"/>
        <color rgb="FF000000"/>
        <sz val="10.0"/>
      </rPr>
      <t>投稿数（</t>
    </r>
    <r>
      <rPr>
        <rFont val="Arial"/>
        <color rgb="FF000000"/>
        <sz val="10.0"/>
      </rPr>
      <t xml:space="preserve">#SFF / </t>
    </r>
    <r>
      <rPr>
        <rFont val="Noto Sans CJK SC"/>
        <color rgb="FF000000"/>
        <sz val="10.0"/>
      </rPr>
      <t>シール写真）
・来場者アンケートの満足度スコア</t>
    </r>
  </si>
  <si>
    <r>
      <rPr>
        <rFont val="Noto Sans CJK SC"/>
        <color rgb="FF000000"/>
        <sz val="10.0"/>
      </rPr>
      <t>・</t>
    </r>
    <r>
      <rPr>
        <rFont val="Arial"/>
        <color rgb="FF000000"/>
        <sz val="10.0"/>
      </rPr>
      <t>SNS</t>
    </r>
    <r>
      <rPr>
        <rFont val="Noto Sans CJK SC"/>
        <color rgb="FF000000"/>
        <sz val="10.0"/>
      </rPr>
      <t>投稿の内容・トーン分析
・来場者の自発的な着用率・写真撮影行動</t>
    </r>
  </si>
  <si>
    <r>
      <rPr>
        <rFont val="Noto Sans CJK SC"/>
        <color rgb="FF000000"/>
        <sz val="10.0"/>
      </rPr>
      <t>大会終了後</t>
    </r>
    <r>
      <rPr>
        <rFont val="Arial"/>
        <color rgb="FF000000"/>
        <sz val="10.0"/>
      </rPr>
      <t>1</t>
    </r>
    <r>
      <rPr>
        <rFont val="Noto Sans CJK SC"/>
        <color rgb="FF000000"/>
        <sz val="10.0"/>
      </rPr>
      <t>週間以内にレビュー会実施</t>
    </r>
  </si>
  <si>
    <t>SFF2026 企画書：バックステージ実況中継 : 1日分</t>
  </si>
  <si>
    <r>
      <rPr>
        <rFont val="Arial"/>
        <b/>
        <color rgb="FFFFFFFF"/>
        <sz val="11.0"/>
      </rPr>
      <t xml:space="preserve">1. </t>
    </r>
    <r>
      <rPr>
        <rFont val="Noto Sans CJK SC"/>
        <b/>
        <color rgb="FFFFFFFF"/>
        <sz val="11.0"/>
      </rPr>
      <t>企画概要</t>
    </r>
  </si>
  <si>
    <t>バックステージ実況中継</t>
  </si>
  <si>
    <t>天池成久（なーすけ）</t>
  </si>
  <si>
    <t>2026/2/18</t>
  </si>
  <si>
    <t>主導したい（実況担当本人）</t>
  </si>
  <si>
    <t>バックステージにいる選手やサポーターの様子を、なーすけがリアルタイムで実況中継する。
映像を会場内のスクリーンやブースモニターに投影し、
観客が普段見られない舞台裏のリアルな表情・緊張感・仲間との絆を楽しめるようにする。
「応援したい」「出てみたい」という感情を引き出すSFFならではの体験を創出する。</t>
  </si>
  <si>
    <r>
      <rPr>
        <rFont val="Arial"/>
        <b/>
        <color rgb="FFFFFFFF"/>
        <sz val="11.0"/>
      </rPr>
      <t xml:space="preserve">2. </t>
    </r>
    <r>
      <rPr>
        <rFont val="Noto Sans CJK SC"/>
        <b/>
        <color rgb="FFFFFFFF"/>
        <sz val="11.0"/>
      </rPr>
      <t>目的・課題・期待効果</t>
    </r>
  </si>
  <si>
    <t>・観客からはステージ上の姿しか見えず、選手の人間味が伝わりにくい
・バックステージの熱量や物語が会場に共有されていない
・観客の待機時間（競技間のインターバル）にコンテンツが不足している
・「出場してみたい」と思わせる動機づけが弱い</t>
  </si>
  <si>
    <t>・SFFの差別化要素として「舞台裏の物語」を打ち出すタイミング
・なーすけの実況力・コミュニケーション力を最大限活かせる企画
・ドキュメンタリー企画との相乗効果が見込める</t>
  </si>
  <si>
    <t>・ユーザー満足度の向上（観客の待機時間の充実）
・ブランド価値向上（SFF＝舞台裏まで見せる大会）
・選手の出場意欲向上（自分もあの場に立ちたい）
・SNS拡散（リアルタイムの臨場感がシェアされやすい）</t>
  </si>
  <si>
    <t>KPI（成功指標）</t>
  </si>
  <si>
    <t>・来場者アンケート「バックステージ中継が良かった」回答率 80%以上
・来場者アンケート「次回も出場/観戦したい」回答率 85%以上
・SNS投稿数（#SFFバックステージ）30件以上
※ KPIはすべてアンケートまたは手動カウントで取得可能な指標に限定。
　視聴維持率・同時視聴者数等、ツール導入が必要な指標は今回対象外とする。</t>
  </si>
  <si>
    <r>
      <rPr>
        <rFont val="Arial"/>
        <b/>
        <color rgb="FFFFFFFF"/>
        <sz val="11.0"/>
      </rPr>
      <t xml:space="preserve">3. </t>
    </r>
    <r>
      <rPr>
        <rFont val="Noto Sans CJK SC"/>
        <b/>
        <color rgb="FFFFFFFF"/>
        <sz val="11.0"/>
      </rPr>
      <t>ターゲット</t>
    </r>
  </si>
  <si>
    <t>会場来場者（観客）── 特に競技間の待機時間に退屈を感じている層</t>
  </si>
  <si>
    <t>出場選手（自分の裏側が見られる体験価値）、SNS視聴者</t>
  </si>
  <si>
    <r>
      <rPr>
        <rFont val="Arial"/>
        <b/>
        <color rgb="FFFFFFFF"/>
        <sz val="11.0"/>
      </rPr>
      <t xml:space="preserve">4. </t>
    </r>
    <r>
      <rPr>
        <rFont val="Noto Sans CJK SC"/>
        <b/>
        <color rgb="FFFFFFFF"/>
        <sz val="11.0"/>
      </rPr>
      <t>施策の構成要素</t>
    </r>
  </si>
  <si>
    <t>実況スタイル</t>
  </si>
  <si>
    <t>・なーすけがバックステージを歩き回りながら選手・サポーターにインタビュー
・出番前の緊張、仲間からの声がけ、ウォーミングアップの様子をリアルタイムで伝える
・MCステージ進行と連携し、次の出場選手の紹介として自然につなげる</t>
  </si>
  <si>
    <t>映像配信方法</t>
  </si>
  <si>
    <t>【案A】会場メインスクリーンに投影（ステージ転換中に切替）
【案B】ブースエリアに専用モニターを設置（常時配信）
【案C】A+Bの併用（メインスクリーン＋ブースモニター）
※ 同時にInstagram/YouTubeライブ配信も検討</t>
  </si>
  <si>
    <t>撮影機材</t>
  </si>
  <si>
    <t>・カメラ：Sony α7CII（なーすけ私物を使用。費用0円）
・マイク：ワイヤレスピンマイク（なーすけ装着）→ 手持ち機材で対応可能か要確認
・映像伝送：HDMI無線トランスミッター or OBS経由のストリーミング
★ 要事前確認事項：
　① α7CIIでリアルタイム映像伝送（HDMI出力 or USB配信）が安定的に可能かテストする
　② 手持ちマイク（あれば型番確認）がα7CIIと接続して使えるか確認する
　③ 上記テストの結果、追加で必要な機材があれば費用を再見積もりする</t>
  </si>
  <si>
    <t>配信構成</t>
  </si>
  <si>
    <t>・プレ配信（開場〜開会）：会場の雰囲気、選手の到着風景
・メイン配信（競技中）：出番前の選手インタビュー、応援の様子
・ハイライト（閉会後）：勝者インタビュー、感動シーンまとめ</t>
  </si>
  <si>
    <r>
      <rPr>
        <rFont val="Arial"/>
        <b/>
        <color rgb="FFFFFFFF"/>
        <sz val="11.0"/>
      </rPr>
      <t xml:space="preserve">5. </t>
    </r>
    <r>
      <rPr>
        <rFont val="Noto Sans CJK SC"/>
        <b/>
        <color rgb="FFFFFFFF"/>
        <sz val="11.0"/>
      </rPr>
      <t>スケジュール（大会日から逆算）</t>
    </r>
  </si>
  <si>
    <t>企画確定・配信方式Go判断</t>
  </si>
  <si>
    <t>大会3ヶ月前</t>
  </si>
  <si>
    <t>なーすけ / PM</t>
  </si>
  <si>
    <t>案A/B/Cの決定、予算承認</t>
  </si>
  <si>
    <t>★ α7CII 配信テスト</t>
  </si>
  <si>
    <t>なーすけ</t>
  </si>
  <si>
    <t>HDMI出力 or USB配信でリアルタイム伝送が可能か検証。
マイク接続テストも同時に実施。
→ 結果次第で機材計画を修正する</t>
  </si>
  <si>
    <t>会場下見・配信環境調査</t>
  </si>
  <si>
    <t>大会2.5ヶ月前</t>
  </si>
  <si>
    <t>なーすけ / 技術担当</t>
  </si>
  <si>
    <t>Wi-Fi環境、スクリーン接続方式、電源確認</t>
  </si>
  <si>
    <t>機材選定・調達</t>
  </si>
  <si>
    <t>大会2ヶ月前</t>
  </si>
  <si>
    <t>マイク・映像伝送機材（カメラ費用は0円）
※ α7CIIテスト結果を踏まえて確定</t>
  </si>
  <si>
    <t>実況台本・質問リスト作成</t>
  </si>
  <si>
    <t>大会1.5ヶ月前</t>
  </si>
  <si>
    <t>選手への質問パターン、MC連携タイミング</t>
  </si>
  <si>
    <t>MC・ステージ演出との連携打合せ</t>
  </si>
  <si>
    <t>大会1ヶ月前</t>
  </si>
  <si>
    <t>なーすけ / MC / 映像オペ</t>
  </si>
  <si>
    <t>スクリーン切替タイミング、音声切替の段取り</t>
  </si>
  <si>
    <t>機材テスト・リハーサル①</t>
  </si>
  <si>
    <t>大会3週間前</t>
  </si>
  <si>
    <t>映像伝送テスト、音声品質チェック</t>
  </si>
  <si>
    <t>リハーサル②（会場通し）</t>
  </si>
  <si>
    <t>大会1週間前</t>
  </si>
  <si>
    <t>なーすけ / MC / スタッフ</t>
  </si>
  <si>
    <t>本番同等環境での通しリハ</t>
  </si>
  <si>
    <t>大会当日 実況中継本番</t>
  </si>
  <si>
    <t>なーすけ / 技術サポート1名</t>
  </si>
  <si>
    <t>プレ配信〜メイン〜ハイライト</t>
  </si>
  <si>
    <t>大会1週間後</t>
  </si>
  <si>
    <t>アンケート集計・映像アーカイブ整理</t>
  </si>
  <si>
    <t>6. 費用見積もり : 単発</t>
  </si>
  <si>
    <r>
      <rPr>
        <rFont val="Noto Sans CJK SC"/>
        <b/>
        <color rgb="FF1F4E79"/>
        <sz val="10.0"/>
      </rPr>
      <t>単価</t>
    </r>
    <r>
      <rPr>
        <rFont val="Arial"/>
        <b/>
        <color rgb="FF1F4E79"/>
        <sz val="10.0"/>
      </rPr>
      <t>(</t>
    </r>
    <r>
      <rPr>
        <rFont val="Noto Sans CJK SC"/>
        <b/>
        <color rgb="FF1F4E79"/>
        <sz val="10.0"/>
      </rPr>
      <t>円</t>
    </r>
    <r>
      <rPr>
        <rFont val="Arial"/>
        <b/>
        <color rgb="FF1F4E79"/>
        <sz val="10.0"/>
      </rPr>
      <t>)</t>
    </r>
  </si>
  <si>
    <r>
      <rPr>
        <rFont val="Noto Sans CJK SC"/>
        <b/>
        <color rgb="FF1F4E79"/>
        <sz val="10.0"/>
      </rPr>
      <t>小計</t>
    </r>
    <r>
      <rPr>
        <rFont val="Arial"/>
        <b/>
        <color rgb="FF1F4E79"/>
        <sz val="10.0"/>
      </rPr>
      <t>(</t>
    </r>
    <r>
      <rPr>
        <rFont val="Noto Sans CJK SC"/>
        <b/>
        <color rgb="FF1F4E79"/>
        <sz val="10.0"/>
      </rPr>
      <t>円</t>
    </r>
    <r>
      <rPr>
        <rFont val="Arial"/>
        <b/>
        <color rgb="FF1F4E79"/>
        <sz val="10.0"/>
      </rPr>
      <t>)</t>
    </r>
  </si>
  <si>
    <t>カメラ（Sony α7CII）</t>
  </si>
  <si>
    <t>台</t>
  </si>
  <si>
    <t>なーすけ私物。費用0円</t>
  </si>
  <si>
    <t>ワイヤレスピンマイク</t>
  </si>
  <si>
    <t>セット</t>
  </si>
  <si>
    <t>要確認</t>
  </si>
  <si>
    <t>手持ち機材で代用可能か確認後に判断。</t>
  </si>
  <si>
    <t>HDMI無線トランスミッター</t>
  </si>
  <si>
    <t>OBS配信なら不要</t>
  </si>
  <si>
    <t>ブース用モニター（レンタル）</t>
  </si>
  <si>
    <t>40〜50インチ。会場備品利用可なら0円</t>
  </si>
  <si>
    <t>モニタースタンド（レンタル）</t>
  </si>
  <si>
    <t>会場備品利用可なら0円</t>
  </si>
  <si>
    <t>配信用ポケットWi-Fi</t>
  </si>
  <si>
    <t>会場Wi-Fiが不安定な場合のバックアップ</t>
  </si>
  <si>
    <t>ケーブル・変換アダプタ類</t>
  </si>
  <si>
    <t>HDMI、USB-C変換等</t>
  </si>
  <si>
    <t>機材トラブル・追加レンタル対応</t>
  </si>
  <si>
    <r>
      <rPr>
        <rFont val="Arial"/>
        <b/>
        <color rgb="FFFFFFFF"/>
        <sz val="11.0"/>
      </rPr>
      <t xml:space="preserve">7. </t>
    </r>
    <r>
      <rPr>
        <rFont val="Noto Sans CJK SC"/>
        <b/>
        <color rgb="FFFFFFFF"/>
        <sz val="11.0"/>
      </rPr>
      <t>工数見積もり</t>
    </r>
  </si>
  <si>
    <r>
      <rPr>
        <rFont val="Noto Sans CJK SC"/>
        <b/>
        <color rgb="FF1F4E79"/>
        <sz val="10.0"/>
      </rPr>
      <t>想定工数</t>
    </r>
    <r>
      <rPr>
        <rFont val="Arial"/>
        <b/>
        <color rgb="FF1F4E79"/>
        <sz val="10.0"/>
      </rPr>
      <t>(h)</t>
    </r>
  </si>
  <si>
    <t>企画設計・配信方式検討</t>
  </si>
  <si>
    <t>案A/B/C比較、会場制約の確認</t>
  </si>
  <si>
    <t>★ α7CII配信テスト・マイク確認</t>
  </si>
  <si>
    <t>HDMI出力/USB配信テスト、マイク接続確認、結果に基づく機材計画修正</t>
  </si>
  <si>
    <t>会場下見・技術調査</t>
  </si>
  <si>
    <t>Wi-Fi、電源、スクリーン接続テスト</t>
  </si>
  <si>
    <t>機材調達・セットアップ</t>
  </si>
  <si>
    <t>購入orレンタル手配、初期設定</t>
  </si>
  <si>
    <t>選手別の質問パターン、進行メモ</t>
  </si>
  <si>
    <t>MC・映像オペとの連携調整</t>
  </si>
  <si>
    <t>なーすけ / MC</t>
  </si>
  <si>
    <t>スクリーン切替・音声連携の段取り</t>
  </si>
  <si>
    <t>リハーサル（2回）</t>
  </si>
  <si>
    <t>なーすけ / 技術担当 / MC</t>
  </si>
  <si>
    <t>機材テスト＋会場通しリハ</t>
  </si>
  <si>
    <t>当日 実況中継（本番）</t>
  </si>
  <si>
    <t>プレ〜メイン〜ハイライト 終日稼働</t>
  </si>
  <si>
    <t>当日 技術サポート</t>
  </si>
  <si>
    <t>技術担当1名</t>
  </si>
  <si>
    <t>映像切替・音声モニタリング・トラブル対応</t>
  </si>
  <si>
    <t>アンケート集計・アーカイブ映像整理</t>
  </si>
  <si>
    <r>
      <rPr>
        <rFont val="Arial"/>
        <b/>
        <color rgb="FFFFFFFF"/>
        <sz val="11.0"/>
      </rPr>
      <t xml:space="preserve">8. </t>
    </r>
    <r>
      <rPr>
        <rFont val="Noto Sans CJK SC"/>
        <b/>
        <color rgb="FFFFFFFF"/>
        <sz val="11.0"/>
      </rPr>
      <t>リスクと対策</t>
    </r>
  </si>
  <si>
    <t>[影響度:高] 映像伝送の遅延・途切れ</t>
  </si>
  <si>
    <t>対策：事前に2回の伝送テスト実施。有線バックアップ（長尺HDMIケーブル）を用意。ポケットWi-Fiを予備確保</t>
  </si>
  <si>
    <t>[影響度:高] α7CIIでリアルタイム配信が不安定</t>
  </si>
  <si>
    <t>対策：大会3ヶ月前にテスト実施。NG時はスマホ配信に切替（No-Goではなく機材変更で対応）</t>
  </si>
  <si>
    <t>[影響度:高] 音声が会場BGMに負ける</t>
  </si>
  <si>
    <t>対策：ワイヤレスピンマイクで音声を直接取得。スクリーン投影時は会場PAから出力する段取りを確認</t>
  </si>
  <si>
    <t>[影響度:中] 選手がカメラを嫌がる</t>
  </si>
  <si>
    <t>対策：事前に全選手へ撮影同意を取得。「映りたくない」選手にはカメラを向けないルールを徹底</t>
  </si>
  <si>
    <t>[影響度:中] なーすけの実況と競技進行の競合</t>
  </si>
  <si>
    <t>対策：MC進行表と連携し、実況タイミングを事前に設計。競技中はサブ的な位置づけにする</t>
  </si>
  <si>
    <t>[影響度:中] バックステージの動線を妨げる</t>
  </si>
  <si>
    <t>対策：撮影エリアを事前に設定。選手の導線を確保した上でカメラポジションを決定</t>
  </si>
  <si>
    <t>[影響度:低] 機材故障・バッテリー切れ</t>
  </si>
  <si>
    <t>対策：予備バッテリー・予備スマホを確保。モバイルバッテリーを常時携帯</t>
  </si>
  <si>
    <r>
      <rPr>
        <rFont val="Arial"/>
        <b/>
        <color rgb="FFFFFFFF"/>
        <sz val="11.0"/>
      </rPr>
      <t xml:space="preserve">9. Go/No-Go </t>
    </r>
    <r>
      <rPr>
        <rFont val="Noto Sans CJK SC"/>
        <b/>
        <color rgb="FFFFFFFF"/>
        <sz val="11.0"/>
      </rPr>
      <t>判断基準</t>
    </r>
  </si>
  <si>
    <t>Go条件</t>
  </si>
  <si>
    <t>・α7CIIの配信テストで安定した映像伝送ができること
・会場のスクリーンまたはモニターへの映像出力が技術的に可能であること
・リハーサルで映像伝送が安定すること（途切れ頻度が1時間に1回以下）
・費用が予算内に収まること
・出場選手の撮影同意が80%以上取得できること</t>
  </si>
  <si>
    <t>No-Go時の代替案</t>
  </si>
  <si>
    <t>・リアルタイム配信を諦め、バックステージ写真をSNSでリアルタイム投稿に切替
・録画してハイライト動画を大会後にYouTubeで公開
・音声のみのバックステージ実況をMC間に挿入</t>
  </si>
  <si>
    <r>
      <rPr>
        <rFont val="Arial"/>
        <b/>
        <color rgb="FFFFFFFF"/>
        <sz val="11.0"/>
      </rPr>
      <t xml:space="preserve">10. </t>
    </r>
    <r>
      <rPr>
        <rFont val="Noto Sans CJK SC"/>
        <b/>
        <color rgb="FFFFFFFF"/>
        <sz val="11.0"/>
      </rPr>
      <t>効果測定</t>
    </r>
  </si>
  <si>
    <t>定量指標
（すべて手動で
取得可能）</t>
  </si>
  <si>
    <t>・来場者アンケート「バックステージ中継」満足度スコア
・来場者アンケート「次回も出場/観戦したい」回答率
・SNS投稿数（#SFFバックステージ）← 手動カウント
・会場スクリーン/モニター前の観客滞留状況 ← スタッフ目視確認（◎○△で記録）</t>
  </si>
  <si>
    <t>・観客のSNS投稿内容（「裏側が見れて良かった」等のポジティブ反応）
・選手からのフィードバック（撮影体験の感想）
・MC・スタッフからの運用フィードバック</t>
  </si>
  <si>
    <t>大会終了後1週間以内にレビュー会実施。映像アーカイブの二次利用方針も決定</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</si>
</sst>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4.0"/>
      <color rgb="FFFFFFFF"/>
      <name val="Arial"/>
    </font>
    <font/>
    <font>
      <b/>
      <sz val="11.0"/>
      <color rgb="FFFFFFFF"/>
      <name val="Arial"/>
    </font>
    <font>
      <sz val="10.0"/>
      <color rgb="FF333333"/>
      <name val="Noto Sans"/>
    </font>
    <font>
      <sz val="10.0"/>
      <color rgb="FF000000"/>
      <name val="Noto Sans"/>
    </font>
    <font>
      <sz val="10.0"/>
      <color rgb="FF000000"/>
      <name val="Arial"/>
    </font>
    <font>
      <sz val="10.0"/>
      <color rgb="FF333333"/>
      <name val="Arial"/>
    </font>
    <font>
      <sz val="10.0"/>
      <color rgb="FF0000FF"/>
      <name val="Arial"/>
    </font>
    <font>
      <b/>
      <sz val="10.0"/>
      <color rgb="FF1F4E79"/>
      <name val="Noto Sans"/>
    </font>
    <font>
      <sz val="10.0"/>
      <color rgb="FF0000FF"/>
      <name val="Noto Sans"/>
    </font>
    <font>
      <b/>
      <sz val="10.0"/>
      <color rgb="FF000000"/>
      <name val="Arial"/>
    </font>
    <font>
      <u/>
      <sz val="10.0"/>
      <color rgb="FF000000"/>
      <name val="Arial"/>
    </font>
    <font>
      <b/>
      <sz val="11.0"/>
      <color rgb="FF1F4E79"/>
      <name val="Arial"/>
    </font>
    <font>
      <sz val="11.0"/>
      <color theme="1"/>
      <name val="Calibri"/>
    </font>
    <font>
      <u/>
      <sz val="10.0"/>
      <color rgb="FF000000"/>
      <name val="Arial"/>
    </font>
  </fonts>
  <fills count="9">
    <fill>
      <patternFill patternType="none"/>
    </fill>
    <fill>
      <patternFill patternType="lightGray"/>
    </fill>
    <fill>
      <patternFill patternType="solid">
        <fgColor rgb="FF1F4E79"/>
        <bgColor rgb="FF1F4E79"/>
      </patternFill>
    </fill>
    <fill>
      <patternFill patternType="solid">
        <fgColor rgb="FF2E75B6"/>
        <bgColor rgb="FF2E75B6"/>
      </patternFill>
    </fill>
    <fill>
      <patternFill patternType="solid">
        <fgColor rgb="FFF2F2F2"/>
        <bgColor rgb="FFF2F2F2"/>
      </patternFill>
    </fill>
    <fill>
      <patternFill patternType="solid">
        <fgColor rgb="FFFFFFFF"/>
        <bgColor rgb="FFFFFFFF"/>
      </patternFill>
    </fill>
    <fill>
      <patternFill patternType="solid">
        <fgColor rgb="FFFFF2CC"/>
        <bgColor rgb="FFFFF2CC"/>
      </patternFill>
    </fill>
    <fill>
      <patternFill patternType="solid">
        <fgColor rgb="FFD6E4F0"/>
        <bgColor rgb="FFD6E4F0"/>
      </patternFill>
    </fill>
    <fill>
      <patternFill patternType="solid">
        <fgColor rgb="FFE2EFDA"/>
        <bgColor rgb="FFE2EFDA"/>
      </patternFill>
    </fill>
  </fills>
  <borders count="5">
    <border/>
    <border>
      <left style="thin">
        <color rgb="FFB4B4B4"/>
      </left>
      <top style="thin">
        <color rgb="FFB4B4B4"/>
      </top>
      <bottom style="thin">
        <color rgb="FFB4B4B4"/>
      </bottom>
    </border>
    <border>
      <top style="thin">
        <color rgb="FFB4B4B4"/>
      </top>
      <bottom style="thin">
        <color rgb="FFB4B4B4"/>
      </bottom>
    </border>
    <border>
      <right style="thin">
        <color rgb="FFB4B4B4"/>
      </right>
      <top style="thin">
        <color rgb="FFB4B4B4"/>
      </top>
      <bottom style="thin">
        <color rgb="FFB4B4B4"/>
      </bottom>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4" fillId="4" fontId="4" numFmtId="0" xfId="0" applyAlignment="1" applyBorder="1" applyFill="1" applyFont="1">
      <alignment horizontal="left" shrinkToFit="0" vertical="top" wrapText="1"/>
    </xf>
    <xf borderId="1" fillId="5" fontId="5" numFmtId="0" xfId="0" applyAlignment="1" applyBorder="1" applyFill="1" applyFont="1">
      <alignment horizontal="left" shrinkToFit="0" vertical="top" wrapText="1"/>
    </xf>
    <xf borderId="1" fillId="5" fontId="6" numFmtId="0" xfId="0" applyAlignment="1" applyBorder="1" applyFont="1">
      <alignment horizontal="left" shrinkToFit="0" vertical="top" wrapText="1"/>
    </xf>
    <xf borderId="1" fillId="5" fontId="6" numFmtId="0" xfId="0" applyAlignment="1" applyBorder="1" applyFont="1">
      <alignment horizontal="left" readingOrder="0" shrinkToFit="0" vertical="top" wrapText="1"/>
    </xf>
    <xf borderId="4" fillId="4" fontId="7" numFmtId="0" xfId="0" applyAlignment="1" applyBorder="1" applyFont="1">
      <alignment horizontal="left" shrinkToFit="0" vertical="top" wrapText="1"/>
    </xf>
    <xf borderId="1" fillId="6" fontId="8" numFmtId="0" xfId="0" applyAlignment="1" applyBorder="1" applyFill="1" applyFont="1">
      <alignment horizontal="left" readingOrder="0" shrinkToFit="0" vertical="top" wrapText="1"/>
    </xf>
    <xf borderId="4" fillId="0" fontId="7"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4" fillId="7" fontId="9" numFmtId="0" xfId="0" applyAlignment="1" applyBorder="1" applyFill="1" applyFont="1">
      <alignment horizontal="center" shrinkToFit="0" vertical="center" wrapText="0"/>
    </xf>
    <xf borderId="1" fillId="7" fontId="9" numFmtId="0" xfId="0" applyAlignment="1" applyBorder="1" applyFont="1">
      <alignment horizontal="center" shrinkToFit="0" vertical="center" wrapText="0"/>
    </xf>
    <xf borderId="4" fillId="5" fontId="5" numFmtId="0" xfId="0" applyAlignment="1" applyBorder="1" applyFont="1">
      <alignment horizontal="left" shrinkToFit="0" vertical="center" wrapText="1"/>
    </xf>
    <xf borderId="4" fillId="6" fontId="10" numFmtId="0" xfId="0" applyAlignment="1" applyBorder="1" applyFont="1">
      <alignment horizontal="left" shrinkToFit="0" vertical="center" wrapText="1"/>
    </xf>
    <xf borderId="4" fillId="5" fontId="5" numFmtId="0" xfId="0" applyAlignment="1" applyBorder="1" applyFont="1">
      <alignment horizontal="left" readingOrder="0" shrinkToFit="0" vertical="center" wrapText="1"/>
    </xf>
    <xf borderId="1" fillId="5" fontId="5" numFmtId="0" xfId="0" applyAlignment="1" applyBorder="1" applyFont="1">
      <alignment horizontal="left" shrinkToFit="0" vertical="center" wrapText="1"/>
    </xf>
    <xf borderId="4" fillId="5" fontId="6" numFmtId="0" xfId="0" applyAlignment="1" applyBorder="1" applyFont="1">
      <alignment horizontal="left" readingOrder="0" shrinkToFit="0" vertical="center" wrapText="1"/>
    </xf>
    <xf borderId="1" fillId="5" fontId="5" numFmtId="0" xfId="0" applyAlignment="1" applyBorder="1" applyFont="1">
      <alignment horizontal="left" readingOrder="0" shrinkToFit="0" vertical="center" wrapText="1"/>
    </xf>
    <xf borderId="4" fillId="5" fontId="6" numFmtId="0" xfId="0" applyAlignment="1" applyBorder="1" applyFont="1">
      <alignment horizontal="left" shrinkToFit="0" vertical="center" wrapText="1"/>
    </xf>
    <xf borderId="4" fillId="6" fontId="8" numFmtId="0" xfId="0" applyAlignment="1" applyBorder="1" applyFont="1">
      <alignment horizontal="right" readingOrder="0" shrinkToFit="0" vertical="center" wrapText="1"/>
    </xf>
    <xf borderId="4" fillId="6" fontId="8" numFmtId="3" xfId="0" applyAlignment="1" applyBorder="1" applyFont="1" applyNumberFormat="1">
      <alignment horizontal="right" readingOrder="0" shrinkToFit="0" vertical="center" wrapText="1"/>
    </xf>
    <xf borderId="4" fillId="5" fontId="11" numFmtId="3" xfId="0" applyAlignment="1" applyBorder="1" applyFont="1" applyNumberFormat="1">
      <alignment horizontal="right" shrinkToFit="0" vertical="center" wrapText="1"/>
    </xf>
    <xf borderId="1" fillId="5" fontId="12" numFmtId="0" xfId="0" applyAlignment="1" applyBorder="1" applyFont="1">
      <alignment horizontal="left" readingOrder="0" shrinkToFit="0" vertical="center" wrapText="1"/>
    </xf>
    <xf borderId="4" fillId="6" fontId="8" numFmtId="0" xfId="0" applyAlignment="1" applyBorder="1" applyFont="1">
      <alignment horizontal="right" shrinkToFit="0" vertical="center" wrapText="1"/>
    </xf>
    <xf borderId="4" fillId="6" fontId="8" numFmtId="3" xfId="0" applyAlignment="1" applyBorder="1" applyFont="1" applyNumberFormat="1">
      <alignment horizontal="right" shrinkToFit="0" vertical="center" wrapText="1"/>
    </xf>
    <xf borderId="1" fillId="8" fontId="9" numFmtId="0" xfId="0" applyAlignment="1" applyBorder="1" applyFill="1" applyFont="1">
      <alignment horizontal="right" shrinkToFit="0" vertical="center" wrapText="0"/>
    </xf>
    <xf borderId="4" fillId="8" fontId="13" numFmtId="3" xfId="0" applyAlignment="1" applyBorder="1" applyFont="1" applyNumberFormat="1">
      <alignment horizontal="right" shrinkToFit="0" vertical="bottom" wrapText="0"/>
    </xf>
    <xf borderId="4" fillId="8" fontId="14" numFmtId="0" xfId="0" applyAlignment="1" applyBorder="1" applyFont="1">
      <alignment shrinkToFit="0" vertical="bottom" wrapText="0"/>
    </xf>
    <xf borderId="4" fillId="6" fontId="8" numFmtId="0" xfId="0" applyAlignment="1" applyBorder="1" applyFont="1">
      <alignment horizontal="right" shrinkToFit="0" vertical="bottom" wrapText="0"/>
    </xf>
    <xf borderId="1" fillId="5" fontId="6" numFmtId="0" xfId="0" applyAlignment="1" applyBorder="1" applyFont="1">
      <alignment horizontal="left" shrinkToFit="0" vertical="center" wrapText="1"/>
    </xf>
    <xf borderId="4" fillId="8" fontId="13" numFmtId="0" xfId="0" applyAlignment="1" applyBorder="1" applyFont="1">
      <alignment horizontal="right" shrinkToFit="0" vertical="bottom" wrapText="0"/>
    </xf>
    <xf borderId="1" fillId="8" fontId="14" numFmtId="0" xfId="0" applyAlignment="1" applyBorder="1" applyFont="1">
      <alignment shrinkToFit="0" vertical="bottom" wrapText="0"/>
    </xf>
    <xf borderId="1" fillId="7" fontId="9" numFmtId="0" xfId="0" applyAlignment="1" applyBorder="1" applyFont="1">
      <alignment horizontal="left" shrinkToFit="0" vertical="center" wrapText="0"/>
    </xf>
    <xf borderId="1" fillId="6" fontId="10" numFmtId="0" xfId="0" applyAlignment="1" applyBorder="1" applyFont="1">
      <alignment horizontal="left" shrinkToFit="0" vertical="top" wrapText="1"/>
    </xf>
    <xf borderId="1" fillId="6" fontId="8" numFmtId="0" xfId="0" applyAlignment="1" applyBorder="1" applyFont="1">
      <alignment horizontal="left" shrinkToFit="0" vertical="top" wrapText="1"/>
    </xf>
    <xf borderId="1" fillId="0" fontId="5" numFmtId="0" xfId="0" applyAlignment="1" applyBorder="1" applyFont="1">
      <alignment horizontal="left" shrinkToFit="0" vertical="top" wrapText="1"/>
    </xf>
    <xf borderId="4" fillId="5" fontId="6" numFmtId="0" xfId="0" applyAlignment="1" applyBorder="1" applyFont="1">
      <alignment horizontal="right" shrinkToFit="0" vertical="center" wrapText="1"/>
    </xf>
    <xf borderId="1" fillId="5" fontId="5" numFmtId="0" xfId="0" applyAlignment="1" applyBorder="1" applyFont="1">
      <alignment horizontal="left" readingOrder="0" shrinkToFit="0" vertical="top" wrapText="1"/>
    </xf>
    <xf borderId="4" fillId="5" fontId="15" numFmtId="0" xfId="0" applyAlignment="1" applyBorder="1" applyFont="1">
      <alignment horizontal="left" readingOrder="0" shrinkToFit="0" vertical="center" wrapText="1"/>
    </xf>
    <xf borderId="4" fillId="6" fontId="8" numFmtId="0" xfId="0" applyAlignment="1" applyBorder="1" applyFont="1">
      <alignment horizontal="right" readingOrder="0" shrinkToFit="0" vertical="bottom" wrapText="0"/>
    </xf>
    <xf borderId="1" fillId="5" fontId="6" numFmtId="0" xfId="0" applyAlignment="1" applyBorder="1" applyFont="1">
      <alignment horizontal="left" readingOrder="0" shrinkToFit="0" vertical="center" wrapText="1"/>
    </xf>
    <xf borderId="4" fillId="0" fontId="5"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1" fillId="3" fontId="3" numFmtId="0" xfId="0" applyAlignment="1" applyBorder="1" applyFont="1">
      <alignment horizontal="left" readingOrder="0" shrinkToFit="0" vertical="center" wrapText="0"/>
    </xf>
    <xf borderId="4" fillId="5" fontId="11" numFmtId="0" xfId="0" applyAlignment="1" applyBorder="1" applyFont="1">
      <alignment horizontal="right" shrinkToFit="0" vertical="center" wrapText="1"/>
    </xf>
    <xf borderId="4" fillId="5" fontId="5" numFmtId="0" xfId="0" applyAlignment="1" applyBorder="1" applyFont="1">
      <alignment horizontal="left" shrinkToFit="0" vertical="center" wrapText="1"/>
    </xf>
    <xf borderId="4" fillId="0"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228600</xdr:colOff>
      <xdr:row>15</xdr:row>
      <xdr:rowOff>28575</xdr:rowOff>
    </xdr:from>
    <xdr:ext cx="2181225" cy="145732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tem.rakuten.co.jp/promoshop/bz0050000000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wave-inc.co.jp/order/index.php?main_page=page_40762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8.0"/>
    <col customWidth="1" min="3" max="3" width="16.71"/>
    <col customWidth="1" min="4" max="5" width="16.0"/>
    <col customWidth="1" min="6" max="6" width="22.0"/>
    <col customWidth="1" min="7" max="8" width="12.0"/>
    <col customWidth="1" min="9" max="26" width="8.71"/>
  </cols>
  <sheetData>
    <row r="1" ht="39.75" customHeight="1">
      <c r="A1" s="1" t="s">
        <v>0</v>
      </c>
      <c r="B1" s="2"/>
      <c r="C1" s="2"/>
      <c r="D1" s="2"/>
      <c r="E1" s="2"/>
      <c r="F1" s="2"/>
      <c r="G1" s="2"/>
      <c r="H1" s="3"/>
    </row>
    <row r="2" ht="27.75" customHeight="1">
      <c r="A2" s="4" t="s">
        <v>1</v>
      </c>
      <c r="B2" s="2"/>
      <c r="C2" s="2"/>
      <c r="D2" s="2"/>
      <c r="E2" s="2"/>
      <c r="F2" s="2"/>
      <c r="G2" s="2"/>
      <c r="H2" s="3"/>
    </row>
    <row r="3" ht="30.0" customHeight="1">
      <c r="A3" s="5" t="s">
        <v>2</v>
      </c>
      <c r="B3" s="6" t="s">
        <v>3</v>
      </c>
      <c r="C3" s="2"/>
      <c r="D3" s="2"/>
      <c r="E3" s="2"/>
      <c r="F3" s="2"/>
      <c r="G3" s="2"/>
      <c r="H3" s="3"/>
    </row>
    <row r="4" ht="30.0" customHeight="1">
      <c r="A4" s="5" t="s">
        <v>4</v>
      </c>
      <c r="B4" s="6" t="s">
        <v>5</v>
      </c>
      <c r="C4" s="2"/>
      <c r="D4" s="2"/>
      <c r="E4" s="2"/>
      <c r="F4" s="2"/>
      <c r="G4" s="2"/>
      <c r="H4" s="3"/>
    </row>
    <row r="5" ht="30.0" customHeight="1">
      <c r="A5" s="5" t="s">
        <v>6</v>
      </c>
      <c r="B5" s="7" t="s">
        <v>7</v>
      </c>
      <c r="C5" s="2"/>
      <c r="D5" s="2"/>
      <c r="E5" s="2"/>
      <c r="F5" s="2"/>
      <c r="G5" s="2"/>
      <c r="H5" s="3"/>
    </row>
    <row r="6" ht="30.0" customHeight="1">
      <c r="A6" s="5" t="s">
        <v>8</v>
      </c>
      <c r="B6" s="6" t="s">
        <v>9</v>
      </c>
      <c r="C6" s="2"/>
      <c r="D6" s="2"/>
      <c r="E6" s="2"/>
      <c r="F6" s="2"/>
      <c r="G6" s="2"/>
      <c r="H6" s="3"/>
    </row>
    <row r="7" ht="64.5" customHeight="1">
      <c r="A7" s="5" t="s">
        <v>10</v>
      </c>
      <c r="B7" s="8" t="s">
        <v>11</v>
      </c>
      <c r="C7" s="2"/>
      <c r="D7" s="2"/>
      <c r="E7" s="2"/>
      <c r="F7" s="2"/>
      <c r="G7" s="2"/>
      <c r="H7" s="3"/>
    </row>
    <row r="8" ht="27.75" customHeight="1">
      <c r="A8" s="4" t="s">
        <v>12</v>
      </c>
      <c r="B8" s="2"/>
      <c r="C8" s="2"/>
      <c r="D8" s="2"/>
      <c r="E8" s="2"/>
      <c r="F8" s="2"/>
      <c r="G8" s="2"/>
      <c r="H8" s="3"/>
    </row>
    <row r="9" ht="64.5" customHeight="1">
      <c r="A9" s="5" t="s">
        <v>13</v>
      </c>
      <c r="B9" s="6" t="s">
        <v>14</v>
      </c>
      <c r="C9" s="2"/>
      <c r="D9" s="2"/>
      <c r="E9" s="2"/>
      <c r="F9" s="2"/>
      <c r="G9" s="2"/>
      <c r="H9" s="3"/>
    </row>
    <row r="10" ht="45.0" customHeight="1">
      <c r="A10" s="5" t="s">
        <v>15</v>
      </c>
      <c r="B10" s="6" t="s">
        <v>16</v>
      </c>
      <c r="C10" s="2"/>
      <c r="D10" s="2"/>
      <c r="E10" s="2"/>
      <c r="F10" s="2"/>
      <c r="G10" s="2"/>
      <c r="H10" s="3"/>
    </row>
    <row r="11" ht="64.5" customHeight="1">
      <c r="A11" s="5" t="s">
        <v>17</v>
      </c>
      <c r="B11" s="6" t="s">
        <v>18</v>
      </c>
      <c r="C11" s="2"/>
      <c r="D11" s="2"/>
      <c r="E11" s="2"/>
      <c r="F11" s="2"/>
      <c r="G11" s="2"/>
      <c r="H11" s="3"/>
    </row>
    <row r="12" ht="54.75" customHeight="1">
      <c r="A12" s="9" t="s">
        <v>19</v>
      </c>
      <c r="B12" s="10" t="s">
        <v>20</v>
      </c>
      <c r="C12" s="2"/>
      <c r="D12" s="2"/>
      <c r="E12" s="2"/>
      <c r="F12" s="2"/>
      <c r="G12" s="2"/>
      <c r="H12" s="3"/>
    </row>
    <row r="13" ht="27.75" customHeight="1">
      <c r="A13" s="4" t="s">
        <v>21</v>
      </c>
      <c r="B13" s="2"/>
      <c r="C13" s="2"/>
      <c r="D13" s="2"/>
      <c r="E13" s="2"/>
      <c r="F13" s="2"/>
      <c r="G13" s="2"/>
      <c r="H13" s="3"/>
    </row>
    <row r="14" ht="30.0" customHeight="1">
      <c r="A14" s="5" t="s">
        <v>22</v>
      </c>
      <c r="B14" s="6" t="s">
        <v>23</v>
      </c>
      <c r="C14" s="2"/>
      <c r="D14" s="2"/>
      <c r="E14" s="2"/>
      <c r="F14" s="2"/>
      <c r="G14" s="2"/>
      <c r="H14" s="3"/>
    </row>
    <row r="15" ht="30.0" customHeight="1">
      <c r="A15" s="5" t="s">
        <v>24</v>
      </c>
      <c r="B15" s="8" t="s">
        <v>25</v>
      </c>
      <c r="C15" s="2"/>
      <c r="D15" s="2"/>
      <c r="E15" s="2"/>
      <c r="F15" s="2"/>
      <c r="G15" s="2"/>
      <c r="H15" s="3"/>
    </row>
    <row r="16" ht="27.75" customHeight="1">
      <c r="A16" s="4" t="s">
        <v>26</v>
      </c>
      <c r="B16" s="2"/>
      <c r="C16" s="2"/>
      <c r="D16" s="2"/>
      <c r="E16" s="2"/>
      <c r="F16" s="2"/>
      <c r="G16" s="2"/>
      <c r="H16" s="3"/>
    </row>
    <row r="17" ht="54.75" customHeight="1">
      <c r="A17" s="5" t="s">
        <v>27</v>
      </c>
      <c r="B17" s="8" t="s">
        <v>28</v>
      </c>
      <c r="C17" s="2"/>
      <c r="D17" s="2"/>
      <c r="E17" s="2"/>
      <c r="F17" s="2"/>
      <c r="G17" s="2"/>
      <c r="H17" s="3"/>
    </row>
    <row r="18" ht="54.75" customHeight="1">
      <c r="A18" s="9" t="s">
        <v>29</v>
      </c>
      <c r="B18" s="8" t="s">
        <v>30</v>
      </c>
      <c r="C18" s="2"/>
      <c r="D18" s="2"/>
      <c r="E18" s="2"/>
      <c r="F18" s="2"/>
      <c r="G18" s="2"/>
      <c r="H18" s="3"/>
    </row>
    <row r="19" ht="16.5" customHeight="1">
      <c r="A19" s="11"/>
      <c r="B19" s="12"/>
      <c r="C19" s="2"/>
      <c r="D19" s="2"/>
      <c r="E19" s="2"/>
      <c r="F19" s="2"/>
      <c r="G19" s="2"/>
      <c r="H19" s="3"/>
    </row>
    <row r="20" ht="27.75" customHeight="1">
      <c r="A20" s="4" t="s">
        <v>31</v>
      </c>
      <c r="B20" s="2"/>
      <c r="C20" s="2"/>
      <c r="D20" s="2"/>
      <c r="E20" s="2"/>
      <c r="F20" s="2"/>
      <c r="G20" s="2"/>
      <c r="H20" s="3"/>
    </row>
    <row r="21" ht="24.0" customHeight="1">
      <c r="A21" s="13" t="s">
        <v>32</v>
      </c>
      <c r="B21" s="13" t="s">
        <v>33</v>
      </c>
      <c r="C21" s="13" t="s">
        <v>34</v>
      </c>
      <c r="D21" s="14" t="s">
        <v>35</v>
      </c>
      <c r="E21" s="2"/>
      <c r="F21" s="2"/>
      <c r="G21" s="2"/>
      <c r="H21" s="3"/>
    </row>
    <row r="22" ht="21.75" customHeight="1">
      <c r="A22" s="15" t="s">
        <v>36</v>
      </c>
      <c r="B22" s="16" t="s">
        <v>37</v>
      </c>
      <c r="C22" s="17" t="s">
        <v>38</v>
      </c>
      <c r="D22" s="18" t="s">
        <v>39</v>
      </c>
      <c r="E22" s="2"/>
      <c r="F22" s="2"/>
      <c r="G22" s="2"/>
      <c r="H22" s="3"/>
    </row>
    <row r="23" ht="21.75" customHeight="1">
      <c r="A23" s="15" t="s">
        <v>40</v>
      </c>
      <c r="B23" s="16" t="s">
        <v>41</v>
      </c>
      <c r="C23" s="19" t="s">
        <v>42</v>
      </c>
      <c r="D23" s="18" t="s">
        <v>43</v>
      </c>
      <c r="E23" s="2"/>
      <c r="F23" s="2"/>
      <c r="G23" s="2"/>
      <c r="H23" s="3"/>
    </row>
    <row r="24" ht="21.75" customHeight="1">
      <c r="A24" s="15" t="s">
        <v>44</v>
      </c>
      <c r="B24" s="16" t="s">
        <v>45</v>
      </c>
      <c r="C24" s="19" t="s">
        <v>46</v>
      </c>
      <c r="D24" s="20" t="s">
        <v>47</v>
      </c>
      <c r="E24" s="2"/>
      <c r="F24" s="2"/>
      <c r="G24" s="2"/>
      <c r="H24" s="3"/>
    </row>
    <row r="25" ht="21.75" customHeight="1">
      <c r="A25" s="15" t="s">
        <v>48</v>
      </c>
      <c r="B25" s="16" t="s">
        <v>49</v>
      </c>
      <c r="C25" s="19" t="s">
        <v>46</v>
      </c>
      <c r="D25" s="18" t="s">
        <v>50</v>
      </c>
      <c r="E25" s="2"/>
      <c r="F25" s="2"/>
      <c r="G25" s="2"/>
      <c r="H25" s="3"/>
    </row>
    <row r="26" ht="21.75" customHeight="1">
      <c r="A26" s="21" t="s">
        <v>51</v>
      </c>
      <c r="B26" s="16" t="s">
        <v>52</v>
      </c>
      <c r="C26" s="19" t="s">
        <v>53</v>
      </c>
      <c r="D26" s="18" t="s">
        <v>54</v>
      </c>
      <c r="E26" s="2"/>
      <c r="F26" s="2"/>
      <c r="G26" s="2"/>
      <c r="H26" s="3"/>
    </row>
    <row r="27" ht="21.75" customHeight="1">
      <c r="A27" s="21" t="s">
        <v>55</v>
      </c>
      <c r="B27" s="16" t="s">
        <v>56</v>
      </c>
      <c r="C27" s="19" t="s">
        <v>57</v>
      </c>
      <c r="D27" s="18" t="s">
        <v>58</v>
      </c>
      <c r="E27" s="2"/>
      <c r="F27" s="2"/>
      <c r="G27" s="2"/>
      <c r="H27" s="3"/>
    </row>
    <row r="28" ht="21.75" customHeight="1">
      <c r="A28" s="15" t="s">
        <v>59</v>
      </c>
      <c r="B28" s="16" t="s">
        <v>60</v>
      </c>
      <c r="C28" s="17" t="s">
        <v>46</v>
      </c>
      <c r="D28" s="18" t="s">
        <v>61</v>
      </c>
      <c r="E28" s="2"/>
      <c r="F28" s="2"/>
      <c r="G28" s="2"/>
      <c r="H28" s="3"/>
    </row>
    <row r="29" ht="21.75" customHeight="1">
      <c r="A29" s="15" t="s">
        <v>62</v>
      </c>
      <c r="B29" s="16" t="s">
        <v>63</v>
      </c>
      <c r="C29" s="19" t="s">
        <v>64</v>
      </c>
      <c r="D29" s="18" t="s">
        <v>65</v>
      </c>
      <c r="E29" s="2"/>
      <c r="F29" s="2"/>
      <c r="G29" s="2"/>
      <c r="H29" s="3"/>
    </row>
    <row r="30" ht="21.75" customHeight="1">
      <c r="A30" s="15" t="s">
        <v>66</v>
      </c>
      <c r="B30" s="16" t="s">
        <v>67</v>
      </c>
      <c r="C30" s="17" t="s">
        <v>46</v>
      </c>
      <c r="D30" s="18" t="s">
        <v>68</v>
      </c>
      <c r="E30" s="2"/>
      <c r="F30" s="2"/>
      <c r="G30" s="2"/>
      <c r="H30" s="3"/>
    </row>
    <row r="31" ht="27.75" customHeight="1">
      <c r="A31" s="4" t="s">
        <v>69</v>
      </c>
      <c r="B31" s="2"/>
      <c r="C31" s="2"/>
      <c r="D31" s="2"/>
      <c r="E31" s="2"/>
      <c r="F31" s="2"/>
      <c r="G31" s="2"/>
      <c r="H31" s="3"/>
    </row>
    <row r="32" ht="24.0" customHeight="1">
      <c r="A32" s="13" t="s">
        <v>70</v>
      </c>
      <c r="B32" s="13" t="s">
        <v>71</v>
      </c>
      <c r="C32" s="13" t="s">
        <v>72</v>
      </c>
      <c r="D32" s="13" t="s">
        <v>73</v>
      </c>
      <c r="E32" s="13" t="s">
        <v>74</v>
      </c>
      <c r="F32" s="14" t="s">
        <v>75</v>
      </c>
      <c r="G32" s="2"/>
      <c r="H32" s="3"/>
    </row>
    <row r="33" ht="37.5" customHeight="1">
      <c r="A33" s="15" t="s">
        <v>76</v>
      </c>
      <c r="B33" s="22">
        <v>1200.0</v>
      </c>
      <c r="C33" s="15" t="s">
        <v>77</v>
      </c>
      <c r="D33" s="23">
        <v>165.0</v>
      </c>
      <c r="E33" s="24">
        <f t="shared" ref="E33:E37" si="1">B33*D33</f>
        <v>198000</v>
      </c>
      <c r="F33" s="25" t="s">
        <v>78</v>
      </c>
      <c r="G33" s="2"/>
      <c r="H33" s="3"/>
    </row>
    <row r="34" ht="21.75" customHeight="1">
      <c r="A34" s="15" t="s">
        <v>79</v>
      </c>
      <c r="B34" s="26">
        <v>1.0</v>
      </c>
      <c r="C34" s="15" t="s">
        <v>80</v>
      </c>
      <c r="D34" s="27">
        <v>30000.0</v>
      </c>
      <c r="E34" s="24">
        <f t="shared" si="1"/>
        <v>30000</v>
      </c>
      <c r="F34" s="18" t="s">
        <v>81</v>
      </c>
      <c r="G34" s="2"/>
      <c r="H34" s="3"/>
    </row>
    <row r="35" ht="21.75" customHeight="1">
      <c r="A35" s="21" t="s">
        <v>82</v>
      </c>
      <c r="B35" s="26">
        <v>1.0</v>
      </c>
      <c r="C35" s="15" t="s">
        <v>80</v>
      </c>
      <c r="D35" s="27">
        <v>0.0</v>
      </c>
      <c r="E35" s="24">
        <f t="shared" si="1"/>
        <v>0</v>
      </c>
      <c r="F35" s="18" t="s">
        <v>83</v>
      </c>
      <c r="G35" s="2"/>
      <c r="H35" s="3"/>
    </row>
    <row r="36" ht="21.75" customHeight="1">
      <c r="A36" s="15" t="s">
        <v>84</v>
      </c>
      <c r="B36" s="26">
        <v>10.0</v>
      </c>
      <c r="C36" s="15" t="s">
        <v>85</v>
      </c>
      <c r="D36" s="27">
        <v>500.0</v>
      </c>
      <c r="E36" s="24">
        <f t="shared" si="1"/>
        <v>5000</v>
      </c>
      <c r="F36" s="18" t="s">
        <v>86</v>
      </c>
      <c r="G36" s="2"/>
      <c r="H36" s="3"/>
    </row>
    <row r="37" ht="21.75" customHeight="1">
      <c r="A37" s="15" t="s">
        <v>87</v>
      </c>
      <c r="B37" s="26">
        <v>1.0</v>
      </c>
      <c r="C37" s="15" t="s">
        <v>80</v>
      </c>
      <c r="D37" s="27">
        <v>5000.0</v>
      </c>
      <c r="E37" s="24">
        <f t="shared" si="1"/>
        <v>5000</v>
      </c>
      <c r="F37" s="18" t="s">
        <v>88</v>
      </c>
      <c r="G37" s="2"/>
      <c r="H37" s="3"/>
    </row>
    <row r="38" ht="25.5" customHeight="1">
      <c r="A38" s="28" t="s">
        <v>89</v>
      </c>
      <c r="B38" s="2"/>
      <c r="C38" s="2"/>
      <c r="D38" s="3"/>
      <c r="E38" s="29">
        <f>SUM(E33:E37)</f>
        <v>238000</v>
      </c>
      <c r="F38" s="30"/>
      <c r="G38" s="30"/>
      <c r="H38" s="30"/>
    </row>
    <row r="39" ht="27.75" customHeight="1">
      <c r="A39" s="4" t="s">
        <v>90</v>
      </c>
      <c r="B39" s="2"/>
      <c r="C39" s="2"/>
      <c r="D39" s="2"/>
      <c r="E39" s="2"/>
      <c r="F39" s="2"/>
      <c r="G39" s="2"/>
      <c r="H39" s="3"/>
    </row>
    <row r="40" ht="24.0" customHeight="1">
      <c r="A40" s="13" t="s">
        <v>91</v>
      </c>
      <c r="B40" s="13" t="s">
        <v>92</v>
      </c>
      <c r="C40" s="13" t="s">
        <v>93</v>
      </c>
      <c r="D40" s="14" t="s">
        <v>75</v>
      </c>
      <c r="E40" s="2"/>
      <c r="F40" s="2"/>
      <c r="G40" s="2"/>
      <c r="H40" s="3"/>
    </row>
    <row r="41" ht="21.75" customHeight="1">
      <c r="A41" s="15" t="s">
        <v>94</v>
      </c>
      <c r="B41" s="17" t="s">
        <v>38</v>
      </c>
      <c r="C41" s="31">
        <v>8.0</v>
      </c>
      <c r="D41" s="18" t="s">
        <v>95</v>
      </c>
      <c r="E41" s="2"/>
      <c r="F41" s="2"/>
      <c r="G41" s="2"/>
      <c r="H41" s="3"/>
    </row>
    <row r="42" ht="21.75" customHeight="1">
      <c r="A42" s="15" t="s">
        <v>96</v>
      </c>
      <c r="B42" s="17" t="s">
        <v>38</v>
      </c>
      <c r="C42" s="31">
        <v>4.0</v>
      </c>
      <c r="D42" s="18" t="s">
        <v>97</v>
      </c>
      <c r="E42" s="2"/>
      <c r="F42" s="2"/>
      <c r="G42" s="2"/>
      <c r="H42" s="3"/>
    </row>
    <row r="43" ht="21.75" customHeight="1">
      <c r="A43" s="15" t="s">
        <v>98</v>
      </c>
      <c r="B43" s="19" t="s">
        <v>46</v>
      </c>
      <c r="C43" s="31">
        <v>6.0</v>
      </c>
      <c r="D43" s="18" t="s">
        <v>99</v>
      </c>
      <c r="E43" s="2"/>
      <c r="F43" s="2"/>
      <c r="G43" s="2"/>
      <c r="H43" s="3"/>
    </row>
    <row r="44" ht="21.75" customHeight="1">
      <c r="A44" s="21" t="s">
        <v>100</v>
      </c>
      <c r="B44" s="19" t="s">
        <v>101</v>
      </c>
      <c r="C44" s="31">
        <v>5.0</v>
      </c>
      <c r="D44" s="18" t="s">
        <v>102</v>
      </c>
      <c r="E44" s="2"/>
      <c r="F44" s="2"/>
      <c r="G44" s="2"/>
      <c r="H44" s="3"/>
    </row>
    <row r="45" ht="21.75" customHeight="1">
      <c r="A45" s="15" t="s">
        <v>103</v>
      </c>
      <c r="B45" s="19" t="s">
        <v>57</v>
      </c>
      <c r="C45" s="31">
        <v>4.0</v>
      </c>
      <c r="D45" s="32" t="s">
        <v>104</v>
      </c>
      <c r="E45" s="2"/>
      <c r="F45" s="2"/>
      <c r="G45" s="2"/>
      <c r="H45" s="3"/>
    </row>
    <row r="46" ht="21.75" customHeight="1">
      <c r="A46" s="15" t="s">
        <v>105</v>
      </c>
      <c r="B46" s="19" t="s">
        <v>106</v>
      </c>
      <c r="C46" s="31">
        <v>6.0</v>
      </c>
      <c r="D46" s="18" t="s">
        <v>107</v>
      </c>
      <c r="E46" s="2"/>
      <c r="F46" s="2"/>
      <c r="G46" s="2"/>
      <c r="H46" s="3"/>
    </row>
    <row r="47" ht="21.75" customHeight="1">
      <c r="A47" s="15" t="s">
        <v>108</v>
      </c>
      <c r="B47" s="17" t="s">
        <v>46</v>
      </c>
      <c r="C47" s="31">
        <v>3.0</v>
      </c>
      <c r="D47" s="18" t="s">
        <v>109</v>
      </c>
      <c r="E47" s="2"/>
      <c r="F47" s="2"/>
      <c r="G47" s="2"/>
      <c r="H47" s="3"/>
    </row>
    <row r="48" ht="25.5" customHeight="1">
      <c r="A48" s="28" t="s">
        <v>110</v>
      </c>
      <c r="B48" s="3"/>
      <c r="C48" s="33">
        <f>SUM(C41:C47)</f>
        <v>36</v>
      </c>
      <c r="D48" s="34"/>
      <c r="E48" s="2"/>
      <c r="F48" s="2"/>
      <c r="G48" s="2"/>
      <c r="H48" s="3"/>
    </row>
    <row r="49" ht="27.75" customHeight="1">
      <c r="A49" s="4" t="s">
        <v>111</v>
      </c>
      <c r="B49" s="2"/>
      <c r="C49" s="2"/>
      <c r="D49" s="2"/>
      <c r="E49" s="2"/>
      <c r="F49" s="2"/>
      <c r="G49" s="2"/>
      <c r="H49" s="3"/>
    </row>
    <row r="50" ht="21.75" customHeight="1">
      <c r="A50" s="35" t="s">
        <v>112</v>
      </c>
      <c r="B50" s="2"/>
      <c r="C50" s="2"/>
      <c r="D50" s="2"/>
      <c r="E50" s="2"/>
      <c r="F50" s="2"/>
      <c r="G50" s="2"/>
      <c r="H50" s="3"/>
    </row>
    <row r="51" ht="30.0" customHeight="1">
      <c r="A51" s="9" t="s">
        <v>113</v>
      </c>
      <c r="B51" s="6" t="s">
        <v>114</v>
      </c>
      <c r="C51" s="2"/>
      <c r="D51" s="2"/>
      <c r="E51" s="2"/>
      <c r="F51" s="2"/>
      <c r="G51" s="2"/>
      <c r="H51" s="3"/>
    </row>
    <row r="52" ht="30.0" customHeight="1">
      <c r="A52" s="9" t="s">
        <v>115</v>
      </c>
      <c r="B52" s="6" t="s">
        <v>116</v>
      </c>
      <c r="C52" s="2"/>
      <c r="D52" s="2"/>
      <c r="E52" s="2"/>
      <c r="F52" s="2"/>
      <c r="G52" s="2"/>
      <c r="H52" s="3"/>
    </row>
    <row r="53" ht="30.0" customHeight="1">
      <c r="A53" s="9" t="s">
        <v>117</v>
      </c>
      <c r="B53" s="6" t="s">
        <v>118</v>
      </c>
      <c r="C53" s="2"/>
      <c r="D53" s="2"/>
      <c r="E53" s="2"/>
      <c r="F53" s="2"/>
      <c r="G53" s="2"/>
      <c r="H53" s="3"/>
    </row>
    <row r="54" ht="30.0" customHeight="1">
      <c r="A54" s="9" t="s">
        <v>119</v>
      </c>
      <c r="B54" s="6" t="s">
        <v>120</v>
      </c>
      <c r="C54" s="2"/>
      <c r="D54" s="2"/>
      <c r="E54" s="2"/>
      <c r="F54" s="2"/>
      <c r="G54" s="2"/>
      <c r="H54" s="3"/>
    </row>
    <row r="55" ht="27.75" customHeight="1">
      <c r="A55" s="4" t="s">
        <v>121</v>
      </c>
      <c r="B55" s="2"/>
      <c r="C55" s="2"/>
      <c r="D55" s="2"/>
      <c r="E55" s="2"/>
      <c r="F55" s="2"/>
      <c r="G55" s="2"/>
      <c r="H55" s="3"/>
    </row>
    <row r="56" ht="54.75" customHeight="1">
      <c r="A56" s="9" t="s">
        <v>122</v>
      </c>
      <c r="B56" s="10" t="s">
        <v>123</v>
      </c>
      <c r="C56" s="2"/>
      <c r="D56" s="2"/>
      <c r="E56" s="2"/>
      <c r="F56" s="2"/>
      <c r="G56" s="2"/>
      <c r="H56" s="3"/>
    </row>
    <row r="57" ht="39.75" customHeight="1">
      <c r="A57" s="9" t="s">
        <v>124</v>
      </c>
      <c r="B57" s="10" t="s">
        <v>125</v>
      </c>
      <c r="C57" s="2"/>
      <c r="D57" s="2"/>
      <c r="E57" s="2"/>
      <c r="F57" s="2"/>
      <c r="G57" s="2"/>
      <c r="H57" s="3"/>
    </row>
    <row r="58" ht="27.75" customHeight="1">
      <c r="A58" s="4" t="s">
        <v>126</v>
      </c>
      <c r="B58" s="2"/>
      <c r="C58" s="2"/>
      <c r="D58" s="2"/>
      <c r="E58" s="2"/>
      <c r="F58" s="2"/>
      <c r="G58" s="2"/>
      <c r="H58" s="3"/>
    </row>
    <row r="59" ht="54.75" customHeight="1">
      <c r="A59" s="5" t="s">
        <v>127</v>
      </c>
      <c r="B59" s="8" t="s">
        <v>128</v>
      </c>
      <c r="C59" s="2"/>
      <c r="D59" s="2"/>
      <c r="E59" s="2"/>
      <c r="F59" s="2"/>
      <c r="G59" s="2"/>
      <c r="H59" s="3"/>
    </row>
    <row r="60" ht="39.75" customHeight="1">
      <c r="A60" s="5" t="s">
        <v>129</v>
      </c>
      <c r="B60" s="6" t="s">
        <v>130</v>
      </c>
      <c r="C60" s="2"/>
      <c r="D60" s="2"/>
      <c r="E60" s="2"/>
      <c r="F60" s="2"/>
      <c r="G60" s="2"/>
      <c r="H60" s="3"/>
    </row>
    <row r="61" ht="30.0" customHeight="1">
      <c r="A61" s="5" t="s">
        <v>131</v>
      </c>
      <c r="B61" s="6" t="s">
        <v>132</v>
      </c>
      <c r="C61" s="2"/>
      <c r="D61" s="2"/>
      <c r="E61" s="2"/>
      <c r="F61" s="2"/>
      <c r="G61" s="2"/>
      <c r="H61" s="3"/>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62">
    <mergeCell ref="D43:H43"/>
    <mergeCell ref="D44:H44"/>
    <mergeCell ref="D45:H45"/>
    <mergeCell ref="D46:H46"/>
    <mergeCell ref="D47:H47"/>
    <mergeCell ref="A48:B48"/>
    <mergeCell ref="D48:H48"/>
    <mergeCell ref="A49:H49"/>
    <mergeCell ref="A50:H50"/>
    <mergeCell ref="B51:H51"/>
    <mergeCell ref="B52:H52"/>
    <mergeCell ref="B53:H53"/>
    <mergeCell ref="B54:H54"/>
    <mergeCell ref="A55:H55"/>
    <mergeCell ref="A1:H1"/>
    <mergeCell ref="A2:H2"/>
    <mergeCell ref="B3:H3"/>
    <mergeCell ref="B4:H4"/>
    <mergeCell ref="B5:H5"/>
    <mergeCell ref="B6:H6"/>
    <mergeCell ref="B7:H7"/>
    <mergeCell ref="A8:H8"/>
    <mergeCell ref="B9:H9"/>
    <mergeCell ref="B10:H10"/>
    <mergeCell ref="B11:H11"/>
    <mergeCell ref="B12:H12"/>
    <mergeCell ref="A13:H13"/>
    <mergeCell ref="B14:H14"/>
    <mergeCell ref="B15:H15"/>
    <mergeCell ref="A16:H16"/>
    <mergeCell ref="B17:H17"/>
    <mergeCell ref="B18:H18"/>
    <mergeCell ref="B19:H19"/>
    <mergeCell ref="A20:H20"/>
    <mergeCell ref="D21:H21"/>
    <mergeCell ref="D22:H22"/>
    <mergeCell ref="D23:H23"/>
    <mergeCell ref="D24:H24"/>
    <mergeCell ref="D25:H25"/>
    <mergeCell ref="D26:H26"/>
    <mergeCell ref="D27:H27"/>
    <mergeCell ref="D28:H28"/>
    <mergeCell ref="D29:H29"/>
    <mergeCell ref="D30:H30"/>
    <mergeCell ref="A31:H31"/>
    <mergeCell ref="F32:H32"/>
    <mergeCell ref="F33:H33"/>
    <mergeCell ref="F34:H34"/>
    <mergeCell ref="F35:H35"/>
    <mergeCell ref="F36:H36"/>
    <mergeCell ref="F37:H37"/>
    <mergeCell ref="A38:D38"/>
    <mergeCell ref="A39:H39"/>
    <mergeCell ref="D40:H40"/>
    <mergeCell ref="D41:H41"/>
    <mergeCell ref="D42:H42"/>
    <mergeCell ref="B56:H56"/>
    <mergeCell ref="B57:H57"/>
    <mergeCell ref="A58:H58"/>
    <mergeCell ref="B59:H59"/>
    <mergeCell ref="B60:H60"/>
    <mergeCell ref="B61:H61"/>
  </mergeCells>
  <hyperlinks>
    <hyperlink r:id="rId1" ref="F33"/>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8.0"/>
    <col customWidth="1" min="3" max="3" width="14.0"/>
    <col customWidth="1" min="4" max="5" width="16.0"/>
    <col customWidth="1" min="6" max="6" width="22.0"/>
    <col customWidth="1" min="7" max="8" width="12.0"/>
    <col customWidth="1" min="9" max="26" width="8.71"/>
  </cols>
  <sheetData>
    <row r="1" ht="39.75" customHeight="1">
      <c r="A1" s="1" t="s">
        <v>133</v>
      </c>
      <c r="B1" s="2"/>
      <c r="C1" s="2"/>
      <c r="D1" s="2"/>
      <c r="E1" s="2"/>
      <c r="F1" s="2"/>
      <c r="G1" s="2"/>
      <c r="H1" s="3"/>
    </row>
    <row r="2" ht="27.75" customHeight="1">
      <c r="A2" s="4" t="s">
        <v>134</v>
      </c>
      <c r="B2" s="2"/>
      <c r="C2" s="2"/>
      <c r="D2" s="2"/>
      <c r="E2" s="2"/>
      <c r="F2" s="2"/>
      <c r="G2" s="2"/>
      <c r="H2" s="3"/>
    </row>
    <row r="3" ht="30.0" customHeight="1">
      <c r="A3" s="5" t="s">
        <v>2</v>
      </c>
      <c r="B3" s="6" t="s">
        <v>135</v>
      </c>
      <c r="C3" s="2"/>
      <c r="D3" s="2"/>
      <c r="E3" s="2"/>
      <c r="F3" s="2"/>
      <c r="G3" s="2"/>
      <c r="H3" s="3"/>
    </row>
    <row r="4" ht="30.0" customHeight="1">
      <c r="A4" s="5" t="s">
        <v>4</v>
      </c>
      <c r="B4" s="6" t="s">
        <v>5</v>
      </c>
      <c r="C4" s="2"/>
      <c r="D4" s="2"/>
      <c r="E4" s="2"/>
      <c r="F4" s="2"/>
      <c r="G4" s="2"/>
      <c r="H4" s="3"/>
    </row>
    <row r="5" ht="30.0" customHeight="1">
      <c r="A5" s="5" t="s">
        <v>6</v>
      </c>
      <c r="B5" s="7" t="s">
        <v>7</v>
      </c>
      <c r="C5" s="2"/>
      <c r="D5" s="2"/>
      <c r="E5" s="2"/>
      <c r="F5" s="2"/>
      <c r="G5" s="2"/>
      <c r="H5" s="3"/>
    </row>
    <row r="6" ht="30.0" customHeight="1">
      <c r="A6" s="5" t="s">
        <v>8</v>
      </c>
      <c r="B6" s="6" t="s">
        <v>136</v>
      </c>
      <c r="C6" s="2"/>
      <c r="D6" s="2"/>
      <c r="E6" s="2"/>
      <c r="F6" s="2"/>
      <c r="G6" s="2"/>
      <c r="H6" s="3"/>
    </row>
    <row r="7" ht="54.75" customHeight="1">
      <c r="A7" s="5" t="s">
        <v>10</v>
      </c>
      <c r="B7" s="6" t="s">
        <v>137</v>
      </c>
      <c r="C7" s="2"/>
      <c r="D7" s="2"/>
      <c r="E7" s="2"/>
      <c r="F7" s="2"/>
      <c r="G7" s="2"/>
      <c r="H7" s="3"/>
    </row>
    <row r="8" ht="27.75" customHeight="1">
      <c r="A8" s="4" t="s">
        <v>138</v>
      </c>
      <c r="B8" s="2"/>
      <c r="C8" s="2"/>
      <c r="D8" s="2"/>
      <c r="E8" s="2"/>
      <c r="F8" s="2"/>
      <c r="G8" s="2"/>
      <c r="H8" s="3"/>
    </row>
    <row r="9" ht="39.75" customHeight="1">
      <c r="A9" s="5" t="s">
        <v>13</v>
      </c>
      <c r="B9" s="6" t="s">
        <v>139</v>
      </c>
      <c r="C9" s="2"/>
      <c r="D9" s="2"/>
      <c r="E9" s="2"/>
      <c r="F9" s="2"/>
      <c r="G9" s="2"/>
      <c r="H9" s="3"/>
    </row>
    <row r="10" ht="39.75" customHeight="1">
      <c r="A10" s="5" t="s">
        <v>15</v>
      </c>
      <c r="B10" s="6" t="s">
        <v>140</v>
      </c>
      <c r="C10" s="2"/>
      <c r="D10" s="2"/>
      <c r="E10" s="2"/>
      <c r="F10" s="2"/>
      <c r="G10" s="2"/>
      <c r="H10" s="3"/>
    </row>
    <row r="11" ht="64.5" customHeight="1">
      <c r="A11" s="5" t="s">
        <v>17</v>
      </c>
      <c r="B11" s="6" t="s">
        <v>141</v>
      </c>
      <c r="C11" s="2"/>
      <c r="D11" s="2"/>
      <c r="E11" s="2"/>
      <c r="F11" s="2"/>
      <c r="G11" s="2"/>
      <c r="H11" s="3"/>
    </row>
    <row r="12" ht="54.75" customHeight="1">
      <c r="A12" s="9" t="s">
        <v>142</v>
      </c>
      <c r="B12" s="36" t="s">
        <v>143</v>
      </c>
      <c r="C12" s="2"/>
      <c r="D12" s="2"/>
      <c r="E12" s="2"/>
      <c r="F12" s="2"/>
      <c r="G12" s="2"/>
      <c r="H12" s="3"/>
    </row>
    <row r="13" ht="27.75" customHeight="1">
      <c r="A13" s="4" t="s">
        <v>144</v>
      </c>
      <c r="B13" s="2"/>
      <c r="C13" s="2"/>
      <c r="D13" s="2"/>
      <c r="E13" s="2"/>
      <c r="F13" s="2"/>
      <c r="G13" s="2"/>
      <c r="H13" s="3"/>
    </row>
    <row r="14" ht="30.0" customHeight="1">
      <c r="A14" s="5" t="s">
        <v>22</v>
      </c>
      <c r="B14" s="6" t="s">
        <v>145</v>
      </c>
      <c r="C14" s="2"/>
      <c r="D14" s="2"/>
      <c r="E14" s="2"/>
      <c r="F14" s="2"/>
      <c r="G14" s="2"/>
      <c r="H14" s="3"/>
    </row>
    <row r="15" ht="30.0" customHeight="1">
      <c r="A15" s="5" t="s">
        <v>24</v>
      </c>
      <c r="B15" s="6" t="s">
        <v>146</v>
      </c>
      <c r="C15" s="2"/>
      <c r="D15" s="2"/>
      <c r="E15" s="2"/>
      <c r="F15" s="2"/>
      <c r="G15" s="2"/>
      <c r="H15" s="3"/>
    </row>
    <row r="16" ht="27.75" customHeight="1">
      <c r="A16" s="4" t="s">
        <v>147</v>
      </c>
      <c r="B16" s="2"/>
      <c r="C16" s="2"/>
      <c r="D16" s="2"/>
      <c r="E16" s="2"/>
      <c r="F16" s="2"/>
      <c r="G16" s="2"/>
      <c r="H16" s="3"/>
    </row>
    <row r="17" ht="69.75" customHeight="1">
      <c r="A17" s="5" t="s">
        <v>148</v>
      </c>
      <c r="B17" s="7" t="s">
        <v>149</v>
      </c>
      <c r="C17" s="2"/>
      <c r="D17" s="2"/>
      <c r="E17" s="2"/>
      <c r="F17" s="2"/>
      <c r="G17" s="2"/>
      <c r="H17" s="3"/>
    </row>
    <row r="18" ht="30.0" customHeight="1">
      <c r="A18" s="5" t="s">
        <v>150</v>
      </c>
      <c r="B18" s="37" t="s">
        <v>151</v>
      </c>
      <c r="C18" s="2"/>
      <c r="D18" s="2"/>
      <c r="E18" s="2"/>
      <c r="F18" s="2"/>
      <c r="G18" s="2"/>
      <c r="H18" s="3"/>
    </row>
    <row r="19" ht="30.0" customHeight="1">
      <c r="A19" s="5" t="s">
        <v>152</v>
      </c>
      <c r="B19" s="7" t="s">
        <v>153</v>
      </c>
      <c r="C19" s="2"/>
      <c r="D19" s="2"/>
      <c r="E19" s="2"/>
      <c r="F19" s="2"/>
      <c r="G19" s="2"/>
      <c r="H19" s="3"/>
    </row>
    <row r="20" ht="39.75" customHeight="1">
      <c r="A20" s="11"/>
      <c r="B20" s="38"/>
      <c r="C20" s="2"/>
      <c r="D20" s="2"/>
      <c r="E20" s="2"/>
      <c r="F20" s="2"/>
      <c r="G20" s="2"/>
      <c r="H20" s="3"/>
    </row>
    <row r="21" ht="27.75" customHeight="1">
      <c r="A21" s="4" t="s">
        <v>154</v>
      </c>
      <c r="B21" s="2"/>
      <c r="C21" s="2"/>
      <c r="D21" s="2"/>
      <c r="E21" s="2"/>
      <c r="F21" s="2"/>
      <c r="G21" s="2"/>
      <c r="H21" s="3"/>
    </row>
    <row r="22" ht="24.0" customHeight="1">
      <c r="A22" s="13" t="s">
        <v>32</v>
      </c>
      <c r="B22" s="13" t="s">
        <v>33</v>
      </c>
      <c r="C22" s="13" t="s">
        <v>34</v>
      </c>
      <c r="D22" s="14" t="s">
        <v>35</v>
      </c>
      <c r="E22" s="2"/>
      <c r="F22" s="2"/>
      <c r="G22" s="2"/>
      <c r="H22" s="3"/>
    </row>
    <row r="23" ht="21.75" customHeight="1">
      <c r="A23" s="15" t="s">
        <v>155</v>
      </c>
      <c r="B23" s="16" t="s">
        <v>156</v>
      </c>
      <c r="C23" s="17" t="s">
        <v>38</v>
      </c>
      <c r="D23" s="18" t="s">
        <v>157</v>
      </c>
      <c r="E23" s="2"/>
      <c r="F23" s="2"/>
      <c r="G23" s="2"/>
      <c r="H23" s="3"/>
    </row>
    <row r="24" ht="21.75" customHeight="1">
      <c r="A24" s="15" t="s">
        <v>158</v>
      </c>
      <c r="B24" s="16" t="s">
        <v>159</v>
      </c>
      <c r="C24" s="17" t="s">
        <v>38</v>
      </c>
      <c r="D24" s="32" t="s">
        <v>160</v>
      </c>
      <c r="E24" s="2"/>
      <c r="F24" s="2"/>
      <c r="G24" s="2"/>
      <c r="H24" s="3"/>
    </row>
    <row r="25" ht="21.75" customHeight="1">
      <c r="A25" s="15" t="s">
        <v>161</v>
      </c>
      <c r="B25" s="16" t="s">
        <v>162</v>
      </c>
      <c r="C25" s="17" t="s">
        <v>38</v>
      </c>
      <c r="D25" s="18" t="s">
        <v>163</v>
      </c>
      <c r="E25" s="2"/>
      <c r="F25" s="2"/>
      <c r="G25" s="2"/>
      <c r="H25" s="3"/>
    </row>
    <row r="26" ht="21.75" customHeight="1">
      <c r="A26" s="15" t="s">
        <v>164</v>
      </c>
      <c r="B26" s="16" t="s">
        <v>165</v>
      </c>
      <c r="C26" s="19" t="s">
        <v>166</v>
      </c>
      <c r="D26" s="18" t="s">
        <v>167</v>
      </c>
      <c r="E26" s="2"/>
      <c r="F26" s="2"/>
      <c r="G26" s="2"/>
      <c r="H26" s="3"/>
    </row>
    <row r="27" ht="21.75" customHeight="1">
      <c r="A27" s="15" t="s">
        <v>168</v>
      </c>
      <c r="B27" s="16" t="s">
        <v>169</v>
      </c>
      <c r="C27" s="19" t="s">
        <v>170</v>
      </c>
      <c r="D27" s="18" t="s">
        <v>171</v>
      </c>
      <c r="E27" s="2"/>
      <c r="F27" s="2"/>
      <c r="G27" s="2"/>
      <c r="H27" s="3"/>
    </row>
    <row r="28" ht="21.75" customHeight="1">
      <c r="A28" s="15" t="s">
        <v>172</v>
      </c>
      <c r="B28" s="16" t="s">
        <v>173</v>
      </c>
      <c r="C28" s="19" t="s">
        <v>174</v>
      </c>
      <c r="D28" s="32" t="s">
        <v>175</v>
      </c>
      <c r="E28" s="2"/>
      <c r="F28" s="2"/>
      <c r="G28" s="2"/>
      <c r="H28" s="3"/>
    </row>
    <row r="29" ht="21.75" customHeight="1">
      <c r="A29" s="21" t="s">
        <v>176</v>
      </c>
      <c r="B29" s="16" t="s">
        <v>177</v>
      </c>
      <c r="C29" s="19" t="s">
        <v>178</v>
      </c>
      <c r="D29" s="18" t="s">
        <v>179</v>
      </c>
      <c r="E29" s="2"/>
      <c r="F29" s="2"/>
      <c r="G29" s="2"/>
      <c r="H29" s="3"/>
    </row>
    <row r="30" ht="21.75" customHeight="1">
      <c r="A30" s="15" t="s">
        <v>66</v>
      </c>
      <c r="B30" s="16" t="s">
        <v>180</v>
      </c>
      <c r="C30" s="17" t="s">
        <v>38</v>
      </c>
      <c r="D30" s="18" t="s">
        <v>181</v>
      </c>
      <c r="E30" s="2"/>
      <c r="F30" s="2"/>
      <c r="G30" s="2"/>
      <c r="H30" s="3"/>
    </row>
    <row r="31" ht="27.75" customHeight="1">
      <c r="A31" s="4" t="s">
        <v>182</v>
      </c>
      <c r="B31" s="2"/>
      <c r="C31" s="2"/>
      <c r="D31" s="2"/>
      <c r="E31" s="2"/>
      <c r="F31" s="2"/>
      <c r="G31" s="2"/>
      <c r="H31" s="3"/>
    </row>
    <row r="32" ht="24.0" customHeight="1">
      <c r="A32" s="13" t="s">
        <v>70</v>
      </c>
      <c r="B32" s="13" t="s">
        <v>71</v>
      </c>
      <c r="C32" s="13" t="s">
        <v>72</v>
      </c>
      <c r="D32" s="13" t="s">
        <v>183</v>
      </c>
      <c r="E32" s="13" t="s">
        <v>184</v>
      </c>
      <c r="F32" s="13" t="s">
        <v>75</v>
      </c>
      <c r="G32" s="13"/>
      <c r="H32" s="13"/>
    </row>
    <row r="33" ht="21.75" customHeight="1">
      <c r="A33" s="15" t="s">
        <v>185</v>
      </c>
      <c r="B33" s="26">
        <v>5.0</v>
      </c>
      <c r="C33" s="15" t="s">
        <v>186</v>
      </c>
      <c r="D33" s="27">
        <v>20000.0</v>
      </c>
      <c r="E33" s="24">
        <f t="shared" ref="E33:E38" si="1">B33*D33</f>
        <v>100000</v>
      </c>
      <c r="F33" s="21" t="s">
        <v>187</v>
      </c>
      <c r="G33" s="39"/>
      <c r="H33" s="39"/>
    </row>
    <row r="34" ht="21.75" customHeight="1">
      <c r="A34" s="15" t="s">
        <v>188</v>
      </c>
      <c r="B34" s="26">
        <v>5.0</v>
      </c>
      <c r="C34" s="15" t="s">
        <v>77</v>
      </c>
      <c r="D34" s="27">
        <v>30000.0</v>
      </c>
      <c r="E34" s="24">
        <f t="shared" si="1"/>
        <v>150000</v>
      </c>
      <c r="F34" s="21" t="s">
        <v>189</v>
      </c>
      <c r="G34" s="39"/>
      <c r="H34" s="39"/>
    </row>
    <row r="35" ht="21.75" customHeight="1">
      <c r="A35" s="15" t="s">
        <v>190</v>
      </c>
      <c r="B35" s="26">
        <v>5.0</v>
      </c>
      <c r="C35" s="15" t="s">
        <v>186</v>
      </c>
      <c r="D35" s="27">
        <v>3000.0</v>
      </c>
      <c r="E35" s="24">
        <f t="shared" si="1"/>
        <v>15000</v>
      </c>
      <c r="F35" s="15" t="s">
        <v>191</v>
      </c>
      <c r="G35" s="39"/>
      <c r="H35" s="39"/>
    </row>
    <row r="36" ht="21.75" customHeight="1">
      <c r="A36" s="21" t="s">
        <v>192</v>
      </c>
      <c r="B36" s="26">
        <v>1.0</v>
      </c>
      <c r="C36" s="15" t="s">
        <v>80</v>
      </c>
      <c r="D36" s="27">
        <v>5000.0</v>
      </c>
      <c r="E36" s="24">
        <f t="shared" si="1"/>
        <v>5000</v>
      </c>
      <c r="F36" s="15" t="s">
        <v>193</v>
      </c>
      <c r="G36" s="39"/>
      <c r="H36" s="39"/>
    </row>
    <row r="37" ht="21.75" customHeight="1">
      <c r="A37" s="15" t="s">
        <v>194</v>
      </c>
      <c r="B37" s="26">
        <v>5.0</v>
      </c>
      <c r="C37" s="15" t="s">
        <v>195</v>
      </c>
      <c r="D37" s="27">
        <v>3000.0</v>
      </c>
      <c r="E37" s="24">
        <f t="shared" si="1"/>
        <v>15000</v>
      </c>
      <c r="F37" s="15" t="s">
        <v>196</v>
      </c>
      <c r="G37" s="39"/>
      <c r="H37" s="39"/>
    </row>
    <row r="38" ht="21.75" customHeight="1">
      <c r="A38" s="15" t="s">
        <v>87</v>
      </c>
      <c r="B38" s="26">
        <v>1.0</v>
      </c>
      <c r="C38" s="15" t="s">
        <v>80</v>
      </c>
      <c r="D38" s="27">
        <v>10000.0</v>
      </c>
      <c r="E38" s="24">
        <f t="shared" si="1"/>
        <v>10000</v>
      </c>
      <c r="F38" s="15" t="s">
        <v>197</v>
      </c>
      <c r="G38" s="39"/>
      <c r="H38" s="39"/>
    </row>
    <row r="39" ht="25.5" customHeight="1">
      <c r="A39" s="28" t="s">
        <v>89</v>
      </c>
      <c r="B39" s="2"/>
      <c r="C39" s="2"/>
      <c r="D39" s="3"/>
      <c r="E39" s="29">
        <f>SUM(E33:E38)</f>
        <v>295000</v>
      </c>
      <c r="F39" s="30"/>
      <c r="G39" s="30"/>
      <c r="H39" s="30"/>
    </row>
    <row r="40" ht="27.75" customHeight="1">
      <c r="A40" s="4" t="s">
        <v>198</v>
      </c>
      <c r="B40" s="2"/>
      <c r="C40" s="2"/>
      <c r="D40" s="2"/>
      <c r="E40" s="2"/>
      <c r="F40" s="2"/>
      <c r="G40" s="2"/>
      <c r="H40" s="3"/>
    </row>
    <row r="41" ht="24.0" customHeight="1">
      <c r="A41" s="13" t="s">
        <v>91</v>
      </c>
      <c r="B41" s="13" t="s">
        <v>92</v>
      </c>
      <c r="C41" s="13" t="s">
        <v>199</v>
      </c>
      <c r="D41" s="14" t="s">
        <v>75</v>
      </c>
      <c r="E41" s="2"/>
      <c r="F41" s="2"/>
      <c r="G41" s="2"/>
      <c r="H41" s="3"/>
    </row>
    <row r="42" ht="21.75" customHeight="1">
      <c r="A42" s="15" t="s">
        <v>200</v>
      </c>
      <c r="B42" s="17" t="s">
        <v>38</v>
      </c>
      <c r="C42" s="31">
        <v>6.0</v>
      </c>
      <c r="D42" s="18" t="s">
        <v>201</v>
      </c>
      <c r="E42" s="2"/>
      <c r="F42" s="2"/>
      <c r="G42" s="2"/>
      <c r="H42" s="3"/>
    </row>
    <row r="43" ht="21.75" customHeight="1">
      <c r="A43" s="15" t="s">
        <v>161</v>
      </c>
      <c r="B43" s="17" t="s">
        <v>38</v>
      </c>
      <c r="C43" s="31">
        <v>4.0</v>
      </c>
      <c r="D43" s="18" t="s">
        <v>202</v>
      </c>
      <c r="E43" s="2"/>
      <c r="F43" s="2"/>
      <c r="G43" s="2"/>
      <c r="H43" s="3"/>
    </row>
    <row r="44" ht="21.75" customHeight="1">
      <c r="A44" s="15" t="s">
        <v>203</v>
      </c>
      <c r="B44" s="19" t="s">
        <v>166</v>
      </c>
      <c r="C44" s="31">
        <v>15.0</v>
      </c>
      <c r="D44" s="32" t="s">
        <v>204</v>
      </c>
      <c r="E44" s="2"/>
      <c r="F44" s="2"/>
      <c r="G44" s="2"/>
      <c r="H44" s="3"/>
    </row>
    <row r="45" ht="21.75" customHeight="1">
      <c r="A45" s="15" t="s">
        <v>205</v>
      </c>
      <c r="B45" s="17" t="s">
        <v>38</v>
      </c>
      <c r="C45" s="31">
        <v>10.0</v>
      </c>
      <c r="D45" s="32" t="s">
        <v>206</v>
      </c>
      <c r="E45" s="2"/>
      <c r="F45" s="2"/>
      <c r="G45" s="2"/>
      <c r="H45" s="3"/>
    </row>
    <row r="46" ht="21.75" customHeight="1">
      <c r="A46" s="15" t="s">
        <v>207</v>
      </c>
      <c r="B46" s="15" t="s">
        <v>208</v>
      </c>
      <c r="C46" s="31">
        <v>50.0</v>
      </c>
      <c r="D46" s="32" t="s">
        <v>209</v>
      </c>
      <c r="E46" s="2"/>
      <c r="F46" s="2"/>
      <c r="G46" s="2"/>
      <c r="H46" s="3"/>
    </row>
    <row r="47" ht="21.75" customHeight="1">
      <c r="A47" s="21" t="s">
        <v>210</v>
      </c>
      <c r="B47" s="19" t="s">
        <v>178</v>
      </c>
      <c r="C47" s="31">
        <v>8.0</v>
      </c>
      <c r="D47" s="18" t="s">
        <v>211</v>
      </c>
      <c r="E47" s="2"/>
      <c r="F47" s="2"/>
      <c r="G47" s="2"/>
      <c r="H47" s="3"/>
    </row>
    <row r="48" ht="21.75" customHeight="1">
      <c r="A48" s="15" t="s">
        <v>108</v>
      </c>
      <c r="B48" s="17" t="s">
        <v>38</v>
      </c>
      <c r="C48" s="31">
        <v>3.0</v>
      </c>
      <c r="D48" s="18" t="s">
        <v>212</v>
      </c>
      <c r="E48" s="2"/>
      <c r="F48" s="2"/>
      <c r="G48" s="2"/>
      <c r="H48" s="3"/>
    </row>
    <row r="49" ht="25.5" customHeight="1">
      <c r="A49" s="28" t="s">
        <v>110</v>
      </c>
      <c r="B49" s="3"/>
      <c r="C49" s="33">
        <f>SUM(C42:C48)</f>
        <v>96</v>
      </c>
      <c r="D49" s="30"/>
      <c r="E49" s="30"/>
      <c r="F49" s="30"/>
      <c r="G49" s="30"/>
      <c r="H49" s="30"/>
    </row>
    <row r="50" ht="27.75" customHeight="1">
      <c r="A50" s="4" t="s">
        <v>213</v>
      </c>
      <c r="B50" s="2"/>
      <c r="C50" s="2"/>
      <c r="D50" s="2"/>
      <c r="E50" s="2"/>
      <c r="F50" s="2"/>
      <c r="G50" s="2"/>
      <c r="H50" s="3"/>
    </row>
    <row r="51" ht="21.75" customHeight="1">
      <c r="A51" s="35" t="s">
        <v>112</v>
      </c>
      <c r="B51" s="2"/>
      <c r="C51" s="2"/>
      <c r="D51" s="2"/>
      <c r="E51" s="2"/>
      <c r="F51" s="2"/>
      <c r="G51" s="2"/>
      <c r="H51" s="3"/>
    </row>
    <row r="52" ht="30.0" customHeight="1">
      <c r="A52" s="9" t="s">
        <v>214</v>
      </c>
      <c r="B52" s="6" t="s">
        <v>215</v>
      </c>
      <c r="C52" s="2"/>
      <c r="D52" s="2"/>
      <c r="E52" s="2"/>
      <c r="F52" s="2"/>
      <c r="G52" s="2"/>
      <c r="H52" s="3"/>
    </row>
    <row r="53" ht="30.0" customHeight="1">
      <c r="A53" s="9" t="s">
        <v>216</v>
      </c>
      <c r="B53" s="6" t="s">
        <v>217</v>
      </c>
      <c r="C53" s="2"/>
      <c r="D53" s="2"/>
      <c r="E53" s="2"/>
      <c r="F53" s="2"/>
      <c r="G53" s="2"/>
      <c r="H53" s="3"/>
    </row>
    <row r="54" ht="30.0" customHeight="1">
      <c r="A54" s="9" t="s">
        <v>218</v>
      </c>
      <c r="B54" s="6" t="s">
        <v>219</v>
      </c>
      <c r="C54" s="2"/>
      <c r="D54" s="2"/>
      <c r="E54" s="2"/>
      <c r="F54" s="2"/>
      <c r="G54" s="2"/>
      <c r="H54" s="3"/>
    </row>
    <row r="55" ht="30.0" customHeight="1">
      <c r="A55" s="9" t="s">
        <v>220</v>
      </c>
      <c r="B55" s="6" t="s">
        <v>221</v>
      </c>
      <c r="C55" s="2"/>
      <c r="D55" s="2"/>
      <c r="E55" s="2"/>
      <c r="F55" s="2"/>
      <c r="G55" s="2"/>
      <c r="H55" s="3"/>
    </row>
    <row r="56" ht="30.0" customHeight="1">
      <c r="A56" s="9" t="s">
        <v>222</v>
      </c>
      <c r="B56" s="6" t="s">
        <v>223</v>
      </c>
      <c r="C56" s="2"/>
      <c r="D56" s="2"/>
      <c r="E56" s="2"/>
      <c r="F56" s="2"/>
      <c r="G56" s="2"/>
      <c r="H56" s="3"/>
    </row>
    <row r="57" ht="27.75" customHeight="1">
      <c r="A57" s="4" t="s">
        <v>224</v>
      </c>
      <c r="B57" s="2"/>
      <c r="C57" s="2"/>
      <c r="D57" s="2"/>
      <c r="E57" s="2"/>
      <c r="F57" s="2"/>
      <c r="G57" s="2"/>
      <c r="H57" s="3"/>
    </row>
    <row r="58" ht="54.75" customHeight="1">
      <c r="A58" s="9" t="s">
        <v>225</v>
      </c>
      <c r="B58" s="36" t="s">
        <v>226</v>
      </c>
      <c r="C58" s="2"/>
      <c r="D58" s="2"/>
      <c r="E58" s="2"/>
      <c r="F58" s="2"/>
      <c r="G58" s="2"/>
      <c r="H58" s="3"/>
    </row>
    <row r="59" ht="39.75" customHeight="1">
      <c r="A59" s="9" t="s">
        <v>227</v>
      </c>
      <c r="B59" s="36" t="s">
        <v>228</v>
      </c>
      <c r="C59" s="2"/>
      <c r="D59" s="2"/>
      <c r="E59" s="2"/>
      <c r="F59" s="2"/>
      <c r="G59" s="2"/>
      <c r="H59" s="3"/>
    </row>
    <row r="60" ht="27.75" customHeight="1">
      <c r="A60" s="4" t="s">
        <v>229</v>
      </c>
      <c r="B60" s="2"/>
      <c r="C60" s="2"/>
      <c r="D60" s="2"/>
      <c r="E60" s="2"/>
      <c r="F60" s="2"/>
      <c r="G60" s="2"/>
      <c r="H60" s="3"/>
    </row>
    <row r="61" ht="54.75" customHeight="1">
      <c r="A61" s="5" t="s">
        <v>127</v>
      </c>
      <c r="B61" s="6" t="s">
        <v>230</v>
      </c>
      <c r="C61" s="2"/>
      <c r="D61" s="2"/>
      <c r="E61" s="2"/>
      <c r="F61" s="2"/>
      <c r="G61" s="2"/>
      <c r="H61" s="3"/>
    </row>
    <row r="62" ht="39.75" customHeight="1">
      <c r="A62" s="5" t="s">
        <v>129</v>
      </c>
      <c r="B62" s="6" t="s">
        <v>231</v>
      </c>
      <c r="C62" s="2"/>
      <c r="D62" s="2"/>
      <c r="E62" s="2"/>
      <c r="F62" s="2"/>
      <c r="G62" s="2"/>
      <c r="H62" s="3"/>
    </row>
    <row r="63" ht="30.0" customHeight="1">
      <c r="A63" s="5" t="s">
        <v>131</v>
      </c>
      <c r="B63" s="6" t="s">
        <v>232</v>
      </c>
      <c r="C63" s="2"/>
      <c r="D63" s="2"/>
      <c r="E63" s="2"/>
      <c r="F63" s="2"/>
      <c r="G63" s="2"/>
      <c r="H63" s="3"/>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1:H1"/>
    <mergeCell ref="A2:H2"/>
    <mergeCell ref="B3:H3"/>
    <mergeCell ref="B4:H4"/>
    <mergeCell ref="B5:H5"/>
    <mergeCell ref="B6:H6"/>
    <mergeCell ref="B7:H7"/>
    <mergeCell ref="A8:H8"/>
    <mergeCell ref="B9:H9"/>
    <mergeCell ref="B10:H10"/>
    <mergeCell ref="B11:H11"/>
    <mergeCell ref="B12:H12"/>
    <mergeCell ref="A13:H13"/>
    <mergeCell ref="B14:H14"/>
    <mergeCell ref="B15:H15"/>
    <mergeCell ref="A16:H16"/>
    <mergeCell ref="B17:H17"/>
    <mergeCell ref="B18:H18"/>
    <mergeCell ref="B19:H19"/>
    <mergeCell ref="B20:H20"/>
    <mergeCell ref="A21:H21"/>
    <mergeCell ref="D22:H22"/>
    <mergeCell ref="D23:H23"/>
    <mergeCell ref="D24:H24"/>
    <mergeCell ref="D25:H25"/>
    <mergeCell ref="D26:H26"/>
    <mergeCell ref="D27:H27"/>
    <mergeCell ref="D28:H28"/>
    <mergeCell ref="D29:H29"/>
    <mergeCell ref="D30:H30"/>
    <mergeCell ref="A31:H31"/>
    <mergeCell ref="A39:D39"/>
    <mergeCell ref="A40:H40"/>
    <mergeCell ref="D41:H41"/>
    <mergeCell ref="D42:H42"/>
    <mergeCell ref="D43:H43"/>
    <mergeCell ref="D44:H44"/>
    <mergeCell ref="D45:H45"/>
    <mergeCell ref="D46:H46"/>
    <mergeCell ref="D47:H47"/>
    <mergeCell ref="D48:H48"/>
    <mergeCell ref="A49:B49"/>
    <mergeCell ref="A57:H57"/>
    <mergeCell ref="B58:H58"/>
    <mergeCell ref="B59:H59"/>
    <mergeCell ref="A60:H60"/>
    <mergeCell ref="B61:H61"/>
    <mergeCell ref="B62:H62"/>
    <mergeCell ref="B63:H63"/>
    <mergeCell ref="A50:H50"/>
    <mergeCell ref="A51:H51"/>
    <mergeCell ref="B52:H52"/>
    <mergeCell ref="B53:H53"/>
    <mergeCell ref="B54:H54"/>
    <mergeCell ref="B55:H55"/>
    <mergeCell ref="B56:H56"/>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8.0"/>
    <col customWidth="1" min="3" max="3" width="14.0"/>
    <col customWidth="1" min="4" max="5" width="16.0"/>
    <col customWidth="1" min="6" max="6" width="22.0"/>
    <col customWidth="1" min="7" max="8" width="12.0"/>
    <col customWidth="1" min="9" max="26" width="8.71"/>
  </cols>
  <sheetData>
    <row r="1" ht="39.75" customHeight="1">
      <c r="A1" s="1" t="s">
        <v>233</v>
      </c>
      <c r="B1" s="2"/>
      <c r="C1" s="2"/>
      <c r="D1" s="2"/>
      <c r="E1" s="2"/>
      <c r="F1" s="2"/>
      <c r="G1" s="2"/>
      <c r="H1" s="3"/>
    </row>
    <row r="2" ht="27.75" customHeight="1">
      <c r="A2" s="4" t="s">
        <v>234</v>
      </c>
      <c r="B2" s="2"/>
      <c r="C2" s="2"/>
      <c r="D2" s="2"/>
      <c r="E2" s="2"/>
      <c r="F2" s="2"/>
      <c r="G2" s="2"/>
      <c r="H2" s="3"/>
    </row>
    <row r="3" ht="30.0" customHeight="1">
      <c r="A3" s="5" t="s">
        <v>2</v>
      </c>
      <c r="B3" s="7" t="s">
        <v>235</v>
      </c>
      <c r="C3" s="2"/>
      <c r="D3" s="2"/>
      <c r="E3" s="2"/>
      <c r="F3" s="2"/>
      <c r="G3" s="2"/>
      <c r="H3" s="3"/>
    </row>
    <row r="4" ht="30.0" customHeight="1">
      <c r="A4" s="5" t="s">
        <v>4</v>
      </c>
      <c r="B4" s="40" t="s">
        <v>236</v>
      </c>
      <c r="C4" s="2"/>
      <c r="D4" s="2"/>
      <c r="E4" s="2"/>
      <c r="F4" s="2"/>
      <c r="G4" s="2"/>
      <c r="H4" s="3"/>
    </row>
    <row r="5" ht="30.0" customHeight="1">
      <c r="A5" s="5" t="s">
        <v>6</v>
      </c>
      <c r="B5" s="7" t="s">
        <v>237</v>
      </c>
      <c r="C5" s="2"/>
      <c r="D5" s="2"/>
      <c r="E5" s="2"/>
      <c r="F5" s="2"/>
      <c r="G5" s="2"/>
      <c r="H5" s="3"/>
    </row>
    <row r="6" ht="30.0" customHeight="1">
      <c r="A6" s="5" t="s">
        <v>8</v>
      </c>
      <c r="B6" s="6" t="s">
        <v>238</v>
      </c>
      <c r="C6" s="2"/>
      <c r="D6" s="2"/>
      <c r="E6" s="2"/>
      <c r="F6" s="2"/>
      <c r="G6" s="2"/>
      <c r="H6" s="3"/>
    </row>
    <row r="7" ht="54.75" customHeight="1">
      <c r="A7" s="5" t="s">
        <v>10</v>
      </c>
      <c r="B7" s="6" t="s">
        <v>239</v>
      </c>
      <c r="C7" s="2"/>
      <c r="D7" s="2"/>
      <c r="E7" s="2"/>
      <c r="F7" s="2"/>
      <c r="G7" s="2"/>
      <c r="H7" s="3"/>
    </row>
    <row r="8" ht="27.75" customHeight="1">
      <c r="A8" s="4" t="s">
        <v>240</v>
      </c>
      <c r="B8" s="2"/>
      <c r="C8" s="2"/>
      <c r="D8" s="2"/>
      <c r="E8" s="2"/>
      <c r="F8" s="2"/>
      <c r="G8" s="2"/>
      <c r="H8" s="3"/>
    </row>
    <row r="9" ht="54.75" customHeight="1">
      <c r="A9" s="5" t="s">
        <v>13</v>
      </c>
      <c r="B9" s="6" t="s">
        <v>241</v>
      </c>
      <c r="C9" s="2"/>
      <c r="D9" s="2"/>
      <c r="E9" s="2"/>
      <c r="F9" s="2"/>
      <c r="G9" s="2"/>
      <c r="H9" s="3"/>
    </row>
    <row r="10" ht="45.0" customHeight="1">
      <c r="A10" s="5" t="s">
        <v>15</v>
      </c>
      <c r="B10" s="8" t="s">
        <v>242</v>
      </c>
      <c r="C10" s="2"/>
      <c r="D10" s="2"/>
      <c r="E10" s="2"/>
      <c r="F10" s="2"/>
      <c r="G10" s="2"/>
      <c r="H10" s="3"/>
    </row>
    <row r="11" ht="64.5" customHeight="1">
      <c r="A11" s="5" t="s">
        <v>17</v>
      </c>
      <c r="B11" s="6" t="s">
        <v>243</v>
      </c>
      <c r="C11" s="2"/>
      <c r="D11" s="2"/>
      <c r="E11" s="2"/>
      <c r="F11" s="2"/>
      <c r="G11" s="2"/>
      <c r="H11" s="3"/>
    </row>
    <row r="12" ht="54.75" customHeight="1">
      <c r="A12" s="9" t="s">
        <v>244</v>
      </c>
      <c r="B12" s="36" t="s">
        <v>245</v>
      </c>
      <c r="C12" s="2"/>
      <c r="D12" s="2"/>
      <c r="E12" s="2"/>
      <c r="F12" s="2"/>
      <c r="G12" s="2"/>
      <c r="H12" s="3"/>
    </row>
    <row r="13" ht="27.75" customHeight="1">
      <c r="A13" s="4" t="s">
        <v>246</v>
      </c>
      <c r="B13" s="2"/>
      <c r="C13" s="2"/>
      <c r="D13" s="2"/>
      <c r="E13" s="2"/>
      <c r="F13" s="2"/>
      <c r="G13" s="2"/>
      <c r="H13" s="3"/>
    </row>
    <row r="14" ht="30.0" customHeight="1">
      <c r="A14" s="5" t="s">
        <v>22</v>
      </c>
      <c r="B14" s="6" t="s">
        <v>247</v>
      </c>
      <c r="C14" s="2"/>
      <c r="D14" s="2"/>
      <c r="E14" s="2"/>
      <c r="F14" s="2"/>
      <c r="G14" s="2"/>
      <c r="H14" s="3"/>
    </row>
    <row r="15" ht="30.0" customHeight="1">
      <c r="A15" s="5" t="s">
        <v>24</v>
      </c>
      <c r="B15" s="7" t="s">
        <v>248</v>
      </c>
      <c r="C15" s="2"/>
      <c r="D15" s="2"/>
      <c r="E15" s="2"/>
      <c r="F15" s="2"/>
      <c r="G15" s="2"/>
      <c r="H15" s="3"/>
    </row>
    <row r="16" ht="27.75" customHeight="1">
      <c r="A16" s="4" t="s">
        <v>249</v>
      </c>
      <c r="B16" s="2"/>
      <c r="C16" s="2"/>
      <c r="D16" s="2"/>
      <c r="E16" s="2"/>
      <c r="F16" s="2"/>
      <c r="G16" s="2"/>
      <c r="H16" s="3"/>
    </row>
    <row r="17" ht="64.5" customHeight="1">
      <c r="A17" s="5" t="s">
        <v>250</v>
      </c>
      <c r="B17" s="6" t="s">
        <v>251</v>
      </c>
      <c r="C17" s="2"/>
      <c r="D17" s="2"/>
      <c r="E17" s="2"/>
      <c r="F17" s="2"/>
      <c r="G17" s="2"/>
      <c r="H17" s="3"/>
    </row>
    <row r="18" ht="54.75" customHeight="1">
      <c r="A18" s="5" t="s">
        <v>252</v>
      </c>
      <c r="B18" s="36" t="s">
        <v>253</v>
      </c>
      <c r="C18" s="2"/>
      <c r="D18" s="2"/>
      <c r="E18" s="2"/>
      <c r="F18" s="2"/>
      <c r="G18" s="2"/>
      <c r="H18" s="3"/>
    </row>
    <row r="19" ht="30.0" customHeight="1">
      <c r="A19" s="5" t="s">
        <v>254</v>
      </c>
      <c r="B19" s="6" t="s">
        <v>255</v>
      </c>
      <c r="C19" s="2"/>
      <c r="D19" s="2"/>
      <c r="E19" s="2"/>
      <c r="F19" s="2"/>
      <c r="G19" s="2"/>
      <c r="H19" s="3"/>
    </row>
    <row r="20" ht="39.75" customHeight="1">
      <c r="A20" s="11"/>
      <c r="B20" s="38"/>
      <c r="C20" s="2"/>
      <c r="D20" s="2"/>
      <c r="E20" s="2"/>
      <c r="F20" s="2"/>
      <c r="G20" s="2"/>
      <c r="H20" s="3"/>
    </row>
    <row r="21" ht="27.75" customHeight="1">
      <c r="A21" s="4" t="s">
        <v>256</v>
      </c>
      <c r="B21" s="2"/>
      <c r="C21" s="2"/>
      <c r="D21" s="2"/>
      <c r="E21" s="2"/>
      <c r="F21" s="2"/>
      <c r="G21" s="2"/>
      <c r="H21" s="3"/>
    </row>
    <row r="22" ht="24.0" customHeight="1">
      <c r="A22" s="13" t="s">
        <v>32</v>
      </c>
      <c r="B22" s="13" t="s">
        <v>33</v>
      </c>
      <c r="C22" s="13" t="s">
        <v>34</v>
      </c>
      <c r="D22" s="14" t="s">
        <v>35</v>
      </c>
      <c r="E22" s="2"/>
      <c r="F22" s="2"/>
      <c r="G22" s="2"/>
      <c r="H22" s="3"/>
    </row>
    <row r="23" ht="21.75" customHeight="1">
      <c r="A23" s="15" t="s">
        <v>257</v>
      </c>
      <c r="B23" s="16" t="s">
        <v>258</v>
      </c>
      <c r="C23" s="17" t="s">
        <v>259</v>
      </c>
      <c r="D23" s="18" t="s">
        <v>260</v>
      </c>
      <c r="E23" s="2"/>
      <c r="F23" s="2"/>
      <c r="G23" s="2"/>
      <c r="H23" s="3"/>
    </row>
    <row r="24" ht="21.75" customHeight="1">
      <c r="A24" s="15" t="s">
        <v>261</v>
      </c>
      <c r="B24" s="16" t="s">
        <v>262</v>
      </c>
      <c r="C24" s="19" t="s">
        <v>263</v>
      </c>
      <c r="D24" s="32" t="s">
        <v>264</v>
      </c>
      <c r="E24" s="2"/>
      <c r="F24" s="2"/>
      <c r="G24" s="2"/>
      <c r="H24" s="3"/>
    </row>
    <row r="25" ht="21.75" customHeight="1">
      <c r="A25" s="15" t="s">
        <v>265</v>
      </c>
      <c r="B25" s="16" t="s">
        <v>266</v>
      </c>
      <c r="C25" s="17" t="s">
        <v>46</v>
      </c>
      <c r="D25" s="32" t="s">
        <v>267</v>
      </c>
      <c r="E25" s="2"/>
      <c r="F25" s="2"/>
      <c r="G25" s="2"/>
      <c r="H25" s="3"/>
    </row>
    <row r="26" ht="21.75" customHeight="1">
      <c r="A26" s="15" t="s">
        <v>268</v>
      </c>
      <c r="B26" s="16" t="s">
        <v>269</v>
      </c>
      <c r="C26" s="17" t="s">
        <v>46</v>
      </c>
      <c r="D26" s="18" t="s">
        <v>270</v>
      </c>
      <c r="E26" s="2"/>
      <c r="F26" s="2"/>
      <c r="G26" s="2"/>
      <c r="H26" s="3"/>
    </row>
    <row r="27" ht="21.75" customHeight="1">
      <c r="A27" s="21" t="s">
        <v>271</v>
      </c>
      <c r="B27" s="16" t="s">
        <v>272</v>
      </c>
      <c r="C27" s="17" t="s">
        <v>273</v>
      </c>
      <c r="D27" s="18" t="s">
        <v>274</v>
      </c>
      <c r="E27" s="2"/>
      <c r="F27" s="2"/>
      <c r="G27" s="2"/>
      <c r="H27" s="3"/>
    </row>
    <row r="28" ht="21.75" customHeight="1">
      <c r="A28" s="15" t="s">
        <v>275</v>
      </c>
      <c r="B28" s="16" t="s">
        <v>276</v>
      </c>
      <c r="C28" s="17" t="s">
        <v>46</v>
      </c>
      <c r="D28" s="18" t="s">
        <v>277</v>
      </c>
      <c r="E28" s="2"/>
      <c r="F28" s="2"/>
      <c r="G28" s="2"/>
      <c r="H28" s="3"/>
    </row>
    <row r="29" ht="21.75" customHeight="1">
      <c r="A29" s="15" t="s">
        <v>278</v>
      </c>
      <c r="B29" s="16" t="s">
        <v>63</v>
      </c>
      <c r="C29" s="19" t="s">
        <v>279</v>
      </c>
      <c r="D29" s="18" t="s">
        <v>280</v>
      </c>
      <c r="E29" s="2"/>
      <c r="F29" s="2"/>
      <c r="G29" s="2"/>
      <c r="H29" s="3"/>
    </row>
    <row r="30" ht="21.75" customHeight="1">
      <c r="A30" s="15" t="s">
        <v>66</v>
      </c>
      <c r="B30" s="16" t="s">
        <v>281</v>
      </c>
      <c r="C30" s="17" t="s">
        <v>46</v>
      </c>
      <c r="D30" s="32" t="s">
        <v>282</v>
      </c>
      <c r="E30" s="2"/>
      <c r="F30" s="2"/>
      <c r="G30" s="2"/>
      <c r="H30" s="3"/>
    </row>
    <row r="31" ht="27.75" customHeight="1">
      <c r="A31" s="4" t="s">
        <v>283</v>
      </c>
      <c r="B31" s="2"/>
      <c r="C31" s="2"/>
      <c r="D31" s="2"/>
      <c r="E31" s="2"/>
      <c r="F31" s="2"/>
      <c r="G31" s="2"/>
      <c r="H31" s="3"/>
    </row>
    <row r="32" ht="24.0" customHeight="1">
      <c r="A32" s="13" t="s">
        <v>70</v>
      </c>
      <c r="B32" s="13" t="s">
        <v>71</v>
      </c>
      <c r="C32" s="13" t="s">
        <v>72</v>
      </c>
      <c r="D32" s="13" t="s">
        <v>284</v>
      </c>
      <c r="E32" s="13" t="s">
        <v>285</v>
      </c>
      <c r="F32" s="13" t="s">
        <v>75</v>
      </c>
      <c r="G32" s="13"/>
      <c r="H32" s="13"/>
    </row>
    <row r="33" ht="21.75" customHeight="1">
      <c r="A33" s="15" t="s">
        <v>286</v>
      </c>
      <c r="B33" s="26">
        <v>1500.0</v>
      </c>
      <c r="C33" s="15" t="s">
        <v>195</v>
      </c>
      <c r="D33" s="23">
        <v>160.0</v>
      </c>
      <c r="E33" s="24">
        <f t="shared" ref="E33:E37" si="1">B33*D33</f>
        <v>240000</v>
      </c>
      <c r="F33" s="41" t="s">
        <v>287</v>
      </c>
      <c r="G33" s="39"/>
      <c r="H33" s="39"/>
    </row>
    <row r="34" ht="21.75" customHeight="1">
      <c r="A34" s="15" t="s">
        <v>288</v>
      </c>
      <c r="B34" s="26">
        <v>1.0</v>
      </c>
      <c r="C34" s="15" t="s">
        <v>80</v>
      </c>
      <c r="D34" s="27">
        <v>20000.0</v>
      </c>
      <c r="E34" s="24">
        <f t="shared" si="1"/>
        <v>20000</v>
      </c>
      <c r="F34" s="19" t="s">
        <v>289</v>
      </c>
      <c r="G34" s="39"/>
      <c r="H34" s="39"/>
    </row>
    <row r="35" ht="21.75" customHeight="1">
      <c r="A35" s="21" t="s">
        <v>290</v>
      </c>
      <c r="B35" s="26">
        <v>5.0</v>
      </c>
      <c r="C35" s="15" t="s">
        <v>195</v>
      </c>
      <c r="D35" s="27">
        <v>2000.0</v>
      </c>
      <c r="E35" s="24">
        <f t="shared" si="1"/>
        <v>10000</v>
      </c>
      <c r="F35" s="19" t="s">
        <v>291</v>
      </c>
      <c r="G35" s="39"/>
      <c r="H35" s="39"/>
    </row>
    <row r="36" ht="21.75" customHeight="1">
      <c r="A36" s="15" t="s">
        <v>292</v>
      </c>
      <c r="B36" s="26">
        <v>1.0</v>
      </c>
      <c r="C36" s="15" t="s">
        <v>80</v>
      </c>
      <c r="D36" s="27">
        <v>5000.0</v>
      </c>
      <c r="E36" s="24">
        <f t="shared" si="1"/>
        <v>5000</v>
      </c>
      <c r="F36" s="15" t="s">
        <v>293</v>
      </c>
      <c r="G36" s="39"/>
      <c r="H36" s="39"/>
    </row>
    <row r="37" ht="21.75" customHeight="1">
      <c r="A37" s="15" t="s">
        <v>87</v>
      </c>
      <c r="B37" s="26">
        <v>1.0</v>
      </c>
      <c r="C37" s="15" t="s">
        <v>80</v>
      </c>
      <c r="D37" s="27">
        <v>5000.0</v>
      </c>
      <c r="E37" s="24">
        <f t="shared" si="1"/>
        <v>5000</v>
      </c>
      <c r="F37" s="15" t="s">
        <v>294</v>
      </c>
      <c r="G37" s="39"/>
      <c r="H37" s="39"/>
    </row>
    <row r="38" ht="25.5" customHeight="1">
      <c r="A38" s="28" t="s">
        <v>89</v>
      </c>
      <c r="B38" s="2"/>
      <c r="C38" s="2"/>
      <c r="D38" s="3"/>
      <c r="E38" s="29">
        <f>SUM(E33:E37)</f>
        <v>280000</v>
      </c>
      <c r="F38" s="30"/>
      <c r="G38" s="30"/>
      <c r="H38" s="30"/>
    </row>
    <row r="39" ht="27.75" customHeight="1">
      <c r="A39" s="4" t="s">
        <v>295</v>
      </c>
      <c r="B39" s="2"/>
      <c r="C39" s="2"/>
      <c r="D39" s="2"/>
      <c r="E39" s="2"/>
      <c r="F39" s="2"/>
      <c r="G39" s="2"/>
      <c r="H39" s="3"/>
    </row>
    <row r="40" ht="24.0" customHeight="1">
      <c r="A40" s="13" t="s">
        <v>91</v>
      </c>
      <c r="B40" s="13" t="s">
        <v>92</v>
      </c>
      <c r="C40" s="13" t="s">
        <v>296</v>
      </c>
      <c r="D40" s="14" t="s">
        <v>75</v>
      </c>
      <c r="E40" s="2"/>
      <c r="F40" s="2"/>
      <c r="G40" s="2"/>
      <c r="H40" s="3"/>
    </row>
    <row r="41" ht="21.75" customHeight="1">
      <c r="A41" s="15" t="s">
        <v>297</v>
      </c>
      <c r="B41" s="17" t="s">
        <v>236</v>
      </c>
      <c r="C41" s="42">
        <v>7.0</v>
      </c>
      <c r="D41" s="18" t="s">
        <v>298</v>
      </c>
      <c r="E41" s="2"/>
      <c r="F41" s="2"/>
      <c r="G41" s="2"/>
      <c r="H41" s="3"/>
    </row>
    <row r="42" ht="21.75" customHeight="1">
      <c r="A42" s="15" t="s">
        <v>299</v>
      </c>
      <c r="B42" s="17" t="s">
        <v>46</v>
      </c>
      <c r="C42" s="31">
        <v>3.0</v>
      </c>
      <c r="D42" s="43" t="s">
        <v>300</v>
      </c>
      <c r="E42" s="2"/>
      <c r="F42" s="2"/>
      <c r="G42" s="2"/>
      <c r="H42" s="3"/>
    </row>
    <row r="43" ht="21.75" customHeight="1">
      <c r="A43" s="15" t="s">
        <v>96</v>
      </c>
      <c r="B43" s="17" t="s">
        <v>301</v>
      </c>
      <c r="C43" s="42">
        <v>6.0</v>
      </c>
      <c r="D43" s="18" t="s">
        <v>302</v>
      </c>
      <c r="E43" s="2"/>
      <c r="F43" s="2"/>
      <c r="G43" s="2"/>
      <c r="H43" s="3"/>
    </row>
    <row r="44" ht="21.75" customHeight="1">
      <c r="A44" s="15" t="s">
        <v>303</v>
      </c>
      <c r="B44" s="17" t="s">
        <v>46</v>
      </c>
      <c r="C44" s="42">
        <v>4.0</v>
      </c>
      <c r="D44" s="18" t="s">
        <v>304</v>
      </c>
      <c r="E44" s="2"/>
      <c r="F44" s="2"/>
      <c r="G44" s="2"/>
      <c r="H44" s="3"/>
    </row>
    <row r="45" ht="21.75" customHeight="1">
      <c r="A45" s="21" t="s">
        <v>305</v>
      </c>
      <c r="B45" s="17" t="s">
        <v>306</v>
      </c>
      <c r="C45" s="42">
        <v>4.0</v>
      </c>
      <c r="D45" s="32" t="s">
        <v>307</v>
      </c>
      <c r="E45" s="2"/>
      <c r="F45" s="2"/>
      <c r="G45" s="2"/>
      <c r="H45" s="3"/>
    </row>
    <row r="46" ht="21.75" customHeight="1">
      <c r="A46" s="15" t="s">
        <v>308</v>
      </c>
      <c r="B46" s="19" t="s">
        <v>309</v>
      </c>
      <c r="C46" s="31">
        <v>4.0</v>
      </c>
      <c r="D46" s="18" t="s">
        <v>310</v>
      </c>
      <c r="E46" s="2"/>
      <c r="F46" s="2"/>
      <c r="G46" s="2"/>
      <c r="H46" s="3"/>
    </row>
    <row r="47" ht="21.75" customHeight="1">
      <c r="A47" s="15" t="s">
        <v>108</v>
      </c>
      <c r="B47" s="17" t="s">
        <v>236</v>
      </c>
      <c r="C47" s="31">
        <v>3.0</v>
      </c>
      <c r="D47" s="32" t="s">
        <v>311</v>
      </c>
      <c r="E47" s="2"/>
      <c r="F47" s="2"/>
      <c r="G47" s="2"/>
      <c r="H47" s="3"/>
    </row>
    <row r="48" ht="25.5" customHeight="1">
      <c r="A48" s="28" t="s">
        <v>110</v>
      </c>
      <c r="B48" s="3"/>
      <c r="C48" s="33">
        <f>SUM(C41:C47)</f>
        <v>31</v>
      </c>
      <c r="D48" s="30"/>
      <c r="E48" s="30"/>
      <c r="F48" s="30"/>
      <c r="G48" s="30"/>
      <c r="H48" s="30"/>
    </row>
    <row r="49" ht="27.75" customHeight="1">
      <c r="A49" s="4" t="s">
        <v>312</v>
      </c>
      <c r="B49" s="2"/>
      <c r="C49" s="2"/>
      <c r="D49" s="2"/>
      <c r="E49" s="2"/>
      <c r="F49" s="2"/>
      <c r="G49" s="2"/>
      <c r="H49" s="3"/>
    </row>
    <row r="50" ht="21.75" customHeight="1">
      <c r="A50" s="35" t="s">
        <v>112</v>
      </c>
      <c r="B50" s="2"/>
      <c r="C50" s="2"/>
      <c r="D50" s="2"/>
      <c r="E50" s="2"/>
      <c r="F50" s="2"/>
      <c r="G50" s="2"/>
      <c r="H50" s="3"/>
    </row>
    <row r="51" ht="30.0" customHeight="1">
      <c r="A51" s="9" t="s">
        <v>313</v>
      </c>
      <c r="B51" s="6" t="s">
        <v>314</v>
      </c>
      <c r="C51" s="2"/>
      <c r="D51" s="2"/>
      <c r="E51" s="2"/>
      <c r="F51" s="2"/>
      <c r="G51" s="2"/>
      <c r="H51" s="3"/>
    </row>
    <row r="52" ht="30.0" customHeight="1">
      <c r="A52" s="9" t="s">
        <v>315</v>
      </c>
      <c r="B52" s="6" t="s">
        <v>316</v>
      </c>
      <c r="C52" s="2"/>
      <c r="D52" s="2"/>
      <c r="E52" s="2"/>
      <c r="F52" s="2"/>
      <c r="G52" s="2"/>
      <c r="H52" s="3"/>
    </row>
    <row r="53" ht="30.0" customHeight="1">
      <c r="A53" s="9" t="s">
        <v>317</v>
      </c>
      <c r="B53" s="6" t="s">
        <v>318</v>
      </c>
      <c r="C53" s="2"/>
      <c r="D53" s="2"/>
      <c r="E53" s="2"/>
      <c r="F53" s="2"/>
      <c r="G53" s="2"/>
      <c r="H53" s="3"/>
    </row>
    <row r="54" ht="30.0" customHeight="1">
      <c r="A54" s="9" t="s">
        <v>319</v>
      </c>
      <c r="B54" s="6" t="s">
        <v>320</v>
      </c>
      <c r="C54" s="2"/>
      <c r="D54" s="2"/>
      <c r="E54" s="2"/>
      <c r="F54" s="2"/>
      <c r="G54" s="2"/>
      <c r="H54" s="3"/>
    </row>
    <row r="55" ht="27.75" customHeight="1">
      <c r="A55" s="4" t="s">
        <v>321</v>
      </c>
      <c r="B55" s="2"/>
      <c r="C55" s="2"/>
      <c r="D55" s="2"/>
      <c r="E55" s="2"/>
      <c r="F55" s="2"/>
      <c r="G55" s="2"/>
      <c r="H55" s="3"/>
    </row>
    <row r="56" ht="54.75" customHeight="1">
      <c r="A56" s="9" t="s">
        <v>322</v>
      </c>
      <c r="B56" s="10" t="s">
        <v>323</v>
      </c>
      <c r="C56" s="2"/>
      <c r="D56" s="2"/>
      <c r="E56" s="2"/>
      <c r="F56" s="2"/>
      <c r="G56" s="2"/>
      <c r="H56" s="3"/>
    </row>
    <row r="57" ht="39.75" customHeight="1">
      <c r="A57" s="9" t="s">
        <v>324</v>
      </c>
      <c r="B57" s="36" t="s">
        <v>325</v>
      </c>
      <c r="C57" s="2"/>
      <c r="D57" s="2"/>
      <c r="E57" s="2"/>
      <c r="F57" s="2"/>
      <c r="G57" s="2"/>
      <c r="H57" s="3"/>
    </row>
    <row r="58" ht="27.75" customHeight="1">
      <c r="A58" s="4" t="s">
        <v>326</v>
      </c>
      <c r="B58" s="2"/>
      <c r="C58" s="2"/>
      <c r="D58" s="2"/>
      <c r="E58" s="2"/>
      <c r="F58" s="2"/>
      <c r="G58" s="2"/>
      <c r="H58" s="3"/>
    </row>
    <row r="59" ht="54.75" customHeight="1">
      <c r="A59" s="5" t="s">
        <v>127</v>
      </c>
      <c r="B59" s="6" t="s">
        <v>327</v>
      </c>
      <c r="C59" s="2"/>
      <c r="D59" s="2"/>
      <c r="E59" s="2"/>
      <c r="F59" s="2"/>
      <c r="G59" s="2"/>
      <c r="H59" s="3"/>
    </row>
    <row r="60" ht="39.75" customHeight="1">
      <c r="A60" s="5" t="s">
        <v>129</v>
      </c>
      <c r="B60" s="6" t="s">
        <v>328</v>
      </c>
      <c r="C60" s="2"/>
      <c r="D60" s="2"/>
      <c r="E60" s="2"/>
      <c r="F60" s="2"/>
      <c r="G60" s="2"/>
      <c r="H60" s="3"/>
    </row>
    <row r="61" ht="30.0" customHeight="1">
      <c r="A61" s="5" t="s">
        <v>131</v>
      </c>
      <c r="B61" s="6" t="s">
        <v>329</v>
      </c>
      <c r="C61" s="2"/>
      <c r="D61" s="2"/>
      <c r="E61" s="2"/>
      <c r="F61" s="2"/>
      <c r="G61" s="2"/>
      <c r="H61" s="3"/>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A1:H1"/>
    <mergeCell ref="A2:H2"/>
    <mergeCell ref="B3:H3"/>
    <mergeCell ref="B4:H4"/>
    <mergeCell ref="B5:H5"/>
    <mergeCell ref="B6:H6"/>
    <mergeCell ref="B7:H7"/>
    <mergeCell ref="A8:H8"/>
    <mergeCell ref="B9:H9"/>
    <mergeCell ref="B10:H10"/>
    <mergeCell ref="B11:H11"/>
    <mergeCell ref="B12:H12"/>
    <mergeCell ref="A13:H13"/>
    <mergeCell ref="B14:H14"/>
    <mergeCell ref="B15:H15"/>
    <mergeCell ref="A16:H16"/>
    <mergeCell ref="B17:H17"/>
    <mergeCell ref="B18:H18"/>
    <mergeCell ref="B19:H19"/>
    <mergeCell ref="B20:H20"/>
    <mergeCell ref="A21:H21"/>
    <mergeCell ref="D22:H22"/>
    <mergeCell ref="D23:H23"/>
    <mergeCell ref="D24:H24"/>
    <mergeCell ref="D25:H25"/>
    <mergeCell ref="D26:H26"/>
    <mergeCell ref="D27:H27"/>
    <mergeCell ref="D28:H28"/>
    <mergeCell ref="D29:H29"/>
    <mergeCell ref="D30:H30"/>
    <mergeCell ref="A31:H31"/>
    <mergeCell ref="A38:D38"/>
    <mergeCell ref="A39:H39"/>
    <mergeCell ref="D40:H40"/>
    <mergeCell ref="D41:H41"/>
    <mergeCell ref="D42:H42"/>
    <mergeCell ref="D43:H43"/>
    <mergeCell ref="D44:H44"/>
    <mergeCell ref="D45:H45"/>
    <mergeCell ref="D46:H46"/>
    <mergeCell ref="D47:H47"/>
    <mergeCell ref="A48:B48"/>
    <mergeCell ref="B56:H56"/>
    <mergeCell ref="B57:H57"/>
    <mergeCell ref="A58:H58"/>
    <mergeCell ref="B59:H59"/>
    <mergeCell ref="B60:H60"/>
    <mergeCell ref="B61:H61"/>
    <mergeCell ref="A49:H49"/>
    <mergeCell ref="A50:H50"/>
    <mergeCell ref="B51:H51"/>
    <mergeCell ref="B52:H52"/>
    <mergeCell ref="B53:H53"/>
    <mergeCell ref="B54:H54"/>
    <mergeCell ref="A55:H55"/>
  </mergeCells>
  <hyperlinks>
    <hyperlink r:id="rId1" ref="F33"/>
  </hyperlinks>
  <printOptions/>
  <pageMargins bottom="1.0" footer="0.0" header="0.0" left="0.75" right="0.75" top="1.0"/>
  <pageSetup paperSize="9"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8.0"/>
    <col customWidth="1" min="3" max="3" width="14.0"/>
    <col customWidth="1" min="4" max="5" width="16.0"/>
    <col customWidth="1" min="6" max="6" width="22.0"/>
    <col customWidth="1" min="7" max="8" width="12.0"/>
    <col customWidth="1" min="9" max="26" width="8.71"/>
  </cols>
  <sheetData>
    <row r="1" ht="39.75" customHeight="1">
      <c r="A1" s="1" t="s">
        <v>330</v>
      </c>
      <c r="B1" s="2"/>
      <c r="C1" s="2"/>
      <c r="D1" s="2"/>
      <c r="E1" s="2"/>
      <c r="F1" s="2"/>
      <c r="G1" s="2"/>
      <c r="H1" s="3"/>
    </row>
    <row r="2" ht="27.75" customHeight="1">
      <c r="A2" s="4" t="s">
        <v>331</v>
      </c>
      <c r="B2" s="2"/>
      <c r="C2" s="2"/>
      <c r="D2" s="2"/>
      <c r="E2" s="2"/>
      <c r="F2" s="2"/>
      <c r="G2" s="2"/>
      <c r="H2" s="3"/>
    </row>
    <row r="3" ht="30.0" customHeight="1">
      <c r="A3" s="5" t="s">
        <v>2</v>
      </c>
      <c r="B3" s="6" t="s">
        <v>332</v>
      </c>
      <c r="C3" s="2"/>
      <c r="D3" s="2"/>
      <c r="E3" s="2"/>
      <c r="F3" s="2"/>
      <c r="G3" s="2"/>
      <c r="H3" s="3"/>
    </row>
    <row r="4" ht="30.0" customHeight="1">
      <c r="A4" s="5" t="s">
        <v>4</v>
      </c>
      <c r="B4" s="6" t="s">
        <v>333</v>
      </c>
      <c r="C4" s="2"/>
      <c r="D4" s="2"/>
      <c r="E4" s="2"/>
      <c r="F4" s="2"/>
      <c r="G4" s="2"/>
      <c r="H4" s="3"/>
    </row>
    <row r="5" ht="30.0" customHeight="1">
      <c r="A5" s="5" t="s">
        <v>6</v>
      </c>
      <c r="B5" s="7" t="s">
        <v>334</v>
      </c>
      <c r="C5" s="2"/>
      <c r="D5" s="2"/>
      <c r="E5" s="2"/>
      <c r="F5" s="2"/>
      <c r="G5" s="2"/>
      <c r="H5" s="3"/>
    </row>
    <row r="6" ht="30.0" customHeight="1">
      <c r="A6" s="5" t="s">
        <v>8</v>
      </c>
      <c r="B6" s="6" t="s">
        <v>335</v>
      </c>
      <c r="C6" s="2"/>
      <c r="D6" s="2"/>
      <c r="E6" s="2"/>
      <c r="F6" s="2"/>
      <c r="G6" s="2"/>
      <c r="H6" s="3"/>
    </row>
    <row r="7" ht="79.5" customHeight="1">
      <c r="A7" s="5" t="s">
        <v>10</v>
      </c>
      <c r="B7" s="6" t="s">
        <v>336</v>
      </c>
      <c r="C7" s="2"/>
      <c r="D7" s="2"/>
      <c r="E7" s="2"/>
      <c r="F7" s="2"/>
      <c r="G7" s="2"/>
      <c r="H7" s="3"/>
    </row>
    <row r="8" ht="27.75" customHeight="1">
      <c r="A8" s="4" t="s">
        <v>337</v>
      </c>
      <c r="B8" s="2"/>
      <c r="C8" s="2"/>
      <c r="D8" s="2"/>
      <c r="E8" s="2"/>
      <c r="F8" s="2"/>
      <c r="G8" s="2"/>
      <c r="H8" s="3"/>
    </row>
    <row r="9" ht="69.75" customHeight="1">
      <c r="A9" s="5" t="s">
        <v>13</v>
      </c>
      <c r="B9" s="6" t="s">
        <v>338</v>
      </c>
      <c r="C9" s="2"/>
      <c r="D9" s="2"/>
      <c r="E9" s="2"/>
      <c r="F9" s="2"/>
      <c r="G9" s="2"/>
      <c r="H9" s="3"/>
    </row>
    <row r="10" ht="54.75" customHeight="1">
      <c r="A10" s="5" t="s">
        <v>15</v>
      </c>
      <c r="B10" s="6" t="s">
        <v>339</v>
      </c>
      <c r="C10" s="2"/>
      <c r="D10" s="2"/>
      <c r="E10" s="2"/>
      <c r="F10" s="2"/>
      <c r="G10" s="2"/>
      <c r="H10" s="3"/>
    </row>
    <row r="11" ht="69.75" customHeight="1">
      <c r="A11" s="5" t="s">
        <v>17</v>
      </c>
      <c r="B11" s="6" t="s">
        <v>340</v>
      </c>
      <c r="C11" s="2"/>
      <c r="D11" s="2"/>
      <c r="E11" s="2"/>
      <c r="F11" s="2"/>
      <c r="G11" s="2"/>
      <c r="H11" s="3"/>
    </row>
    <row r="12" ht="69.75" customHeight="1">
      <c r="A12" s="9" t="s">
        <v>341</v>
      </c>
      <c r="B12" s="37" t="s">
        <v>342</v>
      </c>
      <c r="C12" s="2"/>
      <c r="D12" s="2"/>
      <c r="E12" s="2"/>
      <c r="F12" s="2"/>
      <c r="G12" s="2"/>
      <c r="H12" s="3"/>
    </row>
    <row r="13" ht="27.75" customHeight="1">
      <c r="A13" s="4" t="s">
        <v>343</v>
      </c>
      <c r="B13" s="2"/>
      <c r="C13" s="2"/>
      <c r="D13" s="2"/>
      <c r="E13" s="2"/>
      <c r="F13" s="2"/>
      <c r="G13" s="2"/>
      <c r="H13" s="3"/>
    </row>
    <row r="14" ht="30.0" customHeight="1">
      <c r="A14" s="5" t="s">
        <v>22</v>
      </c>
      <c r="B14" s="6" t="s">
        <v>344</v>
      </c>
      <c r="C14" s="2"/>
      <c r="D14" s="2"/>
      <c r="E14" s="2"/>
      <c r="F14" s="2"/>
      <c r="G14" s="2"/>
      <c r="H14" s="3"/>
    </row>
    <row r="15" ht="30.0" customHeight="1">
      <c r="A15" s="5" t="s">
        <v>24</v>
      </c>
      <c r="B15" s="6" t="s">
        <v>345</v>
      </c>
      <c r="C15" s="2"/>
      <c r="D15" s="2"/>
      <c r="E15" s="2"/>
      <c r="F15" s="2"/>
      <c r="G15" s="2"/>
      <c r="H15" s="3"/>
    </row>
    <row r="16" ht="27.75" customHeight="1">
      <c r="A16" s="4" t="s">
        <v>346</v>
      </c>
      <c r="B16" s="2"/>
      <c r="C16" s="2"/>
      <c r="D16" s="2"/>
      <c r="E16" s="2"/>
      <c r="F16" s="2"/>
      <c r="G16" s="2"/>
      <c r="H16" s="3"/>
    </row>
    <row r="17" ht="54.75" customHeight="1">
      <c r="A17" s="5" t="s">
        <v>347</v>
      </c>
      <c r="B17" s="6" t="s">
        <v>348</v>
      </c>
      <c r="C17" s="2"/>
      <c r="D17" s="2"/>
      <c r="E17" s="2"/>
      <c r="F17" s="2"/>
      <c r="G17" s="2"/>
      <c r="H17" s="3"/>
    </row>
    <row r="18" ht="69.75" customHeight="1">
      <c r="A18" s="5" t="s">
        <v>349</v>
      </c>
      <c r="B18" s="36" t="s">
        <v>350</v>
      </c>
      <c r="C18" s="2"/>
      <c r="D18" s="2"/>
      <c r="E18" s="2"/>
      <c r="F18" s="2"/>
      <c r="G18" s="2"/>
      <c r="H18" s="3"/>
    </row>
    <row r="19" ht="69.75" customHeight="1">
      <c r="A19" s="5" t="s">
        <v>351</v>
      </c>
      <c r="B19" s="6" t="s">
        <v>352</v>
      </c>
      <c r="C19" s="2"/>
      <c r="D19" s="2"/>
      <c r="E19" s="2"/>
      <c r="F19" s="2"/>
      <c r="G19" s="2"/>
      <c r="H19" s="3"/>
    </row>
    <row r="20" ht="54.75" customHeight="1">
      <c r="A20" s="5" t="s">
        <v>353</v>
      </c>
      <c r="B20" s="36" t="s">
        <v>354</v>
      </c>
      <c r="C20" s="2"/>
      <c r="D20" s="2"/>
      <c r="E20" s="2"/>
      <c r="F20" s="2"/>
      <c r="G20" s="2"/>
      <c r="H20" s="3"/>
    </row>
    <row r="21" ht="31.5" customHeight="1">
      <c r="A21" s="11"/>
      <c r="B21" s="38"/>
      <c r="C21" s="2"/>
      <c r="D21" s="2"/>
      <c r="E21" s="2"/>
      <c r="F21" s="2"/>
      <c r="G21" s="2"/>
      <c r="H21" s="3"/>
    </row>
    <row r="22" ht="27.75" customHeight="1">
      <c r="A22" s="4" t="s">
        <v>355</v>
      </c>
      <c r="B22" s="2"/>
      <c r="C22" s="2"/>
      <c r="D22" s="2"/>
      <c r="E22" s="2"/>
      <c r="F22" s="2"/>
      <c r="G22" s="2"/>
      <c r="H22" s="3"/>
    </row>
    <row r="23" ht="24.0" customHeight="1">
      <c r="A23" s="13" t="s">
        <v>32</v>
      </c>
      <c r="B23" s="13" t="s">
        <v>33</v>
      </c>
      <c r="C23" s="13" t="s">
        <v>34</v>
      </c>
      <c r="D23" s="14" t="s">
        <v>35</v>
      </c>
      <c r="E23" s="2"/>
      <c r="F23" s="2"/>
      <c r="G23" s="2"/>
      <c r="H23" s="3"/>
    </row>
    <row r="24" ht="21.75" customHeight="1">
      <c r="A24" s="15" t="s">
        <v>356</v>
      </c>
      <c r="B24" s="16" t="s">
        <v>357</v>
      </c>
      <c r="C24" s="15" t="s">
        <v>358</v>
      </c>
      <c r="D24" s="18" t="s">
        <v>359</v>
      </c>
      <c r="E24" s="2"/>
      <c r="F24" s="2"/>
      <c r="G24" s="2"/>
      <c r="H24" s="3"/>
    </row>
    <row r="25" ht="21.75" customHeight="1">
      <c r="A25" s="15" t="s">
        <v>360</v>
      </c>
      <c r="B25" s="16" t="s">
        <v>357</v>
      </c>
      <c r="C25" s="15" t="s">
        <v>361</v>
      </c>
      <c r="D25" s="32" t="s">
        <v>362</v>
      </c>
      <c r="E25" s="2"/>
      <c r="F25" s="2"/>
      <c r="G25" s="2"/>
      <c r="H25" s="3"/>
    </row>
    <row r="26" ht="21.75" customHeight="1">
      <c r="A26" s="15" t="s">
        <v>363</v>
      </c>
      <c r="B26" s="16" t="s">
        <v>364</v>
      </c>
      <c r="C26" s="15" t="s">
        <v>365</v>
      </c>
      <c r="D26" s="18" t="s">
        <v>366</v>
      </c>
      <c r="E26" s="2"/>
      <c r="F26" s="2"/>
      <c r="G26" s="2"/>
      <c r="H26" s="3"/>
    </row>
    <row r="27" ht="21.75" customHeight="1">
      <c r="A27" s="15" t="s">
        <v>367</v>
      </c>
      <c r="B27" s="16" t="s">
        <v>368</v>
      </c>
      <c r="C27" s="15" t="s">
        <v>365</v>
      </c>
      <c r="D27" s="18" t="s">
        <v>369</v>
      </c>
      <c r="E27" s="2"/>
      <c r="F27" s="2"/>
      <c r="G27" s="2"/>
      <c r="H27" s="3"/>
    </row>
    <row r="28" ht="21.75" customHeight="1">
      <c r="A28" s="21" t="s">
        <v>370</v>
      </c>
      <c r="B28" s="16" t="s">
        <v>371</v>
      </c>
      <c r="C28" s="15" t="s">
        <v>361</v>
      </c>
      <c r="D28" s="18" t="s">
        <v>372</v>
      </c>
      <c r="E28" s="2"/>
      <c r="F28" s="2"/>
      <c r="G28" s="2"/>
      <c r="H28" s="3"/>
    </row>
    <row r="29" ht="21.75" customHeight="1">
      <c r="A29" s="15" t="s">
        <v>373</v>
      </c>
      <c r="B29" s="16" t="s">
        <v>374</v>
      </c>
      <c r="C29" s="15" t="s">
        <v>375</v>
      </c>
      <c r="D29" s="18" t="s">
        <v>376</v>
      </c>
      <c r="E29" s="2"/>
      <c r="F29" s="2"/>
      <c r="G29" s="2"/>
      <c r="H29" s="3"/>
    </row>
    <row r="30" ht="21.75" customHeight="1">
      <c r="A30" s="15" t="s">
        <v>377</v>
      </c>
      <c r="B30" s="16" t="s">
        <v>378</v>
      </c>
      <c r="C30" s="15" t="s">
        <v>365</v>
      </c>
      <c r="D30" s="18" t="s">
        <v>379</v>
      </c>
      <c r="E30" s="2"/>
      <c r="F30" s="2"/>
      <c r="G30" s="2"/>
      <c r="H30" s="3"/>
    </row>
    <row r="31" ht="21.75" customHeight="1">
      <c r="A31" s="15" t="s">
        <v>380</v>
      </c>
      <c r="B31" s="16" t="s">
        <v>381</v>
      </c>
      <c r="C31" s="15" t="s">
        <v>382</v>
      </c>
      <c r="D31" s="18" t="s">
        <v>383</v>
      </c>
      <c r="E31" s="2"/>
      <c r="F31" s="2"/>
      <c r="G31" s="2"/>
      <c r="H31" s="3"/>
    </row>
    <row r="32" ht="21.75" customHeight="1">
      <c r="A32" s="15" t="s">
        <v>384</v>
      </c>
      <c r="B32" s="16" t="s">
        <v>63</v>
      </c>
      <c r="C32" s="15" t="s">
        <v>385</v>
      </c>
      <c r="D32" s="18" t="s">
        <v>386</v>
      </c>
      <c r="E32" s="2"/>
      <c r="F32" s="2"/>
      <c r="G32" s="2"/>
      <c r="H32" s="3"/>
    </row>
    <row r="33" ht="21.75" customHeight="1">
      <c r="A33" s="15" t="s">
        <v>66</v>
      </c>
      <c r="B33" s="16" t="s">
        <v>387</v>
      </c>
      <c r="C33" s="15" t="s">
        <v>361</v>
      </c>
      <c r="D33" s="18" t="s">
        <v>388</v>
      </c>
      <c r="E33" s="2"/>
      <c r="F33" s="2"/>
      <c r="G33" s="2"/>
      <c r="H33" s="3"/>
    </row>
    <row r="34" ht="21.75" customHeight="1">
      <c r="A34" s="44"/>
      <c r="B34" s="45"/>
      <c r="C34" s="44"/>
      <c r="D34" s="44"/>
      <c r="E34" s="44"/>
      <c r="F34" s="44"/>
      <c r="G34" s="44"/>
      <c r="H34" s="44"/>
    </row>
    <row r="35" ht="27.75" customHeight="1">
      <c r="A35" s="46" t="s">
        <v>389</v>
      </c>
      <c r="B35" s="2"/>
      <c r="C35" s="2"/>
      <c r="D35" s="2"/>
      <c r="E35" s="2"/>
      <c r="F35" s="2"/>
      <c r="G35" s="2"/>
      <c r="H35" s="3"/>
    </row>
    <row r="36" ht="24.0" customHeight="1">
      <c r="A36" s="13" t="s">
        <v>70</v>
      </c>
      <c r="B36" s="13" t="s">
        <v>71</v>
      </c>
      <c r="C36" s="13" t="s">
        <v>72</v>
      </c>
      <c r="D36" s="13" t="s">
        <v>390</v>
      </c>
      <c r="E36" s="13" t="s">
        <v>391</v>
      </c>
      <c r="F36" s="14" t="s">
        <v>75</v>
      </c>
      <c r="G36" s="2"/>
      <c r="H36" s="3"/>
    </row>
    <row r="37" ht="21.75" customHeight="1">
      <c r="A37" s="15" t="s">
        <v>392</v>
      </c>
      <c r="B37" s="26">
        <v>1.0</v>
      </c>
      <c r="C37" s="15" t="s">
        <v>393</v>
      </c>
      <c r="D37" s="26">
        <v>0.0</v>
      </c>
      <c r="E37" s="47">
        <v>0.0</v>
      </c>
      <c r="F37" s="32" t="s">
        <v>394</v>
      </c>
      <c r="G37" s="2"/>
      <c r="H37" s="3"/>
    </row>
    <row r="38" ht="21.75" customHeight="1">
      <c r="A38" s="15" t="s">
        <v>395</v>
      </c>
      <c r="B38" s="26">
        <v>1.0</v>
      </c>
      <c r="C38" s="15" t="s">
        <v>396</v>
      </c>
      <c r="D38" s="26" t="s">
        <v>397</v>
      </c>
      <c r="E38" s="47" t="s">
        <v>397</v>
      </c>
      <c r="F38" s="43" t="s">
        <v>398</v>
      </c>
      <c r="G38" s="2"/>
      <c r="H38" s="3"/>
    </row>
    <row r="39" ht="21.75" customHeight="1">
      <c r="A39" s="21" t="s">
        <v>399</v>
      </c>
      <c r="B39" s="26">
        <v>1.0</v>
      </c>
      <c r="C39" s="15" t="s">
        <v>396</v>
      </c>
      <c r="D39" s="26">
        <v>25000.0</v>
      </c>
      <c r="E39" s="47">
        <v>25000.0</v>
      </c>
      <c r="F39" s="43" t="s">
        <v>400</v>
      </c>
      <c r="G39" s="2"/>
      <c r="H39" s="3"/>
    </row>
    <row r="40" ht="21.75" customHeight="1">
      <c r="A40" s="15" t="s">
        <v>401</v>
      </c>
      <c r="B40" s="26">
        <v>1.0</v>
      </c>
      <c r="C40" s="15" t="s">
        <v>393</v>
      </c>
      <c r="D40" s="26">
        <v>15000.0</v>
      </c>
      <c r="E40" s="47">
        <v>15000.0</v>
      </c>
      <c r="F40" s="32" t="s">
        <v>402</v>
      </c>
      <c r="G40" s="2"/>
      <c r="H40" s="3"/>
    </row>
    <row r="41" ht="21.75" customHeight="1">
      <c r="A41" s="15" t="s">
        <v>403</v>
      </c>
      <c r="B41" s="26">
        <v>1.0</v>
      </c>
      <c r="C41" s="15" t="s">
        <v>393</v>
      </c>
      <c r="D41" s="26">
        <v>5000.0</v>
      </c>
      <c r="E41" s="47">
        <v>5000.0</v>
      </c>
      <c r="F41" s="18" t="s">
        <v>404</v>
      </c>
      <c r="G41" s="2"/>
      <c r="H41" s="3"/>
    </row>
    <row r="42" ht="21.75" customHeight="1">
      <c r="A42" s="15" t="s">
        <v>405</v>
      </c>
      <c r="B42" s="26">
        <v>1.0</v>
      </c>
      <c r="C42" s="15" t="s">
        <v>393</v>
      </c>
      <c r="D42" s="26">
        <v>5000.0</v>
      </c>
      <c r="E42" s="47">
        <v>5000.0</v>
      </c>
      <c r="F42" s="18" t="s">
        <v>406</v>
      </c>
      <c r="G42" s="2"/>
      <c r="H42" s="3"/>
    </row>
    <row r="43" ht="21.75" customHeight="1">
      <c r="A43" s="15" t="s">
        <v>407</v>
      </c>
      <c r="B43" s="26">
        <v>1.0</v>
      </c>
      <c r="C43" s="15" t="s">
        <v>80</v>
      </c>
      <c r="D43" s="26">
        <v>3000.0</v>
      </c>
      <c r="E43" s="47">
        <v>3000.0</v>
      </c>
      <c r="F43" s="32" t="s">
        <v>408</v>
      </c>
      <c r="G43" s="2"/>
      <c r="H43" s="3"/>
    </row>
    <row r="44" ht="21.75" customHeight="1">
      <c r="A44" s="15" t="s">
        <v>87</v>
      </c>
      <c r="B44" s="26">
        <v>1.0</v>
      </c>
      <c r="C44" s="15" t="s">
        <v>80</v>
      </c>
      <c r="D44" s="26">
        <v>10000.0</v>
      </c>
      <c r="E44" s="47">
        <v>10000.0</v>
      </c>
      <c r="F44" s="18" t="s">
        <v>409</v>
      </c>
      <c r="G44" s="2"/>
      <c r="H44" s="3"/>
    </row>
    <row r="45" ht="25.5" customHeight="1">
      <c r="A45" s="28" t="s">
        <v>89</v>
      </c>
      <c r="B45" s="2"/>
      <c r="C45" s="2"/>
      <c r="D45" s="3"/>
      <c r="E45" s="29">
        <f>SUM(E37:E44)</f>
        <v>63000</v>
      </c>
      <c r="F45" s="30"/>
      <c r="G45" s="30"/>
      <c r="H45" s="30"/>
    </row>
    <row r="46" ht="27.75" customHeight="1">
      <c r="A46" s="4" t="s">
        <v>410</v>
      </c>
      <c r="B46" s="2"/>
      <c r="C46" s="2"/>
      <c r="D46" s="2"/>
      <c r="E46" s="2"/>
      <c r="F46" s="2"/>
      <c r="G46" s="2"/>
      <c r="H46" s="3"/>
    </row>
    <row r="47" ht="24.0" customHeight="1">
      <c r="A47" s="13" t="s">
        <v>91</v>
      </c>
      <c r="B47" s="13" t="s">
        <v>92</v>
      </c>
      <c r="C47" s="13" t="s">
        <v>411</v>
      </c>
      <c r="D47" s="14" t="s">
        <v>75</v>
      </c>
      <c r="E47" s="2"/>
      <c r="F47" s="2"/>
      <c r="G47" s="2"/>
      <c r="H47" s="3"/>
    </row>
    <row r="48" ht="21.75" customHeight="1">
      <c r="A48" s="15" t="s">
        <v>412</v>
      </c>
      <c r="B48" s="15" t="s">
        <v>361</v>
      </c>
      <c r="C48" s="31">
        <v>6.0</v>
      </c>
      <c r="D48" s="18" t="s">
        <v>413</v>
      </c>
      <c r="E48" s="2"/>
      <c r="F48" s="2"/>
      <c r="G48" s="2"/>
      <c r="H48" s="3"/>
    </row>
    <row r="49" ht="21.75" customHeight="1">
      <c r="A49" s="15" t="s">
        <v>414</v>
      </c>
      <c r="B49" s="15" t="s">
        <v>361</v>
      </c>
      <c r="C49" s="31">
        <v>3.0</v>
      </c>
      <c r="D49" s="32" t="s">
        <v>415</v>
      </c>
      <c r="E49" s="2"/>
      <c r="F49" s="2"/>
      <c r="G49" s="2"/>
      <c r="H49" s="3"/>
    </row>
    <row r="50" ht="21.75" customHeight="1">
      <c r="A50" s="15" t="s">
        <v>416</v>
      </c>
      <c r="B50" s="15" t="s">
        <v>365</v>
      </c>
      <c r="C50" s="31">
        <v>4.0</v>
      </c>
      <c r="D50" s="18" t="s">
        <v>417</v>
      </c>
      <c r="E50" s="2"/>
      <c r="F50" s="2"/>
      <c r="G50" s="2"/>
      <c r="H50" s="3"/>
    </row>
    <row r="51" ht="21.75" customHeight="1">
      <c r="A51" s="15" t="s">
        <v>418</v>
      </c>
      <c r="B51" s="15" t="s">
        <v>365</v>
      </c>
      <c r="C51" s="31">
        <v>4.0</v>
      </c>
      <c r="D51" s="18" t="s">
        <v>419</v>
      </c>
      <c r="E51" s="2"/>
      <c r="F51" s="2"/>
      <c r="G51" s="2"/>
      <c r="H51" s="3"/>
    </row>
    <row r="52" ht="21.75" customHeight="1">
      <c r="A52" s="21" t="s">
        <v>370</v>
      </c>
      <c r="B52" s="15" t="s">
        <v>361</v>
      </c>
      <c r="C52" s="31">
        <v>5.0</v>
      </c>
      <c r="D52" s="18" t="s">
        <v>420</v>
      </c>
      <c r="E52" s="2"/>
      <c r="F52" s="2"/>
      <c r="G52" s="2"/>
      <c r="H52" s="3"/>
    </row>
    <row r="53" ht="21.75" customHeight="1">
      <c r="A53" s="15" t="s">
        <v>421</v>
      </c>
      <c r="B53" s="15" t="s">
        <v>422</v>
      </c>
      <c r="C53" s="31">
        <v>3.0</v>
      </c>
      <c r="D53" s="18" t="s">
        <v>423</v>
      </c>
      <c r="E53" s="2"/>
      <c r="F53" s="2"/>
      <c r="G53" s="2"/>
      <c r="H53" s="3"/>
    </row>
    <row r="54" ht="21.75" customHeight="1">
      <c r="A54" s="15" t="s">
        <v>424</v>
      </c>
      <c r="B54" s="15" t="s">
        <v>425</v>
      </c>
      <c r="C54" s="31">
        <v>6.0</v>
      </c>
      <c r="D54" s="18" t="s">
        <v>426</v>
      </c>
      <c r="E54" s="2"/>
      <c r="F54" s="2"/>
      <c r="G54" s="2"/>
      <c r="H54" s="3"/>
    </row>
    <row r="55" ht="21.75" customHeight="1">
      <c r="A55" s="15" t="s">
        <v>427</v>
      </c>
      <c r="B55" s="15" t="s">
        <v>361</v>
      </c>
      <c r="C55" s="31">
        <v>8.0</v>
      </c>
      <c r="D55" s="18" t="s">
        <v>428</v>
      </c>
      <c r="E55" s="2"/>
      <c r="F55" s="2"/>
      <c r="G55" s="2"/>
      <c r="H55" s="3"/>
    </row>
    <row r="56" ht="21.75" customHeight="1">
      <c r="A56" s="15" t="s">
        <v>429</v>
      </c>
      <c r="B56" s="15" t="s">
        <v>430</v>
      </c>
      <c r="C56" s="31">
        <v>8.0</v>
      </c>
      <c r="D56" s="18" t="s">
        <v>431</v>
      </c>
      <c r="E56" s="2"/>
      <c r="F56" s="2"/>
      <c r="G56" s="2"/>
      <c r="H56" s="3"/>
    </row>
    <row r="57" ht="21.75" customHeight="1">
      <c r="A57" s="15" t="s">
        <v>108</v>
      </c>
      <c r="B57" s="15" t="s">
        <v>361</v>
      </c>
      <c r="C57" s="31">
        <v>3.0</v>
      </c>
      <c r="D57" s="15" t="s">
        <v>432</v>
      </c>
      <c r="E57" s="48"/>
      <c r="F57" s="48"/>
      <c r="G57" s="15"/>
      <c r="H57" s="15"/>
    </row>
    <row r="58" ht="25.5" customHeight="1">
      <c r="A58" s="28" t="s">
        <v>110</v>
      </c>
      <c r="B58" s="3"/>
      <c r="C58" s="33">
        <f>SUM(C48:C57)</f>
        <v>50</v>
      </c>
      <c r="D58" s="30"/>
      <c r="E58" s="30"/>
      <c r="F58" s="30"/>
      <c r="G58" s="30"/>
      <c r="H58" s="30"/>
    </row>
    <row r="59" ht="27.75" customHeight="1">
      <c r="A59" s="4" t="s">
        <v>433</v>
      </c>
      <c r="B59" s="2"/>
      <c r="C59" s="2"/>
      <c r="D59" s="2"/>
      <c r="E59" s="2"/>
      <c r="F59" s="2"/>
      <c r="G59" s="2"/>
      <c r="H59" s="3"/>
    </row>
    <row r="60" ht="21.75" customHeight="1">
      <c r="A60" s="35" t="s">
        <v>112</v>
      </c>
      <c r="B60" s="2"/>
      <c r="C60" s="2"/>
      <c r="D60" s="2"/>
      <c r="E60" s="2"/>
      <c r="F60" s="2"/>
      <c r="G60" s="2"/>
      <c r="H60" s="3"/>
    </row>
    <row r="61" ht="30.0" customHeight="1">
      <c r="A61" s="9" t="s">
        <v>434</v>
      </c>
      <c r="B61" s="6" t="s">
        <v>435</v>
      </c>
      <c r="C61" s="2"/>
      <c r="D61" s="2"/>
      <c r="E61" s="2"/>
      <c r="F61" s="2"/>
      <c r="G61" s="2"/>
      <c r="H61" s="3"/>
    </row>
    <row r="62" ht="30.0" customHeight="1">
      <c r="A62" s="9" t="s">
        <v>436</v>
      </c>
      <c r="B62" s="6" t="s">
        <v>437</v>
      </c>
      <c r="C62" s="2"/>
      <c r="D62" s="2"/>
      <c r="E62" s="2"/>
      <c r="F62" s="2"/>
      <c r="G62" s="2"/>
      <c r="H62" s="3"/>
    </row>
    <row r="63" ht="30.0" customHeight="1">
      <c r="A63" s="9" t="s">
        <v>438</v>
      </c>
      <c r="B63" s="6" t="s">
        <v>439</v>
      </c>
      <c r="C63" s="2"/>
      <c r="D63" s="2"/>
      <c r="E63" s="2"/>
      <c r="F63" s="2"/>
      <c r="G63" s="2"/>
      <c r="H63" s="3"/>
    </row>
    <row r="64" ht="30.0" customHeight="1">
      <c r="A64" s="9" t="s">
        <v>440</v>
      </c>
      <c r="B64" s="6" t="s">
        <v>441</v>
      </c>
      <c r="C64" s="2"/>
      <c r="D64" s="2"/>
      <c r="E64" s="2"/>
      <c r="F64" s="2"/>
      <c r="G64" s="2"/>
      <c r="H64" s="3"/>
    </row>
    <row r="65" ht="30.0" customHeight="1">
      <c r="A65" s="9" t="s">
        <v>442</v>
      </c>
      <c r="B65" s="6" t="s">
        <v>443</v>
      </c>
      <c r="C65" s="2"/>
      <c r="D65" s="2"/>
      <c r="E65" s="2"/>
      <c r="F65" s="2"/>
      <c r="G65" s="2"/>
      <c r="H65" s="3"/>
    </row>
    <row r="66" ht="30.0" customHeight="1">
      <c r="A66" s="9" t="s">
        <v>444</v>
      </c>
      <c r="B66" s="6" t="s">
        <v>445</v>
      </c>
      <c r="C66" s="2"/>
      <c r="D66" s="2"/>
      <c r="E66" s="2"/>
      <c r="F66" s="2"/>
      <c r="G66" s="2"/>
      <c r="H66" s="3"/>
    </row>
    <row r="67" ht="30.0" customHeight="1">
      <c r="A67" s="9" t="s">
        <v>446</v>
      </c>
      <c r="B67" s="6" t="s">
        <v>447</v>
      </c>
      <c r="C67" s="2"/>
      <c r="D67" s="2"/>
      <c r="E67" s="2"/>
      <c r="F67" s="2"/>
      <c r="G67" s="2"/>
      <c r="H67" s="3"/>
    </row>
    <row r="68" ht="30.0" customHeight="1">
      <c r="A68" s="11"/>
      <c r="B68" s="49"/>
      <c r="C68" s="49"/>
      <c r="D68" s="49"/>
      <c r="E68" s="49"/>
      <c r="F68" s="49"/>
      <c r="G68" s="49"/>
      <c r="H68" s="49"/>
    </row>
    <row r="69" ht="27.75" customHeight="1">
      <c r="A69" s="4" t="s">
        <v>448</v>
      </c>
      <c r="B69" s="2"/>
      <c r="C69" s="2"/>
      <c r="D69" s="2"/>
      <c r="E69" s="2"/>
      <c r="F69" s="2"/>
      <c r="G69" s="2"/>
      <c r="H69" s="3"/>
    </row>
    <row r="70" ht="69.75" customHeight="1">
      <c r="A70" s="9" t="s">
        <v>449</v>
      </c>
      <c r="B70" s="10" t="s">
        <v>450</v>
      </c>
      <c r="C70" s="2"/>
      <c r="D70" s="2"/>
      <c r="E70" s="2"/>
      <c r="F70" s="2"/>
      <c r="G70" s="2"/>
      <c r="H70" s="3"/>
    </row>
    <row r="71" ht="54.75" customHeight="1">
      <c r="A71" s="9" t="s">
        <v>451</v>
      </c>
      <c r="B71" s="36" t="s">
        <v>452</v>
      </c>
      <c r="C71" s="2"/>
      <c r="D71" s="2"/>
      <c r="E71" s="2"/>
      <c r="F71" s="2"/>
      <c r="G71" s="2"/>
      <c r="H71" s="3"/>
    </row>
    <row r="72" ht="27.75" customHeight="1">
      <c r="A72" s="4" t="s">
        <v>453</v>
      </c>
      <c r="B72" s="2"/>
      <c r="C72" s="2"/>
      <c r="D72" s="2"/>
      <c r="E72" s="2"/>
      <c r="F72" s="2"/>
      <c r="G72" s="2"/>
      <c r="H72" s="3"/>
    </row>
    <row r="73" ht="69.75" customHeight="1">
      <c r="A73" s="5" t="s">
        <v>454</v>
      </c>
      <c r="B73" s="7" t="s">
        <v>455</v>
      </c>
      <c r="C73" s="2"/>
      <c r="D73" s="2"/>
      <c r="E73" s="2"/>
      <c r="F73" s="2"/>
      <c r="G73" s="2"/>
      <c r="H73" s="3"/>
    </row>
    <row r="74" ht="54.75" customHeight="1">
      <c r="A74" s="5" t="s">
        <v>129</v>
      </c>
      <c r="B74" s="6" t="s">
        <v>456</v>
      </c>
      <c r="C74" s="2"/>
      <c r="D74" s="2"/>
      <c r="E74" s="2"/>
      <c r="F74" s="2"/>
      <c r="G74" s="2"/>
      <c r="H74" s="3"/>
    </row>
    <row r="75" ht="30.0" customHeight="1">
      <c r="A75" s="5" t="s">
        <v>131</v>
      </c>
      <c r="B75" s="6" t="s">
        <v>457</v>
      </c>
      <c r="C75" s="2"/>
      <c r="D75" s="2"/>
      <c r="E75" s="2"/>
      <c r="F75" s="2"/>
      <c r="G75" s="2"/>
      <c r="H75" s="3"/>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72">
    <mergeCell ref="D51:H51"/>
    <mergeCell ref="D52:H52"/>
    <mergeCell ref="D53:H53"/>
    <mergeCell ref="D54:H54"/>
    <mergeCell ref="D55:H55"/>
    <mergeCell ref="D56:H56"/>
    <mergeCell ref="A58:B58"/>
    <mergeCell ref="A59:H59"/>
    <mergeCell ref="A60:H60"/>
    <mergeCell ref="B61:H61"/>
    <mergeCell ref="B62:H62"/>
    <mergeCell ref="B63:H63"/>
    <mergeCell ref="B64:H64"/>
    <mergeCell ref="B65:H65"/>
    <mergeCell ref="B74:H74"/>
    <mergeCell ref="B75:H75"/>
    <mergeCell ref="B66:H66"/>
    <mergeCell ref="B67:H67"/>
    <mergeCell ref="A69:H69"/>
    <mergeCell ref="B70:H70"/>
    <mergeCell ref="B71:H71"/>
    <mergeCell ref="A72:H72"/>
    <mergeCell ref="B73:H73"/>
    <mergeCell ref="A1:H1"/>
    <mergeCell ref="A2:H2"/>
    <mergeCell ref="B3:H3"/>
    <mergeCell ref="B4:H4"/>
    <mergeCell ref="B5:H5"/>
    <mergeCell ref="B6:H6"/>
    <mergeCell ref="B7:H7"/>
    <mergeCell ref="A8:H8"/>
    <mergeCell ref="B9:H9"/>
    <mergeCell ref="B10:H10"/>
    <mergeCell ref="B11:H11"/>
    <mergeCell ref="B12:H12"/>
    <mergeCell ref="A13:H13"/>
    <mergeCell ref="B14:H14"/>
    <mergeCell ref="B15:H15"/>
    <mergeCell ref="A16:H16"/>
    <mergeCell ref="B17:H17"/>
    <mergeCell ref="B18:H18"/>
    <mergeCell ref="B19:H19"/>
    <mergeCell ref="B20:H20"/>
    <mergeCell ref="B21:H21"/>
    <mergeCell ref="A22:H22"/>
    <mergeCell ref="D23:H23"/>
    <mergeCell ref="D24:H24"/>
    <mergeCell ref="D25:H25"/>
    <mergeCell ref="D26:H26"/>
    <mergeCell ref="D27:H27"/>
    <mergeCell ref="D28:H28"/>
    <mergeCell ref="D29:H29"/>
    <mergeCell ref="D30:H30"/>
    <mergeCell ref="D31:H31"/>
    <mergeCell ref="D32:H32"/>
    <mergeCell ref="D33:H33"/>
    <mergeCell ref="A35:H35"/>
    <mergeCell ref="F36:H36"/>
    <mergeCell ref="F37:H37"/>
    <mergeCell ref="F38:H38"/>
    <mergeCell ref="F39:H39"/>
    <mergeCell ref="F40:H40"/>
    <mergeCell ref="F41:H41"/>
    <mergeCell ref="F42:H42"/>
    <mergeCell ref="F43:H43"/>
    <mergeCell ref="F44:H44"/>
    <mergeCell ref="A45:D45"/>
    <mergeCell ref="A46:H46"/>
    <mergeCell ref="D47:H47"/>
    <mergeCell ref="D48:H48"/>
    <mergeCell ref="D49:H49"/>
    <mergeCell ref="D50:H50"/>
  </mergeCells>
  <printOptions/>
  <pageMargins bottom="1.0" footer="0.0" header="0.0" left="0.75" right="0.75" top="1.0"/>
  <pageSetup paperSize="9" orientation="portrait"/>
  <drawing r:id="rId1"/>
</worksheet>
</file>