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ダッシュボード" sheetId="1" r:id="rId5"/>
    <sheet state="visible" name="PJT1_入力" sheetId="2" r:id="rId6"/>
    <sheet state="visible" name="PJT2_入力" sheetId="3" r:id="rId7"/>
    <sheet state="hidden" name="old_コスト" sheetId="4" r:id="rId8"/>
    <sheet state="visible" name="コスト" sheetId="5" r:id="rId9"/>
    <sheet state="hidden" name="実コスト" sheetId="6" r:id="rId10"/>
    <sheet state="visible" name="PJT1_収支" sheetId="7" r:id="rId11"/>
    <sheet state="visible" name="PJT2_収支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tc={f63a844f-b18e-435b-95c9-eb7e99b60472}</author>
  </authors>
  <commentList>
    <comment authorId="0" xr:uid="{f63a844f-b18e-435b-95c9-eb7e99b60472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https://docs.google.com/spreadsheets/d/1-tGYftL8W2aF0jS2QnfMQJO6S-1oZDEO6cAykJ7XLGI/edit?gid=902845489#gid=902845489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tc={e975d210-1262-4d51-a426-03e3383fe3e5}</author>
  </authors>
  <commentList>
    <comment authorId="0" xr:uid="{e975d210-1262-4d51-a426-03e3383fe3e5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上限は1200席
</t>
      </text>
    </comment>
  </commentList>
</comments>
</file>

<file path=xl/sharedStrings.xml><?xml version="1.0" encoding="utf-8"?>
<sst xmlns="http://schemas.openxmlformats.org/spreadsheetml/2006/main" count="498" uniqueCount="284">
  <si>
    <r>
      <rPr>
        <rFont val="Cambria"/>
        <b/>
        <color theme="1"/>
        <sz val="16.0"/>
      </rPr>
      <t>SFF</t>
    </r>
    <r>
      <rPr>
        <rFont val="Arial"/>
        <b/>
        <color theme="1"/>
        <sz val="16.0"/>
      </rPr>
      <t>大会 収益シミュレーション ダッシュボード</t>
    </r>
  </si>
  <si>
    <t>【目標設定】</t>
  </si>
  <si>
    <r>
      <rPr>
        <rFont val="Noto Sans CJK SC"/>
        <color theme="1"/>
        <sz val="11.0"/>
      </rPr>
      <t>売上目標（</t>
    </r>
    <r>
      <rPr>
        <rFont val="Noto Sans"/>
        <color theme="1"/>
        <sz val="11.0"/>
      </rPr>
      <t>2</t>
    </r>
    <r>
      <rPr>
        <rFont val="Noto Sans CJK SC"/>
        <color theme="1"/>
        <sz val="11.0"/>
      </rPr>
      <t>大会合計）</t>
    </r>
  </si>
  <si>
    <r>
      <rPr>
        <rFont val="Noto Sans CJK SC"/>
        <color theme="1"/>
        <sz val="11.0"/>
      </rPr>
      <t>※前年比</t>
    </r>
    <r>
      <rPr>
        <rFont val="Noto Sans"/>
        <color theme="1"/>
        <sz val="11.0"/>
      </rPr>
      <t>120%</t>
    </r>
  </si>
  <si>
    <t>限界利益率目標</t>
  </si>
  <si>
    <r>
      <rPr>
        <rFont val="Noto Sans CJK SC"/>
        <b/>
        <color theme="1"/>
        <sz val="11.0"/>
      </rPr>
      <t>【</t>
    </r>
    <r>
      <rPr>
        <rFont val="Noto Sans"/>
        <b/>
        <color theme="1"/>
        <sz val="11.0"/>
      </rPr>
      <t>KPI</t>
    </r>
    <r>
      <rPr>
        <rFont val="Noto Sans CJK SC"/>
        <b/>
        <color theme="1"/>
        <sz val="11.0"/>
      </rPr>
      <t>サマリー（</t>
    </r>
    <r>
      <rPr>
        <rFont val="Noto Sans"/>
        <b/>
        <color theme="1"/>
        <sz val="11.0"/>
      </rPr>
      <t>2</t>
    </r>
    <r>
      <rPr>
        <rFont val="Noto Sans CJK SC"/>
        <b/>
        <color theme="1"/>
        <sz val="11.0"/>
      </rPr>
      <t>大会合計）】</t>
    </r>
  </si>
  <si>
    <t>項目</t>
  </si>
  <si>
    <t>PJT1</t>
  </si>
  <si>
    <t>PJT2</t>
  </si>
  <si>
    <t>合計</t>
  </si>
  <si>
    <t>目標</t>
  </si>
  <si>
    <t>達成率</t>
  </si>
  <si>
    <t>売上合計</t>
  </si>
  <si>
    <t>変動費合計</t>
  </si>
  <si>
    <t>-</t>
  </si>
  <si>
    <t>限界利益</t>
  </si>
  <si>
    <t>限界利益率</t>
  </si>
  <si>
    <t>【達成判定】</t>
  </si>
  <si>
    <t>売上目標</t>
  </si>
  <si>
    <t>利益率目標</t>
  </si>
  <si>
    <t>【大会別 収益内訳】</t>
  </si>
  <si>
    <t>収益項目</t>
  </si>
  <si>
    <t>選手売上</t>
  </si>
  <si>
    <t>観客売上</t>
  </si>
  <si>
    <t>スポンサー売上</t>
  </si>
  <si>
    <t>付帯収入</t>
  </si>
  <si>
    <r>
      <rPr>
        <rFont val="Cambria"/>
        <b/>
        <color theme="1"/>
        <sz val="14.0"/>
      </rPr>
      <t>PJT1</t>
    </r>
    <r>
      <rPr>
        <rFont val="Arial"/>
        <b/>
        <color theme="1"/>
        <sz val="14.0"/>
      </rPr>
      <t>（パープルホール）入力シート</t>
    </r>
  </si>
  <si>
    <t>【選手】</t>
  </si>
  <si>
    <t>カテゴリ</t>
  </si>
  <si>
    <t>単価</t>
  </si>
  <si>
    <t>人数</t>
  </si>
  <si>
    <t>売上</t>
  </si>
  <si>
    <t>WantToBe</t>
  </si>
  <si>
    <t>一般</t>
  </si>
  <si>
    <r>
      <rPr>
        <rFont val="Calibri"/>
        <color theme="1"/>
        <sz val="11.0"/>
      </rPr>
      <t>W</t>
    </r>
    <r>
      <rPr>
        <rFont val="Noto Sans CJK SC"/>
        <color theme="1"/>
        <sz val="11.0"/>
      </rPr>
      <t>エントリー</t>
    </r>
  </si>
  <si>
    <r>
      <rPr>
        <rFont val="Noto Sans CJK SC"/>
        <color theme="1"/>
        <sz val="11.0"/>
      </rPr>
      <t>学生</t>
    </r>
    <r>
      <rPr>
        <rFont val="Noto Sans"/>
        <color theme="1"/>
        <sz val="11.0"/>
      </rPr>
      <t>/</t>
    </r>
    <r>
      <rPr>
        <rFont val="Noto Sans CJK SC"/>
        <color theme="1"/>
        <sz val="11.0"/>
      </rPr>
      <t>新人</t>
    </r>
  </si>
  <si>
    <t>バックサポート</t>
  </si>
  <si>
    <t>ステージパートナー</t>
  </si>
  <si>
    <t>選手売上 小計</t>
  </si>
  <si>
    <t>【観客】</t>
  </si>
  <si>
    <t>席種</t>
  </si>
  <si>
    <t>キャパ</t>
  </si>
  <si>
    <t>販売数</t>
  </si>
  <si>
    <t>充足率</t>
  </si>
  <si>
    <r>
      <rPr>
        <rFont val="Calibri"/>
        <color theme="1"/>
        <sz val="11.0"/>
      </rPr>
      <t>VIP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</si>
  <si>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S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</si>
  <si>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A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</si>
  <si>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B</t>
    </r>
    <r>
      <rPr>
        <rFont val="Noto Sans CJK SC"/>
        <color theme="1"/>
        <sz val="11.0"/>
      </rPr>
      <t>席</t>
    </r>
  </si>
  <si>
    <t>観客売上 小計</t>
  </si>
  <si>
    <t>【スポンサー】</t>
  </si>
  <si>
    <t>プラン</t>
  </si>
  <si>
    <t>社数</t>
  </si>
  <si>
    <t>現状社数</t>
  </si>
  <si>
    <r>
      <rPr>
        <rFont val="Calibri"/>
        <color theme="1"/>
        <sz val="11.0"/>
      </rPr>
      <t>TOP</t>
    </r>
    <r>
      <rPr>
        <rFont val="Noto Sans CJK SC"/>
        <color theme="1"/>
        <sz val="11.0"/>
      </rPr>
      <t>パートナー</t>
    </r>
  </si>
  <si>
    <t>DIAMOND</t>
  </si>
  <si>
    <t>PLATINUM</t>
  </si>
  <si>
    <t>スポンサー売上 小計</t>
  </si>
  <si>
    <t>【付帯収入】</t>
  </si>
  <si>
    <t>物販売上</t>
  </si>
  <si>
    <t>フォトレコ</t>
  </si>
  <si>
    <t>80人くらいの購入→</t>
  </si>
  <si>
    <t>動画販売</t>
  </si>
  <si>
    <t>カラーリング</t>
  </si>
  <si>
    <t>付帯収入 小計</t>
  </si>
  <si>
    <r>
      <rPr>
        <rFont val="Cambria"/>
        <b/>
        <color theme="1"/>
        <sz val="14.0"/>
      </rPr>
      <t>PJT2</t>
    </r>
    <r>
      <rPr>
        <rFont val="Noto Sans CJK SC"/>
        <b/>
        <color theme="1"/>
        <sz val="14.0"/>
      </rPr>
      <t>（ひらしん）入力シート</t>
    </r>
  </si>
  <si>
    <r>
      <rPr>
        <rFont val="Calibri"/>
        <color theme="1"/>
        <sz val="11.0"/>
      </rPr>
      <t>W</t>
    </r>
    <r>
      <rPr>
        <rFont val="Noto Sans CJK SC"/>
        <color theme="1"/>
        <sz val="11.0"/>
      </rPr>
      <t>エントリー</t>
    </r>
  </si>
  <si>
    <r>
      <rPr>
        <rFont val="Noto Sans CJK SC"/>
        <color theme="1"/>
        <sz val="11.0"/>
      </rPr>
      <t>学生</t>
    </r>
    <r>
      <rPr>
        <rFont val="Noto Sans"/>
        <color theme="1"/>
        <sz val="11.0"/>
      </rPr>
      <t>/</t>
    </r>
    <r>
      <rPr>
        <rFont val="Noto Sans CJK SC"/>
        <color theme="1"/>
        <sz val="11.0"/>
      </rPr>
      <t>新人</t>
    </r>
  </si>
  <si>
    <r>
      <rPr>
        <rFont val="Calibri"/>
        <color theme="1"/>
        <sz val="11.0"/>
      </rPr>
      <t>VIP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</si>
  <si>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S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</si>
  <si>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A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</si>
  <si>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B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</si>
  <si>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TOP</t>
    </r>
    <r>
      <rPr>
        <rFont val="Noto Sans CJK SC"/>
        <color theme="1"/>
        <sz val="11.0"/>
      </rPr>
      <t>パートナー</t>
    </r>
  </si>
  <si>
    <t>【コスト詳細】（関西：藤井寺パープルホール, 関東：ひらしん平塚文化芸術ホール）</t>
  </si>
  <si>
    <t>費目</t>
  </si>
  <si>
    <r>
      <rPr>
        <rFont val="Noto Sans"/>
        <b/>
        <color rgb="FFFFFFFF"/>
        <sz val="11.0"/>
      </rPr>
      <t>PJT1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</si>
  <si>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r>
      <rPr>
        <rFont val="Noto Sans"/>
        <b/>
        <color rgb="FFFFFFFF"/>
        <sz val="11.0"/>
      </rPr>
      <t>PJT2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</si>
  <si>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t>備考</t>
  </si>
  <si>
    <r>
      <rPr>
        <rFont val="Noto Sans"/>
        <b/>
        <color rgb="FFFFFFFF"/>
        <sz val="11.0"/>
      </rPr>
      <t>2025</t>
    </r>
    <r>
      <rPr>
        <rFont val="Noto Sans CJK SC"/>
        <b/>
        <color rgb="FFFFFFFF"/>
        <sz val="11.0"/>
      </rPr>
      <t>実績参考</t>
    </r>
  </si>
  <si>
    <r>
      <rPr>
        <rFont val="Noto Sans"/>
        <b/>
        <color theme="1"/>
        <sz val="11.0"/>
      </rPr>
      <t xml:space="preserve">1. </t>
    </r>
    <r>
      <rPr>
        <rFont val="Noto Sans CJK SC"/>
        <b/>
        <color theme="1"/>
        <sz val="11.0"/>
      </rPr>
      <t>会場関連費</t>
    </r>
  </si>
  <si>
    <t>会場使用料</t>
  </si>
  <si>
    <r>
      <rPr>
        <rFont val="Calibri"/>
        <color theme="1"/>
        <sz val="11.0"/>
      </rPr>
      <t>2</t>
    </r>
    <r>
      <rPr>
        <rFont val="Noto Sans CJK SC"/>
        <color theme="1"/>
        <sz val="11.0"/>
      </rPr>
      <t>日間</t>
    </r>
  </si>
  <si>
    <t>控室使用料</t>
  </si>
  <si>
    <t>審査員・選手控室</t>
  </si>
  <si>
    <t>カラーリング用別室</t>
  </si>
  <si>
    <t>追加レンタル</t>
  </si>
  <si>
    <t>駐車場代</t>
  </si>
  <si>
    <t>スタッフ・業者用</t>
  </si>
  <si>
    <t>会場設営・撤去費</t>
  </si>
  <si>
    <t>ステージ設営含む</t>
  </si>
  <si>
    <r>
      <rPr>
        <rFont val="Noto Sans"/>
        <b/>
        <color theme="1"/>
        <sz val="11.0"/>
      </rPr>
      <t xml:space="preserve">2. </t>
    </r>
    <r>
      <rPr>
        <rFont val="Noto Sans CJK SC"/>
        <b/>
        <color theme="1"/>
        <sz val="11.0"/>
      </rPr>
      <t>音響・照明・演出</t>
    </r>
  </si>
  <si>
    <t>音響機材・オペレーター</t>
  </si>
  <si>
    <t>舞台監督経由</t>
  </si>
  <si>
    <t>照明機材・オペレーター</t>
  </si>
  <si>
    <t>ステージデザイン制作</t>
  </si>
  <si>
    <t>デザイン＋施工</t>
  </si>
  <si>
    <t>舞台監督費</t>
  </si>
  <si>
    <t>請求書ベース</t>
  </si>
  <si>
    <r>
      <rPr>
        <rFont val="Noto Sans"/>
        <b/>
        <color theme="1"/>
        <sz val="11.0"/>
      </rPr>
      <t xml:space="preserve">3. </t>
    </r>
    <r>
      <rPr>
        <rFont val="Noto Sans CJK SC"/>
        <b/>
        <color theme="1"/>
        <sz val="11.0"/>
      </rPr>
      <t>人件費・業務委託費（当日）</t>
    </r>
  </si>
  <si>
    <t>サポートスタッフ</t>
  </si>
  <si>
    <r>
      <rPr>
        <rFont val="Calibri"/>
        <color theme="1"/>
        <sz val="11.0"/>
      </rPr>
      <t>@9,000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×15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</si>
  <si>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90,000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150,000</t>
    </r>
  </si>
  <si>
    <t>審査員（トレーナー）</t>
  </si>
  <si>
    <r>
      <rPr>
        <rFont val="Calibri"/>
        <color theme="1"/>
        <sz val="11.0"/>
      </rPr>
      <t>@15,000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</si>
  <si>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45,000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75,000</t>
    </r>
  </si>
  <si>
    <t>審査員（入賞者）</t>
  </si>
  <si>
    <r>
      <rPr>
        <rFont val="Calibri"/>
        <color theme="1"/>
        <sz val="11.0"/>
      </rPr>
      <t>@10,000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×3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</si>
  <si>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17,958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29,919</t>
    </r>
  </si>
  <si>
    <r>
      <rPr>
        <rFont val="Noto Sans CJK SC"/>
        <color theme="1"/>
        <sz val="11.0"/>
      </rPr>
      <t>司会・</t>
    </r>
    <r>
      <rPr>
        <rFont val="Noto Sans"/>
        <color theme="1"/>
        <sz val="11.0"/>
      </rPr>
      <t>MC</t>
    </r>
  </si>
  <si>
    <r>
      <rPr>
        <rFont val="Calibri"/>
        <color theme="1"/>
        <sz val="11.0"/>
      </rPr>
      <t>1</t>
    </r>
    <r>
      <rPr>
        <rFont val="Arial"/>
        <color theme="1"/>
        <sz val="11.0"/>
      </rPr>
      <t>〜</t>
    </r>
    <r>
      <rPr>
        <rFont val="Calibri"/>
        <color theme="1"/>
        <sz val="11.0"/>
      </rPr>
      <t>2</t>
    </r>
    <r>
      <rPr>
        <rFont val="Arial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</si>
  <si>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100,495</t>
    </r>
  </si>
  <si>
    <t>実況者</t>
  </si>
  <si>
    <t>桐原さん検討中</t>
  </si>
  <si>
    <t>カメラマン・編集</t>
  </si>
  <si>
    <r>
      <rPr>
        <rFont val="Calibri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</si>
  <si>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90,000</t>
    </r>
  </si>
  <si>
    <r>
      <rPr>
        <rFont val="Noto Sans"/>
        <b/>
        <color theme="1"/>
        <sz val="11.0"/>
      </rPr>
      <t xml:space="preserve">4. </t>
    </r>
    <r>
      <rPr>
        <rFont val="Noto Sans CJK SC"/>
        <b/>
        <color theme="1"/>
        <sz val="11.0"/>
      </rPr>
      <t>制作物費</t>
    </r>
  </si>
  <si>
    <t>物語ノート</t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</si>
  <si>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</si>
  <si>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t>メッセージカード</t>
  </si>
  <si>
    <r>
      <rPr>
        <rFont val="Noto Sans CJK SC"/>
        <color theme="1"/>
        <sz val="11.0"/>
      </rPr>
      <t>全選手分・</t>
    </r>
    <r>
      <rPr>
        <rFont val="Noto Sans"/>
        <color theme="1"/>
        <sz val="11.0"/>
      </rPr>
      <t>PJT1</t>
    </r>
    <r>
      <rPr>
        <rFont val="Noto Sans CJK SC"/>
        <color theme="1"/>
        <sz val="11.0"/>
      </rPr>
      <t>で一括（</t>
    </r>
    <r>
      <rPr>
        <rFont val="Noto Sans"/>
        <color theme="1"/>
        <sz val="11.0"/>
      </rPr>
      <t>A</t>
    </r>
    <r>
      <rPr>
        <rFont val="Noto Sans CJK SC"/>
        <color theme="1"/>
        <sz val="11.0"/>
      </rPr>
      <t>案：</t>
    </r>
    <r>
      <rPr>
        <rFont val="Noto Sans"/>
        <color theme="1"/>
        <sz val="11.0"/>
      </rPr>
      <t>A6</t>
    </r>
    <r>
      <rPr>
        <rFont val="Noto Sans CJK SC"/>
        <color theme="1"/>
        <sz val="11.0"/>
      </rPr>
      <t>片面フルカラー、</t>
    </r>
    <r>
      <rPr>
        <rFont val="Noto Sans"/>
        <color theme="1"/>
        <sz val="11.0"/>
      </rPr>
      <t>¥8,000</t>
    </r>
    <r>
      <rPr>
        <rFont val="Noto Sans CJK SC"/>
        <color theme="1"/>
        <sz val="11.0"/>
      </rPr>
      <t>〜</t>
    </r>
    <r>
      <rPr>
        <rFont val="Noto Sans"/>
        <color theme="1"/>
        <sz val="11.0"/>
      </rPr>
      <t>15,000</t>
    </r>
    <r>
      <rPr>
        <rFont val="Noto Sans CJK SC"/>
        <color theme="1"/>
        <sz val="11.0"/>
      </rPr>
      <t>）</t>
    </r>
  </si>
  <si>
    <t>選手バッジ</t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</si>
  <si>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</si>
  <si>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t>メダル（金・銀・銅）</t>
  </si>
  <si>
    <t>各大会分</t>
  </si>
  <si>
    <t>パンフレット</t>
  </si>
  <si>
    <t>デザイン＋印刷</t>
  </si>
  <si>
    <t>ブースマップ</t>
  </si>
  <si>
    <t>来場者配布用</t>
  </si>
  <si>
    <t>スタンプラリー用紙</t>
  </si>
  <si>
    <t>台本・マニュアル印刷</t>
  </si>
  <si>
    <t>スタッフ用</t>
  </si>
  <si>
    <t>選手配布書類</t>
  </si>
  <si>
    <t>印刷＋カット作業</t>
  </si>
  <si>
    <t>応援メッセージ</t>
  </si>
  <si>
    <t>ジム印刷</t>
  </si>
  <si>
    <r>
      <rPr>
        <rFont val="Noto Sans"/>
        <b/>
        <color theme="1"/>
        <sz val="11.0"/>
      </rPr>
      <t xml:space="preserve">5. </t>
    </r>
    <r>
      <rPr>
        <rFont val="Noto Sans CJK SC"/>
        <b/>
        <color theme="1"/>
        <sz val="11.0"/>
      </rPr>
      <t>動画・クリエイティブ制作</t>
    </r>
  </si>
  <si>
    <t>オープニング動画</t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</si>
  <si>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で一括制作</t>
    </r>
  </si>
  <si>
    <t>企業ストーリー動画</t>
  </si>
  <si>
    <r>
      <rPr>
        <rFont val="Noto Sans CJK SC"/>
        <color theme="1"/>
        <sz val="11.0"/>
      </rPr>
      <t>事前</t>
    </r>
    <r>
      <rPr>
        <rFont val="Noto Sans"/>
        <color theme="1"/>
        <sz val="11.0"/>
      </rPr>
      <t>MTG</t>
    </r>
    <r>
      <rPr>
        <rFont val="Noto Sans CJK SC"/>
        <color theme="1"/>
        <sz val="11.0"/>
      </rPr>
      <t>動画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</si>
  <si>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</si>
  <si>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color theme="1"/>
        <sz val="11.0"/>
      </rPr>
      <t>SNS</t>
    </r>
    <r>
      <rPr>
        <rFont val="Noto Sans CJK SC"/>
        <color theme="1"/>
        <sz val="11.0"/>
      </rPr>
      <t>クリエイティブ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</si>
  <si>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</si>
  <si>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b/>
        <color theme="1"/>
        <sz val="11.0"/>
      </rPr>
      <t xml:space="preserve">6. </t>
    </r>
    <r>
      <rPr>
        <rFont val="Noto Sans CJK SC"/>
        <b/>
        <color theme="1"/>
        <sz val="11.0"/>
      </rPr>
      <t>システム・</t>
    </r>
    <r>
      <rPr>
        <rFont val="Noto Sans"/>
        <b/>
        <color theme="1"/>
        <sz val="11.0"/>
      </rPr>
      <t>Web</t>
    </r>
    <r>
      <rPr>
        <rFont val="Noto Sans CJK SC"/>
        <b/>
        <color theme="1"/>
        <sz val="11.0"/>
      </rPr>
      <t>関連</t>
    </r>
  </si>
  <si>
    <r>
      <rPr>
        <rFont val="Noto Sans CJK SC"/>
        <color theme="1"/>
        <sz val="11.0"/>
      </rPr>
      <t>新</t>
    </r>
    <r>
      <rPr>
        <rFont val="Noto Sans"/>
        <color theme="1"/>
        <sz val="11.0"/>
      </rPr>
      <t>HP</t>
    </r>
    <r>
      <rPr>
        <rFont val="Noto Sans CJK SC"/>
        <color theme="1"/>
        <sz val="11.0"/>
      </rPr>
      <t>開発・保守費</t>
    </r>
  </si>
  <si>
    <t>フレアネスト・年間</t>
  </si>
  <si>
    <r>
      <rPr>
        <rFont val="Noto Sans"/>
        <color theme="1"/>
        <sz val="11.0"/>
      </rPr>
      <t>SFF</t>
    </r>
    <r>
      <rPr>
        <rFont val="Noto Sans CJK SC"/>
        <color theme="1"/>
        <sz val="11.0"/>
      </rPr>
      <t>マイページ開発費</t>
    </r>
  </si>
  <si>
    <t>フレアネスト</t>
  </si>
  <si>
    <r>
      <rPr>
        <rFont val="Noto Sans CJK SC"/>
        <color theme="1"/>
        <sz val="11.0"/>
      </rPr>
      <t>決済手数料（</t>
    </r>
    <r>
      <rPr>
        <rFont val="Noto Sans"/>
        <color theme="1"/>
        <sz val="11.0"/>
      </rPr>
      <t>3.6%</t>
    </r>
    <r>
      <rPr>
        <rFont val="Noto Sans CJK SC"/>
        <color theme="1"/>
        <sz val="11.0"/>
      </rPr>
      <t>）</t>
    </r>
  </si>
  <si>
    <t>売上連動</t>
  </si>
  <si>
    <r>
      <rPr>
        <rFont val="Noto Sans"/>
        <b/>
        <color theme="1"/>
        <sz val="11.0"/>
      </rPr>
      <t xml:space="preserve">7. </t>
    </r>
    <r>
      <rPr>
        <rFont val="Noto Sans CJK SC"/>
        <b/>
        <color theme="1"/>
        <sz val="11.0"/>
      </rPr>
      <t>イベント関連費</t>
    </r>
  </si>
  <si>
    <t>選手事前説明会（会場）</t>
  </si>
  <si>
    <r>
      <rPr>
        <rFont val="Noto Sans CJK SC"/>
        <color theme="1"/>
        <sz val="11.0"/>
      </rPr>
      <t>関東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関西各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</t>
    </r>
  </si>
  <si>
    <r>
      <rPr>
        <rFont val="Noto Sans CJK SC"/>
        <color theme="1"/>
        <sz val="11.0"/>
      </rPr>
      <t>審査員キックオフ</t>
    </r>
    <r>
      <rPr>
        <rFont val="Noto Sans"/>
        <color theme="1"/>
        <sz val="11.0"/>
      </rPr>
      <t>MTG</t>
    </r>
  </si>
  <si>
    <t>会場費・交通費</t>
  </si>
  <si>
    <r>
      <rPr>
        <rFont val="Noto Sans"/>
        <color theme="1"/>
        <sz val="11.0"/>
      </rPr>
      <t>Shaper</t>
    </r>
    <r>
      <rPr>
        <rFont val="Noto Sans CJK SC"/>
        <color theme="1"/>
        <sz val="11.0"/>
      </rPr>
      <t>の会</t>
    </r>
  </si>
  <si>
    <r>
      <rPr>
        <rFont val="Noto Sans CJK SC"/>
        <color theme="1"/>
        <sz val="11.0"/>
      </rPr>
      <t>年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回・プレゼント含</t>
    </r>
  </si>
  <si>
    <r>
      <rPr>
        <rFont val="Noto Sans"/>
        <b/>
        <color theme="1"/>
        <sz val="11.0"/>
      </rPr>
      <t xml:space="preserve">8. </t>
    </r>
    <r>
      <rPr>
        <rFont val="Noto Sans CJK SC"/>
        <b/>
        <color theme="1"/>
        <sz val="11.0"/>
      </rPr>
      <t>備品・消耗品</t>
    </r>
  </si>
  <si>
    <t>スタッフ用飲料</t>
  </si>
  <si>
    <t>麦茶等</t>
  </si>
  <si>
    <t>選手用水</t>
  </si>
  <si>
    <t>名札・その他</t>
  </si>
  <si>
    <r>
      <rPr>
        <rFont val="Noto Sans"/>
        <b/>
        <color theme="1"/>
        <sz val="11.0"/>
      </rPr>
      <t xml:space="preserve">9. </t>
    </r>
    <r>
      <rPr>
        <rFont val="Noto Sans CJK SC"/>
        <b/>
        <color theme="1"/>
        <sz val="11.0"/>
      </rPr>
      <t>物流費</t>
    </r>
  </si>
  <si>
    <t>物販商品倉庫費</t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</si>
  <si>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で一括計上</t>
    </r>
  </si>
  <si>
    <t>大会機材配送費</t>
  </si>
  <si>
    <t>集荷・配送</t>
  </si>
  <si>
    <t>物語ノート郵送費</t>
  </si>
  <si>
    <t>選手全員発送</t>
  </si>
  <si>
    <r>
      <rPr>
        <rFont val="Noto Sans"/>
        <b/>
        <color theme="1"/>
        <sz val="11.0"/>
      </rPr>
      <t xml:space="preserve">10. </t>
    </r>
    <r>
      <rPr>
        <rFont val="Noto Sans CJK SC"/>
        <b/>
        <color theme="1"/>
        <sz val="11.0"/>
      </rPr>
      <t>出張費（本部スタッフ）</t>
    </r>
  </si>
  <si>
    <t>交通費</t>
  </si>
  <si>
    <t>関西は増額</t>
  </si>
  <si>
    <t>宿泊費</t>
  </si>
  <si>
    <t>関西大会のみ</t>
  </si>
  <si>
    <r>
      <rPr>
        <rFont val="Noto Sans"/>
        <b/>
        <color theme="1"/>
        <sz val="11.0"/>
      </rPr>
      <t xml:space="preserve">11. </t>
    </r>
    <r>
      <rPr>
        <rFont val="Noto Sans CJK SC"/>
        <b/>
        <color theme="1"/>
        <sz val="11.0"/>
      </rPr>
      <t>その他</t>
    </r>
  </si>
  <si>
    <t>釣銭準備</t>
  </si>
  <si>
    <t>物販対応用</t>
  </si>
  <si>
    <t>予備費</t>
  </si>
  <si>
    <t>リスクヘッジ</t>
  </si>
  <si>
    <r>
      <rPr>
        <rFont val="Noto Sans"/>
        <b/>
        <color theme="1"/>
        <sz val="11.0"/>
      </rPr>
      <t xml:space="preserve">12. </t>
    </r>
    <r>
      <rPr>
        <rFont val="Arial"/>
        <b/>
        <color theme="1"/>
        <sz val="11.0"/>
      </rPr>
      <t>社内人件費</t>
    </r>
  </si>
  <si>
    <t>準備期間を含めた人件費</t>
  </si>
  <si>
    <t>1.5ヶ月分の人件費を仮で計上</t>
  </si>
  <si>
    <r>
      <rPr>
        <rFont val="Noto Sans"/>
        <b/>
        <color theme="1"/>
        <sz val="11.0"/>
      </rPr>
      <t xml:space="preserve">SFF </t>
    </r>
    <r>
      <rPr>
        <rFont val="Arial"/>
        <b/>
        <color theme="1"/>
        <sz val="11.0"/>
      </rPr>
      <t>コスト合計</t>
    </r>
  </si>
  <si>
    <r>
      <rPr>
        <rFont val="Noto Sans CJK SC"/>
        <b/>
        <color theme="1"/>
        <sz val="12.0"/>
      </rPr>
      <t>【</t>
    </r>
    <r>
      <rPr>
        <rFont val="Noto Sans"/>
        <b/>
        <color theme="1"/>
        <sz val="12.0"/>
      </rPr>
      <t>2</t>
    </r>
    <r>
      <rPr>
        <rFont val="Noto Sans CJK SC"/>
        <b/>
        <color theme="1"/>
        <sz val="12.0"/>
      </rPr>
      <t>大会 コスト合計】</t>
    </r>
  </si>
  <si>
    <t>PJT1予算(円)</t>
  </si>
  <si>
    <t>PJT2予算(円)</t>
  </si>
  <si>
    <t>2025実績参考</t>
  </si>
  <si>
    <t>1. 会場関連費</t>
  </si>
  <si>
    <t>2日間</t>
  </si>
  <si>
    <t>2. 音響・照明・演出</t>
  </si>
  <si>
    <t>LEDビジョン費（要確認）</t>
  </si>
  <si>
    <t>※giftworks見積Q-0000000044（税別）・舞台監督と内容整理中</t>
  </si>
  <si>
    <t>3. 人件費・業務委託費（当日）</t>
  </si>
  <si>
    <t>@9,000円×15名</t>
  </si>
  <si>
    <t>90,000〜150,000</t>
  </si>
  <si>
    <t>@15,000円×5名</t>
  </si>
  <si>
    <t>45,000〜75,000</t>
  </si>
  <si>
    <t>@10,000円×3名</t>
  </si>
  <si>
    <t>17,958〜29,919</t>
  </si>
  <si>
    <t>司会・MC</t>
  </si>
  <si>
    <t>1〜2名</t>
  </si>
  <si>
    <t>30,000〜100,495</t>
  </si>
  <si>
    <t>4. 制作物費</t>
  </si>
  <si>
    <t>全選手分・PJT1で一括</t>
  </si>
  <si>
    <t>全選手分・PJT1で一括（A案：A6片面フルカラー、¥8,000〜15,000）</t>
  </si>
  <si>
    <t>ココナラデザイナー：¥81600</t>
  </si>
  <si>
    <t>フォトブース バックパネル</t>
  </si>
  <si>
    <t>KILAMEK見積E-0490398（税別）・PJT1一括</t>
  </si>
  <si>
    <t>5. 動画・クリエイティブ制作</t>
  </si>
  <si>
    <t>PJT1で一括制作</t>
  </si>
  <si>
    <t>事前MTG動画</t>
  </si>
  <si>
    <t>PJT1で一括</t>
  </si>
  <si>
    <t>SNSクリエイティブ</t>
  </si>
  <si>
    <t>6. システム・Web関連</t>
  </si>
  <si>
    <t>新HP開発・保守費</t>
  </si>
  <si>
    <t>SFFマイページ開発費</t>
  </si>
  <si>
    <t>決済手数料（3.6%）</t>
  </si>
  <si>
    <t>7. イベント関連費</t>
  </si>
  <si>
    <t>関東/関西各1回</t>
  </si>
  <si>
    <t>審査員キックオフMTG</t>
  </si>
  <si>
    <t>Shaperの会</t>
  </si>
  <si>
    <t>年1回・プレゼント含</t>
  </si>
  <si>
    <t>8. 備品・消耗品</t>
  </si>
  <si>
    <t>9. 物流費</t>
  </si>
  <si>
    <t>PJT1で一括計上</t>
  </si>
  <si>
    <t>10. 出張費（本部スタッフ）</t>
  </si>
  <si>
    <t>11. その他</t>
  </si>
  <si>
    <t>12. 社内人件費</t>
  </si>
  <si>
    <t>13. ブランディング費</t>
  </si>
  <si>
    <t>IDAブランディング費</t>
  </si>
  <si>
    <t>IDA様・SFF事業ブランディング＋インナーブランディング（税別）・PJT1一括</t>
  </si>
  <si>
    <t>SFF コスト合計</t>
  </si>
  <si>
    <t>【2大会 コスト合計】</t>
  </si>
  <si>
    <r>
      <rPr>
        <rFont val="Noto Sans"/>
        <b/>
        <color rgb="FFFFFFFF"/>
        <sz val="11.0"/>
      </rPr>
      <t>PJT1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</si>
  <si>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r>
      <rPr>
        <rFont val="Noto Sans"/>
        <b/>
        <color rgb="FFFFFFFF"/>
        <sz val="11.0"/>
      </rPr>
      <t>PJT2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</si>
  <si>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r>
      <rPr>
        <rFont val="Noto Sans"/>
        <b/>
        <color rgb="FFFFFFFF"/>
        <sz val="11.0"/>
      </rPr>
      <t>2025</t>
    </r>
    <r>
      <rPr>
        <rFont val="Noto Sans CJK SC"/>
        <b/>
        <color rgb="FFFFFFFF"/>
        <sz val="11.0"/>
      </rPr>
      <t>実績参考</t>
    </r>
  </si>
  <si>
    <r>
      <rPr>
        <rFont val="Noto Sans"/>
        <b/>
        <color theme="1"/>
        <sz val="11.0"/>
      </rPr>
      <t xml:space="preserve">1. </t>
    </r>
    <r>
      <rPr>
        <rFont val="Noto Sans CJK SC"/>
        <b/>
        <color theme="1"/>
        <sz val="11.0"/>
      </rPr>
      <t>会場関連費</t>
    </r>
  </si>
  <si>
    <t>→→→実コスト</t>
  </si>
  <si>
    <r>
      <rPr>
        <rFont val="Calibri"/>
        <color theme="1"/>
        <sz val="11.0"/>
      </rPr>
      <t>2</t>
    </r>
    <r>
      <rPr>
        <rFont val="Noto Sans CJK SC"/>
        <color theme="1"/>
        <sz val="11.0"/>
      </rPr>
      <t>日間</t>
    </r>
  </si>
  <si>
    <r>
      <rPr>
        <rFont val="Noto Sans"/>
        <b/>
        <color theme="1"/>
        <sz val="11.0"/>
      </rPr>
      <t xml:space="preserve">2. </t>
    </r>
    <r>
      <rPr>
        <rFont val="Noto Sans CJK SC"/>
        <b/>
        <color theme="1"/>
        <sz val="11.0"/>
      </rPr>
      <t>音響・照明・演出</t>
    </r>
  </si>
  <si>
    <r>
      <rPr>
        <rFont val="Noto Sans"/>
        <b/>
        <color theme="1"/>
        <sz val="11.0"/>
      </rPr>
      <t xml:space="preserve">3. </t>
    </r>
    <r>
      <rPr>
        <rFont val="Noto Sans CJK SC"/>
        <b/>
        <color theme="1"/>
        <sz val="11.0"/>
      </rPr>
      <t>人件費・業務委託費（当日）</t>
    </r>
  </si>
  <si>
    <r>
      <rPr>
        <rFont val="Calibri"/>
        <color theme="1"/>
        <sz val="11.0"/>
      </rPr>
      <t>@9,000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×15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</si>
  <si>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90,000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150,000</t>
    </r>
  </si>
  <si>
    <r>
      <rPr>
        <rFont val="Calibri"/>
        <color theme="1"/>
        <sz val="11.0"/>
      </rPr>
      <t>@15,000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</si>
  <si>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45,000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75,000</t>
    </r>
  </si>
  <si>
    <r>
      <rPr>
        <rFont val="Calibri"/>
        <color theme="1"/>
        <sz val="11.0"/>
      </rPr>
      <t>@10,000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×3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</si>
  <si>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17,958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29,919</t>
    </r>
  </si>
  <si>
    <r>
      <rPr>
        <rFont val="Noto Sans CJK SC"/>
        <color theme="1"/>
        <sz val="11.0"/>
      </rPr>
      <t>司会・</t>
    </r>
    <r>
      <rPr>
        <rFont val="Noto Sans"/>
        <color theme="1"/>
        <sz val="11.0"/>
      </rPr>
      <t>MC</t>
    </r>
  </si>
  <si>
    <r>
      <rPr>
        <rFont val="Calibri"/>
        <color theme="1"/>
        <sz val="11.0"/>
      </rPr>
      <t>1</t>
    </r>
    <r>
      <rPr>
        <rFont val="Arial"/>
        <color theme="1"/>
        <sz val="11.0"/>
      </rPr>
      <t>〜</t>
    </r>
    <r>
      <rPr>
        <rFont val="Calibri"/>
        <color theme="1"/>
        <sz val="11.0"/>
      </rPr>
      <t>2</t>
    </r>
    <r>
      <rPr>
        <rFont val="Arial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</si>
  <si>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100,495</t>
    </r>
  </si>
  <si>
    <r>
      <rPr>
        <rFont val="Calibri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</si>
  <si>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90,000</t>
    </r>
  </si>
  <si>
    <r>
      <rPr>
        <rFont val="Noto Sans"/>
        <b/>
        <color theme="1"/>
        <sz val="11.0"/>
      </rPr>
      <t xml:space="preserve">4. </t>
    </r>
    <r>
      <rPr>
        <rFont val="Noto Sans CJK SC"/>
        <b/>
        <color theme="1"/>
        <sz val="11.0"/>
      </rPr>
      <t>制作物費</t>
    </r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</si>
  <si>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</si>
  <si>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 CJK SC"/>
        <color theme="1"/>
        <sz val="11.0"/>
      </rPr>
      <t>全選手分・</t>
    </r>
    <r>
      <rPr>
        <rFont val="Noto Sans"/>
        <color theme="1"/>
        <sz val="11.0"/>
      </rPr>
      <t>PJT1</t>
    </r>
    <r>
      <rPr>
        <rFont val="Noto Sans CJK SC"/>
        <color theme="1"/>
        <sz val="11.0"/>
      </rPr>
      <t>で一括（</t>
    </r>
    <r>
      <rPr>
        <rFont val="Noto Sans"/>
        <color theme="1"/>
        <sz val="11.0"/>
      </rPr>
      <t>A</t>
    </r>
    <r>
      <rPr>
        <rFont val="Noto Sans CJK SC"/>
        <color theme="1"/>
        <sz val="11.0"/>
      </rPr>
      <t>案：</t>
    </r>
    <r>
      <rPr>
        <rFont val="Noto Sans"/>
        <color theme="1"/>
        <sz val="11.0"/>
      </rPr>
      <t>A6</t>
    </r>
    <r>
      <rPr>
        <rFont val="Noto Sans CJK SC"/>
        <color theme="1"/>
        <sz val="11.0"/>
      </rPr>
      <t>片面フルカラー、</t>
    </r>
    <r>
      <rPr>
        <rFont val="Noto Sans"/>
        <color theme="1"/>
        <sz val="11.0"/>
      </rPr>
      <t>¥8,000</t>
    </r>
    <r>
      <rPr>
        <rFont val="Noto Sans CJK SC"/>
        <color theme="1"/>
        <sz val="11.0"/>
      </rPr>
      <t>〜</t>
    </r>
    <r>
      <rPr>
        <rFont val="Noto Sans"/>
        <color theme="1"/>
        <sz val="11.0"/>
      </rPr>
      <t>15,000</t>
    </r>
    <r>
      <rPr>
        <rFont val="Noto Sans CJK SC"/>
        <color theme="1"/>
        <sz val="11.0"/>
      </rPr>
      <t>）</t>
    </r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</si>
  <si>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</si>
  <si>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b/>
        <color theme="1"/>
        <sz val="11.0"/>
      </rPr>
      <t xml:space="preserve">5. </t>
    </r>
    <r>
      <rPr>
        <rFont val="Noto Sans CJK SC"/>
        <b/>
        <color theme="1"/>
        <sz val="11.0"/>
      </rPr>
      <t>動画・クリエイティブ制作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</si>
  <si>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で一括制作</t>
    </r>
  </si>
  <si>
    <r>
      <rPr>
        <rFont val="Noto Sans CJK SC"/>
        <color theme="1"/>
        <sz val="11.0"/>
      </rPr>
      <t>事前</t>
    </r>
    <r>
      <rPr>
        <rFont val="Noto Sans"/>
        <color theme="1"/>
        <sz val="11.0"/>
      </rPr>
      <t>MTG</t>
    </r>
    <r>
      <rPr>
        <rFont val="Noto Sans CJK SC"/>
        <color theme="1"/>
        <sz val="11.0"/>
      </rPr>
      <t>動画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</si>
  <si>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</si>
  <si>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color theme="1"/>
        <sz val="11.0"/>
      </rPr>
      <t>SNS</t>
    </r>
    <r>
      <rPr>
        <rFont val="Noto Sans CJK SC"/>
        <color theme="1"/>
        <sz val="11.0"/>
      </rPr>
      <t>クリエイティブ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</si>
  <si>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</si>
  <si>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b/>
        <color theme="1"/>
        <sz val="11.0"/>
      </rPr>
      <t xml:space="preserve">6. </t>
    </r>
    <r>
      <rPr>
        <rFont val="Noto Sans CJK SC"/>
        <b/>
        <color theme="1"/>
        <sz val="11.0"/>
      </rPr>
      <t>システム・</t>
    </r>
    <r>
      <rPr>
        <rFont val="Noto Sans"/>
        <b/>
        <color theme="1"/>
        <sz val="11.0"/>
      </rPr>
      <t>Web</t>
    </r>
    <r>
      <rPr>
        <rFont val="Noto Sans CJK SC"/>
        <b/>
        <color theme="1"/>
        <sz val="11.0"/>
      </rPr>
      <t>関連</t>
    </r>
  </si>
  <si>
    <r>
      <rPr>
        <rFont val="Noto Sans CJK SC"/>
        <color theme="1"/>
        <sz val="11.0"/>
      </rPr>
      <t>新</t>
    </r>
    <r>
      <rPr>
        <rFont val="Noto Sans"/>
        <color theme="1"/>
        <sz val="11.0"/>
      </rPr>
      <t>HP</t>
    </r>
    <r>
      <rPr>
        <rFont val="Noto Sans CJK SC"/>
        <color theme="1"/>
        <sz val="11.0"/>
      </rPr>
      <t>開発・保守費</t>
    </r>
  </si>
  <si>
    <r>
      <rPr>
        <rFont val="Noto Sans"/>
        <color theme="1"/>
        <sz val="11.0"/>
      </rPr>
      <t>SFF</t>
    </r>
    <r>
      <rPr>
        <rFont val="Noto Sans CJK SC"/>
        <color theme="1"/>
        <sz val="11.0"/>
      </rPr>
      <t>マイページ開発費</t>
    </r>
  </si>
  <si>
    <r>
      <rPr>
        <rFont val="Noto Sans CJK SC"/>
        <color theme="1"/>
        <sz val="11.0"/>
      </rPr>
      <t>決済手数料（</t>
    </r>
    <r>
      <rPr>
        <rFont val="Noto Sans"/>
        <color theme="1"/>
        <sz val="11.0"/>
      </rPr>
      <t>3.6%</t>
    </r>
    <r>
      <rPr>
        <rFont val="Noto Sans CJK SC"/>
        <color theme="1"/>
        <sz val="11.0"/>
      </rPr>
      <t>）</t>
    </r>
  </si>
  <si>
    <r>
      <rPr>
        <rFont val="Noto Sans"/>
        <b/>
        <color theme="1"/>
        <sz val="11.0"/>
      </rPr>
      <t xml:space="preserve">7. </t>
    </r>
    <r>
      <rPr>
        <rFont val="Noto Sans CJK SC"/>
        <b/>
        <color theme="1"/>
        <sz val="11.0"/>
      </rPr>
      <t>イベント関連費</t>
    </r>
  </si>
  <si>
    <r>
      <rPr>
        <rFont val="Noto Sans CJK SC"/>
        <color theme="1"/>
        <sz val="11.0"/>
      </rPr>
      <t>関東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関西各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</t>
    </r>
  </si>
  <si>
    <r>
      <rPr>
        <rFont val="Noto Sans CJK SC"/>
        <color theme="1"/>
        <sz val="11.0"/>
      </rPr>
      <t>審査員キックオフ</t>
    </r>
    <r>
      <rPr>
        <rFont val="Noto Sans"/>
        <color theme="1"/>
        <sz val="11.0"/>
      </rPr>
      <t>MTG</t>
    </r>
  </si>
  <si>
    <r>
      <rPr>
        <rFont val="Noto Sans"/>
        <color theme="1"/>
        <sz val="11.0"/>
      </rPr>
      <t>Shaper</t>
    </r>
    <r>
      <rPr>
        <rFont val="Noto Sans CJK SC"/>
        <color theme="1"/>
        <sz val="11.0"/>
      </rPr>
      <t>の会</t>
    </r>
  </si>
  <si>
    <r>
      <rPr>
        <rFont val="Noto Sans CJK SC"/>
        <color theme="1"/>
        <sz val="11.0"/>
      </rPr>
      <t>年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回・プレゼント含</t>
    </r>
  </si>
  <si>
    <r>
      <rPr>
        <rFont val="Noto Sans"/>
        <b/>
        <color theme="1"/>
        <sz val="11.0"/>
      </rPr>
      <t xml:space="preserve">8. </t>
    </r>
    <r>
      <rPr>
        <rFont val="Noto Sans CJK SC"/>
        <b/>
        <color theme="1"/>
        <sz val="11.0"/>
      </rPr>
      <t>備品・消耗品</t>
    </r>
  </si>
  <si>
    <r>
      <rPr>
        <rFont val="Noto Sans"/>
        <b/>
        <color theme="1"/>
        <sz val="11.0"/>
      </rPr>
      <t xml:space="preserve">9. </t>
    </r>
    <r>
      <rPr>
        <rFont val="Noto Sans CJK SC"/>
        <b/>
        <color theme="1"/>
        <sz val="11.0"/>
      </rPr>
      <t>物流費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</si>
  <si>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で一括計上</t>
    </r>
  </si>
  <si>
    <r>
      <rPr>
        <rFont val="Noto Sans"/>
        <b/>
        <color theme="1"/>
        <sz val="11.0"/>
      </rPr>
      <t xml:space="preserve">10. </t>
    </r>
    <r>
      <rPr>
        <rFont val="Noto Sans CJK SC"/>
        <b/>
        <color theme="1"/>
        <sz val="11.0"/>
      </rPr>
      <t>出張費（本部スタッフ）</t>
    </r>
  </si>
  <si>
    <r>
      <rPr>
        <rFont val="Noto Sans"/>
        <b/>
        <color theme="1"/>
        <sz val="11.0"/>
      </rPr>
      <t xml:space="preserve">11. </t>
    </r>
    <r>
      <rPr>
        <rFont val="Noto Sans CJK SC"/>
        <b/>
        <color theme="1"/>
        <sz val="11.0"/>
      </rPr>
      <t>その他</t>
    </r>
  </si>
  <si>
    <r>
      <rPr>
        <rFont val="Noto Sans"/>
        <b/>
        <color theme="1"/>
        <sz val="11.0"/>
      </rPr>
      <t xml:space="preserve">12. </t>
    </r>
    <r>
      <rPr>
        <rFont val="Arial"/>
        <b/>
        <color theme="1"/>
        <sz val="11.0"/>
      </rPr>
      <t>社内人件費</t>
    </r>
  </si>
  <si>
    <r>
      <rPr>
        <rFont val="Noto Sans"/>
        <b/>
        <color theme="1"/>
        <sz val="11.0"/>
      </rPr>
      <t xml:space="preserve">SFF </t>
    </r>
    <r>
      <rPr>
        <rFont val="Arial"/>
        <b/>
        <color theme="1"/>
        <sz val="11.0"/>
      </rPr>
      <t>コスト合計</t>
    </r>
  </si>
  <si>
    <r>
      <rPr>
        <rFont val="Noto Sans CJK SC"/>
        <b/>
        <color theme="1"/>
        <sz val="12.0"/>
      </rPr>
      <t>【</t>
    </r>
    <r>
      <rPr>
        <rFont val="Noto Sans"/>
        <b/>
        <color theme="1"/>
        <sz val="12.0"/>
      </rPr>
      <t>2</t>
    </r>
    <r>
      <rPr>
        <rFont val="Noto Sans CJK SC"/>
        <b/>
        <color theme="1"/>
        <sz val="12.0"/>
      </rPr>
      <t>大会 コスト合計】</t>
    </r>
  </si>
  <si>
    <r>
      <rPr>
        <rFont val="Cambria"/>
        <b/>
        <color theme="1"/>
        <sz val="14.0"/>
      </rPr>
      <t>PJT1</t>
    </r>
    <r>
      <rPr>
        <rFont val="Noto Sans CJK SC"/>
        <b/>
        <color theme="1"/>
        <sz val="14.0"/>
      </rPr>
      <t>（パープルホール）収支計算</t>
    </r>
  </si>
  <si>
    <t>金額</t>
  </si>
  <si>
    <t>【売上内訳】</t>
  </si>
  <si>
    <t>構成比</t>
  </si>
  <si>
    <r>
      <rPr>
        <rFont val="Cambria"/>
        <b/>
        <color theme="1"/>
        <sz val="14.0"/>
      </rPr>
      <t>PJT2</t>
    </r>
    <r>
      <rPr>
        <rFont val="Noto Sans CJK SC"/>
        <b/>
        <color theme="1"/>
        <sz val="14.0"/>
      </rPr>
      <t>（ひらしん）収支計算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</si>
</sst>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¥#,##0"/>
    <numFmt numFmtId="165" formatCode="0.0%"/>
  </numFmts>
  <fonts count="30">
    <font>
      <sz val="11.0"/>
      <color theme="1"/>
      <name val="Calibri"/>
      <scheme val="minor"/>
    </font>
    <font>
      <b/>
      <sz val="16.0"/>
      <color theme="1"/>
      <name val="Cambria"/>
    </font>
    <font>
      <b/>
      <sz val="11.0"/>
      <color theme="1"/>
      <name val="Noto Sans"/>
    </font>
    <font>
      <sz val="11.0"/>
      <color theme="1"/>
      <name val="Noto Sans"/>
    </font>
    <font>
      <b/>
      <sz val="11.0"/>
      <color rgb="FF0000FF"/>
      <name val="Cambria"/>
    </font>
    <font>
      <b/>
      <sz val="12.0"/>
      <color rgb="FFFFFFFF"/>
      <name val="Noto Sans"/>
    </font>
    <font>
      <b/>
      <sz val="12.0"/>
      <color rgb="FFFFFFFF"/>
      <name val="Cambria"/>
    </font>
    <font>
      <sz val="11.0"/>
      <color theme="1"/>
      <name val="Calibri"/>
    </font>
    <font>
      <b/>
      <sz val="14.0"/>
      <color theme="1"/>
      <name val="Cambria"/>
    </font>
    <font>
      <b/>
      <sz val="11.0"/>
      <color theme="1"/>
      <name val="Cambria"/>
    </font>
    <font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Noto Sans"/>
    </font>
    <font/>
    <font>
      <sz val="11.0"/>
      <color rgb="FF000000"/>
      <name val="Cambria"/>
    </font>
    <font>
      <sz val="11.0"/>
      <color rgb="FF0000FF"/>
      <name val="Cambria"/>
    </font>
    <font>
      <b/>
      <sz val="12.0"/>
      <color theme="1"/>
      <name val="Noto Sans"/>
    </font>
    <font>
      <b/>
      <sz val="14.0"/>
      <color theme="1"/>
      <name val="Noto Sans"/>
    </font>
    <font>
      <b/>
      <sz val="10.0"/>
      <color theme="1"/>
      <name val="Noto Sans"/>
    </font>
    <font>
      <sz val="10.0"/>
      <color theme="1"/>
      <name val="Noto Sans"/>
    </font>
    <font>
      <b/>
      <sz val="10.0"/>
      <color rgb="FF0000FF"/>
      <name val="Cambria"/>
    </font>
    <font>
      <sz val="10.0"/>
      <color theme="1"/>
      <name val="Calibri"/>
    </font>
    <font>
      <sz val="10.0"/>
      <color rgb="FF000000"/>
      <name val="Cambria"/>
    </font>
    <font>
      <b/>
      <sz val="10.0"/>
      <color theme="1"/>
      <name val="Cambria"/>
    </font>
    <font>
      <sz val="10.0"/>
      <color rgb="FFFF0000"/>
      <name val="Noto Sans"/>
    </font>
    <font>
      <sz val="10.0"/>
      <color rgb="FFFF0000"/>
      <name val="Calibri"/>
      <scheme val="minor"/>
    </font>
    <font>
      <sz val="10.0"/>
      <color theme="1"/>
      <name val="Calibri"/>
      <scheme val="minor"/>
    </font>
    <font>
      <sz val="10.0"/>
      <color rgb="FF0000FF"/>
      <name val="Cambria"/>
    </font>
    <font>
      <sz val="10.0"/>
      <color rgb="FFFF0000"/>
      <name val="Calibri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164" xfId="0" applyAlignment="1" applyBorder="1" applyFill="1" applyFont="1" applyNumberFormat="1">
      <alignment shrinkToFit="0" vertical="bottom" wrapText="0"/>
    </xf>
    <xf borderId="1" fillId="2" fontId="4" numFmtId="9" xfId="0" applyAlignment="1" applyBorder="1" applyFont="1" applyNumberFormat="1">
      <alignment shrinkToFit="0" vertical="bottom" wrapText="0"/>
    </xf>
    <xf borderId="2" fillId="3" fontId="5" numFmtId="0" xfId="0" applyAlignment="1" applyBorder="1" applyFill="1" applyFont="1">
      <alignment horizontal="center" shrinkToFit="0" vertical="bottom" wrapText="0"/>
    </xf>
    <xf borderId="2" fillId="3" fontId="6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7" numFmtId="164" xfId="0" applyAlignment="1" applyBorder="1" applyFont="1" applyNumberFormat="1">
      <alignment shrinkToFit="0" vertical="bottom" wrapText="0"/>
    </xf>
    <xf borderId="2" fillId="0" fontId="7" numFmtId="165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2" fillId="3" fontId="5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2" fontId="4" numFmtId="164" xfId="0" applyAlignment="1" applyBorder="1" applyFont="1" applyNumberFormat="1">
      <alignment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2" fillId="2" fontId="4" numFmtId="164" xfId="0" applyAlignment="1" applyBorder="1" applyFont="1" applyNumberForma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1" fillId="4" fontId="9" numFmtId="164" xfId="0" applyAlignment="1" applyBorder="1" applyFill="1" applyFont="1" applyNumberFormat="1">
      <alignment shrinkToFit="0" vertical="bottom" wrapText="0"/>
    </xf>
    <xf borderId="0" fillId="0" fontId="10" numFmtId="0" xfId="0" applyFont="1"/>
    <xf borderId="0" fillId="0" fontId="10" numFmtId="0" xfId="0" applyFont="1"/>
    <xf borderId="2" fillId="0" fontId="7" numFmtId="9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7" numFmtId="165" xfId="0" applyAlignment="1" applyFont="1" applyNumberFormat="1">
      <alignment shrinkToFit="0" vertical="bottom" wrapText="0"/>
    </xf>
    <xf borderId="2" fillId="3" fontId="5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2" fillId="3" fontId="12" numFmtId="0" xfId="0" applyAlignment="1" applyBorder="1" applyFont="1">
      <alignment horizontal="center" shrinkToFit="0" vertical="bottom" wrapText="0"/>
    </xf>
    <xf borderId="3" fillId="5" fontId="2" numFmtId="0" xfId="0" applyAlignment="1" applyBorder="1" applyFill="1" applyFont="1">
      <alignment shrinkToFit="0" vertical="bottom" wrapText="0"/>
    </xf>
    <xf borderId="4" fillId="0" fontId="13" numFmtId="0" xfId="0" applyBorder="1" applyFont="1"/>
    <xf borderId="5" fillId="0" fontId="13" numFmtId="0" xfId="0" applyBorder="1" applyFont="1"/>
    <xf borderId="2" fillId="2" fontId="4" numFmtId="3" xfId="0" applyAlignment="1" applyBorder="1" applyFont="1" applyNumberFormat="1">
      <alignment shrinkToFit="0" vertical="bottom" wrapText="0"/>
    </xf>
    <xf borderId="2" fillId="0" fontId="7" numFmtId="3" xfId="0" applyAlignment="1" applyBorder="1" applyFont="1" applyNumberFormat="1">
      <alignment shrinkToFit="0" vertical="bottom" wrapText="0"/>
    </xf>
    <xf borderId="2" fillId="0" fontId="3" numFmtId="3" xfId="0" applyAlignment="1" applyBorder="1" applyFont="1" applyNumberFormat="1">
      <alignment shrinkToFit="0" vertical="bottom" wrapText="0"/>
    </xf>
    <xf borderId="2" fillId="4" fontId="14" numFmtId="3" xfId="0" applyAlignment="1" applyBorder="1" applyFont="1" applyNumberFormat="1">
      <alignment shrinkToFit="0" vertical="bottom" wrapText="0"/>
    </xf>
    <xf borderId="2" fillId="4" fontId="9" numFmtId="3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1" fillId="4" fontId="15" numFmtId="3" xfId="0" applyAlignment="1" applyBorder="1" applyFont="1" applyNumberForma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3" fillId="5" fontId="2" numFmtId="0" xfId="0" applyAlignment="1" applyBorder="1" applyFont="1">
      <alignment readingOrder="0" shrinkToFit="0" vertical="bottom" wrapText="0"/>
    </xf>
    <xf borderId="2" fillId="0" fontId="7" numFmtId="3" xfId="0" applyAlignment="1" applyBorder="1" applyFont="1" applyNumberFormat="1">
      <alignment readingOrder="0"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6" fontId="2" numFmtId="0" xfId="0" applyAlignment="1" applyBorder="1" applyFill="1" applyFont="1">
      <alignment readingOrder="0" shrinkToFit="0" vertical="bottom" wrapText="0"/>
    </xf>
    <xf borderId="2" fillId="6" fontId="2" numFmtId="3" xfId="0" applyAlignment="1" applyBorder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shrinkToFit="0" vertical="bottom" wrapText="0"/>
    </xf>
    <xf borderId="0" fillId="0" fontId="17" numFmtId="0" xfId="0" applyAlignment="1" applyFont="1">
      <alignment vertical="bottom"/>
    </xf>
    <xf borderId="2" fillId="3" fontId="12" numFmtId="0" xfId="0" applyAlignment="1" applyBorder="1" applyFont="1">
      <alignment horizontal="center" vertical="bottom"/>
    </xf>
    <xf borderId="3" fillId="5" fontId="18" numFmtId="0" xfId="0" applyAlignment="1" applyBorder="1" applyFont="1">
      <alignment vertical="top"/>
    </xf>
    <xf borderId="0" fillId="0" fontId="10" numFmtId="0" xfId="0" applyAlignment="1" applyFont="1">
      <alignment vertical="top"/>
    </xf>
    <xf borderId="2" fillId="0" fontId="19" numFmtId="0" xfId="0" applyAlignment="1" applyBorder="1" applyFont="1">
      <alignment vertical="top"/>
    </xf>
    <xf borderId="2" fillId="2" fontId="20" numFmtId="3" xfId="0" applyAlignment="1" applyBorder="1" applyFont="1" applyNumberFormat="1">
      <alignment vertical="top"/>
    </xf>
    <xf borderId="2" fillId="0" fontId="21" numFmtId="3" xfId="0" applyAlignment="1" applyBorder="1" applyFont="1" applyNumberFormat="1">
      <alignment vertical="top"/>
    </xf>
    <xf borderId="2" fillId="0" fontId="21" numFmtId="0" xfId="0" applyAlignment="1" applyBorder="1" applyFont="1">
      <alignment vertical="top"/>
    </xf>
    <xf borderId="2" fillId="0" fontId="19" numFmtId="3" xfId="0" applyAlignment="1" applyBorder="1" applyFont="1" applyNumberFormat="1">
      <alignment vertical="top"/>
    </xf>
    <xf borderId="2" fillId="4" fontId="22" numFmtId="3" xfId="0" applyAlignment="1" applyBorder="1" applyFont="1" applyNumberFormat="1">
      <alignment vertical="top"/>
    </xf>
    <xf borderId="2" fillId="4" fontId="23" numFmtId="3" xfId="0" applyAlignment="1" applyBorder="1" applyFont="1" applyNumberFormat="1">
      <alignment vertical="top"/>
    </xf>
    <xf borderId="2" fillId="0" fontId="24" numFmtId="0" xfId="0" applyAlignment="1" applyBorder="1" applyFont="1">
      <alignment vertical="top"/>
    </xf>
    <xf borderId="2" fillId="0" fontId="25" numFmtId="0" xfId="0" applyAlignment="1" applyBorder="1" applyFont="1">
      <alignment vertical="top"/>
    </xf>
    <xf borderId="2" fillId="0" fontId="26" numFmtId="0" xfId="0" applyAlignment="1" applyBorder="1" applyFont="1">
      <alignment vertical="top"/>
    </xf>
    <xf borderId="2" fillId="4" fontId="27" numFmtId="3" xfId="0" applyAlignment="1" applyBorder="1" applyFont="1" applyNumberFormat="1">
      <alignment horizontal="right" vertical="top"/>
    </xf>
    <xf borderId="2" fillId="0" fontId="27" numFmtId="3" xfId="0" applyAlignment="1" applyBorder="1" applyFont="1" applyNumberFormat="1">
      <alignment horizontal="right" vertical="top"/>
    </xf>
    <xf borderId="2" fillId="0" fontId="21" numFmtId="0" xfId="0" applyAlignment="1" applyBorder="1" applyFont="1">
      <alignment readingOrder="0" vertical="top"/>
    </xf>
    <xf borderId="2" fillId="0" fontId="28" numFmtId="3" xfId="0" applyAlignment="1" applyBorder="1" applyFont="1" applyNumberFormat="1">
      <alignment vertical="top"/>
    </xf>
    <xf borderId="0" fillId="0" fontId="7" numFmtId="3" xfId="0" applyAlignment="1" applyFont="1" applyNumberFormat="1">
      <alignment vertical="bottom"/>
    </xf>
    <xf borderId="2" fillId="6" fontId="2" numFmtId="0" xfId="0" applyAlignment="1" applyBorder="1" applyFont="1">
      <alignment vertical="bottom"/>
    </xf>
    <xf borderId="2" fillId="6" fontId="2" numFmtId="3" xfId="0" applyAlignment="1" applyBorder="1" applyFont="1" applyNumberFormat="1">
      <alignment vertical="bottom"/>
    </xf>
    <xf borderId="2" fillId="0" fontId="7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3" xfId="0" applyAlignment="1" applyFont="1" applyNumberFormat="1">
      <alignment vertical="bottom"/>
    </xf>
    <xf borderId="0" fillId="0" fontId="29" numFmtId="0" xfId="0" applyAlignment="1" applyFont="1">
      <alignment readingOrder="0"/>
    </xf>
    <xf borderId="2" fillId="0" fontId="2" numFmtId="0" xfId="0" applyAlignment="1" applyBorder="1" applyFont="1">
      <alignment shrinkToFit="0" vertical="bottom" wrapText="0"/>
    </xf>
    <xf borderId="2" fillId="4" fontId="9" numFmtId="164" xfId="0" applyAlignment="1" applyBorder="1" applyFont="1" applyNumberFormat="1">
      <alignment shrinkToFit="0" vertical="bottom" wrapText="0"/>
    </xf>
    <xf borderId="2" fillId="0" fontId="9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晴勝" id="{6b375698-aad3-4037-b10c-2e996366d4b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3" dT="2026-01-22T21:06:53.00" personId="{6b375698-aad3-4037-b10c-2e996366d4bf}" id="{f63a844f-b18e-435b-95c9-eb7e99b60472}" done="0">
    <x18tc:text xml:space="preserve">https://docs.google.com/spreadsheets/d/1-tGYftL8W2aF0jS2QnfMQJO6S-1oZDEO6cAykJ7XLGI/edit?gid=902845489#gid=902845489</x18tc:text>
    <x18tc:extLst>
      <ext uri="{F7C98A9C-CBB3-438F-8F68-D28B6AF4A901}">
        <xltc2:checksum/>
        <xltc2:hyperlink startIndex="0" length="116" url="https://docs.google.com/spreadsheets/d/1-tGYftL8W2aF0jS2QnfMQJO6S-1oZDEO6cAykJ7XLGI/edit?gid=902845489#gid=902845489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9" dT="2026-01-21T19:51:35.00" personId="{6b375698-aad3-4037-b10c-2e996366d4bf}" id="{e975d210-1262-4d51-a426-03e3383fe3e5}" done="1">
    <x18tc:text xml:space="preserve">上限は1200席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Iy8LnZKEgspHHHMGZJ46HhAciZgSWnIx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5" width="15.0"/>
    <col customWidth="1" min="6" max="6" width="12.0"/>
    <col customWidth="1" min="7" max="7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C4" s="4">
        <v>5.1653879E7</v>
      </c>
      <c r="D4" s="3" t="s">
        <v>3</v>
      </c>
    </row>
    <row r="5">
      <c r="A5" s="3" t="s">
        <v>4</v>
      </c>
      <c r="C5" s="5">
        <v>0.5</v>
      </c>
    </row>
    <row r="7">
      <c r="A7" s="2" t="s">
        <v>5</v>
      </c>
    </row>
    <row r="8">
      <c r="A8" s="6" t="s">
        <v>6</v>
      </c>
      <c r="B8" s="7" t="s">
        <v>7</v>
      </c>
      <c r="C8" s="7" t="s">
        <v>8</v>
      </c>
      <c r="D8" s="6" t="s">
        <v>9</v>
      </c>
      <c r="E8" s="6" t="s">
        <v>10</v>
      </c>
      <c r="F8" s="6" t="s">
        <v>11</v>
      </c>
    </row>
    <row r="9">
      <c r="A9" s="8" t="s">
        <v>12</v>
      </c>
      <c r="B9" s="9">
        <f>'PJT1_収支'!B4</f>
        <v>33990000</v>
      </c>
      <c r="C9" s="9">
        <f>'PJT2_収支'!B4</f>
        <v>20542000</v>
      </c>
      <c r="D9" s="9">
        <f t="shared" ref="D9:D11" si="1">B9+C9</f>
        <v>54532000</v>
      </c>
      <c r="E9" s="9">
        <f>C4</f>
        <v>51653879</v>
      </c>
      <c r="F9" s="10">
        <f>IF(E9=0,0,D9/E9)</f>
        <v>1.055719358</v>
      </c>
    </row>
    <row r="10">
      <c r="A10" s="8" t="s">
        <v>13</v>
      </c>
      <c r="B10" s="9">
        <f>'PJT1_収支'!B5</f>
        <v>25403240</v>
      </c>
      <c r="C10" s="9">
        <f>'PJT2_収支'!B5</f>
        <v>25403240</v>
      </c>
      <c r="D10" s="9">
        <f t="shared" si="1"/>
        <v>50806480</v>
      </c>
      <c r="E10" s="11" t="s">
        <v>14</v>
      </c>
      <c r="F10" s="11" t="s">
        <v>14</v>
      </c>
    </row>
    <row r="11">
      <c r="A11" s="8" t="s">
        <v>15</v>
      </c>
      <c r="B11" s="9">
        <f>'PJT1_収支'!B6</f>
        <v>8586760</v>
      </c>
      <c r="C11" s="9">
        <f>'PJT2_収支'!B6</f>
        <v>-4861240</v>
      </c>
      <c r="D11" s="9">
        <f t="shared" si="1"/>
        <v>3725520</v>
      </c>
      <c r="E11" s="9">
        <f>D9*C5</f>
        <v>27266000</v>
      </c>
      <c r="F11" s="10">
        <f t="shared" ref="F11:F12" si="2">IF(E11=0,0,D11/E11)</f>
        <v>0.1366361036</v>
      </c>
    </row>
    <row r="12">
      <c r="A12" s="8" t="s">
        <v>16</v>
      </c>
      <c r="B12" s="10">
        <f>'PJT1_収支'!B7</f>
        <v>0.2526260665</v>
      </c>
      <c r="C12" s="10">
        <f>'PJT2_収支'!B7</f>
        <v>-0.2366488171</v>
      </c>
      <c r="D12" s="10">
        <f>IF(D9=0,0,D11/D9)</f>
        <v>0.06831805179</v>
      </c>
      <c r="E12" s="10">
        <f>C5</f>
        <v>0.5</v>
      </c>
      <c r="F12" s="10">
        <f t="shared" si="2"/>
        <v>0.1366361036</v>
      </c>
    </row>
    <row r="14">
      <c r="A14" s="2" t="s">
        <v>17</v>
      </c>
    </row>
    <row r="15">
      <c r="A15" s="3" t="s">
        <v>18</v>
      </c>
      <c r="B15" s="3" t="str">
        <f>IF(D9&gt;=C4,"✓ 達成","✗ 未達")</f>
        <v>✓ 達成</v>
      </c>
    </row>
    <row r="16">
      <c r="A16" s="3" t="s">
        <v>19</v>
      </c>
      <c r="B16" s="3" t="str">
        <f>IF(D12&gt;=C5,"✓ 達成","✗ 未達")</f>
        <v>✗ 未達</v>
      </c>
    </row>
    <row r="18">
      <c r="A18" s="2" t="s">
        <v>20</v>
      </c>
    </row>
    <row r="19">
      <c r="A19" s="6" t="s">
        <v>21</v>
      </c>
      <c r="B19" s="7" t="s">
        <v>7</v>
      </c>
      <c r="C19" s="7" t="s">
        <v>8</v>
      </c>
      <c r="D19" s="6" t="s">
        <v>9</v>
      </c>
    </row>
    <row r="20">
      <c r="A20" s="8" t="s">
        <v>22</v>
      </c>
      <c r="B20" s="9">
        <f>'PJT1_収支'!B11</f>
        <v>6122000</v>
      </c>
      <c r="C20" s="9">
        <f>'PJT2_収支'!B11</f>
        <v>6122000</v>
      </c>
      <c r="D20" s="9">
        <f t="shared" ref="D20:D23" si="3">B20+C20</f>
        <v>12244000</v>
      </c>
    </row>
    <row r="21" ht="15.75" customHeight="1">
      <c r="A21" s="8" t="s">
        <v>23</v>
      </c>
      <c r="B21" s="9">
        <f>'PJT1_収支'!B12</f>
        <v>18468000</v>
      </c>
      <c r="C21" s="9">
        <f>'PJT2_収支'!B12</f>
        <v>12120000</v>
      </c>
      <c r="D21" s="9">
        <f t="shared" si="3"/>
        <v>30588000</v>
      </c>
    </row>
    <row r="22" ht="15.75" customHeight="1">
      <c r="A22" s="8" t="s">
        <v>24</v>
      </c>
      <c r="B22" s="9">
        <f>'PJT1_収支'!B13</f>
        <v>8400000</v>
      </c>
      <c r="C22" s="9">
        <f>'PJT2_収支'!B13</f>
        <v>1300000</v>
      </c>
      <c r="D22" s="9">
        <f t="shared" si="3"/>
        <v>9700000</v>
      </c>
    </row>
    <row r="23" ht="15.75" customHeight="1">
      <c r="A23" s="8" t="s">
        <v>25</v>
      </c>
      <c r="B23" s="9">
        <f>'PJT1_収支'!B14</f>
        <v>1000000</v>
      </c>
      <c r="C23" s="9">
        <f>'PJT2_収支'!B14</f>
        <v>1000000</v>
      </c>
      <c r="D23" s="9">
        <f t="shared" si="3"/>
        <v>2000000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6" width="15.0"/>
  </cols>
  <sheetData>
    <row r="1">
      <c r="A1" s="12" t="s">
        <v>26</v>
      </c>
    </row>
    <row r="3">
      <c r="A3" s="2" t="s">
        <v>27</v>
      </c>
    </row>
    <row r="4">
      <c r="A4" s="13" t="s">
        <v>28</v>
      </c>
      <c r="B4" s="13" t="s">
        <v>29</v>
      </c>
      <c r="C4" s="13" t="s">
        <v>30</v>
      </c>
      <c r="D4" s="13" t="s">
        <v>31</v>
      </c>
    </row>
    <row r="5">
      <c r="A5" s="14" t="s">
        <v>32</v>
      </c>
      <c r="B5" s="15">
        <v>30000.0</v>
      </c>
      <c r="C5" s="16">
        <v>20.0</v>
      </c>
      <c r="D5" s="9">
        <f t="shared" ref="D5:D10" si="1">B5*C5</f>
        <v>600000</v>
      </c>
    </row>
    <row r="6">
      <c r="A6" s="8" t="s">
        <v>33</v>
      </c>
      <c r="B6" s="15">
        <v>20000.0</v>
      </c>
      <c r="C6" s="16">
        <v>220.0</v>
      </c>
      <c r="D6" s="9">
        <f t="shared" si="1"/>
        <v>4400000</v>
      </c>
    </row>
    <row r="7">
      <c r="A7" s="11" t="s">
        <v>34</v>
      </c>
      <c r="B7" s="17">
        <v>8000.0</v>
      </c>
      <c r="C7" s="16">
        <v>0.0</v>
      </c>
      <c r="D7" s="9">
        <f t="shared" si="1"/>
        <v>0</v>
      </c>
    </row>
    <row r="8">
      <c r="A8" s="8" t="s">
        <v>35</v>
      </c>
      <c r="B8" s="17">
        <v>8000.0</v>
      </c>
      <c r="C8" s="16">
        <v>0.0</v>
      </c>
      <c r="D8" s="9">
        <f t="shared" si="1"/>
        <v>0</v>
      </c>
    </row>
    <row r="9">
      <c r="A9" s="8" t="s">
        <v>36</v>
      </c>
      <c r="B9" s="17">
        <v>3300.0</v>
      </c>
      <c r="C9" s="18">
        <f>C6*1.5</f>
        <v>330</v>
      </c>
      <c r="D9" s="9">
        <f t="shared" si="1"/>
        <v>1089000</v>
      </c>
    </row>
    <row r="10">
      <c r="A10" s="8" t="s">
        <v>37</v>
      </c>
      <c r="B10" s="17">
        <v>3300.0</v>
      </c>
      <c r="C10" s="16">
        <v>10.0</v>
      </c>
      <c r="D10" s="9">
        <f t="shared" si="1"/>
        <v>33000</v>
      </c>
    </row>
    <row r="11">
      <c r="A11" s="2" t="s">
        <v>38</v>
      </c>
      <c r="D11" s="19">
        <f>SUM(D5:D10)</f>
        <v>6122000</v>
      </c>
    </row>
    <row r="13">
      <c r="A13" s="2" t="s">
        <v>39</v>
      </c>
      <c r="J13" s="20">
        <f>11*12*3.5</f>
        <v>462</v>
      </c>
    </row>
    <row r="14">
      <c r="A14" s="13" t="s">
        <v>40</v>
      </c>
      <c r="B14" s="13" t="s">
        <v>29</v>
      </c>
      <c r="C14" s="13" t="s">
        <v>41</v>
      </c>
      <c r="D14" s="13" t="s">
        <v>42</v>
      </c>
      <c r="E14" s="13" t="s">
        <v>31</v>
      </c>
      <c r="F14" s="13" t="s">
        <v>43</v>
      </c>
      <c r="K14" s="21"/>
    </row>
    <row r="15">
      <c r="A15" s="11" t="s">
        <v>44</v>
      </c>
      <c r="B15" s="17">
        <v>50000.0</v>
      </c>
      <c r="C15" s="16">
        <f t="shared" ref="C15:C18" si="2">G15*2</f>
        <v>60</v>
      </c>
      <c r="D15" s="18">
        <f t="shared" ref="D15:D18" si="3">C15*F15</f>
        <v>18</v>
      </c>
      <c r="E15" s="9">
        <f t="shared" ref="E15:E18" si="4">B15*D15</f>
        <v>900000</v>
      </c>
      <c r="F15" s="22">
        <v>0.3</v>
      </c>
      <c r="G15" s="23">
        <v>30.0</v>
      </c>
      <c r="K15" s="21"/>
    </row>
    <row r="16">
      <c r="A16" s="11" t="s">
        <v>45</v>
      </c>
      <c r="B16" s="15">
        <v>10000.0</v>
      </c>
      <c r="C16" s="16">
        <f t="shared" si="2"/>
        <v>1200</v>
      </c>
      <c r="D16" s="18">
        <f t="shared" si="3"/>
        <v>1200</v>
      </c>
      <c r="E16" s="9">
        <f t="shared" si="4"/>
        <v>12000000</v>
      </c>
      <c r="F16" s="22">
        <v>1.0</v>
      </c>
      <c r="G16" s="23">
        <v>600.0</v>
      </c>
      <c r="K16" s="21"/>
    </row>
    <row r="17">
      <c r="A17" s="11" t="s">
        <v>46</v>
      </c>
      <c r="B17" s="15">
        <v>9000.0</v>
      </c>
      <c r="C17" s="16">
        <f t="shared" si="2"/>
        <v>920</v>
      </c>
      <c r="D17" s="18">
        <f t="shared" si="3"/>
        <v>552</v>
      </c>
      <c r="E17" s="9">
        <f t="shared" si="4"/>
        <v>4968000</v>
      </c>
      <c r="F17" s="22">
        <v>0.6</v>
      </c>
      <c r="G17" s="23">
        <v>460.0</v>
      </c>
      <c r="K17" s="21"/>
    </row>
    <row r="18">
      <c r="A18" s="11" t="s">
        <v>47</v>
      </c>
      <c r="B18" s="15">
        <v>5000.0</v>
      </c>
      <c r="C18" s="16">
        <f t="shared" si="2"/>
        <v>200</v>
      </c>
      <c r="D18" s="18">
        <f t="shared" si="3"/>
        <v>120</v>
      </c>
      <c r="E18" s="9">
        <f t="shared" si="4"/>
        <v>600000</v>
      </c>
      <c r="F18" s="22">
        <v>0.6</v>
      </c>
      <c r="G18" s="23">
        <v>100.0</v>
      </c>
    </row>
    <row r="19">
      <c r="A19" s="2" t="s">
        <v>48</v>
      </c>
      <c r="C19" s="2">
        <f t="shared" ref="C19:E19" si="5">SUM(C15:C18)</f>
        <v>2380</v>
      </c>
      <c r="D19" s="2">
        <f t="shared" si="5"/>
        <v>1890</v>
      </c>
      <c r="E19" s="19">
        <f t="shared" si="5"/>
        <v>18468000</v>
      </c>
      <c r="F19" s="24">
        <f>IF(C19=0,0,D19/C19)</f>
        <v>0.7941176471</v>
      </c>
      <c r="G19" s="20">
        <f>C19/2</f>
        <v>1190</v>
      </c>
    </row>
    <row r="21">
      <c r="A21" s="2" t="s">
        <v>49</v>
      </c>
    </row>
    <row r="22" ht="15.75" customHeight="1">
      <c r="A22" s="13" t="s">
        <v>50</v>
      </c>
      <c r="B22" s="13" t="s">
        <v>29</v>
      </c>
      <c r="C22" s="13" t="s">
        <v>51</v>
      </c>
      <c r="D22" s="13" t="s">
        <v>31</v>
      </c>
      <c r="F22" s="25" t="s">
        <v>52</v>
      </c>
    </row>
    <row r="23" ht="15.75" customHeight="1">
      <c r="A23" s="11" t="s">
        <v>53</v>
      </c>
      <c r="B23" s="15">
        <v>5000000.0</v>
      </c>
      <c r="C23" s="16">
        <v>1.0</v>
      </c>
      <c r="D23" s="9">
        <f t="shared" ref="D23:D26" si="6">B23*C23</f>
        <v>5000000</v>
      </c>
      <c r="F23" s="16">
        <v>1.0</v>
      </c>
    </row>
    <row r="24" ht="15.75" customHeight="1">
      <c r="A24" s="11" t="s">
        <v>54</v>
      </c>
      <c r="B24" s="15">
        <v>700000.0</v>
      </c>
      <c r="C24" s="16">
        <v>4.0</v>
      </c>
      <c r="D24" s="9">
        <f t="shared" si="6"/>
        <v>2800000</v>
      </c>
      <c r="F24" s="16">
        <v>4.0</v>
      </c>
    </row>
    <row r="25" ht="15.75" customHeight="1">
      <c r="A25" s="11" t="s">
        <v>55</v>
      </c>
      <c r="B25" s="15">
        <v>300000.0</v>
      </c>
      <c r="C25" s="16">
        <v>2.0</v>
      </c>
      <c r="D25" s="9">
        <f t="shared" si="6"/>
        <v>600000</v>
      </c>
      <c r="F25" s="16">
        <v>4.0</v>
      </c>
    </row>
    <row r="26" ht="15.75" customHeight="1">
      <c r="A26" s="11"/>
      <c r="B26" s="15"/>
      <c r="C26" s="18"/>
      <c r="D26" s="9">
        <f t="shared" si="6"/>
        <v>0</v>
      </c>
      <c r="F26" s="18">
        <v>0.0</v>
      </c>
    </row>
    <row r="27" ht="15.75" customHeight="1">
      <c r="A27" s="2" t="s">
        <v>56</v>
      </c>
      <c r="D27" s="19">
        <f>SUM(D23:D26)</f>
        <v>8400000</v>
      </c>
    </row>
    <row r="28" ht="15.75" customHeight="1"/>
    <row r="29" ht="15.75" customHeight="1">
      <c r="A29" s="2" t="s">
        <v>57</v>
      </c>
    </row>
    <row r="30" ht="15.75" customHeight="1">
      <c r="A30" s="13" t="s">
        <v>6</v>
      </c>
      <c r="B30" s="13" t="s">
        <v>31</v>
      </c>
    </row>
    <row r="31" ht="15.75" customHeight="1">
      <c r="A31" s="8" t="s">
        <v>58</v>
      </c>
      <c r="B31" s="17">
        <v>800000.0</v>
      </c>
      <c r="D31" s="23" t="s">
        <v>29</v>
      </c>
    </row>
    <row r="32" ht="15.75" customHeight="1">
      <c r="A32" s="8" t="s">
        <v>59</v>
      </c>
      <c r="B32" s="15">
        <v>0.0</v>
      </c>
      <c r="C32" s="23" t="s">
        <v>60</v>
      </c>
      <c r="D32" s="23">
        <v>2000.0</v>
      </c>
    </row>
    <row r="33" ht="15.75" customHeight="1">
      <c r="A33" s="8" t="s">
        <v>61</v>
      </c>
      <c r="B33" s="15">
        <v>0.0</v>
      </c>
      <c r="D33" s="23">
        <v>3000.0</v>
      </c>
    </row>
    <row r="34" ht="15.75" customHeight="1">
      <c r="A34" s="8" t="s">
        <v>62</v>
      </c>
      <c r="B34" s="17">
        <v>200000.0</v>
      </c>
    </row>
    <row r="35" ht="15.75" customHeight="1">
      <c r="A35" s="2" t="s">
        <v>63</v>
      </c>
      <c r="B35" s="19">
        <f>SUM(B31:B34)</f>
        <v>1000000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</cols>
  <sheetData>
    <row r="1">
      <c r="A1" s="26" t="s">
        <v>64</v>
      </c>
    </row>
    <row r="3">
      <c r="A3" s="2" t="s">
        <v>27</v>
      </c>
    </row>
    <row r="4">
      <c r="A4" s="13" t="s">
        <v>28</v>
      </c>
      <c r="B4" s="13" t="s">
        <v>29</v>
      </c>
      <c r="C4" s="13" t="s">
        <v>30</v>
      </c>
      <c r="D4" s="13" t="s">
        <v>31</v>
      </c>
    </row>
    <row r="5">
      <c r="A5" s="14" t="s">
        <v>32</v>
      </c>
      <c r="B5" s="15">
        <v>30000.0</v>
      </c>
      <c r="C5" s="16">
        <v>20.0</v>
      </c>
      <c r="D5" s="9">
        <f t="shared" ref="D5:D10" si="1">B5*C5</f>
        <v>600000</v>
      </c>
    </row>
    <row r="6">
      <c r="A6" s="8" t="s">
        <v>33</v>
      </c>
      <c r="B6" s="15">
        <v>20000.0</v>
      </c>
      <c r="C6" s="16">
        <v>220.0</v>
      </c>
      <c r="D6" s="9">
        <f t="shared" si="1"/>
        <v>4400000</v>
      </c>
    </row>
    <row r="7">
      <c r="A7" s="11" t="s">
        <v>65</v>
      </c>
      <c r="B7" s="17">
        <v>8000.0</v>
      </c>
      <c r="C7" s="16">
        <v>0.0</v>
      </c>
      <c r="D7" s="9">
        <f t="shared" si="1"/>
        <v>0</v>
      </c>
    </row>
    <row r="8">
      <c r="A8" s="8" t="s">
        <v>66</v>
      </c>
      <c r="B8" s="17">
        <v>8000.0</v>
      </c>
      <c r="C8" s="16">
        <v>0.0</v>
      </c>
      <c r="D8" s="9">
        <f t="shared" si="1"/>
        <v>0</v>
      </c>
    </row>
    <row r="9">
      <c r="A9" s="8" t="s">
        <v>36</v>
      </c>
      <c r="B9" s="17">
        <v>3300.0</v>
      </c>
      <c r="C9" s="18">
        <f>C6*1.5</f>
        <v>330</v>
      </c>
      <c r="D9" s="9">
        <f t="shared" si="1"/>
        <v>1089000</v>
      </c>
    </row>
    <row r="10">
      <c r="A10" s="8" t="s">
        <v>37</v>
      </c>
      <c r="B10" s="17">
        <v>3300.0</v>
      </c>
      <c r="C10" s="16">
        <v>10.0</v>
      </c>
      <c r="D10" s="9">
        <f t="shared" si="1"/>
        <v>33000</v>
      </c>
    </row>
    <row r="11">
      <c r="A11" s="2" t="s">
        <v>38</v>
      </c>
      <c r="D11" s="19">
        <f>SUM(D5:D10)</f>
        <v>6122000</v>
      </c>
    </row>
    <row r="13">
      <c r="A13" s="2" t="s">
        <v>39</v>
      </c>
    </row>
    <row r="14">
      <c r="A14" s="13" t="s">
        <v>40</v>
      </c>
      <c r="B14" s="13" t="s">
        <v>29</v>
      </c>
      <c r="C14" s="13" t="s">
        <v>41</v>
      </c>
      <c r="D14" s="13" t="s">
        <v>42</v>
      </c>
      <c r="E14" s="13" t="s">
        <v>31</v>
      </c>
      <c r="F14" s="13" t="s">
        <v>43</v>
      </c>
    </row>
    <row r="15">
      <c r="A15" s="11" t="s">
        <v>67</v>
      </c>
      <c r="B15" s="17">
        <v>50000.0</v>
      </c>
      <c r="C15" s="27">
        <v>20.0</v>
      </c>
      <c r="D15" s="18">
        <f t="shared" ref="D15:D18" si="2">C15*F15</f>
        <v>6</v>
      </c>
      <c r="E15" s="9">
        <f t="shared" ref="E15:E18" si="3">B15*D15</f>
        <v>300000</v>
      </c>
      <c r="F15" s="22">
        <v>0.3</v>
      </c>
    </row>
    <row r="16">
      <c r="A16" s="11" t="s">
        <v>68</v>
      </c>
      <c r="B16" s="15">
        <v>10000.0</v>
      </c>
      <c r="C16" s="27">
        <v>300.0</v>
      </c>
      <c r="D16" s="18">
        <f t="shared" si="2"/>
        <v>300</v>
      </c>
      <c r="E16" s="9">
        <f t="shared" si="3"/>
        <v>3000000</v>
      </c>
      <c r="F16" s="22">
        <v>1.0</v>
      </c>
    </row>
    <row r="17">
      <c r="A17" s="11" t="s">
        <v>69</v>
      </c>
      <c r="B17" s="15">
        <v>9000.0</v>
      </c>
      <c r="C17" s="27">
        <v>1300.0</v>
      </c>
      <c r="D17" s="18">
        <f t="shared" si="2"/>
        <v>780</v>
      </c>
      <c r="E17" s="9">
        <f t="shared" si="3"/>
        <v>7020000</v>
      </c>
      <c r="F17" s="22">
        <v>0.6</v>
      </c>
    </row>
    <row r="18">
      <c r="A18" s="11" t="s">
        <v>70</v>
      </c>
      <c r="B18" s="15">
        <v>5000.0</v>
      </c>
      <c r="C18" s="18">
        <v>600.0</v>
      </c>
      <c r="D18" s="18">
        <f t="shared" si="2"/>
        <v>360</v>
      </c>
      <c r="E18" s="9">
        <f t="shared" si="3"/>
        <v>1800000</v>
      </c>
      <c r="F18" s="22">
        <v>0.6</v>
      </c>
    </row>
    <row r="19">
      <c r="A19" s="2" t="s">
        <v>48</v>
      </c>
      <c r="C19" s="2">
        <f t="shared" ref="C19:E19" si="4">SUM(C15:C18)</f>
        <v>2220</v>
      </c>
      <c r="D19" s="2">
        <f t="shared" si="4"/>
        <v>1446</v>
      </c>
      <c r="E19" s="19">
        <f t="shared" si="4"/>
        <v>12120000</v>
      </c>
      <c r="F19" s="24">
        <f>IF(C19=0,0,D19/C19)</f>
        <v>0.6513513514</v>
      </c>
    </row>
    <row r="21">
      <c r="A21" s="2" t="s">
        <v>49</v>
      </c>
    </row>
    <row r="22" ht="15.75" customHeight="1">
      <c r="A22" s="13" t="s">
        <v>50</v>
      </c>
      <c r="B22" s="13" t="s">
        <v>29</v>
      </c>
      <c r="C22" s="13" t="s">
        <v>51</v>
      </c>
      <c r="D22" s="13" t="s">
        <v>31</v>
      </c>
      <c r="F22" s="25" t="s">
        <v>52</v>
      </c>
    </row>
    <row r="23" ht="15.75" customHeight="1">
      <c r="A23" s="11" t="s">
        <v>71</v>
      </c>
      <c r="B23" s="17">
        <v>5000000.0</v>
      </c>
      <c r="C23" s="16">
        <v>0.0</v>
      </c>
      <c r="D23" s="9">
        <f t="shared" ref="D23:D26" si="5">B23*C23</f>
        <v>0</v>
      </c>
      <c r="F23" s="16">
        <v>1.0</v>
      </c>
    </row>
    <row r="24" ht="15.75" customHeight="1">
      <c r="A24" s="11" t="s">
        <v>54</v>
      </c>
      <c r="B24" s="17">
        <v>700000.0</v>
      </c>
      <c r="C24" s="16">
        <v>1.0</v>
      </c>
      <c r="D24" s="9">
        <f t="shared" si="5"/>
        <v>700000</v>
      </c>
      <c r="F24" s="16">
        <v>4.0</v>
      </c>
    </row>
    <row r="25" ht="15.75" customHeight="1">
      <c r="A25" s="11" t="s">
        <v>55</v>
      </c>
      <c r="B25" s="17">
        <v>300000.0</v>
      </c>
      <c r="C25" s="16">
        <v>2.0</v>
      </c>
      <c r="D25" s="9">
        <f t="shared" si="5"/>
        <v>600000</v>
      </c>
      <c r="F25" s="16">
        <v>4.0</v>
      </c>
    </row>
    <row r="26" ht="15.75" customHeight="1">
      <c r="A26" s="11"/>
      <c r="B26" s="17"/>
      <c r="C26" s="18"/>
      <c r="D26" s="9">
        <f t="shared" si="5"/>
        <v>0</v>
      </c>
      <c r="F26" s="18">
        <v>0.0</v>
      </c>
    </row>
    <row r="27" ht="15.75" customHeight="1">
      <c r="A27" s="2" t="s">
        <v>56</v>
      </c>
      <c r="D27" s="19">
        <f>SUM(D23:D26)</f>
        <v>1300000</v>
      </c>
    </row>
    <row r="28" ht="15.75" customHeight="1"/>
    <row r="29" ht="15.75" customHeight="1">
      <c r="A29" s="2" t="s">
        <v>57</v>
      </c>
    </row>
    <row r="30" ht="15.75" customHeight="1">
      <c r="A30" s="13" t="s">
        <v>6</v>
      </c>
      <c r="B30" s="13" t="s">
        <v>31</v>
      </c>
    </row>
    <row r="31" ht="15.75" customHeight="1">
      <c r="A31" s="8" t="s">
        <v>58</v>
      </c>
      <c r="B31" s="17">
        <v>800000.0</v>
      </c>
    </row>
    <row r="32" ht="15.75" customHeight="1">
      <c r="A32" s="8" t="s">
        <v>59</v>
      </c>
      <c r="B32" s="15">
        <v>0.0</v>
      </c>
    </row>
    <row r="33" ht="15.75" customHeight="1">
      <c r="A33" s="8" t="s">
        <v>61</v>
      </c>
      <c r="B33" s="15">
        <v>0.0</v>
      </c>
    </row>
    <row r="34" ht="15.75" customHeight="1">
      <c r="A34" s="8" t="s">
        <v>62</v>
      </c>
      <c r="B34" s="17">
        <v>200000.0</v>
      </c>
    </row>
    <row r="35" ht="15.75" customHeight="1">
      <c r="A35" s="2" t="s">
        <v>63</v>
      </c>
      <c r="B35" s="19">
        <f>SUM(B31:B34)</f>
        <v>1000000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0"/>
    <col customWidth="1" min="4" max="6" width="30.0"/>
  </cols>
  <sheetData>
    <row r="1">
      <c r="A1" s="28" t="s">
        <v>72</v>
      </c>
    </row>
    <row r="3">
      <c r="A3" s="29" t="s">
        <v>73</v>
      </c>
      <c r="B3" s="29" t="s">
        <v>74</v>
      </c>
      <c r="C3" s="29" t="s">
        <v>75</v>
      </c>
      <c r="D3" s="29" t="s">
        <v>76</v>
      </c>
      <c r="E3" s="29" t="s">
        <v>77</v>
      </c>
    </row>
    <row r="4">
      <c r="A4" s="30" t="s">
        <v>78</v>
      </c>
      <c r="B4" s="31"/>
      <c r="C4" s="31"/>
      <c r="D4" s="31"/>
      <c r="E4" s="32"/>
    </row>
    <row r="5">
      <c r="A5" s="8" t="s">
        <v>79</v>
      </c>
      <c r="B5" s="33">
        <v>2500000.0</v>
      </c>
      <c r="C5" s="34">
        <v>2500000.0</v>
      </c>
      <c r="D5" s="11" t="s">
        <v>80</v>
      </c>
      <c r="E5" s="11"/>
    </row>
    <row r="6">
      <c r="A6" s="8" t="s">
        <v>81</v>
      </c>
      <c r="B6" s="33">
        <v>100000.0</v>
      </c>
      <c r="C6" s="35">
        <v>100000.0</v>
      </c>
      <c r="D6" s="8" t="s">
        <v>82</v>
      </c>
      <c r="E6" s="11"/>
    </row>
    <row r="7">
      <c r="A7" s="8" t="s">
        <v>83</v>
      </c>
      <c r="B7" s="33">
        <v>50000.0</v>
      </c>
      <c r="C7" s="35">
        <v>50000.0</v>
      </c>
      <c r="D7" s="8" t="s">
        <v>84</v>
      </c>
      <c r="E7" s="11"/>
    </row>
    <row r="8">
      <c r="A8" s="8" t="s">
        <v>85</v>
      </c>
      <c r="B8" s="33">
        <v>30000.0</v>
      </c>
      <c r="C8" s="35">
        <v>30000.0</v>
      </c>
      <c r="D8" s="8" t="s">
        <v>86</v>
      </c>
      <c r="E8" s="11"/>
    </row>
    <row r="9">
      <c r="A9" s="8" t="s">
        <v>87</v>
      </c>
      <c r="B9" s="36">
        <v>500000.0</v>
      </c>
      <c r="C9" s="35">
        <v>500000.0</v>
      </c>
      <c r="D9" s="8" t="s">
        <v>88</v>
      </c>
      <c r="E9" s="11"/>
    </row>
    <row r="10">
      <c r="A10" s="30" t="s">
        <v>89</v>
      </c>
      <c r="B10" s="31"/>
      <c r="C10" s="31"/>
      <c r="D10" s="31"/>
      <c r="E10" s="32"/>
    </row>
    <row r="11">
      <c r="A11" s="8" t="s">
        <v>90</v>
      </c>
      <c r="B11" s="33">
        <v>800000.0</v>
      </c>
      <c r="C11" s="35">
        <v>800000.0</v>
      </c>
      <c r="D11" s="8" t="s">
        <v>91</v>
      </c>
      <c r="E11" s="11"/>
    </row>
    <row r="12">
      <c r="A12" s="8" t="s">
        <v>92</v>
      </c>
      <c r="B12" s="37">
        <v>700000.0</v>
      </c>
      <c r="C12" s="34">
        <v>700000.0</v>
      </c>
      <c r="D12" s="8" t="s">
        <v>91</v>
      </c>
      <c r="E12" s="11"/>
    </row>
    <row r="13">
      <c r="A13" s="8" t="s">
        <v>93</v>
      </c>
      <c r="B13" s="34">
        <v>500000.0</v>
      </c>
      <c r="C13" s="34">
        <v>500000.0</v>
      </c>
      <c r="D13" s="8" t="s">
        <v>94</v>
      </c>
      <c r="E13" s="11"/>
    </row>
    <row r="14">
      <c r="A14" s="8" t="s">
        <v>95</v>
      </c>
      <c r="B14" s="34">
        <v>500000.0</v>
      </c>
      <c r="C14" s="34">
        <v>500000.0</v>
      </c>
      <c r="D14" s="8" t="s">
        <v>96</v>
      </c>
      <c r="E14" s="11"/>
    </row>
    <row r="15">
      <c r="A15" s="30" t="s">
        <v>97</v>
      </c>
      <c r="B15" s="31"/>
      <c r="C15" s="31"/>
      <c r="D15" s="31"/>
      <c r="E15" s="32"/>
    </row>
    <row r="16">
      <c r="A16" s="8" t="s">
        <v>98</v>
      </c>
      <c r="B16" s="33">
        <v>135000.0</v>
      </c>
      <c r="C16" s="34">
        <v>135000.0</v>
      </c>
      <c r="D16" s="11" t="s">
        <v>99</v>
      </c>
      <c r="E16" s="11" t="s">
        <v>100</v>
      </c>
    </row>
    <row r="17">
      <c r="A17" s="8" t="s">
        <v>101</v>
      </c>
      <c r="B17" s="33">
        <v>75000.0</v>
      </c>
      <c r="C17" s="35">
        <v>75000.0</v>
      </c>
      <c r="D17" s="11" t="s">
        <v>102</v>
      </c>
      <c r="E17" s="11" t="s">
        <v>103</v>
      </c>
    </row>
    <row r="18">
      <c r="A18" s="8" t="s">
        <v>104</v>
      </c>
      <c r="B18" s="33">
        <v>30000.0</v>
      </c>
      <c r="C18" s="35">
        <v>30000.0</v>
      </c>
      <c r="D18" s="11" t="s">
        <v>105</v>
      </c>
      <c r="E18" s="11" t="s">
        <v>106</v>
      </c>
    </row>
    <row r="19">
      <c r="A19" s="8" t="s">
        <v>107</v>
      </c>
      <c r="B19" s="33">
        <v>80000.0</v>
      </c>
      <c r="C19" s="35">
        <v>80000.0</v>
      </c>
      <c r="D19" s="38" t="s">
        <v>108</v>
      </c>
      <c r="E19" s="11" t="s">
        <v>109</v>
      </c>
    </row>
    <row r="20">
      <c r="A20" s="8" t="s">
        <v>110</v>
      </c>
      <c r="B20" s="36">
        <v>30000.0</v>
      </c>
      <c r="C20" s="35">
        <v>30000.0</v>
      </c>
      <c r="D20" s="8" t="s">
        <v>111</v>
      </c>
      <c r="E20" s="11"/>
    </row>
    <row r="21" ht="15.75" customHeight="1">
      <c r="A21" s="8" t="s">
        <v>112</v>
      </c>
      <c r="B21" s="33">
        <v>70000.0</v>
      </c>
      <c r="C21" s="35">
        <v>70000.0</v>
      </c>
      <c r="D21" s="11" t="s">
        <v>113</v>
      </c>
      <c r="E21" s="11" t="s">
        <v>114</v>
      </c>
    </row>
    <row r="22" ht="15.75" customHeight="1">
      <c r="A22" s="30" t="s">
        <v>115</v>
      </c>
      <c r="B22" s="31"/>
      <c r="C22" s="31"/>
      <c r="D22" s="31"/>
      <c r="E22" s="32"/>
    </row>
    <row r="23" ht="15.75" customHeight="1">
      <c r="A23" s="8" t="s">
        <v>116</v>
      </c>
      <c r="B23" s="37">
        <v>200000.0</v>
      </c>
      <c r="C23" s="34">
        <v>0.0</v>
      </c>
      <c r="D23" s="8" t="s">
        <v>117</v>
      </c>
      <c r="E23" s="11"/>
    </row>
    <row r="24" ht="15.75" customHeight="1">
      <c r="A24" s="39" t="s">
        <v>118</v>
      </c>
      <c r="B24" s="40">
        <v>15000.0</v>
      </c>
      <c r="C24" s="41">
        <v>0.0</v>
      </c>
      <c r="D24" s="39" t="s">
        <v>119</v>
      </c>
      <c r="E24" s="42"/>
    </row>
    <row r="25" ht="15.75" customHeight="1">
      <c r="A25" s="8" t="s">
        <v>120</v>
      </c>
      <c r="B25" s="34">
        <v>50000.0</v>
      </c>
      <c r="C25" s="34">
        <v>0.0</v>
      </c>
      <c r="D25" s="8" t="s">
        <v>121</v>
      </c>
      <c r="E25" s="11"/>
    </row>
    <row r="26" ht="15.75" customHeight="1">
      <c r="A26" s="8" t="s">
        <v>122</v>
      </c>
      <c r="B26" s="34">
        <v>150000.0</v>
      </c>
      <c r="C26" s="34">
        <v>150000.0</v>
      </c>
      <c r="D26" s="8" t="s">
        <v>123</v>
      </c>
      <c r="E26" s="11"/>
    </row>
    <row r="27" ht="15.75" customHeight="1">
      <c r="A27" s="8" t="s">
        <v>124</v>
      </c>
      <c r="B27" s="34">
        <v>150000.0</v>
      </c>
      <c r="C27" s="34">
        <v>150000.0</v>
      </c>
      <c r="D27" s="8" t="s">
        <v>125</v>
      </c>
      <c r="E27" s="11"/>
    </row>
    <row r="28" ht="15.75" customHeight="1">
      <c r="A28" s="8" t="s">
        <v>126</v>
      </c>
      <c r="B28" s="34">
        <v>30000.0</v>
      </c>
      <c r="C28" s="34">
        <v>30000.0</v>
      </c>
      <c r="D28" s="8" t="s">
        <v>127</v>
      </c>
      <c r="E28" s="11"/>
    </row>
    <row r="29" ht="15.75" customHeight="1">
      <c r="A29" s="8" t="s">
        <v>128</v>
      </c>
      <c r="B29" s="34">
        <v>30000.0</v>
      </c>
      <c r="C29" s="34">
        <v>30000.0</v>
      </c>
      <c r="D29" s="11"/>
      <c r="E29" s="11"/>
    </row>
    <row r="30" ht="15.75" customHeight="1">
      <c r="A30" s="8" t="s">
        <v>129</v>
      </c>
      <c r="B30" s="34">
        <v>20000.0</v>
      </c>
      <c r="C30" s="34">
        <v>20000.0</v>
      </c>
      <c r="D30" s="8" t="s">
        <v>130</v>
      </c>
      <c r="E30" s="11"/>
    </row>
    <row r="31" ht="15.75" customHeight="1">
      <c r="A31" s="8" t="s">
        <v>131</v>
      </c>
      <c r="B31" s="34">
        <v>30000.0</v>
      </c>
      <c r="C31" s="34">
        <v>30000.0</v>
      </c>
      <c r="D31" s="8" t="s">
        <v>132</v>
      </c>
      <c r="E31" s="11"/>
    </row>
    <row r="32" ht="15.75" customHeight="1">
      <c r="A32" s="8" t="s">
        <v>133</v>
      </c>
      <c r="B32" s="34">
        <v>5000.0</v>
      </c>
      <c r="C32" s="34">
        <v>5000.0</v>
      </c>
      <c r="D32" s="8" t="s">
        <v>134</v>
      </c>
      <c r="E32" s="11"/>
    </row>
    <row r="33" ht="15.75" customHeight="1">
      <c r="A33" s="30" t="s">
        <v>135</v>
      </c>
      <c r="B33" s="31"/>
      <c r="C33" s="31"/>
      <c r="D33" s="31"/>
      <c r="E33" s="32"/>
    </row>
    <row r="34" ht="15.75" customHeight="1">
      <c r="A34" s="8" t="s">
        <v>136</v>
      </c>
      <c r="B34" s="34">
        <v>100000.0</v>
      </c>
      <c r="C34" s="34">
        <v>0.0</v>
      </c>
      <c r="D34" s="11" t="s">
        <v>137</v>
      </c>
      <c r="E34" s="11"/>
    </row>
    <row r="35" ht="15.75" customHeight="1">
      <c r="A35" s="8" t="s">
        <v>138</v>
      </c>
      <c r="B35" s="34">
        <v>50000.0</v>
      </c>
      <c r="C35" s="34">
        <v>50000.0</v>
      </c>
      <c r="D35" s="8" t="s">
        <v>123</v>
      </c>
      <c r="E35" s="11"/>
    </row>
    <row r="36" ht="15.75" customHeight="1">
      <c r="A36" s="8" t="s">
        <v>139</v>
      </c>
      <c r="B36" s="34">
        <v>50000.0</v>
      </c>
      <c r="C36" s="34">
        <v>0.0</v>
      </c>
      <c r="D36" s="11" t="s">
        <v>140</v>
      </c>
      <c r="E36" s="11"/>
    </row>
    <row r="37" ht="15.75" customHeight="1">
      <c r="A37" s="8" t="s">
        <v>141</v>
      </c>
      <c r="B37" s="34">
        <v>30000.0</v>
      </c>
      <c r="C37" s="34">
        <v>0.0</v>
      </c>
      <c r="D37" s="11" t="s">
        <v>142</v>
      </c>
      <c r="E37" s="11"/>
    </row>
    <row r="38" ht="15.75" customHeight="1">
      <c r="A38" s="30" t="s">
        <v>143</v>
      </c>
      <c r="B38" s="31"/>
      <c r="C38" s="31"/>
      <c r="D38" s="31"/>
      <c r="E38" s="32"/>
    </row>
    <row r="39" ht="15.75" customHeight="1">
      <c r="A39" s="8" t="s">
        <v>144</v>
      </c>
      <c r="B39" s="34">
        <v>300000.0</v>
      </c>
      <c r="C39" s="34">
        <v>0.0</v>
      </c>
      <c r="D39" s="8" t="s">
        <v>145</v>
      </c>
      <c r="E39" s="11"/>
    </row>
    <row r="40" ht="15.75" customHeight="1">
      <c r="A40" s="8" t="s">
        <v>146</v>
      </c>
      <c r="B40" s="34">
        <v>200000.0</v>
      </c>
      <c r="C40" s="34">
        <v>0.0</v>
      </c>
      <c r="D40" s="8" t="s">
        <v>147</v>
      </c>
      <c r="E40" s="11"/>
    </row>
    <row r="41" ht="15.75" customHeight="1">
      <c r="A41" s="8" t="s">
        <v>148</v>
      </c>
      <c r="B41" s="34">
        <f>('PJT1_入力'!D11+'PJT1_入力'!E19+'PJT1_入力'!D27+'PJT1_入力'!B35)*0.036</f>
        <v>1223640</v>
      </c>
      <c r="C41" s="34">
        <f>('PJT2_入力'!D11+'PJT2_入力'!E19+'PJT2_入力'!D27+'PJT2_入力'!B35)*0.036</f>
        <v>739512</v>
      </c>
      <c r="D41" s="8" t="s">
        <v>149</v>
      </c>
      <c r="E41" s="11"/>
    </row>
    <row r="42" ht="15.75" customHeight="1">
      <c r="A42" s="30" t="s">
        <v>150</v>
      </c>
      <c r="B42" s="31"/>
      <c r="C42" s="31"/>
      <c r="D42" s="31"/>
      <c r="E42" s="32"/>
    </row>
    <row r="43" ht="15.75" customHeight="1">
      <c r="A43" s="8" t="s">
        <v>151</v>
      </c>
      <c r="B43" s="34">
        <v>50000.0</v>
      </c>
      <c r="C43" s="34">
        <v>50000.0</v>
      </c>
      <c r="D43" s="8" t="s">
        <v>152</v>
      </c>
      <c r="E43" s="11"/>
    </row>
    <row r="44" ht="15.75" customHeight="1">
      <c r="A44" s="8" t="s">
        <v>153</v>
      </c>
      <c r="B44" s="34">
        <v>20000.0</v>
      </c>
      <c r="C44" s="34">
        <v>20000.0</v>
      </c>
      <c r="D44" s="8" t="s">
        <v>154</v>
      </c>
      <c r="E44" s="11"/>
    </row>
    <row r="45" ht="15.75" customHeight="1">
      <c r="A45" s="8" t="s">
        <v>155</v>
      </c>
      <c r="B45" s="34">
        <v>50000.0</v>
      </c>
      <c r="C45" s="34">
        <v>0.0</v>
      </c>
      <c r="D45" s="8" t="s">
        <v>156</v>
      </c>
      <c r="E45" s="11"/>
    </row>
    <row r="46" ht="15.75" customHeight="1">
      <c r="A46" s="30" t="s">
        <v>157</v>
      </c>
      <c r="B46" s="31"/>
      <c r="C46" s="31"/>
      <c r="D46" s="31"/>
      <c r="E46" s="32"/>
    </row>
    <row r="47" ht="15.75" customHeight="1">
      <c r="A47" s="8" t="s">
        <v>158</v>
      </c>
      <c r="B47" s="34">
        <v>10000.0</v>
      </c>
      <c r="C47" s="34">
        <v>10000.0</v>
      </c>
      <c r="D47" s="8" t="s">
        <v>159</v>
      </c>
      <c r="E47" s="11"/>
    </row>
    <row r="48" ht="15.75" customHeight="1">
      <c r="A48" s="8" t="s">
        <v>160</v>
      </c>
      <c r="B48" s="34">
        <v>20000.0</v>
      </c>
      <c r="C48" s="34">
        <v>20000.0</v>
      </c>
      <c r="D48" s="11"/>
      <c r="E48" s="11"/>
    </row>
    <row r="49" ht="15.75" customHeight="1">
      <c r="A49" s="8" t="s">
        <v>161</v>
      </c>
      <c r="B49" s="34">
        <v>10000.0</v>
      </c>
      <c r="C49" s="34">
        <v>10000.0</v>
      </c>
      <c r="D49" s="11"/>
      <c r="E49" s="11"/>
    </row>
    <row r="50" ht="15.75" customHeight="1">
      <c r="A50" s="30" t="s">
        <v>162</v>
      </c>
      <c r="B50" s="31"/>
      <c r="C50" s="31"/>
      <c r="D50" s="31"/>
      <c r="E50" s="32"/>
    </row>
    <row r="51" ht="15.75" customHeight="1">
      <c r="A51" s="8" t="s">
        <v>163</v>
      </c>
      <c r="B51" s="34">
        <v>30000.0</v>
      </c>
      <c r="C51" s="34">
        <v>0.0</v>
      </c>
      <c r="D51" s="11" t="s">
        <v>164</v>
      </c>
      <c r="E51" s="11"/>
    </row>
    <row r="52" ht="15.75" customHeight="1">
      <c r="A52" s="8" t="s">
        <v>165</v>
      </c>
      <c r="B52" s="34">
        <v>50000.0</v>
      </c>
      <c r="C52" s="34">
        <v>50000.0</v>
      </c>
      <c r="D52" s="8" t="s">
        <v>166</v>
      </c>
      <c r="E52" s="11"/>
    </row>
    <row r="53" ht="15.75" customHeight="1">
      <c r="A53" s="8" t="s">
        <v>167</v>
      </c>
      <c r="B53" s="34">
        <v>100000.0</v>
      </c>
      <c r="C53" s="34">
        <v>0.0</v>
      </c>
      <c r="D53" s="8" t="s">
        <v>168</v>
      </c>
      <c r="E53" s="11"/>
    </row>
    <row r="54" ht="15.75" customHeight="1">
      <c r="A54" s="30" t="s">
        <v>169</v>
      </c>
      <c r="B54" s="31"/>
      <c r="C54" s="31"/>
      <c r="D54" s="31"/>
      <c r="E54" s="32"/>
    </row>
    <row r="55" ht="15.75" customHeight="1">
      <c r="A55" s="8" t="s">
        <v>170</v>
      </c>
      <c r="B55" s="34">
        <v>50000.0</v>
      </c>
      <c r="C55" s="34">
        <v>100000.0</v>
      </c>
      <c r="D55" s="8" t="s">
        <v>171</v>
      </c>
      <c r="E55" s="11"/>
    </row>
    <row r="56" ht="15.75" customHeight="1">
      <c r="A56" s="8" t="s">
        <v>172</v>
      </c>
      <c r="B56" s="34">
        <v>0.0</v>
      </c>
      <c r="C56" s="34">
        <v>100000.0</v>
      </c>
      <c r="D56" s="8" t="s">
        <v>173</v>
      </c>
      <c r="E56" s="11"/>
    </row>
    <row r="57" ht="15.75" customHeight="1">
      <c r="A57" s="30" t="s">
        <v>174</v>
      </c>
      <c r="B57" s="31"/>
      <c r="C57" s="31"/>
      <c r="D57" s="31"/>
      <c r="E57" s="32"/>
    </row>
    <row r="58" ht="15.75" customHeight="1">
      <c r="A58" s="8" t="s">
        <v>175</v>
      </c>
      <c r="B58" s="34">
        <v>50000.0</v>
      </c>
      <c r="C58" s="34">
        <v>50000.0</v>
      </c>
      <c r="D58" s="8" t="s">
        <v>176</v>
      </c>
      <c r="E58" s="11"/>
    </row>
    <row r="59" ht="15.75" customHeight="1">
      <c r="A59" s="8" t="s">
        <v>177</v>
      </c>
      <c r="B59" s="34">
        <v>300000.0</v>
      </c>
      <c r="C59" s="34">
        <v>300000.0</v>
      </c>
      <c r="D59" s="8" t="s">
        <v>178</v>
      </c>
      <c r="E59" s="11"/>
    </row>
    <row r="60" ht="15.75" customHeight="1">
      <c r="A60" s="43" t="s">
        <v>179</v>
      </c>
      <c r="B60" s="31"/>
      <c r="C60" s="31"/>
      <c r="D60" s="31"/>
      <c r="E60" s="32"/>
    </row>
    <row r="61" ht="15.75" customHeight="1">
      <c r="A61" s="14" t="s">
        <v>180</v>
      </c>
      <c r="B61" s="44">
        <v>4500000.0</v>
      </c>
      <c r="C61" s="44">
        <v>4500000.0</v>
      </c>
      <c r="D61" s="14" t="s">
        <v>181</v>
      </c>
      <c r="E61" s="11"/>
    </row>
    <row r="62" ht="15.75" customHeight="1">
      <c r="A62" s="3"/>
      <c r="B62" s="45"/>
      <c r="C62" s="45"/>
      <c r="D62" s="3"/>
      <c r="E62" s="46"/>
    </row>
    <row r="63" ht="15.75" customHeight="1"/>
    <row r="64" ht="15.75" customHeight="1">
      <c r="A64" s="47" t="s">
        <v>182</v>
      </c>
      <c r="B64" s="48">
        <f t="shared" ref="B64:C64" si="1">SUM(B5,B6,B7,B8,B9,B11,B12,B13,B14,B16,B17,B18,B19,B20,B21,B23,B25,B26,B27,B28,B29,B30,B31,B32,B34,B35,B36,B37,B39,B40,B41,B43,B44,B45,B47,B48,B49,B51,B52,B53,B55,B56,B58,B59,B61,B24)</f>
        <v>13973640</v>
      </c>
      <c r="C64" s="48">
        <f t="shared" si="1"/>
        <v>12514512</v>
      </c>
      <c r="D64" s="11"/>
      <c r="E64" s="11"/>
    </row>
    <row r="65" ht="15.75" customHeight="1"/>
    <row r="66" ht="15.75" customHeight="1">
      <c r="A66" s="49" t="s">
        <v>183</v>
      </c>
      <c r="B66" s="50">
        <f>B64+C64</f>
        <v>26488152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A42:E42"/>
    <mergeCell ref="A46:E46"/>
    <mergeCell ref="A50:E50"/>
    <mergeCell ref="A54:E54"/>
    <mergeCell ref="A57:E57"/>
    <mergeCell ref="A60:E60"/>
    <mergeCell ref="A1:E1"/>
    <mergeCell ref="A4:E4"/>
    <mergeCell ref="A10:E10"/>
    <mergeCell ref="A15:E15"/>
    <mergeCell ref="A22:E22"/>
    <mergeCell ref="A33:E33"/>
    <mergeCell ref="A38:E3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43"/>
    <col customWidth="1" min="4" max="4" width="30.0"/>
    <col customWidth="1" min="5" max="5" width="35.29"/>
    <col customWidth="1" min="6" max="26" width="8.71"/>
  </cols>
  <sheetData>
    <row r="1" ht="21.0" customHeight="1">
      <c r="A1" s="51" t="s">
        <v>72</v>
      </c>
    </row>
    <row r="3" ht="16.5" customHeight="1">
      <c r="A3" s="52" t="s">
        <v>73</v>
      </c>
      <c r="B3" s="52" t="s">
        <v>184</v>
      </c>
      <c r="C3" s="52" t="s">
        <v>185</v>
      </c>
      <c r="D3" s="52" t="s">
        <v>76</v>
      </c>
      <c r="E3" s="52" t="s">
        <v>186</v>
      </c>
    </row>
    <row r="4" ht="17.25" customHeight="1">
      <c r="A4" s="53" t="s">
        <v>187</v>
      </c>
      <c r="B4" s="31"/>
      <c r="C4" s="31"/>
      <c r="D4" s="31"/>
      <c r="E4" s="32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17.25" customHeight="1">
      <c r="A5" s="55" t="s">
        <v>79</v>
      </c>
      <c r="B5" s="56">
        <v>2500000.0</v>
      </c>
      <c r="C5" s="57">
        <v>2500000.0</v>
      </c>
      <c r="D5" s="58" t="s">
        <v>188</v>
      </c>
      <c r="E5" s="58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17.25" customHeight="1">
      <c r="A6" s="55" t="s">
        <v>81</v>
      </c>
      <c r="B6" s="56">
        <v>100000.0</v>
      </c>
      <c r="C6" s="59">
        <v>100000.0</v>
      </c>
      <c r="D6" s="55" t="s">
        <v>82</v>
      </c>
      <c r="E6" s="58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17.25" customHeight="1">
      <c r="A7" s="55" t="s">
        <v>83</v>
      </c>
      <c r="B7" s="56">
        <v>50000.0</v>
      </c>
      <c r="C7" s="59">
        <v>50000.0</v>
      </c>
      <c r="D7" s="55" t="s">
        <v>84</v>
      </c>
      <c r="E7" s="58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17.25" customHeight="1">
      <c r="A8" s="55" t="s">
        <v>85</v>
      </c>
      <c r="B8" s="56">
        <v>30000.0</v>
      </c>
      <c r="C8" s="59">
        <v>30000.0</v>
      </c>
      <c r="D8" s="55" t="s">
        <v>86</v>
      </c>
      <c r="E8" s="58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17.25" customHeight="1">
      <c r="A9" s="55" t="s">
        <v>87</v>
      </c>
      <c r="B9" s="60">
        <v>500000.0</v>
      </c>
      <c r="C9" s="59">
        <v>500000.0</v>
      </c>
      <c r="D9" s="55" t="s">
        <v>88</v>
      </c>
      <c r="E9" s="58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17.25" customHeight="1">
      <c r="A10" s="53" t="s">
        <v>189</v>
      </c>
      <c r="B10" s="31"/>
      <c r="C10" s="31"/>
      <c r="D10" s="31"/>
      <c r="E10" s="32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17.25" customHeight="1">
      <c r="A11" s="55" t="s">
        <v>90</v>
      </c>
      <c r="B11" s="56">
        <v>800000.0</v>
      </c>
      <c r="C11" s="59">
        <v>800000.0</v>
      </c>
      <c r="D11" s="55" t="s">
        <v>91</v>
      </c>
      <c r="E11" s="58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17.25" customHeight="1">
      <c r="A12" s="55" t="s">
        <v>92</v>
      </c>
      <c r="B12" s="61">
        <v>700000.0</v>
      </c>
      <c r="C12" s="57">
        <v>700000.0</v>
      </c>
      <c r="D12" s="55" t="s">
        <v>91</v>
      </c>
      <c r="E12" s="58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17.25" customHeight="1">
      <c r="A13" s="55" t="s">
        <v>93</v>
      </c>
      <c r="B13" s="57">
        <v>500000.0</v>
      </c>
      <c r="C13" s="57">
        <v>500000.0</v>
      </c>
      <c r="D13" s="55" t="s">
        <v>94</v>
      </c>
      <c r="E13" s="58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17.25" customHeight="1">
      <c r="A14" s="55" t="s">
        <v>95</v>
      </c>
      <c r="B14" s="57">
        <v>500000.0</v>
      </c>
      <c r="C14" s="57">
        <v>500000.0</v>
      </c>
      <c r="D14" s="55" t="s">
        <v>96</v>
      </c>
      <c r="E14" s="58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17.25" customHeight="1">
      <c r="A15" s="62" t="s">
        <v>190</v>
      </c>
      <c r="B15" s="63">
        <v>6622000.0</v>
      </c>
      <c r="C15" s="63">
        <v>0.0</v>
      </c>
      <c r="D15" s="63" t="s">
        <v>191</v>
      </c>
      <c r="E15" s="6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17.25" customHeight="1">
      <c r="A16" s="53" t="s">
        <v>192</v>
      </c>
      <c r="B16" s="31"/>
      <c r="C16" s="31"/>
      <c r="D16" s="31"/>
      <c r="E16" s="32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17.25" customHeight="1">
      <c r="A17" s="55" t="s">
        <v>98</v>
      </c>
      <c r="B17" s="56">
        <v>135000.0</v>
      </c>
      <c r="C17" s="57">
        <v>135000.0</v>
      </c>
      <c r="D17" s="58" t="s">
        <v>193</v>
      </c>
      <c r="E17" s="58" t="s">
        <v>194</v>
      </c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17.25" customHeight="1">
      <c r="A18" s="55" t="s">
        <v>101</v>
      </c>
      <c r="B18" s="56">
        <v>75000.0</v>
      </c>
      <c r="C18" s="59">
        <v>75000.0</v>
      </c>
      <c r="D18" s="58" t="s">
        <v>195</v>
      </c>
      <c r="E18" s="58" t="s">
        <v>196</v>
      </c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17.25" customHeight="1">
      <c r="A19" s="55" t="s">
        <v>104</v>
      </c>
      <c r="B19" s="56">
        <v>30000.0</v>
      </c>
      <c r="C19" s="59">
        <v>30000.0</v>
      </c>
      <c r="D19" s="58" t="s">
        <v>197</v>
      </c>
      <c r="E19" s="58" t="s">
        <v>198</v>
      </c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17.25" customHeight="1">
      <c r="A20" s="55" t="s">
        <v>199</v>
      </c>
      <c r="B20" s="56">
        <v>80000.0</v>
      </c>
      <c r="C20" s="59">
        <v>80000.0</v>
      </c>
      <c r="D20" s="58" t="s">
        <v>200</v>
      </c>
      <c r="E20" s="58" t="s">
        <v>201</v>
      </c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17.25" customHeight="1">
      <c r="A21" s="55" t="s">
        <v>110</v>
      </c>
      <c r="B21" s="60">
        <v>30000.0</v>
      </c>
      <c r="C21" s="59">
        <v>30000.0</v>
      </c>
      <c r="D21" s="55" t="s">
        <v>111</v>
      </c>
      <c r="E21" s="58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17.25" customHeight="1">
      <c r="A22" s="55" t="s">
        <v>112</v>
      </c>
      <c r="B22" s="64">
        <v>70000.0</v>
      </c>
      <c r="C22" s="64">
        <v>70000.0</v>
      </c>
      <c r="D22" s="64" t="s">
        <v>200</v>
      </c>
      <c r="E22" s="6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17.25" customHeight="1">
      <c r="A23" s="53" t="s">
        <v>202</v>
      </c>
      <c r="B23" s="31"/>
      <c r="C23" s="31"/>
      <c r="D23" s="31"/>
      <c r="E23" s="32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7.25" customHeight="1">
      <c r="A24" s="55" t="s">
        <v>116</v>
      </c>
      <c r="B24" s="61">
        <v>200000.0</v>
      </c>
      <c r="C24" s="57">
        <v>0.0</v>
      </c>
      <c r="D24" s="55" t="s">
        <v>203</v>
      </c>
      <c r="E24" s="58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7.25" customHeight="1">
      <c r="A25" s="55" t="s">
        <v>118</v>
      </c>
      <c r="B25" s="65">
        <v>15000.0</v>
      </c>
      <c r="C25" s="66">
        <v>0.0</v>
      </c>
      <c r="D25" s="55" t="s">
        <v>204</v>
      </c>
      <c r="E25" s="6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7.25" customHeight="1">
      <c r="A26" s="55" t="s">
        <v>120</v>
      </c>
      <c r="B26" s="57">
        <v>50000.0</v>
      </c>
      <c r="C26" s="57">
        <v>0.0</v>
      </c>
      <c r="D26" s="55" t="s">
        <v>203</v>
      </c>
      <c r="E26" s="58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7.25" customHeight="1">
      <c r="A27" s="55" t="s">
        <v>122</v>
      </c>
      <c r="B27" s="57">
        <v>150000.0</v>
      </c>
      <c r="C27" s="57">
        <v>150000.0</v>
      </c>
      <c r="D27" s="55" t="s">
        <v>123</v>
      </c>
      <c r="E27" s="58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7.25" customHeight="1">
      <c r="A28" s="55" t="s">
        <v>124</v>
      </c>
      <c r="B28" s="57">
        <v>150000.0</v>
      </c>
      <c r="C28" s="57">
        <v>150000.0</v>
      </c>
      <c r="D28" s="55" t="s">
        <v>125</v>
      </c>
      <c r="E28" s="67" t="s">
        <v>205</v>
      </c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7.25" customHeight="1">
      <c r="A29" s="55" t="s">
        <v>126</v>
      </c>
      <c r="B29" s="57">
        <v>30000.0</v>
      </c>
      <c r="C29" s="57">
        <v>30000.0</v>
      </c>
      <c r="D29" s="55" t="s">
        <v>127</v>
      </c>
      <c r="E29" s="58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7.25" customHeight="1">
      <c r="A30" s="62" t="s">
        <v>128</v>
      </c>
      <c r="B30" s="68">
        <v>30000.0</v>
      </c>
      <c r="C30" s="68">
        <v>30000.0</v>
      </c>
      <c r="D30" s="58"/>
      <c r="E30" s="58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7.25" customHeight="1">
      <c r="A31" s="55" t="s">
        <v>129</v>
      </c>
      <c r="B31" s="57">
        <v>20000.0</v>
      </c>
      <c r="C31" s="57">
        <v>20000.0</v>
      </c>
      <c r="D31" s="55" t="s">
        <v>130</v>
      </c>
      <c r="E31" s="58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17.25" customHeight="1">
      <c r="A32" s="55" t="s">
        <v>131</v>
      </c>
      <c r="B32" s="57">
        <v>30000.0</v>
      </c>
      <c r="C32" s="57">
        <v>30000.0</v>
      </c>
      <c r="D32" s="55" t="s">
        <v>132</v>
      </c>
      <c r="E32" s="58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17.25" customHeight="1">
      <c r="A33" s="55" t="s">
        <v>133</v>
      </c>
      <c r="B33" s="64">
        <v>5000.0</v>
      </c>
      <c r="C33" s="64">
        <v>5000.0</v>
      </c>
      <c r="D33" s="64" t="s">
        <v>134</v>
      </c>
      <c r="E33" s="6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17.25" customHeight="1">
      <c r="A34" s="62" t="s">
        <v>206</v>
      </c>
      <c r="B34" s="68">
        <v>46000.0</v>
      </c>
      <c r="C34" s="68">
        <v>0.0</v>
      </c>
      <c r="D34" s="62" t="s">
        <v>207</v>
      </c>
      <c r="E34" s="58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17.25" customHeight="1">
      <c r="A35" s="53" t="s">
        <v>208</v>
      </c>
      <c r="B35" s="31"/>
      <c r="C35" s="31"/>
      <c r="D35" s="31"/>
      <c r="E35" s="32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7.25" customHeight="1">
      <c r="A36" s="55" t="s">
        <v>136</v>
      </c>
      <c r="B36" s="57">
        <v>100000.0</v>
      </c>
      <c r="C36" s="57">
        <v>0.0</v>
      </c>
      <c r="D36" s="58" t="s">
        <v>209</v>
      </c>
      <c r="E36" s="58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7.25" customHeight="1">
      <c r="A37" s="55" t="s">
        <v>138</v>
      </c>
      <c r="B37" s="57">
        <v>50000.0</v>
      </c>
      <c r="C37" s="57">
        <v>50000.0</v>
      </c>
      <c r="D37" s="55" t="s">
        <v>123</v>
      </c>
      <c r="E37" s="58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7.25" customHeight="1">
      <c r="A38" s="55" t="s">
        <v>210</v>
      </c>
      <c r="B38" s="64">
        <v>50000.0</v>
      </c>
      <c r="C38" s="64">
        <v>0.0</v>
      </c>
      <c r="D38" s="64" t="s">
        <v>211</v>
      </c>
      <c r="E38" s="6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17.25" customHeight="1">
      <c r="A39" s="55" t="s">
        <v>212</v>
      </c>
      <c r="B39" s="57">
        <v>30000.0</v>
      </c>
      <c r="C39" s="57">
        <v>0.0</v>
      </c>
      <c r="D39" s="58" t="s">
        <v>211</v>
      </c>
      <c r="E39" s="58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17.25" customHeight="1">
      <c r="A40" s="53" t="s">
        <v>213</v>
      </c>
      <c r="B40" s="31"/>
      <c r="C40" s="31"/>
      <c r="D40" s="31"/>
      <c r="E40" s="32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17.25" customHeight="1">
      <c r="A41" s="55" t="s">
        <v>214</v>
      </c>
      <c r="B41" s="57">
        <v>300000.0</v>
      </c>
      <c r="C41" s="57">
        <v>0.0</v>
      </c>
      <c r="D41" s="55" t="s">
        <v>145</v>
      </c>
      <c r="E41" s="58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7.25" customHeight="1">
      <c r="A42" s="55" t="s">
        <v>215</v>
      </c>
      <c r="B42" s="64">
        <v>200000.0</v>
      </c>
      <c r="C42" s="64">
        <v>0.0</v>
      </c>
      <c r="D42" s="64" t="s">
        <v>147</v>
      </c>
      <c r="E42" s="6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17.25" customHeight="1">
      <c r="A43" s="55" t="s">
        <v>216</v>
      </c>
      <c r="B43" s="57">
        <f>('PJT1_入力'!D11+'PJT1_入力'!E19)*0.036</f>
        <v>885240</v>
      </c>
      <c r="C43" s="57">
        <f>('PJT2_入力'!D11+'PJT2_入力'!E19)*0.036</f>
        <v>656712</v>
      </c>
      <c r="D43" s="55" t="s">
        <v>149</v>
      </c>
      <c r="E43" s="58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17.25" customHeight="1">
      <c r="A44" s="53" t="s">
        <v>217</v>
      </c>
      <c r="B44" s="31"/>
      <c r="C44" s="31"/>
      <c r="D44" s="31"/>
      <c r="E44" s="32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17.25" customHeight="1">
      <c r="A45" s="55" t="s">
        <v>151</v>
      </c>
      <c r="B45" s="57">
        <v>50000.0</v>
      </c>
      <c r="C45" s="57">
        <v>50000.0</v>
      </c>
      <c r="D45" s="55" t="s">
        <v>218</v>
      </c>
      <c r="E45" s="58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17.25" customHeight="1">
      <c r="A46" s="55" t="s">
        <v>219</v>
      </c>
      <c r="B46" s="64">
        <v>20000.0</v>
      </c>
      <c r="C46" s="64">
        <v>20000.0</v>
      </c>
      <c r="D46" s="64" t="s">
        <v>154</v>
      </c>
      <c r="E46" s="6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17.25" customHeight="1">
      <c r="A47" s="55" t="s">
        <v>220</v>
      </c>
      <c r="B47" s="57">
        <v>50000.0</v>
      </c>
      <c r="C47" s="57">
        <v>0.0</v>
      </c>
      <c r="D47" s="55" t="s">
        <v>221</v>
      </c>
      <c r="E47" s="58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17.25" customHeight="1">
      <c r="A48" s="53" t="s">
        <v>222</v>
      </c>
      <c r="B48" s="31"/>
      <c r="C48" s="31"/>
      <c r="D48" s="31"/>
      <c r="E48" s="32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7.25" customHeight="1">
      <c r="A49" s="55" t="s">
        <v>158</v>
      </c>
      <c r="B49" s="57">
        <v>10000.0</v>
      </c>
      <c r="C49" s="57">
        <v>10000.0</v>
      </c>
      <c r="D49" s="55" t="s">
        <v>159</v>
      </c>
      <c r="E49" s="58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17.25" customHeight="1">
      <c r="A50" s="55" t="s">
        <v>160</v>
      </c>
      <c r="B50" s="64">
        <v>20000.0</v>
      </c>
      <c r="C50" s="64">
        <v>20000.0</v>
      </c>
      <c r="D50" s="64"/>
      <c r="E50" s="6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17.25" customHeight="1">
      <c r="A51" s="55" t="s">
        <v>161</v>
      </c>
      <c r="B51" s="57">
        <v>10000.0</v>
      </c>
      <c r="C51" s="57">
        <v>10000.0</v>
      </c>
      <c r="D51" s="58"/>
      <c r="E51" s="58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17.25" customHeight="1">
      <c r="A52" s="53" t="s">
        <v>223</v>
      </c>
      <c r="B52" s="31"/>
      <c r="C52" s="31"/>
      <c r="D52" s="31"/>
      <c r="E52" s="32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17.25" customHeight="1">
      <c r="A53" s="55" t="s">
        <v>163</v>
      </c>
      <c r="B53" s="57">
        <v>30000.0</v>
      </c>
      <c r="C53" s="57">
        <v>0.0</v>
      </c>
      <c r="D53" s="58" t="s">
        <v>224</v>
      </c>
      <c r="E53" s="58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17.25" customHeight="1">
      <c r="A54" s="55" t="s">
        <v>165</v>
      </c>
      <c r="B54" s="64">
        <v>50000.0</v>
      </c>
      <c r="C54" s="64">
        <v>50000.0</v>
      </c>
      <c r="D54" s="64" t="s">
        <v>166</v>
      </c>
      <c r="E54" s="6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17.25" customHeight="1">
      <c r="A55" s="55" t="s">
        <v>167</v>
      </c>
      <c r="B55" s="57">
        <v>100000.0</v>
      </c>
      <c r="C55" s="57">
        <v>0.0</v>
      </c>
      <c r="D55" s="55" t="s">
        <v>168</v>
      </c>
      <c r="E55" s="58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17.25" customHeight="1">
      <c r="A56" s="53" t="s">
        <v>225</v>
      </c>
      <c r="B56" s="31"/>
      <c r="C56" s="31"/>
      <c r="D56" s="31"/>
      <c r="E56" s="32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17.25" customHeight="1">
      <c r="A57" s="55" t="s">
        <v>170</v>
      </c>
      <c r="B57" s="64">
        <v>50000.0</v>
      </c>
      <c r="C57" s="64">
        <v>100000.0</v>
      </c>
      <c r="D57" s="64" t="s">
        <v>171</v>
      </c>
      <c r="E57" s="6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17.25" customHeight="1">
      <c r="A58" s="55" t="s">
        <v>172</v>
      </c>
      <c r="B58" s="57">
        <v>0.0</v>
      </c>
      <c r="C58" s="57">
        <v>100000.0</v>
      </c>
      <c r="D58" s="55" t="s">
        <v>173</v>
      </c>
      <c r="E58" s="58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17.25" customHeight="1">
      <c r="A59" s="53" t="s">
        <v>226</v>
      </c>
      <c r="B59" s="31"/>
      <c r="C59" s="31"/>
      <c r="D59" s="31"/>
      <c r="E59" s="32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17.25" customHeight="1">
      <c r="A60" s="55" t="s">
        <v>175</v>
      </c>
      <c r="B60" s="64">
        <v>50000.0</v>
      </c>
      <c r="C60" s="64">
        <v>50000.0</v>
      </c>
      <c r="D60" s="64" t="s">
        <v>176</v>
      </c>
      <c r="E60" s="6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17.25" customHeight="1">
      <c r="A61" s="55" t="s">
        <v>177</v>
      </c>
      <c r="B61" s="57">
        <v>300000.0</v>
      </c>
      <c r="C61" s="57">
        <v>300000.0</v>
      </c>
      <c r="D61" s="55" t="s">
        <v>178</v>
      </c>
      <c r="E61" s="58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7.25" customHeight="1">
      <c r="A62" s="53" t="s">
        <v>227</v>
      </c>
      <c r="B62" s="31"/>
      <c r="C62" s="31"/>
      <c r="D62" s="31"/>
      <c r="E62" s="32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17.25" customHeight="1">
      <c r="A63" s="55" t="s">
        <v>180</v>
      </c>
      <c r="B63" s="57">
        <v>4500000.0</v>
      </c>
      <c r="C63" s="57">
        <v>4500000.0</v>
      </c>
      <c r="D63" s="55" t="s">
        <v>181</v>
      </c>
      <c r="E63" s="58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17.25" customHeight="1">
      <c r="A64" s="53" t="s">
        <v>228</v>
      </c>
      <c r="B64" s="31"/>
      <c r="C64" s="31"/>
      <c r="D64" s="31"/>
      <c r="E64" s="32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17.25" customHeight="1">
      <c r="A65" s="62" t="s">
        <v>229</v>
      </c>
      <c r="B65" s="68">
        <v>5100000.0</v>
      </c>
      <c r="C65" s="68">
        <v>0.0</v>
      </c>
      <c r="D65" s="62" t="s">
        <v>230</v>
      </c>
      <c r="E65" s="62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15.75" customHeight="1">
      <c r="A66" s="39"/>
      <c r="B66" s="69"/>
      <c r="C66" s="69"/>
      <c r="D66" s="39"/>
    </row>
    <row r="67" ht="15.75" customHeight="1"/>
    <row r="68" ht="15.75" customHeight="1">
      <c r="A68" s="70" t="s">
        <v>231</v>
      </c>
      <c r="B68" s="71">
        <f t="shared" ref="B68:C68" si="1">SUM(B5,B6,B7,B8,B9,B11,B12,B13,B14,B15,B17,B18,B19,B20,B21,B22,B24,B25,B26,B27,B28,B29,B30,B31,B32,B33,B34,B36,B37,B38,B39,B41,B42,B43,B45,B46,B47,B49,B50,B51,B53,B54,B55,B57,B58,B60,B61,B63,B65)</f>
        <v>25403240</v>
      </c>
      <c r="C68" s="71">
        <f t="shared" si="1"/>
        <v>12431712</v>
      </c>
      <c r="D68" s="72"/>
      <c r="E68" s="72"/>
    </row>
    <row r="69" ht="15.75" customHeight="1"/>
    <row r="70" ht="15.75" customHeight="1">
      <c r="A70" s="73" t="s">
        <v>232</v>
      </c>
      <c r="B70" s="74">
        <f>B68+C68</f>
        <v>37834952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44:E44"/>
    <mergeCell ref="A48:E48"/>
    <mergeCell ref="A52:E52"/>
    <mergeCell ref="A56:E56"/>
    <mergeCell ref="A59:E59"/>
    <mergeCell ref="A62:E62"/>
    <mergeCell ref="A64:E64"/>
    <mergeCell ref="A1:E1"/>
    <mergeCell ref="A4:E4"/>
    <mergeCell ref="A10:E10"/>
    <mergeCell ref="A16:E16"/>
    <mergeCell ref="A23:E23"/>
    <mergeCell ref="A35:E35"/>
    <mergeCell ref="A40:E4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0"/>
    <col customWidth="1" min="4" max="6" width="30.0"/>
  </cols>
  <sheetData>
    <row r="1">
      <c r="A1" s="28" t="s">
        <v>72</v>
      </c>
    </row>
    <row r="3">
      <c r="A3" s="29" t="s">
        <v>73</v>
      </c>
      <c r="B3" s="29" t="s">
        <v>233</v>
      </c>
      <c r="C3" s="29" t="s">
        <v>234</v>
      </c>
      <c r="D3" s="29" t="s">
        <v>76</v>
      </c>
      <c r="E3" s="29" t="s">
        <v>235</v>
      </c>
    </row>
    <row r="4">
      <c r="A4" s="30" t="s">
        <v>236</v>
      </c>
      <c r="B4" s="31"/>
      <c r="C4" s="31"/>
      <c r="D4" s="31"/>
      <c r="E4" s="32"/>
      <c r="F4" s="75" t="s">
        <v>237</v>
      </c>
    </row>
    <row r="5">
      <c r="A5" s="8" t="s">
        <v>79</v>
      </c>
      <c r="B5" s="33">
        <v>2500000.0</v>
      </c>
      <c r="C5" s="34">
        <v>2500000.0</v>
      </c>
      <c r="D5" s="11" t="s">
        <v>238</v>
      </c>
      <c r="E5" s="11"/>
    </row>
    <row r="6">
      <c r="A6" s="8" t="s">
        <v>81</v>
      </c>
      <c r="B6" s="33">
        <v>100000.0</v>
      </c>
      <c r="C6" s="35">
        <v>100000.0</v>
      </c>
      <c r="D6" s="8" t="s">
        <v>82</v>
      </c>
      <c r="E6" s="11"/>
    </row>
    <row r="7">
      <c r="A7" s="8" t="s">
        <v>83</v>
      </c>
      <c r="B7" s="33">
        <v>50000.0</v>
      </c>
      <c r="C7" s="35">
        <v>50000.0</v>
      </c>
      <c r="D7" s="8" t="s">
        <v>84</v>
      </c>
      <c r="E7" s="11"/>
    </row>
    <row r="8">
      <c r="A8" s="8" t="s">
        <v>85</v>
      </c>
      <c r="B8" s="33">
        <v>30000.0</v>
      </c>
      <c r="C8" s="35">
        <v>30000.0</v>
      </c>
      <c r="D8" s="8" t="s">
        <v>86</v>
      </c>
      <c r="E8" s="11"/>
    </row>
    <row r="9">
      <c r="A9" s="8" t="s">
        <v>87</v>
      </c>
      <c r="B9" s="36">
        <v>500000.0</v>
      </c>
      <c r="C9" s="35">
        <v>500000.0</v>
      </c>
      <c r="D9" s="8" t="s">
        <v>88</v>
      </c>
      <c r="E9" s="11"/>
    </row>
    <row r="10">
      <c r="A10" s="30" t="s">
        <v>239</v>
      </c>
      <c r="B10" s="31"/>
      <c r="C10" s="31"/>
      <c r="D10" s="31"/>
      <c r="E10" s="32"/>
    </row>
    <row r="11">
      <c r="A11" s="8" t="s">
        <v>90</v>
      </c>
      <c r="B11" s="33">
        <v>800000.0</v>
      </c>
      <c r="C11" s="35">
        <v>800000.0</v>
      </c>
      <c r="D11" s="8" t="s">
        <v>91</v>
      </c>
      <c r="E11" s="11"/>
    </row>
    <row r="12">
      <c r="A12" s="8" t="s">
        <v>92</v>
      </c>
      <c r="B12" s="37">
        <v>700000.0</v>
      </c>
      <c r="C12" s="34">
        <v>700000.0</v>
      </c>
      <c r="D12" s="8" t="s">
        <v>91</v>
      </c>
      <c r="E12" s="11"/>
    </row>
    <row r="13">
      <c r="A13" s="8" t="s">
        <v>93</v>
      </c>
      <c r="B13" s="34">
        <v>500000.0</v>
      </c>
      <c r="C13" s="34">
        <v>500000.0</v>
      </c>
      <c r="D13" s="8" t="s">
        <v>94</v>
      </c>
      <c r="E13" s="11"/>
    </row>
    <row r="14">
      <c r="A14" s="8" t="s">
        <v>95</v>
      </c>
      <c r="B14" s="34">
        <v>500000.0</v>
      </c>
      <c r="C14" s="34">
        <v>500000.0</v>
      </c>
      <c r="D14" s="8" t="s">
        <v>96</v>
      </c>
      <c r="E14" s="11"/>
    </row>
    <row r="15">
      <c r="A15" s="30" t="s">
        <v>240</v>
      </c>
      <c r="B15" s="31"/>
      <c r="C15" s="31"/>
      <c r="D15" s="31"/>
      <c r="E15" s="32"/>
    </row>
    <row r="16">
      <c r="A16" s="8" t="s">
        <v>98</v>
      </c>
      <c r="B16" s="33">
        <v>135000.0</v>
      </c>
      <c r="C16" s="34">
        <v>135000.0</v>
      </c>
      <c r="D16" s="11" t="s">
        <v>241</v>
      </c>
      <c r="E16" s="11" t="s">
        <v>242</v>
      </c>
    </row>
    <row r="17">
      <c r="A17" s="8" t="s">
        <v>101</v>
      </c>
      <c r="B17" s="33">
        <v>75000.0</v>
      </c>
      <c r="C17" s="35">
        <v>75000.0</v>
      </c>
      <c r="D17" s="11" t="s">
        <v>243</v>
      </c>
      <c r="E17" s="11" t="s">
        <v>244</v>
      </c>
    </row>
    <row r="18">
      <c r="A18" s="8" t="s">
        <v>104</v>
      </c>
      <c r="B18" s="33">
        <v>30000.0</v>
      </c>
      <c r="C18" s="35">
        <v>30000.0</v>
      </c>
      <c r="D18" s="11" t="s">
        <v>245</v>
      </c>
      <c r="E18" s="11" t="s">
        <v>246</v>
      </c>
    </row>
    <row r="19">
      <c r="A19" s="8" t="s">
        <v>247</v>
      </c>
      <c r="B19" s="33">
        <v>80000.0</v>
      </c>
      <c r="C19" s="35">
        <v>80000.0</v>
      </c>
      <c r="D19" s="38" t="s">
        <v>248</v>
      </c>
      <c r="E19" s="11" t="s">
        <v>249</v>
      </c>
    </row>
    <row r="20">
      <c r="A20" s="8" t="s">
        <v>110</v>
      </c>
      <c r="B20" s="36">
        <v>30000.0</v>
      </c>
      <c r="C20" s="35">
        <v>30000.0</v>
      </c>
      <c r="D20" s="8" t="s">
        <v>111</v>
      </c>
      <c r="E20" s="11"/>
    </row>
    <row r="21" ht="15.75" customHeight="1">
      <c r="A21" s="8" t="s">
        <v>112</v>
      </c>
      <c r="B21" s="33">
        <v>70000.0</v>
      </c>
      <c r="C21" s="35">
        <v>70000.0</v>
      </c>
      <c r="D21" s="11" t="s">
        <v>250</v>
      </c>
      <c r="E21" s="11" t="s">
        <v>251</v>
      </c>
    </row>
    <row r="22" ht="15.75" customHeight="1">
      <c r="A22" s="30" t="s">
        <v>252</v>
      </c>
      <c r="B22" s="31"/>
      <c r="C22" s="31"/>
      <c r="D22" s="31"/>
      <c r="E22" s="32"/>
    </row>
    <row r="23" ht="15.75" customHeight="1">
      <c r="A23" s="8" t="s">
        <v>116</v>
      </c>
      <c r="B23" s="37">
        <v>200000.0</v>
      </c>
      <c r="C23" s="34">
        <v>0.0</v>
      </c>
      <c r="D23" s="8" t="s">
        <v>253</v>
      </c>
      <c r="E23" s="11"/>
    </row>
    <row r="24" ht="15.75" customHeight="1">
      <c r="A24" s="39" t="s">
        <v>118</v>
      </c>
      <c r="B24" s="40">
        <v>15000.0</v>
      </c>
      <c r="C24" s="41">
        <v>0.0</v>
      </c>
      <c r="D24" s="39" t="s">
        <v>254</v>
      </c>
      <c r="E24" s="42"/>
    </row>
    <row r="25" ht="15.75" customHeight="1">
      <c r="A25" s="8" t="s">
        <v>120</v>
      </c>
      <c r="B25" s="34">
        <v>50000.0</v>
      </c>
      <c r="C25" s="34">
        <v>0.0</v>
      </c>
      <c r="D25" s="8" t="s">
        <v>255</v>
      </c>
      <c r="E25" s="11"/>
    </row>
    <row r="26" ht="15.75" customHeight="1">
      <c r="A26" s="8" t="s">
        <v>122</v>
      </c>
      <c r="B26" s="34">
        <v>150000.0</v>
      </c>
      <c r="C26" s="34">
        <v>150000.0</v>
      </c>
      <c r="D26" s="8" t="s">
        <v>123</v>
      </c>
      <c r="E26" s="11"/>
    </row>
    <row r="27" ht="15.75" customHeight="1">
      <c r="A27" s="8" t="s">
        <v>124</v>
      </c>
      <c r="B27" s="34">
        <v>150000.0</v>
      </c>
      <c r="C27" s="34">
        <v>150000.0</v>
      </c>
      <c r="D27" s="8" t="s">
        <v>125</v>
      </c>
      <c r="E27" s="11"/>
    </row>
    <row r="28" ht="15.75" customHeight="1">
      <c r="A28" s="8" t="s">
        <v>126</v>
      </c>
      <c r="B28" s="34">
        <v>30000.0</v>
      </c>
      <c r="C28" s="34">
        <v>30000.0</v>
      </c>
      <c r="D28" s="8" t="s">
        <v>127</v>
      </c>
      <c r="E28" s="11"/>
    </row>
    <row r="29" ht="15.75" customHeight="1">
      <c r="A29" s="8" t="s">
        <v>128</v>
      </c>
      <c r="B29" s="34">
        <v>30000.0</v>
      </c>
      <c r="C29" s="34">
        <v>30000.0</v>
      </c>
      <c r="D29" s="11"/>
      <c r="E29" s="11"/>
    </row>
    <row r="30" ht="15.75" customHeight="1">
      <c r="A30" s="8" t="s">
        <v>129</v>
      </c>
      <c r="B30" s="34">
        <v>20000.0</v>
      </c>
      <c r="C30" s="34">
        <v>20000.0</v>
      </c>
      <c r="D30" s="8" t="s">
        <v>130</v>
      </c>
      <c r="E30" s="11"/>
    </row>
    <row r="31" ht="15.75" customHeight="1">
      <c r="A31" s="8" t="s">
        <v>131</v>
      </c>
      <c r="B31" s="34">
        <v>30000.0</v>
      </c>
      <c r="C31" s="34">
        <v>30000.0</v>
      </c>
      <c r="D31" s="8" t="s">
        <v>132</v>
      </c>
      <c r="E31" s="11"/>
    </row>
    <row r="32" ht="15.75" customHeight="1">
      <c r="A32" s="8" t="s">
        <v>133</v>
      </c>
      <c r="B32" s="34">
        <v>5000.0</v>
      </c>
      <c r="C32" s="34">
        <v>5000.0</v>
      </c>
      <c r="D32" s="8" t="s">
        <v>134</v>
      </c>
      <c r="E32" s="11"/>
    </row>
    <row r="33" ht="15.75" customHeight="1">
      <c r="A33" s="30" t="s">
        <v>256</v>
      </c>
      <c r="B33" s="31"/>
      <c r="C33" s="31"/>
      <c r="D33" s="31"/>
      <c r="E33" s="32"/>
    </row>
    <row r="34" ht="15.75" customHeight="1">
      <c r="A34" s="8" t="s">
        <v>136</v>
      </c>
      <c r="B34" s="34">
        <v>100000.0</v>
      </c>
      <c r="C34" s="34">
        <v>0.0</v>
      </c>
      <c r="D34" s="11" t="s">
        <v>257</v>
      </c>
      <c r="E34" s="11"/>
    </row>
    <row r="35" ht="15.75" customHeight="1">
      <c r="A35" s="8" t="s">
        <v>138</v>
      </c>
      <c r="B35" s="34">
        <v>50000.0</v>
      </c>
      <c r="C35" s="34">
        <v>50000.0</v>
      </c>
      <c r="D35" s="8" t="s">
        <v>123</v>
      </c>
      <c r="E35" s="11"/>
    </row>
    <row r="36" ht="15.75" customHeight="1">
      <c r="A36" s="8" t="s">
        <v>258</v>
      </c>
      <c r="B36" s="34">
        <v>50000.0</v>
      </c>
      <c r="C36" s="34">
        <v>0.0</v>
      </c>
      <c r="D36" s="11" t="s">
        <v>259</v>
      </c>
      <c r="E36" s="11"/>
    </row>
    <row r="37" ht="15.75" customHeight="1">
      <c r="A37" s="8" t="s">
        <v>260</v>
      </c>
      <c r="B37" s="34">
        <v>30000.0</v>
      </c>
      <c r="C37" s="34">
        <v>0.0</v>
      </c>
      <c r="D37" s="11" t="s">
        <v>261</v>
      </c>
      <c r="E37" s="11"/>
    </row>
    <row r="38" ht="15.75" customHeight="1">
      <c r="A38" s="30" t="s">
        <v>262</v>
      </c>
      <c r="B38" s="31"/>
      <c r="C38" s="31"/>
      <c r="D38" s="31"/>
      <c r="E38" s="32"/>
    </row>
    <row r="39" ht="15.75" customHeight="1">
      <c r="A39" s="8" t="s">
        <v>263</v>
      </c>
      <c r="B39" s="34">
        <v>300000.0</v>
      </c>
      <c r="C39" s="34">
        <v>0.0</v>
      </c>
      <c r="D39" s="8" t="s">
        <v>145</v>
      </c>
      <c r="E39" s="11"/>
    </row>
    <row r="40" ht="15.75" customHeight="1">
      <c r="A40" s="8" t="s">
        <v>264</v>
      </c>
      <c r="B40" s="34">
        <v>200000.0</v>
      </c>
      <c r="C40" s="34">
        <v>0.0</v>
      </c>
      <c r="D40" s="8" t="s">
        <v>147</v>
      </c>
      <c r="E40" s="11"/>
    </row>
    <row r="41" ht="15.75" customHeight="1">
      <c r="A41" s="8" t="s">
        <v>265</v>
      </c>
      <c r="B41" s="34">
        <f>('PJT1_入力'!D11+'PJT1_入力'!E19+'PJT1_入力'!D27+'PJT1_入力'!B35)*0.036</f>
        <v>1223640</v>
      </c>
      <c r="C41" s="34">
        <f>('PJT2_入力'!D11+'PJT2_入力'!E19+'PJT2_入力'!D27+'PJT2_入力'!B35)*0.036</f>
        <v>739512</v>
      </c>
      <c r="D41" s="8" t="s">
        <v>149</v>
      </c>
      <c r="E41" s="11"/>
    </row>
    <row r="42" ht="15.75" customHeight="1">
      <c r="A42" s="30" t="s">
        <v>266</v>
      </c>
      <c r="B42" s="31"/>
      <c r="C42" s="31"/>
      <c r="D42" s="31"/>
      <c r="E42" s="32"/>
    </row>
    <row r="43" ht="15.75" customHeight="1">
      <c r="A43" s="8" t="s">
        <v>151</v>
      </c>
      <c r="B43" s="34">
        <v>50000.0</v>
      </c>
      <c r="C43" s="34">
        <v>50000.0</v>
      </c>
      <c r="D43" s="8" t="s">
        <v>267</v>
      </c>
      <c r="E43" s="11"/>
    </row>
    <row r="44" ht="15.75" customHeight="1">
      <c r="A44" s="8" t="s">
        <v>268</v>
      </c>
      <c r="B44" s="34">
        <v>20000.0</v>
      </c>
      <c r="C44" s="34">
        <v>20000.0</v>
      </c>
      <c r="D44" s="8" t="s">
        <v>154</v>
      </c>
      <c r="E44" s="11"/>
    </row>
    <row r="45" ht="15.75" customHeight="1">
      <c r="A45" s="8" t="s">
        <v>269</v>
      </c>
      <c r="B45" s="34">
        <v>50000.0</v>
      </c>
      <c r="C45" s="34">
        <v>0.0</v>
      </c>
      <c r="D45" s="8" t="s">
        <v>270</v>
      </c>
      <c r="E45" s="11"/>
    </row>
    <row r="46" ht="15.75" customHeight="1">
      <c r="A46" s="30" t="s">
        <v>271</v>
      </c>
      <c r="B46" s="31"/>
      <c r="C46" s="31"/>
      <c r="D46" s="31"/>
      <c r="E46" s="32"/>
    </row>
    <row r="47" ht="15.75" customHeight="1">
      <c r="A47" s="8" t="s">
        <v>158</v>
      </c>
      <c r="B47" s="34">
        <v>10000.0</v>
      </c>
      <c r="C47" s="34">
        <v>10000.0</v>
      </c>
      <c r="D47" s="8" t="s">
        <v>159</v>
      </c>
      <c r="E47" s="11"/>
    </row>
    <row r="48" ht="15.75" customHeight="1">
      <c r="A48" s="8" t="s">
        <v>160</v>
      </c>
      <c r="B48" s="34">
        <v>20000.0</v>
      </c>
      <c r="C48" s="34">
        <v>20000.0</v>
      </c>
      <c r="D48" s="11"/>
      <c r="E48" s="11"/>
    </row>
    <row r="49" ht="15.75" customHeight="1">
      <c r="A49" s="8" t="s">
        <v>161</v>
      </c>
      <c r="B49" s="34">
        <v>10000.0</v>
      </c>
      <c r="C49" s="34">
        <v>10000.0</v>
      </c>
      <c r="D49" s="11"/>
      <c r="E49" s="11"/>
    </row>
    <row r="50" ht="15.75" customHeight="1">
      <c r="A50" s="30" t="s">
        <v>272</v>
      </c>
      <c r="B50" s="31"/>
      <c r="C50" s="31"/>
      <c r="D50" s="31"/>
      <c r="E50" s="32"/>
    </row>
    <row r="51" ht="15.75" customHeight="1">
      <c r="A51" s="8" t="s">
        <v>163</v>
      </c>
      <c r="B51" s="34">
        <v>30000.0</v>
      </c>
      <c r="C51" s="34">
        <v>0.0</v>
      </c>
      <c r="D51" s="11" t="s">
        <v>273</v>
      </c>
      <c r="E51" s="11"/>
    </row>
    <row r="52" ht="15.75" customHeight="1">
      <c r="A52" s="8" t="s">
        <v>165</v>
      </c>
      <c r="B52" s="34">
        <v>50000.0</v>
      </c>
      <c r="C52" s="34">
        <v>50000.0</v>
      </c>
      <c r="D52" s="8" t="s">
        <v>166</v>
      </c>
      <c r="E52" s="11"/>
    </row>
    <row r="53" ht="15.75" customHeight="1">
      <c r="A53" s="8" t="s">
        <v>167</v>
      </c>
      <c r="B53" s="34">
        <v>100000.0</v>
      </c>
      <c r="C53" s="34">
        <v>0.0</v>
      </c>
      <c r="D53" s="8" t="s">
        <v>168</v>
      </c>
      <c r="E53" s="11"/>
    </row>
    <row r="54" ht="15.75" customHeight="1">
      <c r="A54" s="30" t="s">
        <v>274</v>
      </c>
      <c r="B54" s="31"/>
      <c r="C54" s="31"/>
      <c r="D54" s="31"/>
      <c r="E54" s="32"/>
    </row>
    <row r="55" ht="15.75" customHeight="1">
      <c r="A55" s="8" t="s">
        <v>170</v>
      </c>
      <c r="B55" s="34">
        <v>50000.0</v>
      </c>
      <c r="C55" s="34">
        <v>100000.0</v>
      </c>
      <c r="D55" s="8" t="s">
        <v>171</v>
      </c>
      <c r="E55" s="11"/>
    </row>
    <row r="56" ht="15.75" customHeight="1">
      <c r="A56" s="8" t="s">
        <v>172</v>
      </c>
      <c r="B56" s="34">
        <v>0.0</v>
      </c>
      <c r="C56" s="34">
        <v>100000.0</v>
      </c>
      <c r="D56" s="8" t="s">
        <v>173</v>
      </c>
      <c r="E56" s="11"/>
    </row>
    <row r="57" ht="15.75" customHeight="1">
      <c r="A57" s="30" t="s">
        <v>275</v>
      </c>
      <c r="B57" s="31"/>
      <c r="C57" s="31"/>
      <c r="D57" s="31"/>
      <c r="E57" s="32"/>
    </row>
    <row r="58" ht="15.75" customHeight="1">
      <c r="A58" s="8" t="s">
        <v>175</v>
      </c>
      <c r="B58" s="34">
        <v>50000.0</v>
      </c>
      <c r="C58" s="34">
        <v>50000.0</v>
      </c>
      <c r="D58" s="8" t="s">
        <v>176</v>
      </c>
      <c r="E58" s="11"/>
    </row>
    <row r="59" ht="15.75" customHeight="1">
      <c r="A59" s="8" t="s">
        <v>177</v>
      </c>
      <c r="B59" s="34">
        <v>300000.0</v>
      </c>
      <c r="C59" s="34">
        <v>300000.0</v>
      </c>
      <c r="D59" s="8" t="s">
        <v>178</v>
      </c>
      <c r="E59" s="11"/>
    </row>
    <row r="60" ht="15.75" customHeight="1">
      <c r="A60" s="43" t="s">
        <v>276</v>
      </c>
      <c r="B60" s="31"/>
      <c r="C60" s="31"/>
      <c r="D60" s="31"/>
      <c r="E60" s="32"/>
    </row>
    <row r="61" ht="15.75" customHeight="1">
      <c r="A61" s="14" t="s">
        <v>180</v>
      </c>
      <c r="B61" s="44">
        <v>4500000.0</v>
      </c>
      <c r="C61" s="44">
        <v>4500000.0</v>
      </c>
      <c r="D61" s="14" t="s">
        <v>181</v>
      </c>
      <c r="E61" s="11"/>
    </row>
    <row r="62" ht="15.75" customHeight="1">
      <c r="A62" s="3"/>
      <c r="B62" s="45"/>
      <c r="C62" s="45"/>
      <c r="D62" s="3"/>
      <c r="E62" s="46"/>
    </row>
    <row r="63" ht="15.75" customHeight="1"/>
    <row r="64" ht="15.75" customHeight="1">
      <c r="A64" s="47" t="s">
        <v>277</v>
      </c>
      <c r="B64" s="48">
        <f t="shared" ref="B64:C64" si="1">SUM(B5,B6,B7,B8,B9,B11,B12,B13,B14,B16,B17,B18,B19,B20,B21,B23,B25,B26,B27,B28,B29,B30,B31,B32,B34,B35,B36,B37,B39,B40,B41,B43,B44,B45,B47,B48,B49,B51,B52,B53,B55,B56,B58,B59,B61,B24)</f>
        <v>13973640</v>
      </c>
      <c r="C64" s="48">
        <f t="shared" si="1"/>
        <v>12514512</v>
      </c>
      <c r="D64" s="11"/>
      <c r="E64" s="11"/>
    </row>
    <row r="65" ht="15.75" customHeight="1"/>
    <row r="66" ht="15.75" customHeight="1">
      <c r="A66" s="49" t="s">
        <v>278</v>
      </c>
      <c r="B66" s="50">
        <f>B64+C64</f>
        <v>26488152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A42:E42"/>
    <mergeCell ref="A46:E46"/>
    <mergeCell ref="A50:E50"/>
    <mergeCell ref="A54:E54"/>
    <mergeCell ref="A57:E57"/>
    <mergeCell ref="A60:E60"/>
    <mergeCell ref="A1:E1"/>
    <mergeCell ref="A4:E4"/>
    <mergeCell ref="A10:E10"/>
    <mergeCell ref="A15:E15"/>
    <mergeCell ref="A22:E22"/>
    <mergeCell ref="A33:E33"/>
    <mergeCell ref="A38:E38"/>
  </mergeCells>
  <hyperlinks>
    <hyperlink r:id="rId1" ref="F4"/>
  </hyperlinks>
  <printOptions/>
  <pageMargins bottom="1.0" footer="0.0" header="0.0" left="0.75" right="0.75" top="1.0"/>
  <pageSetup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2.0"/>
    <col customWidth="1" min="4" max="6" width="8.71"/>
  </cols>
  <sheetData>
    <row r="1">
      <c r="A1" s="26" t="s">
        <v>279</v>
      </c>
    </row>
    <row r="3">
      <c r="A3" s="76" t="s">
        <v>6</v>
      </c>
      <c r="B3" s="8" t="s">
        <v>280</v>
      </c>
    </row>
    <row r="4">
      <c r="A4" s="8" t="s">
        <v>12</v>
      </c>
      <c r="B4" s="77">
        <f>B11+B12+B13+B14</f>
        <v>33990000</v>
      </c>
    </row>
    <row r="5">
      <c r="A5" s="8" t="s">
        <v>13</v>
      </c>
      <c r="B5" s="9">
        <f>'コスト'!B68</f>
        <v>25403240</v>
      </c>
    </row>
    <row r="6">
      <c r="A6" s="8" t="s">
        <v>15</v>
      </c>
      <c r="B6" s="77">
        <f>B4-B5</f>
        <v>8586760</v>
      </c>
    </row>
    <row r="7">
      <c r="A7" s="8" t="s">
        <v>16</v>
      </c>
      <c r="B7" s="78">
        <f>IF(B4=0,0,B6/B4)</f>
        <v>0.2526260665</v>
      </c>
    </row>
    <row r="9">
      <c r="A9" s="2" t="s">
        <v>281</v>
      </c>
    </row>
    <row r="10">
      <c r="A10" s="13" t="s">
        <v>28</v>
      </c>
      <c r="B10" s="13" t="s">
        <v>280</v>
      </c>
      <c r="C10" s="13" t="s">
        <v>282</v>
      </c>
    </row>
    <row r="11">
      <c r="A11" s="8" t="s">
        <v>22</v>
      </c>
      <c r="B11" s="9">
        <f>'PJT1_入力'!D11</f>
        <v>6122000</v>
      </c>
      <c r="C11" s="10">
        <f t="shared" ref="C11:C14" si="1">IF($B$4=0,0,B11/$B$4)</f>
        <v>0.1801117976</v>
      </c>
    </row>
    <row r="12">
      <c r="A12" s="8" t="s">
        <v>23</v>
      </c>
      <c r="B12" s="9">
        <f>'PJT1_入力'!E19</f>
        <v>18468000</v>
      </c>
      <c r="C12" s="10">
        <f t="shared" si="1"/>
        <v>0.5433362754</v>
      </c>
    </row>
    <row r="13">
      <c r="A13" s="8" t="s">
        <v>24</v>
      </c>
      <c r="B13" s="9">
        <f>'PJT1_入力'!D27</f>
        <v>8400000</v>
      </c>
      <c r="C13" s="10">
        <f t="shared" si="1"/>
        <v>0.2471315093</v>
      </c>
    </row>
    <row r="14">
      <c r="A14" s="8" t="s">
        <v>25</v>
      </c>
      <c r="B14" s="9">
        <f>'PJT1_入力'!B35</f>
        <v>1000000</v>
      </c>
      <c r="C14" s="10">
        <f t="shared" si="1"/>
        <v>0.02942041777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2.0"/>
    <col customWidth="1" min="4" max="6" width="8.71"/>
  </cols>
  <sheetData>
    <row r="1">
      <c r="A1" s="26" t="s">
        <v>283</v>
      </c>
    </row>
    <row r="3">
      <c r="A3" s="76" t="s">
        <v>6</v>
      </c>
      <c r="B3" s="8" t="s">
        <v>280</v>
      </c>
    </row>
    <row r="4">
      <c r="A4" s="8" t="s">
        <v>12</v>
      </c>
      <c r="B4" s="77">
        <f>B11+B12+B13+B14</f>
        <v>20542000</v>
      </c>
    </row>
    <row r="5">
      <c r="A5" s="8" t="s">
        <v>13</v>
      </c>
      <c r="B5" s="9">
        <f>'コスト'!B68</f>
        <v>25403240</v>
      </c>
    </row>
    <row r="6">
      <c r="A6" s="8" t="s">
        <v>15</v>
      </c>
      <c r="B6" s="77">
        <f>B4-B5</f>
        <v>-4861240</v>
      </c>
    </row>
    <row r="7">
      <c r="A7" s="8" t="s">
        <v>16</v>
      </c>
      <c r="B7" s="78">
        <f>IF(B4=0,0,B6/B4)</f>
        <v>-0.2366488171</v>
      </c>
    </row>
    <row r="9">
      <c r="A9" s="2" t="s">
        <v>281</v>
      </c>
    </row>
    <row r="10">
      <c r="A10" s="13" t="s">
        <v>28</v>
      </c>
      <c r="B10" s="13" t="s">
        <v>280</v>
      </c>
      <c r="C10" s="13" t="s">
        <v>282</v>
      </c>
    </row>
    <row r="11">
      <c r="A11" s="8" t="s">
        <v>22</v>
      </c>
      <c r="B11" s="9">
        <f>'PJT2_入力'!D11</f>
        <v>6122000</v>
      </c>
      <c r="C11" s="10">
        <f t="shared" ref="C11:C14" si="1">IF($B$4=0,0,B11/$B$4)</f>
        <v>0.2980235615</v>
      </c>
    </row>
    <row r="12">
      <c r="A12" s="8" t="s">
        <v>23</v>
      </c>
      <c r="B12" s="9">
        <f>'PJT2_入力'!E19</f>
        <v>12120000</v>
      </c>
      <c r="C12" s="10">
        <f t="shared" si="1"/>
        <v>0.5900107098</v>
      </c>
    </row>
    <row r="13">
      <c r="A13" s="8" t="s">
        <v>24</v>
      </c>
      <c r="B13" s="9">
        <f>'PJT2_入力'!D27</f>
        <v>1300000</v>
      </c>
      <c r="C13" s="10">
        <f t="shared" si="1"/>
        <v>0.06328497712</v>
      </c>
    </row>
    <row r="14">
      <c r="A14" s="8" t="s">
        <v>25</v>
      </c>
      <c r="B14" s="9">
        <f>'PJT2_入力'!B35</f>
        <v>1000000</v>
      </c>
      <c r="C14" s="10">
        <f t="shared" si="1"/>
        <v>0.04868075163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