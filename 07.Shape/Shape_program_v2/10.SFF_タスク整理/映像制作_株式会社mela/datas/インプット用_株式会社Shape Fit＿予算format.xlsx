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予算入力シート（全社売上）V2 ※入力不要" sheetId="1" r:id="rId5"/>
    <sheet state="visible" name="予算入力シート（YouTube※アパレル、フィットネス)" sheetId="2" r:id="rId6"/>
    <sheet state="visible" name="予算入力シート（SFF）" sheetId="3" r:id="rId7"/>
    <sheet state="visible" name="data_予算入力シート（SFF）" sheetId="4" r:id="rId8"/>
    <sheet state="visible" name="予算入力シート（管理部予算）" sheetId="5" r:id="rId9"/>
  </sheets>
  <definedNames>
    <definedName hidden="1" localSheetId="2" name="_xlnm._FilterDatabase">'予算入力シート（SFF）'!$Z$3:$AE$466</definedName>
    <definedName hidden="1" localSheetId="3" name="_xlnm._FilterDatabase">'data_予算入力シート（SFF）'!$I$3:$N$466</definedName>
  </definedNames>
  <calcPr/>
</workbook>
</file>

<file path=xl/sharedStrings.xml><?xml version="1.0" encoding="utf-8"?>
<sst xmlns="http://schemas.openxmlformats.org/spreadsheetml/2006/main" count="3054" uniqueCount="136">
  <si>
    <t>◆2026年2月期(計画)</t>
  </si>
  <si>
    <t>計画</t>
  </si>
  <si>
    <t>事業/科目</t>
  </si>
  <si>
    <t>合計</t>
  </si>
  <si>
    <t>備考欄</t>
  </si>
  <si>
    <t>Ⅰ.SFF</t>
  </si>
  <si>
    <t>協賛売上</t>
  </si>
  <si>
    <t>来場者売上</t>
  </si>
  <si>
    <t>選手</t>
  </si>
  <si>
    <t>バックサポート</t>
  </si>
  <si>
    <t>物販売上</t>
  </si>
  <si>
    <t>フォトレコ</t>
  </si>
  <si>
    <t>動画販売</t>
  </si>
  <si>
    <t>カラーリング</t>
  </si>
  <si>
    <t>SFFその他</t>
  </si>
  <si>
    <t>売上合計</t>
  </si>
  <si>
    <t>支払手数料</t>
  </si>
  <si>
    <t>仕入高</t>
  </si>
  <si>
    <t>SFF業務委託費</t>
  </si>
  <si>
    <t>備品・消耗品費</t>
  </si>
  <si>
    <t>会議費</t>
  </si>
  <si>
    <t>荷造運賃</t>
  </si>
  <si>
    <t>接待交際費</t>
  </si>
  <si>
    <t>通信費</t>
  </si>
  <si>
    <t>原価合計</t>
  </si>
  <si>
    <t xml:space="preserve">①　</t>
  </si>
  <si>
    <t>SFF粗利益</t>
  </si>
  <si>
    <t>Ⅱ.定常事業</t>
  </si>
  <si>
    <t>YouTube事業売上</t>
  </si>
  <si>
    <t>フィットネス事業売上</t>
  </si>
  <si>
    <t>フィットネス事業売上（FC収入）</t>
  </si>
  <si>
    <t>アパレル売上</t>
  </si>
  <si>
    <t>YouTube経費</t>
  </si>
  <si>
    <t>YouTube業務委託費</t>
  </si>
  <si>
    <t>アパレル仕入高</t>
  </si>
  <si>
    <t>フィットネス業務委託費</t>
  </si>
  <si>
    <t xml:space="preserve">　</t>
  </si>
  <si>
    <t>決済手数料</t>
  </si>
  <si>
    <t xml:space="preserve">②　</t>
  </si>
  <si>
    <t>定常事業粗利益</t>
  </si>
  <si>
    <t>Ⅲ.共通部門</t>
  </si>
  <si>
    <t>本部人件費</t>
  </si>
  <si>
    <t>業務委託料</t>
  </si>
  <si>
    <t>地代家賃</t>
  </si>
  <si>
    <t>減価償却費</t>
  </si>
  <si>
    <t>租税公課</t>
  </si>
  <si>
    <t>旅費交通費</t>
  </si>
  <si>
    <t>保険料</t>
  </si>
  <si>
    <t>リース料</t>
  </si>
  <si>
    <t>広告宣伝費</t>
  </si>
  <si>
    <t xml:space="preserve">③　</t>
  </si>
  <si>
    <t>販管費計</t>
  </si>
  <si>
    <t>①＋②-③</t>
  </si>
  <si>
    <t>営業利益</t>
  </si>
  <si>
    <t>Ⅰ.YouTube事業</t>
  </si>
  <si>
    <t>案件収益</t>
  </si>
  <si>
    <t>VITAS様：100万、極洋様：10万、VEATM様：30万（月）、
Vanquishコード売り上げた分コミュッション制、ヒューロン様：10万
単発案件（YT90万：6・7・8・11月）、（IG40万：5月、9月、12月）</t>
  </si>
  <si>
    <t>広告収益</t>
  </si>
  <si>
    <t>アパレル売上高</t>
  </si>
  <si>
    <t>現状なし</t>
  </si>
  <si>
    <t>仕入れなし</t>
  </si>
  <si>
    <t>YouTube事業粗利益</t>
  </si>
  <si>
    <t>Ⅲ.YouTube販管費</t>
  </si>
  <si>
    <t>編集チーム30万（西銘様、髙島様）
大会編集：7月10万、12月6万（奥谷様）</t>
  </si>
  <si>
    <t>YouTubePremium会員費</t>
  </si>
  <si>
    <t>アパレルのみ</t>
  </si>
  <si>
    <t>12月PiTaPa維持管理料</t>
  </si>
  <si>
    <t>社用車リース代（〜11月）</t>
  </si>
  <si>
    <t>VITAS (バイタス)サプリメント代</t>
  </si>
  <si>
    <t>販管費合計</t>
  </si>
  <si>
    <t>YouTube営業利益</t>
  </si>
  <si>
    <t>Ⅰ.フィットネス事業</t>
  </si>
  <si>
    <t>フィットネス事業粗利益</t>
  </si>
  <si>
    <t>Ⅱ.フィットネス販管費</t>
  </si>
  <si>
    <t>組織コーチング20万＋インスタ運用</t>
  </si>
  <si>
    <t>ジム家賃（恭和産業）</t>
  </si>
  <si>
    <t>日本セーフティー㈱10月更新料</t>
  </si>
  <si>
    <t>SFF売上台帳（予測）</t>
  </si>
  <si>
    <t>※Ｃ列から選択ください。</t>
  </si>
  <si>
    <t>SFF原価台帳（予測）</t>
  </si>
  <si>
    <t>※A列から選択ください。</t>
  </si>
  <si>
    <t>科目（細）</t>
  </si>
  <si>
    <t>大会発生月</t>
  </si>
  <si>
    <t>大会名</t>
  </si>
  <si>
    <t>入金月</t>
  </si>
  <si>
    <t>取引先/内容</t>
  </si>
  <si>
    <t>科目</t>
  </si>
  <si>
    <t>金額</t>
  </si>
  <si>
    <t>支払月</t>
  </si>
  <si>
    <t>記載例</t>
  </si>
  <si>
    <t>〇〇</t>
  </si>
  <si>
    <t>出場チケット手数料（3.6%)</t>
  </si>
  <si>
    <t>関東大会</t>
  </si>
  <si>
    <t>出場チケット手数料(3.6%)</t>
  </si>
  <si>
    <t>客席チケット手数料(3.6%)</t>
  </si>
  <si>
    <t>バックサポートチケット手数料(3.6%)</t>
  </si>
  <si>
    <t>カラーリングチケット手数料(3.2%)</t>
  </si>
  <si>
    <t>動画手数料(3.6%)</t>
  </si>
  <si>
    <t>アパレル仕入れ</t>
  </si>
  <si>
    <t>演出費</t>
  </si>
  <si>
    <t>人件費(審査員)</t>
  </si>
  <si>
    <t>人件費(MC)</t>
  </si>
  <si>
    <t>人件費(カメラ)</t>
  </si>
  <si>
    <t>その他外部委託費</t>
  </si>
  <si>
    <t>客席チケット手数料（3.6%)</t>
  </si>
  <si>
    <t>人件費(運営スタッフ)</t>
  </si>
  <si>
    <t>バックサポートチケット手数料（3.6%)</t>
  </si>
  <si>
    <t>メダルトロフィー代</t>
  </si>
  <si>
    <t>カラーリングチケット手数料（3.2%）</t>
  </si>
  <si>
    <t>会場費</t>
  </si>
  <si>
    <t>動画手数料（3.6%）</t>
  </si>
  <si>
    <t>備品消耗品費</t>
  </si>
  <si>
    <t>運搬費</t>
  </si>
  <si>
    <t>人件費（審査員）</t>
  </si>
  <si>
    <t>打ち上げ代</t>
  </si>
  <si>
    <t>人件費（MC）</t>
  </si>
  <si>
    <t>人件費（カメラ）</t>
  </si>
  <si>
    <t>スタッフTシャツ代</t>
  </si>
  <si>
    <t>人件費（運営スタッフ）</t>
  </si>
  <si>
    <t>---</t>
  </si>
  <si>
    <t>Ⅲ.SFF販管費</t>
  </si>
  <si>
    <t>Webサーバー費+データベース費</t>
  </si>
  <si>
    <t>倉庫費費用</t>
  </si>
  <si>
    <t>SFF営業利益</t>
  </si>
  <si>
    <t>関西大会</t>
  </si>
  <si>
    <t>役員報酬</t>
  </si>
  <si>
    <t>従業員給与</t>
  </si>
  <si>
    <t>法定福利費</t>
  </si>
  <si>
    <t>水道光熱費</t>
  </si>
  <si>
    <t>Ⅲ.管理本部</t>
  </si>
  <si>
    <t>管理部人件費</t>
  </si>
  <si>
    <t>鈴木晴勝　300,000円 3月より社員</t>
  </si>
  <si>
    <t>・（株）なーすけ600,000円
・Amelio　250,000円（〜7月）
・的場天佑　210,000円
・フレアネスト　210,000円
・鈴木社労士　20,000円
・宮木先生　60,000円
・諸業務対応者：210,000円
・人件費（追加者）：210000円</t>
  </si>
  <si>
    <t>Google Workspace/月額~4750 円含
Slack：10000月</t>
  </si>
  <si>
    <t>大川が群馬に移動する関係で高めに設定(+1万)
これまでYTに入っていたなーすけ交通費追加（＋1万）</t>
  </si>
  <si>
    <t>賠償責任保険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</si>
</sst>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年&quot;m&quot;月&quot;"/>
    <numFmt numFmtId="165" formatCode="yyyy/mm/dd"/>
    <numFmt numFmtId="166" formatCode="yyyy/m/d"/>
  </numFmts>
  <fonts count="12">
    <font>
      <sz val="10.0"/>
      <color rgb="FF000000"/>
      <name val="Arial"/>
      <scheme val="minor"/>
    </font>
    <font>
      <sz val="16.0"/>
      <color theme="1"/>
      <name val="Meiryo"/>
    </font>
    <font>
      <b/>
      <color theme="1"/>
      <name val="Meiryo"/>
    </font>
    <font>
      <color theme="1"/>
      <name val="Meiryo"/>
    </font>
    <font>
      <b/>
      <sz val="12.0"/>
      <color theme="1"/>
      <name val="Meiryo"/>
    </font>
    <font/>
    <font>
      <b/>
      <sz val="13.0"/>
      <color theme="1"/>
      <name val="Meiryo"/>
    </font>
    <font>
      <b/>
      <sz val="8.0"/>
      <color theme="1"/>
      <name val="Meiryo"/>
    </font>
    <font>
      <b/>
      <sz val="9.0"/>
      <color theme="1"/>
      <name val="Meiryo"/>
    </font>
    <font>
      <b/>
      <color rgb="FFFF0000"/>
      <name val="Meiryo"/>
    </font>
    <font>
      <color rgb="FFFF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4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</border>
    <border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right" readingOrder="0"/>
    </xf>
    <xf borderId="1" fillId="0" fontId="4" numFmtId="0" xfId="0" applyAlignment="1" applyBorder="1" applyFont="1">
      <alignment readingOrder="0"/>
    </xf>
    <xf borderId="2" fillId="0" fontId="5" numFmtId="0" xfId="0" applyBorder="1" applyFont="1"/>
    <xf borderId="3" fillId="0" fontId="2" numFmtId="164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5" fillId="2" fontId="6" numFmtId="0" xfId="0" applyAlignment="1" applyBorder="1" applyFill="1" applyFont="1">
      <alignment horizontal="left" readingOrder="0"/>
    </xf>
    <xf borderId="6" fillId="0" fontId="5" numFmtId="0" xfId="0" applyBorder="1" applyFont="1"/>
    <xf borderId="7" fillId="2" fontId="2" numFmtId="3" xfId="0" applyBorder="1" applyFont="1" applyNumberFormat="1"/>
    <xf borderId="8" fillId="2" fontId="2" numFmtId="3" xfId="0" applyBorder="1" applyFont="1" applyNumberFormat="1"/>
    <xf borderId="8" fillId="0" fontId="2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3" numFmtId="3" xfId="0" applyAlignment="1" applyBorder="1" applyFont="1" applyNumberFormat="1">
      <alignment readingOrder="0"/>
    </xf>
    <xf borderId="7" fillId="0" fontId="3" numFmtId="3" xfId="0" applyBorder="1" applyFont="1" applyNumberFormat="1"/>
    <xf borderId="8" fillId="0" fontId="2" numFmtId="3" xfId="0" applyBorder="1" applyFont="1" applyNumberFormat="1"/>
    <xf borderId="9" fillId="3" fontId="2" numFmtId="0" xfId="0" applyAlignment="1" applyBorder="1" applyFill="1" applyFont="1">
      <alignment readingOrder="0"/>
    </xf>
    <xf borderId="10" fillId="3" fontId="3" numFmtId="0" xfId="0" applyAlignment="1" applyBorder="1" applyFont="1">
      <alignment horizontal="right" readingOrder="0"/>
    </xf>
    <xf borderId="0" fillId="3" fontId="3" numFmtId="3" xfId="0" applyFont="1" applyNumberFormat="1"/>
    <xf borderId="9" fillId="3" fontId="2" numFmtId="3" xfId="0" applyBorder="1" applyFont="1" applyNumberFormat="1"/>
    <xf borderId="6" fillId="0" fontId="3" numFmtId="0" xfId="0" applyBorder="1" applyFont="1"/>
    <xf borderId="4" fillId="3" fontId="2" numFmtId="0" xfId="0" applyAlignment="1" applyBorder="1" applyFont="1">
      <alignment readingOrder="0"/>
    </xf>
    <xf borderId="2" fillId="3" fontId="3" numFmtId="0" xfId="0" applyAlignment="1" applyBorder="1" applyFont="1">
      <alignment horizontal="right" readingOrder="0"/>
    </xf>
    <xf borderId="3" fillId="3" fontId="3" numFmtId="3" xfId="0" applyBorder="1" applyFont="1" applyNumberFormat="1"/>
    <xf borderId="4" fillId="3" fontId="2" numFmtId="3" xfId="0" applyBorder="1" applyFont="1" applyNumberFormat="1"/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horizontal="right" readingOrder="0"/>
    </xf>
    <xf borderId="13" fillId="0" fontId="2" numFmtId="3" xfId="0" applyBorder="1" applyFont="1" applyNumberFormat="1"/>
    <xf borderId="11" fillId="0" fontId="2" numFmtId="3" xfId="0" applyBorder="1" applyFont="1" applyNumberFormat="1"/>
    <xf borderId="14" fillId="0" fontId="2" numFmtId="0" xfId="0" applyAlignment="1" applyBorder="1" applyFont="1">
      <alignment readingOrder="0"/>
    </xf>
    <xf borderId="10" fillId="0" fontId="5" numFmtId="0" xfId="0" applyBorder="1" applyFont="1"/>
    <xf borderId="15" fillId="2" fontId="2" numFmtId="3" xfId="0" applyBorder="1" applyFont="1" applyNumberFormat="1"/>
    <xf borderId="16" fillId="0" fontId="3" numFmtId="0" xfId="0" applyAlignment="1" applyBorder="1" applyFont="1">
      <alignment readingOrder="0"/>
    </xf>
    <xf borderId="17" fillId="0" fontId="3" numFmtId="3" xfId="0" applyAlignment="1" applyBorder="1" applyFont="1" applyNumberFormat="1">
      <alignment readingOrder="0"/>
    </xf>
    <xf borderId="17" fillId="0" fontId="3" numFmtId="3" xfId="0" applyBorder="1" applyFont="1" applyNumberFormat="1"/>
    <xf borderId="18" fillId="0" fontId="2" numFmtId="3" xfId="0" applyBorder="1" applyFont="1" applyNumberFormat="1"/>
    <xf borderId="18" fillId="0" fontId="2" numFmtId="3" xfId="0" applyAlignment="1" applyBorder="1" applyFont="1" applyNumberFormat="1">
      <alignment readingOrder="0"/>
    </xf>
    <xf borderId="18" fillId="0" fontId="2" numFmtId="0" xfId="0" applyAlignment="1" applyBorder="1" applyFont="1">
      <alignment readingOrder="0"/>
    </xf>
    <xf borderId="8" fillId="0" fontId="2" numFmtId="3" xfId="0" applyAlignment="1" applyBorder="1" applyFont="1" applyNumberFormat="1">
      <alignment readingOrder="0"/>
    </xf>
    <xf borderId="11" fillId="3" fontId="2" numFmtId="0" xfId="0" applyAlignment="1" applyBorder="1" applyFont="1">
      <alignment readingOrder="0"/>
    </xf>
    <xf borderId="12" fillId="3" fontId="3" numFmtId="0" xfId="0" applyAlignment="1" applyBorder="1" applyFont="1">
      <alignment horizontal="right" readingOrder="0"/>
    </xf>
    <xf borderId="13" fillId="3" fontId="3" numFmtId="3" xfId="0" applyBorder="1" applyFont="1" applyNumberFormat="1"/>
    <xf borderId="11" fillId="3" fontId="2" numFmtId="3" xfId="0" applyBorder="1" applyFont="1" applyNumberFormat="1"/>
    <xf borderId="11" fillId="4" fontId="2" numFmtId="0" xfId="0" applyAlignment="1" applyBorder="1" applyFill="1" applyFont="1">
      <alignment readingOrder="0"/>
    </xf>
    <xf borderId="12" fillId="4" fontId="2" numFmtId="0" xfId="0" applyAlignment="1" applyBorder="1" applyFont="1">
      <alignment horizontal="right" readingOrder="0"/>
    </xf>
    <xf borderId="13" fillId="4" fontId="3" numFmtId="3" xfId="0" applyBorder="1" applyFont="1" applyNumberFormat="1"/>
    <xf borderId="11" fillId="4" fontId="2" numFmtId="3" xfId="0" applyBorder="1" applyFont="1" applyNumberFormat="1"/>
    <xf borderId="19" fillId="2" fontId="6" numFmtId="0" xfId="0" applyAlignment="1" applyBorder="1" applyFont="1">
      <alignment horizontal="left" readingOrder="0"/>
    </xf>
    <xf borderId="20" fillId="0" fontId="5" numFmtId="0" xfId="0" applyBorder="1" applyFont="1"/>
    <xf borderId="21" fillId="0" fontId="2" numFmtId="164" xfId="0" applyAlignment="1" applyBorder="1" applyFont="1" applyNumberFormat="1">
      <alignment readingOrder="0"/>
    </xf>
    <xf borderId="13" fillId="0" fontId="2" numFmtId="164" xfId="0" applyAlignment="1" applyBorder="1" applyFont="1" applyNumberFormat="1">
      <alignment readingOrder="0"/>
    </xf>
    <xf borderId="12" fillId="0" fontId="2" numFmtId="164" xfId="0" applyAlignment="1" applyBorder="1" applyFont="1" applyNumberFormat="1">
      <alignment readingOrder="0"/>
    </xf>
    <xf borderId="18" fillId="0" fontId="7" numFmtId="3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6" fillId="5" fontId="3" numFmtId="0" xfId="0" applyAlignment="1" applyBorder="1" applyFill="1" applyFont="1">
      <alignment readingOrder="0"/>
    </xf>
    <xf borderId="8" fillId="0" fontId="8" numFmtId="3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22" fillId="2" fontId="2" numFmtId="3" xfId="0" applyBorder="1" applyFont="1" applyNumberFormat="1"/>
    <xf borderId="7" fillId="0" fontId="3" numFmtId="3" xfId="0" applyAlignment="1" applyBorder="1" applyFont="1" applyNumberFormat="1">
      <alignment horizontal="right" vertical="bottom"/>
    </xf>
    <xf borderId="7" fillId="0" fontId="3" numFmtId="3" xfId="0" applyAlignment="1" applyBorder="1" applyFont="1" applyNumberFormat="1">
      <alignment horizontal="right" readingOrder="0" vertical="bottom"/>
    </xf>
    <xf borderId="0" fillId="6" fontId="3" numFmtId="3" xfId="0" applyAlignment="1" applyFill="1" applyFont="1" applyNumberFormat="1">
      <alignment horizontal="right" vertical="bottom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23" fillId="7" fontId="2" numFmtId="0" xfId="0" applyAlignment="1" applyBorder="1" applyFill="1" applyFont="1">
      <alignment readingOrder="0"/>
    </xf>
    <xf borderId="24" fillId="7" fontId="2" numFmtId="0" xfId="0" applyAlignment="1" applyBorder="1" applyFont="1">
      <alignment readingOrder="0"/>
    </xf>
    <xf borderId="25" fillId="7" fontId="2" numFmtId="0" xfId="0" applyAlignment="1" applyBorder="1" applyFont="1">
      <alignment readingOrder="0"/>
    </xf>
    <xf borderId="26" fillId="7" fontId="2" numFmtId="0" xfId="0" applyAlignment="1" applyBorder="1" applyFont="1">
      <alignment readingOrder="0"/>
    </xf>
    <xf borderId="23" fillId="2" fontId="2" numFmtId="0" xfId="0" applyAlignment="1" applyBorder="1" applyFont="1">
      <alignment readingOrder="0"/>
    </xf>
    <xf borderId="24" fillId="2" fontId="2" numFmtId="0" xfId="0" applyAlignment="1" applyBorder="1" applyFont="1">
      <alignment readingOrder="0"/>
    </xf>
    <xf borderId="25" fillId="2" fontId="2" numFmtId="0" xfId="0" applyAlignment="1" applyBorder="1" applyFont="1">
      <alignment readingOrder="0"/>
    </xf>
    <xf borderId="26" fillId="2" fontId="2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27" fillId="0" fontId="3" numFmtId="164" xfId="0" applyAlignment="1" applyBorder="1" applyFont="1" applyNumberFormat="1">
      <alignment readingOrder="0"/>
    </xf>
    <xf borderId="28" fillId="0" fontId="3" numFmtId="0" xfId="0" applyAlignment="1" applyBorder="1" applyFont="1">
      <alignment readingOrder="0"/>
    </xf>
    <xf borderId="29" fillId="0" fontId="3" numFmtId="164" xfId="0" applyAlignment="1" applyBorder="1" applyFont="1" applyNumberFormat="1">
      <alignment readingOrder="0"/>
    </xf>
    <xf borderId="29" fillId="0" fontId="3" numFmtId="0" xfId="0" applyAlignment="1" applyBorder="1" applyFont="1">
      <alignment readingOrder="0"/>
    </xf>
    <xf borderId="30" fillId="0" fontId="3" numFmtId="3" xfId="0" applyAlignment="1" applyBorder="1" applyFont="1" applyNumberFormat="1">
      <alignment readingOrder="0"/>
    </xf>
    <xf borderId="29" fillId="0" fontId="3" numFmtId="3" xfId="0" applyAlignment="1" applyBorder="1" applyFont="1" applyNumberFormat="1">
      <alignment readingOrder="0"/>
    </xf>
    <xf borderId="27" fillId="0" fontId="3" numFmtId="165" xfId="0" applyAlignment="1" applyBorder="1" applyFont="1" applyNumberFormat="1">
      <alignment readingOrder="0"/>
    </xf>
    <xf borderId="31" fillId="0" fontId="3" numFmtId="0" xfId="0" applyAlignment="1" applyBorder="1" applyFont="1">
      <alignment readingOrder="0"/>
    </xf>
    <xf borderId="32" fillId="0" fontId="3" numFmtId="164" xfId="0" applyAlignment="1" applyBorder="1" applyFont="1" applyNumberFormat="1">
      <alignment readingOrder="0"/>
    </xf>
    <xf borderId="33" fillId="0" fontId="3" numFmtId="3" xfId="0" applyAlignment="1" applyBorder="1" applyFont="1" applyNumberFormat="1">
      <alignment readingOrder="0"/>
    </xf>
    <xf borderId="32" fillId="0" fontId="3" numFmtId="165" xfId="0" applyAlignment="1" applyBorder="1" applyFont="1" applyNumberFormat="1">
      <alignment readingOrder="0"/>
    </xf>
    <xf borderId="32" fillId="0" fontId="3" numFmtId="3" xfId="0" applyAlignment="1" applyBorder="1" applyFont="1" applyNumberFormat="1">
      <alignment readingOrder="0"/>
    </xf>
    <xf borderId="32" fillId="0" fontId="3" numFmtId="0" xfId="0" applyAlignment="1" applyBorder="1" applyFont="1">
      <alignment readingOrder="0"/>
    </xf>
    <xf borderId="32" fillId="0" fontId="3" numFmtId="166" xfId="0" applyAlignment="1" applyBorder="1" applyFont="1" applyNumberFormat="1">
      <alignment readingOrder="0"/>
    </xf>
    <xf borderId="34" fillId="0" fontId="3" numFmtId="0" xfId="0" applyAlignment="1" applyBorder="1" applyFont="1">
      <alignment readingOrder="0"/>
    </xf>
    <xf borderId="35" fillId="0" fontId="3" numFmtId="3" xfId="0" applyBorder="1" applyFont="1" applyNumberFormat="1"/>
    <xf borderId="36" fillId="0" fontId="2" numFmtId="3" xfId="0" applyBorder="1" applyFont="1" applyNumberFormat="1"/>
    <xf borderId="37" fillId="0" fontId="3" numFmtId="0" xfId="0" applyAlignment="1" applyBorder="1" applyFont="1">
      <alignment readingOrder="0"/>
    </xf>
    <xf borderId="38" fillId="0" fontId="3" numFmtId="166" xfId="0" applyAlignment="1" applyBorder="1" applyFont="1" applyNumberFormat="1">
      <alignment readingOrder="0"/>
    </xf>
    <xf borderId="38" fillId="0" fontId="3" numFmtId="0" xfId="0" applyAlignment="1" applyBorder="1" applyFont="1">
      <alignment readingOrder="0"/>
    </xf>
    <xf borderId="39" fillId="0" fontId="3" numFmtId="3" xfId="0" applyAlignment="1" applyBorder="1" applyFont="1" applyNumberFormat="1">
      <alignment readingOrder="0"/>
    </xf>
    <xf borderId="38" fillId="0" fontId="3" numFmtId="3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166" xfId="0" applyAlignment="1" applyFont="1" applyNumberFormat="1">
      <alignment readingOrder="0"/>
    </xf>
    <xf borderId="0" fillId="0" fontId="11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6" fillId="8" fontId="3" numFmtId="0" xfId="0" applyAlignment="1" applyBorder="1" applyFill="1" applyFont="1">
      <alignment readingOrder="0"/>
    </xf>
    <xf borderId="0" fillId="0" fontId="3" numFmtId="165" xfId="0" applyAlignment="1" applyFont="1" applyNumberFormat="1">
      <alignment readingOrder="0"/>
    </xf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5.5"/>
    <col customWidth="1" min="2" max="2" width="3.38"/>
    <col customWidth="1" min="3" max="3" width="28.25"/>
    <col customWidth="1" min="4" max="15" width="10.88"/>
    <col customWidth="1" min="16" max="16" width="9.5"/>
    <col customWidth="1" min="17" max="17" width="32.75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 outlineLevel="1">
      <c r="A2" s="1"/>
      <c r="B2" s="4"/>
      <c r="C2" s="4"/>
      <c r="D2" s="4" t="str">
        <f t="shared" ref="D2:O2" si="1">YEAR(D3)&amp;MONTH(D3)</f>
        <v>20263</v>
      </c>
      <c r="E2" s="4" t="str">
        <f t="shared" si="1"/>
        <v>20264</v>
      </c>
      <c r="F2" s="4" t="str">
        <f t="shared" si="1"/>
        <v>20265</v>
      </c>
      <c r="G2" s="4" t="str">
        <f t="shared" si="1"/>
        <v>20266</v>
      </c>
      <c r="H2" s="4" t="str">
        <f t="shared" si="1"/>
        <v>20267</v>
      </c>
      <c r="I2" s="4" t="str">
        <f t="shared" si="1"/>
        <v>20268</v>
      </c>
      <c r="J2" s="4" t="str">
        <f t="shared" si="1"/>
        <v>20269</v>
      </c>
      <c r="K2" s="4" t="str">
        <f t="shared" si="1"/>
        <v>202610</v>
      </c>
      <c r="L2" s="4" t="str">
        <f t="shared" si="1"/>
        <v>202611</v>
      </c>
      <c r="M2" s="4" t="str">
        <f t="shared" si="1"/>
        <v>202612</v>
      </c>
      <c r="N2" s="4" t="str">
        <f t="shared" si="1"/>
        <v>20271</v>
      </c>
      <c r="O2" s="4" t="str">
        <f t="shared" si="1"/>
        <v>20272</v>
      </c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</row>
    <row r="3" ht="18.0" customHeight="1">
      <c r="A3" s="5"/>
      <c r="B3" s="6" t="s">
        <v>2</v>
      </c>
      <c r="C3" s="7"/>
      <c r="D3" s="8">
        <v>46112.0</v>
      </c>
      <c r="E3" s="8">
        <f t="shared" ref="E3:O3" si="2">EOMONTH(D3,1)</f>
        <v>46142</v>
      </c>
      <c r="F3" s="8">
        <f t="shared" si="2"/>
        <v>46173</v>
      </c>
      <c r="G3" s="8">
        <f t="shared" si="2"/>
        <v>46203</v>
      </c>
      <c r="H3" s="8">
        <f t="shared" si="2"/>
        <v>46234</v>
      </c>
      <c r="I3" s="8">
        <f t="shared" si="2"/>
        <v>46265</v>
      </c>
      <c r="J3" s="8">
        <f t="shared" si="2"/>
        <v>46295</v>
      </c>
      <c r="K3" s="8">
        <f t="shared" si="2"/>
        <v>46326</v>
      </c>
      <c r="L3" s="8">
        <f t="shared" si="2"/>
        <v>46356</v>
      </c>
      <c r="M3" s="8">
        <f t="shared" si="2"/>
        <v>46387</v>
      </c>
      <c r="N3" s="8">
        <f t="shared" si="2"/>
        <v>46418</v>
      </c>
      <c r="O3" s="8">
        <f t="shared" si="2"/>
        <v>46446</v>
      </c>
      <c r="P3" s="9" t="s">
        <v>3</v>
      </c>
      <c r="Q3" s="9" t="s">
        <v>4</v>
      </c>
      <c r="R3" s="2"/>
      <c r="T3" s="3"/>
      <c r="U3" s="3"/>
      <c r="V3" s="3"/>
      <c r="W3" s="3"/>
      <c r="X3" s="3"/>
      <c r="Y3" s="3"/>
      <c r="Z3" s="3"/>
      <c r="AA3" s="3"/>
    </row>
    <row r="4" ht="24.0" customHeight="1">
      <c r="A4" s="5"/>
      <c r="B4" s="10" t="s">
        <v>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14">
        <v>1.0</v>
      </c>
      <c r="C5" s="15" t="s">
        <v>6</v>
      </c>
      <c r="D5" s="16">
        <f>'予算入力シート（SFF）'!D5</f>
        <v>0</v>
      </c>
      <c r="E5" s="17">
        <f>'予算入力シート（SFF）'!E5</f>
        <v>0</v>
      </c>
      <c r="F5" s="17">
        <f>'予算入力シート（SFF）'!F5</f>
        <v>0</v>
      </c>
      <c r="G5" s="17">
        <f>'予算入力シート（SFF）'!G5</f>
        <v>0</v>
      </c>
      <c r="H5" s="17">
        <f>'予算入力シート（SFF）'!H5</f>
        <v>0</v>
      </c>
      <c r="I5" s="17">
        <f>'予算入力シート（SFF）'!I5</f>
        <v>12200000</v>
      </c>
      <c r="J5" s="17">
        <f>'予算入力シート（SFF）'!J5</f>
        <v>12200000</v>
      </c>
      <c r="K5" s="17">
        <f>'予算入力シート（SFF）'!K5</f>
        <v>0</v>
      </c>
      <c r="L5" s="17">
        <f>'予算入力シート（SFF）'!L5</f>
        <v>0</v>
      </c>
      <c r="M5" s="17">
        <f>'予算入力シート（SFF）'!M5</f>
        <v>0</v>
      </c>
      <c r="N5" s="17">
        <f>'予算入力シート（SFF）'!N5</f>
        <v>0</v>
      </c>
      <c r="O5" s="17">
        <f>'予算入力シート（SFF）'!O5</f>
        <v>0</v>
      </c>
      <c r="P5" s="18">
        <f t="shared" ref="P5:P24" si="3">SUM(D5:O5)</f>
        <v>24400000</v>
      </c>
      <c r="Q5" s="18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/>
      <c r="B6" s="14">
        <f t="shared" ref="B6:B13" si="4">B5+1</f>
        <v>2</v>
      </c>
      <c r="C6" s="15" t="s">
        <v>7</v>
      </c>
      <c r="D6" s="17">
        <f>'予算入力シート（SFF）'!D6</f>
        <v>0</v>
      </c>
      <c r="E6" s="17">
        <f>'予算入力シート（SFF）'!E6</f>
        <v>0</v>
      </c>
      <c r="F6" s="17">
        <f>'予算入力シート（SFF）'!F6</f>
        <v>0</v>
      </c>
      <c r="G6" s="17">
        <f>'予算入力シート（SFF）'!G6</f>
        <v>0</v>
      </c>
      <c r="H6" s="17">
        <f>'予算入力シート（SFF）'!H6</f>
        <v>0</v>
      </c>
      <c r="I6" s="17">
        <f>'予算入力シート（SFF）'!I6</f>
        <v>11940000</v>
      </c>
      <c r="J6" s="17">
        <f>'予算入力シート（SFF）'!J6</f>
        <v>11940000</v>
      </c>
      <c r="K6" s="17">
        <f>'予算入力シート（SFF）'!K6</f>
        <v>0</v>
      </c>
      <c r="L6" s="17">
        <f>'予算入力シート（SFF）'!L6</f>
        <v>0</v>
      </c>
      <c r="M6" s="17">
        <f>'予算入力シート（SFF）'!M6</f>
        <v>0</v>
      </c>
      <c r="N6" s="17">
        <f>'予算入力シート（SFF）'!N6</f>
        <v>0</v>
      </c>
      <c r="O6" s="17">
        <f>'予算入力シート（SFF）'!O6</f>
        <v>0</v>
      </c>
      <c r="P6" s="18">
        <f t="shared" si="3"/>
        <v>23880000</v>
      </c>
      <c r="Q6" s="18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/>
      <c r="B7" s="14">
        <f t="shared" si="4"/>
        <v>3</v>
      </c>
      <c r="C7" s="15" t="s">
        <v>8</v>
      </c>
      <c r="D7" s="16">
        <f>'予算入力シート（SFF）'!D7</f>
        <v>0</v>
      </c>
      <c r="E7" s="16">
        <f>'予算入力シート（SFF）'!E7</f>
        <v>0</v>
      </c>
      <c r="F7" s="16">
        <f>'予算入力シート（SFF）'!F7</f>
        <v>0</v>
      </c>
      <c r="G7" s="16">
        <f>'予算入力シート（SFF）'!G7</f>
        <v>0</v>
      </c>
      <c r="H7" s="16">
        <f>'予算入力シート（SFF）'!H7</f>
        <v>0</v>
      </c>
      <c r="I7" s="17">
        <f>'予算入力シート（SFF）'!I7</f>
        <v>5033000</v>
      </c>
      <c r="J7" s="16">
        <f>'予算入力シート（SFF）'!J7</f>
        <v>5033000</v>
      </c>
      <c r="K7" s="16">
        <f>'予算入力シート（SFF）'!K7</f>
        <v>0</v>
      </c>
      <c r="L7" s="16">
        <f>'予算入力シート（SFF）'!L7</f>
        <v>0</v>
      </c>
      <c r="M7" s="16">
        <f>'予算入力シート（SFF）'!M7</f>
        <v>0</v>
      </c>
      <c r="N7" s="17">
        <f>'予算入力シート（SFF）'!N7</f>
        <v>0</v>
      </c>
      <c r="O7" s="17">
        <f>'予算入力シート（SFF）'!O7</f>
        <v>0</v>
      </c>
      <c r="P7" s="18">
        <f t="shared" si="3"/>
        <v>10066000</v>
      </c>
      <c r="Q7" s="18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/>
      <c r="B8" s="14">
        <f t="shared" si="4"/>
        <v>4</v>
      </c>
      <c r="C8" s="15" t="s">
        <v>9</v>
      </c>
      <c r="D8" s="16">
        <f>'予算入力シート（SFF）'!D8</f>
        <v>0</v>
      </c>
      <c r="E8" s="16">
        <f>'予算入力シート（SFF）'!E8</f>
        <v>0</v>
      </c>
      <c r="F8" s="16">
        <f>'予算入力シート（SFF）'!F8</f>
        <v>0</v>
      </c>
      <c r="G8" s="16">
        <f>'予算入力シート（SFF）'!G8</f>
        <v>0</v>
      </c>
      <c r="H8" s="16">
        <f>'予算入力シート（SFF）'!H8</f>
        <v>0</v>
      </c>
      <c r="I8" s="17">
        <f>'予算入力シート（SFF）'!I8</f>
        <v>1089000</v>
      </c>
      <c r="J8" s="16">
        <f>'予算入力シート（SFF）'!J8</f>
        <v>1089000</v>
      </c>
      <c r="K8" s="16">
        <f>'予算入力シート（SFF）'!K8</f>
        <v>0</v>
      </c>
      <c r="L8" s="16">
        <f>'予算入力シート（SFF）'!L8</f>
        <v>0</v>
      </c>
      <c r="M8" s="16">
        <f>'予算入力シート（SFF）'!M8</f>
        <v>0</v>
      </c>
      <c r="N8" s="17">
        <f>'予算入力シート（SFF）'!N8</f>
        <v>0</v>
      </c>
      <c r="O8" s="17">
        <f>'予算入力シート（SFF）'!O8</f>
        <v>0</v>
      </c>
      <c r="P8" s="18">
        <f t="shared" si="3"/>
        <v>2178000</v>
      </c>
      <c r="Q8" s="18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/>
      <c r="B9" s="14">
        <f t="shared" si="4"/>
        <v>5</v>
      </c>
      <c r="C9" s="15" t="s">
        <v>10</v>
      </c>
      <c r="D9" s="17">
        <f>'予算入力シート（SFF）'!D9</f>
        <v>0</v>
      </c>
      <c r="E9" s="17">
        <f>'予算入力シート（SFF）'!E9</f>
        <v>0</v>
      </c>
      <c r="F9" s="17">
        <f>'予算入力シート（SFF）'!F9</f>
        <v>0</v>
      </c>
      <c r="G9" s="17">
        <f>'予算入力シート（SFF）'!G9</f>
        <v>0</v>
      </c>
      <c r="H9" s="17">
        <f>'予算入力シート（SFF）'!H9</f>
        <v>0</v>
      </c>
      <c r="I9" s="17">
        <f>'予算入力シート（SFF）'!I9</f>
        <v>400000</v>
      </c>
      <c r="J9" s="17">
        <f>'予算入力シート（SFF）'!J9</f>
        <v>400000</v>
      </c>
      <c r="K9" s="17">
        <f>'予算入力シート（SFF）'!K9</f>
        <v>0</v>
      </c>
      <c r="L9" s="17">
        <f>'予算入力シート（SFF）'!L9</f>
        <v>0</v>
      </c>
      <c r="M9" s="17">
        <f>'予算入力シート（SFF）'!M9</f>
        <v>0</v>
      </c>
      <c r="N9" s="17">
        <f>'予算入力シート（SFF）'!N9</f>
        <v>0</v>
      </c>
      <c r="O9" s="17">
        <f>'予算入力シート（SFF）'!O9</f>
        <v>0</v>
      </c>
      <c r="P9" s="18">
        <f t="shared" si="3"/>
        <v>800000</v>
      </c>
      <c r="Q9" s="18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/>
      <c r="B10" s="14">
        <f t="shared" si="4"/>
        <v>6</v>
      </c>
      <c r="C10" s="15" t="s">
        <v>11</v>
      </c>
      <c r="D10" s="17">
        <f>'予算入力シート（SFF）'!D10</f>
        <v>0</v>
      </c>
      <c r="E10" s="17">
        <f>'予算入力シート（SFF）'!E10</f>
        <v>0</v>
      </c>
      <c r="F10" s="17">
        <f>'予算入力シート（SFF）'!F10</f>
        <v>0</v>
      </c>
      <c r="G10" s="17">
        <f>'予算入力シート（SFF）'!G10</f>
        <v>0</v>
      </c>
      <c r="H10" s="17">
        <f>'予算入力シート（SFF）'!H10</f>
        <v>0</v>
      </c>
      <c r="I10" s="17">
        <f>'予算入力シート（SFF）'!I10</f>
        <v>600000</v>
      </c>
      <c r="J10" s="17">
        <f>'予算入力シート（SFF）'!J10</f>
        <v>600000</v>
      </c>
      <c r="K10" s="17">
        <f>'予算入力シート（SFF）'!K10</f>
        <v>0</v>
      </c>
      <c r="L10" s="17">
        <f>'予算入力シート（SFF）'!L10</f>
        <v>0</v>
      </c>
      <c r="M10" s="17">
        <f>'予算入力シート（SFF）'!M10</f>
        <v>0</v>
      </c>
      <c r="N10" s="17">
        <f>'予算入力シート（SFF）'!N10</f>
        <v>0</v>
      </c>
      <c r="O10" s="17">
        <f>'予算入力シート（SFF）'!O10</f>
        <v>0</v>
      </c>
      <c r="P10" s="18">
        <f t="shared" si="3"/>
        <v>1200000</v>
      </c>
      <c r="Q10" s="18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/>
      <c r="B11" s="14">
        <f t="shared" si="4"/>
        <v>7</v>
      </c>
      <c r="C11" s="15" t="s">
        <v>12</v>
      </c>
      <c r="D11" s="17">
        <f>'予算入力シート（SFF）'!D11</f>
        <v>0</v>
      </c>
      <c r="E11" s="17">
        <f>'予算入力シート（SFF）'!E11</f>
        <v>0</v>
      </c>
      <c r="F11" s="17">
        <f>'予算入力シート（SFF）'!F11</f>
        <v>0</v>
      </c>
      <c r="G11" s="17">
        <f>'予算入力シート（SFF）'!G11</f>
        <v>0</v>
      </c>
      <c r="H11" s="17">
        <f>'予算入力シート（SFF）'!H11</f>
        <v>0</v>
      </c>
      <c r="I11" s="17">
        <f>'予算入力シート（SFF）'!I11</f>
        <v>198000</v>
      </c>
      <c r="J11" s="17">
        <f>'予算入力シート（SFF）'!J11</f>
        <v>198000</v>
      </c>
      <c r="K11" s="17">
        <f>'予算入力シート（SFF）'!K11</f>
        <v>0</v>
      </c>
      <c r="L11" s="17">
        <f>'予算入力シート（SFF）'!L11</f>
        <v>0</v>
      </c>
      <c r="M11" s="17">
        <f>'予算入力シート（SFF）'!M11</f>
        <v>0</v>
      </c>
      <c r="N11" s="17">
        <f>'予算入力シート（SFF）'!N11</f>
        <v>0</v>
      </c>
      <c r="O11" s="17">
        <f>'予算入力シート（SFF）'!O11</f>
        <v>0</v>
      </c>
      <c r="P11" s="18">
        <f t="shared" si="3"/>
        <v>396000</v>
      </c>
      <c r="Q11" s="18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/>
      <c r="B12" s="14">
        <f t="shared" si="4"/>
        <v>8</v>
      </c>
      <c r="C12" s="15" t="s">
        <v>13</v>
      </c>
      <c r="D12" s="17">
        <f>'予算入力シート（SFF）'!D12</f>
        <v>0</v>
      </c>
      <c r="E12" s="17">
        <f>'予算入力シート（SFF）'!E12</f>
        <v>0</v>
      </c>
      <c r="F12" s="17">
        <f>'予算入力シート（SFF）'!F12</f>
        <v>0</v>
      </c>
      <c r="G12" s="17">
        <f>'予算入力シート（SFF）'!G12</f>
        <v>0</v>
      </c>
      <c r="H12" s="17">
        <f>'予算入力シート（SFF）'!H12</f>
        <v>0</v>
      </c>
      <c r="I12" s="17">
        <f>'予算入力シート（SFF）'!I12</f>
        <v>82500</v>
      </c>
      <c r="J12" s="17">
        <f>'予算入力シート（SFF）'!J12</f>
        <v>82500</v>
      </c>
      <c r="K12" s="17">
        <f>'予算入力シート（SFF）'!K12</f>
        <v>0</v>
      </c>
      <c r="L12" s="17">
        <f>'予算入力シート（SFF）'!L12</f>
        <v>0</v>
      </c>
      <c r="M12" s="17">
        <f>'予算入力シート（SFF）'!M12</f>
        <v>0</v>
      </c>
      <c r="N12" s="17">
        <f>'予算入力シート（SFF）'!N12</f>
        <v>0</v>
      </c>
      <c r="O12" s="17">
        <f>'予算入力シート（SFF）'!O12</f>
        <v>0</v>
      </c>
      <c r="P12" s="18">
        <f t="shared" si="3"/>
        <v>165000</v>
      </c>
      <c r="Q12" s="18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/>
      <c r="B13" s="14">
        <f t="shared" si="4"/>
        <v>9</v>
      </c>
      <c r="C13" s="15" t="s">
        <v>14</v>
      </c>
      <c r="D13" s="17">
        <f>'予算入力シート（SFF）'!D13</f>
        <v>0</v>
      </c>
      <c r="E13" s="17">
        <f>'予算入力シート（SFF）'!E13</f>
        <v>0</v>
      </c>
      <c r="F13" s="17">
        <f>'予算入力シート（SFF）'!F13</f>
        <v>0</v>
      </c>
      <c r="G13" s="17">
        <f>'予算入力シート（SFF）'!G13</f>
        <v>0</v>
      </c>
      <c r="H13" s="17">
        <f>'予算入力シート（SFF）'!H13</f>
        <v>0</v>
      </c>
      <c r="I13" s="17">
        <f>'予算入力シート（SFF）'!I13</f>
        <v>0</v>
      </c>
      <c r="J13" s="17">
        <f>'予算入力シート（SFF）'!J13</f>
        <v>0</v>
      </c>
      <c r="K13" s="17">
        <f>'予算入力シート（SFF）'!K13</f>
        <v>0</v>
      </c>
      <c r="L13" s="17">
        <f>'予算入力シート（SFF）'!L13</f>
        <v>0</v>
      </c>
      <c r="M13" s="17">
        <f>'予算入力シート（SFF）'!M13</f>
        <v>0</v>
      </c>
      <c r="N13" s="17">
        <f>'予算入力シート（SFF）'!N13</f>
        <v>0</v>
      </c>
      <c r="O13" s="17">
        <f>'予算入力シート（SFF）'!O13</f>
        <v>0</v>
      </c>
      <c r="P13" s="18">
        <f t="shared" si="3"/>
        <v>0</v>
      </c>
      <c r="Q13" s="18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/>
      <c r="B14" s="19"/>
      <c r="C14" s="20" t="s">
        <v>15</v>
      </c>
      <c r="D14" s="21">
        <f t="shared" ref="D14:O14" si="5">SUM(D5:D13)</f>
        <v>0</v>
      </c>
      <c r="E14" s="21">
        <f t="shared" si="5"/>
        <v>0</v>
      </c>
      <c r="F14" s="21">
        <f t="shared" si="5"/>
        <v>0</v>
      </c>
      <c r="G14" s="21">
        <f t="shared" si="5"/>
        <v>0</v>
      </c>
      <c r="H14" s="21">
        <f t="shared" si="5"/>
        <v>0</v>
      </c>
      <c r="I14" s="21">
        <f t="shared" si="5"/>
        <v>31542500</v>
      </c>
      <c r="J14" s="21">
        <f t="shared" si="5"/>
        <v>31542500</v>
      </c>
      <c r="K14" s="21">
        <f t="shared" si="5"/>
        <v>0</v>
      </c>
      <c r="L14" s="21">
        <f t="shared" si="5"/>
        <v>0</v>
      </c>
      <c r="M14" s="21">
        <f t="shared" si="5"/>
        <v>0</v>
      </c>
      <c r="N14" s="21">
        <f t="shared" si="5"/>
        <v>0</v>
      </c>
      <c r="O14" s="21">
        <f t="shared" si="5"/>
        <v>0</v>
      </c>
      <c r="P14" s="22">
        <f t="shared" si="3"/>
        <v>63085000</v>
      </c>
      <c r="Q14" s="22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/>
      <c r="B15" s="14">
        <f>B13+1</f>
        <v>10</v>
      </c>
      <c r="C15" s="23" t="s">
        <v>16</v>
      </c>
      <c r="D15" s="17">
        <f>'予算入力シート（SFF）'!D15+'予算入力シート（SFF）'!D16+'予算入力シート（SFF）'!D17+'予算入力シート（SFF）'!D18+'予算入力シート（SFF）'!D19</f>
        <v>0</v>
      </c>
      <c r="E15" s="17">
        <f>'予算入力シート（SFF）'!E15+'予算入力シート（SFF）'!E16+'予算入力シート（SFF）'!E17+'予算入力シート（SFF）'!E18+'予算入力シート（SFF）'!E19</f>
        <v>0</v>
      </c>
      <c r="F15" s="17">
        <f>'予算入力シート（SFF）'!F15+'予算入力シート（SFF）'!F16+'予算入力シート（SFF）'!F17+'予算入力シート（SFF）'!F18+'予算入力シート（SFF）'!F19</f>
        <v>0</v>
      </c>
      <c r="G15" s="17">
        <f>'予算入力シート（SFF）'!G15+'予算入力シート（SFF）'!G16+'予算入力シート（SFF）'!G17+'予算入力シート（SFF）'!G18+'予算入力シート（SFF）'!G19</f>
        <v>0</v>
      </c>
      <c r="H15" s="17">
        <f>'予算入力シート（SFF）'!H15+'予算入力シート（SFF）'!H16+'予算入力シート（SFF）'!H17+'予算入力シート（SFF）'!H18+'予算入力シート（SFF）'!H19</f>
        <v>0</v>
      </c>
      <c r="I15" s="17">
        <f>'予算入力シート（SFF）'!I15+'予算入力シート（SFF）'!I16+'予算入力シート（SFF）'!I17+'予算入力シート（SFF）'!I18+'予算入力シート（SFF）'!I19</f>
        <v>678000</v>
      </c>
      <c r="J15" s="17">
        <f>'予算入力シート（SFF）'!J15+'予算入力シート（SFF）'!J16+'予算入力シート（SFF）'!J17+'予算入力シート（SFF）'!J18+'予算入力シート（SFF）'!J19</f>
        <v>660000</v>
      </c>
      <c r="K15" s="17">
        <f>'予算入力シート（SFF）'!K15+'予算入力シート（SFF）'!K16+'予算入力シート（SFF）'!K17+'予算入力シート（SFF）'!K18+'予算入力シート（SFF）'!K19</f>
        <v>0</v>
      </c>
      <c r="L15" s="17">
        <f>'予算入力シート（SFF）'!L15+'予算入力シート（SFF）'!L16+'予算入力シート（SFF）'!L17+'予算入力シート（SFF）'!L18+'予算入力シート（SFF）'!L19</f>
        <v>0</v>
      </c>
      <c r="M15" s="17">
        <f>'予算入力シート（SFF）'!M15+'予算入力シート（SFF）'!M16+'予算入力シート（SFF）'!M17+'予算入力シート（SFF）'!M18+'予算入力シート（SFF）'!M19</f>
        <v>0</v>
      </c>
      <c r="N15" s="17">
        <f>'予算入力シート（SFF）'!N15+'予算入力シート（SFF）'!N16+'予算入力シート（SFF）'!N17+'予算入力シート（SFF）'!N18+'予算入力シート（SFF）'!N19</f>
        <v>0</v>
      </c>
      <c r="O15" s="17">
        <f>'予算入力シート（SFF）'!O15+'予算入力シート（SFF）'!O16+'予算入力シート（SFF）'!O17+'予算入力シート（SFF）'!O18+'予算入力シート（SFF）'!O19</f>
        <v>0</v>
      </c>
      <c r="P15" s="18">
        <f t="shared" si="3"/>
        <v>1338000</v>
      </c>
      <c r="Q15" s="18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/>
      <c r="B16" s="14">
        <f t="shared" ref="B16:B22" si="6">B15+1</f>
        <v>11</v>
      </c>
      <c r="C16" s="23" t="s">
        <v>17</v>
      </c>
      <c r="D16" s="17">
        <f>'予算入力シート（SFF）'!D20</f>
        <v>0</v>
      </c>
      <c r="E16" s="17">
        <f>'予算入力シート（SFF）'!E20</f>
        <v>0</v>
      </c>
      <c r="F16" s="17">
        <f>'予算入力シート（SFF）'!F20</f>
        <v>0</v>
      </c>
      <c r="G16" s="17">
        <f>'予算入力シート（SFF）'!G20</f>
        <v>0</v>
      </c>
      <c r="H16" s="17">
        <f>'予算入力シート（SFF）'!H20</f>
        <v>0</v>
      </c>
      <c r="I16" s="17">
        <f>'予算入力シート（SFF）'!I20</f>
        <v>1050000</v>
      </c>
      <c r="J16" s="17">
        <f>'予算入力シート（SFF）'!J20</f>
        <v>1350000</v>
      </c>
      <c r="K16" s="17">
        <f>'予算入力シート（SFF）'!K20</f>
        <v>0</v>
      </c>
      <c r="L16" s="17">
        <f>'予算入力シート（SFF）'!L20</f>
        <v>0</v>
      </c>
      <c r="M16" s="17">
        <f>'予算入力シート（SFF）'!M20</f>
        <v>0</v>
      </c>
      <c r="N16" s="17">
        <f>'予算入力シート（SFF）'!N20</f>
        <v>0</v>
      </c>
      <c r="O16" s="17">
        <f>'予算入力シート（SFF）'!O20</f>
        <v>0</v>
      </c>
      <c r="P16" s="18">
        <f t="shared" si="3"/>
        <v>2400000</v>
      </c>
      <c r="Q16" s="18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/>
      <c r="B17" s="14">
        <f t="shared" si="6"/>
        <v>12</v>
      </c>
      <c r="C17" s="23" t="s">
        <v>18</v>
      </c>
      <c r="D17" s="17">
        <f>'予算入力シート（SFF）'!D21+'予算入力シート（SFF）'!D22+'予算入力シート（SFF）'!D23+'予算入力シート（SFF）'!D24+'予算入力シート（SFF）'!D25+'予算入力シート（SFF）'!D26</f>
        <v>0</v>
      </c>
      <c r="E17" s="17">
        <f>'予算入力シート（SFF）'!E21+'予算入力シート（SFF）'!E22+'予算入力シート（SFF）'!E23+'予算入力シート（SFF）'!E24+'予算入力シート（SFF）'!E25+'予算入力シート（SFF）'!E26</f>
        <v>0</v>
      </c>
      <c r="F17" s="17">
        <f>'予算入力シート（SFF）'!F21+'予算入力シート（SFF）'!F22+'予算入力シート（SFF）'!F23+'予算入力シート（SFF）'!F24+'予算入力シート（SFF）'!F25+'予算入力シート（SFF）'!F26</f>
        <v>0</v>
      </c>
      <c r="G17" s="17">
        <f>'予算入力シート（SFF）'!G21+'予算入力シート（SFF）'!G22+'予算入力シート（SFF）'!G23+'予算入力シート（SFF）'!G24+'予算入力シート（SFF）'!G25+'予算入力シート（SFF）'!G26</f>
        <v>0</v>
      </c>
      <c r="H17" s="17">
        <f>'予算入力シート（SFF）'!H21+'予算入力シート（SFF）'!H22+'予算入力シート（SFF）'!H23+'予算入力シート（SFF）'!H24+'予算入力シート（SFF）'!H25+'予算入力シート（SFF）'!H26</f>
        <v>0</v>
      </c>
      <c r="I17" s="17">
        <f>'予算入力シート（SFF）'!I21+'予算入力シート（SFF）'!I22+'予算入力シート（SFF）'!I23+'予算入力シート（SFF）'!I24+'予算入力シート（SFF）'!I25+'予算入力シート（SFF）'!I26</f>
        <v>5860000</v>
      </c>
      <c r="J17" s="17">
        <f>'予算入力シート（SFF）'!J21+'予算入力シート（SFF）'!J22+'予算入力シート（SFF）'!J23+'予算入力シート（SFF）'!J24+'予算入力シート（SFF）'!J25+'予算入力シート（SFF）'!J26</f>
        <v>11170000</v>
      </c>
      <c r="K17" s="17">
        <f>'予算入力シート（SFF）'!K21+'予算入力シート（SFF）'!K22+'予算入力シート（SFF）'!K23+'予算入力シート（SFF）'!K24+'予算入力シート（SFF）'!K25+'予算入力シート（SFF）'!K26</f>
        <v>0</v>
      </c>
      <c r="L17" s="17">
        <f>'予算入力シート（SFF）'!L21+'予算入力シート（SFF）'!L22+'予算入力シート（SFF）'!L23+'予算入力シート（SFF）'!L24+'予算入力シート（SFF）'!L25+'予算入力シート（SFF）'!L26</f>
        <v>0</v>
      </c>
      <c r="M17" s="17">
        <f>'予算入力シート（SFF）'!M21+'予算入力シート（SFF）'!M22+'予算入力シート（SFF）'!M23+'予算入力シート（SFF）'!M24+'予算入力シート（SFF）'!M25+'予算入力シート（SFF）'!M26</f>
        <v>0</v>
      </c>
      <c r="N17" s="17">
        <f>'予算入力シート（SFF）'!N21+'予算入力シート（SFF）'!N22+'予算入力シート（SFF）'!N23+'予算入力シート（SFF）'!N24+'予算入力シート（SFF）'!N25+'予算入力シート（SFF）'!N26</f>
        <v>0</v>
      </c>
      <c r="O17" s="17">
        <f>'予算入力シート（SFF）'!O21+'予算入力シート（SFF）'!O22+'予算入力シート（SFF）'!O23+'予算入力シート（SFF）'!O24+'予算入力シート（SFF）'!O25+'予算入力シート（SFF）'!O26</f>
        <v>0</v>
      </c>
      <c r="P17" s="18">
        <f t="shared" si="3"/>
        <v>17030000</v>
      </c>
      <c r="Q17" s="18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/>
      <c r="B18" s="14">
        <f t="shared" si="6"/>
        <v>13</v>
      </c>
      <c r="C18" s="23" t="s">
        <v>19</v>
      </c>
      <c r="D18" s="16">
        <f>'予算入力シート（SFF）'!D27+'予算入力シート（SFF）'!D29+'予算入力シート（SFF）'!D30+'予算入力シート（SFF）'!D34</f>
        <v>0</v>
      </c>
      <c r="E18" s="16">
        <f>'予算入力シート（SFF）'!E27+'予算入力シート（SFF）'!E29+'予算入力シート（SFF）'!E30+'予算入力シート（SFF）'!E34</f>
        <v>0</v>
      </c>
      <c r="F18" s="16">
        <f>'予算入力シート（SFF）'!F27+'予算入力シート（SFF）'!F29+'予算入力シート（SFF）'!F30+'予算入力シート（SFF）'!F34</f>
        <v>0</v>
      </c>
      <c r="G18" s="16">
        <f>'予算入力シート（SFF）'!G27+'予算入力シート（SFF）'!G29+'予算入力シート（SFF）'!G30+'予算入力シート（SFF）'!G34</f>
        <v>0</v>
      </c>
      <c r="H18" s="16">
        <f>'予算入力シート（SFF）'!H27+'予算入力シート（SFF）'!H29+'予算入力シート（SFF）'!H30+'予算入力シート（SFF）'!H34</f>
        <v>0</v>
      </c>
      <c r="I18" s="16">
        <f>'予算入力シート（SFF）'!I27+'予算入力シート（SFF）'!I29+'予算入力シート（SFF）'!I30+'予算入力シート（SFF）'!I34</f>
        <v>910000</v>
      </c>
      <c r="J18" s="16">
        <f>'予算入力シート（SFF）'!J27+'予算入力シート（SFF）'!J29+'予算入力シート（SFF）'!J30+'予算入力シート（SFF）'!J34</f>
        <v>910000</v>
      </c>
      <c r="K18" s="16">
        <f>'予算入力シート（SFF）'!K27+'予算入力シート（SFF）'!K29+'予算入力シート（SFF）'!K30+'予算入力シート（SFF）'!K34</f>
        <v>0</v>
      </c>
      <c r="L18" s="16">
        <f>'予算入力シート（SFF）'!L27+'予算入力シート（SFF）'!L29+'予算入力シート（SFF）'!L30+'予算入力シート（SFF）'!L34</f>
        <v>0</v>
      </c>
      <c r="M18" s="16">
        <f>'予算入力シート（SFF）'!M27+'予算入力シート（SFF）'!M29+'予算入力シート（SFF）'!M30+'予算入力シート（SFF）'!M34</f>
        <v>0</v>
      </c>
      <c r="N18" s="16">
        <f>'予算入力シート（SFF）'!N27+'予算入力シート（SFF）'!N29+'予算入力シート（SFF）'!N30+'予算入力シート（SFF）'!N34</f>
        <v>0</v>
      </c>
      <c r="O18" s="16">
        <f>'予算入力シート（SFF）'!O27+'予算入力シート（SFF）'!O29+'予算入力シート（SFF）'!O30+'予算入力シート（SFF）'!O34</f>
        <v>0</v>
      </c>
      <c r="P18" s="18">
        <f t="shared" si="3"/>
        <v>1820000</v>
      </c>
      <c r="Q18" s="18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/>
      <c r="B19" s="14">
        <f t="shared" si="6"/>
        <v>14</v>
      </c>
      <c r="C19" s="23" t="s">
        <v>20</v>
      </c>
      <c r="D19" s="17">
        <f>'予算入力シート（SFF）'!D28</f>
        <v>0</v>
      </c>
      <c r="E19" s="17">
        <f>'予算入力シート（SFF）'!E28</f>
        <v>0</v>
      </c>
      <c r="F19" s="17">
        <f>'予算入力シート（SFF）'!F28</f>
        <v>0</v>
      </c>
      <c r="G19" s="17">
        <f>'予算入力シート（SFF）'!G28</f>
        <v>0</v>
      </c>
      <c r="H19" s="17">
        <f>'予算入力シート（SFF）'!H28</f>
        <v>0</v>
      </c>
      <c r="I19" s="17">
        <f>'予算入力シート（SFF）'!I28</f>
        <v>3113100</v>
      </c>
      <c r="J19" s="17">
        <f>'予算入力シート（SFF）'!J28</f>
        <v>4795160</v>
      </c>
      <c r="K19" s="17">
        <f>'予算入力シート（SFF）'!K28</f>
        <v>0</v>
      </c>
      <c r="L19" s="17">
        <f>'予算入力シート（SFF）'!L28</f>
        <v>0</v>
      </c>
      <c r="M19" s="17">
        <f>'予算入力シート（SFF）'!M28</f>
        <v>0</v>
      </c>
      <c r="N19" s="17">
        <f>'予算入力シート（SFF）'!N28</f>
        <v>0</v>
      </c>
      <c r="O19" s="17">
        <f>'予算入力シート（SFF）'!O28</f>
        <v>0</v>
      </c>
      <c r="P19" s="18">
        <f t="shared" si="3"/>
        <v>7908260</v>
      </c>
      <c r="Q19" s="18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/>
      <c r="B20" s="14">
        <f t="shared" si="6"/>
        <v>15</v>
      </c>
      <c r="C20" s="23" t="s">
        <v>21</v>
      </c>
      <c r="D20" s="17">
        <f>'予算入力シート（SFF）'!D31</f>
        <v>0</v>
      </c>
      <c r="E20" s="17">
        <f>'予算入力シート（SFF）'!E31</f>
        <v>0</v>
      </c>
      <c r="F20" s="17">
        <f>'予算入力シート（SFF）'!F31</f>
        <v>0</v>
      </c>
      <c r="G20" s="17">
        <f>'予算入力シート（SFF）'!G31</f>
        <v>0</v>
      </c>
      <c r="H20" s="17">
        <f>'予算入力シート（SFF）'!H31</f>
        <v>0</v>
      </c>
      <c r="I20" s="17">
        <f>'予算入力シート（SFF）'!I31</f>
        <v>150000</v>
      </c>
      <c r="J20" s="17">
        <f>'予算入力シート（SFF）'!J31</f>
        <v>600000</v>
      </c>
      <c r="K20" s="17">
        <f>'予算入力シート（SFF）'!K31</f>
        <v>0</v>
      </c>
      <c r="L20" s="17">
        <f>'予算入力シート（SFF）'!L31</f>
        <v>0</v>
      </c>
      <c r="M20" s="17">
        <f>'予算入力シート（SFF）'!M31</f>
        <v>0</v>
      </c>
      <c r="N20" s="17">
        <f>'予算入力シート（SFF）'!N31</f>
        <v>0</v>
      </c>
      <c r="O20" s="17">
        <f>'予算入力シート（SFF）'!O31</f>
        <v>0</v>
      </c>
      <c r="P20" s="18">
        <f t="shared" si="3"/>
        <v>750000</v>
      </c>
      <c r="Q20" s="18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/>
      <c r="B21" s="14">
        <f t="shared" si="6"/>
        <v>16</v>
      </c>
      <c r="C21" s="23" t="s">
        <v>22</v>
      </c>
      <c r="D21" s="17">
        <f>'予算入力シート（SFF）'!D32</f>
        <v>0</v>
      </c>
      <c r="E21" s="17">
        <f>'予算入力シート（SFF）'!E32</f>
        <v>0</v>
      </c>
      <c r="F21" s="17">
        <f>'予算入力シート（SFF）'!F32</f>
        <v>0</v>
      </c>
      <c r="G21" s="17">
        <f>'予算入力シート（SFF）'!G32</f>
        <v>0</v>
      </c>
      <c r="H21" s="17">
        <f>'予算入力シート（SFF）'!H32</f>
        <v>0</v>
      </c>
      <c r="I21" s="17">
        <f>'予算入力シート（SFF）'!I32</f>
        <v>60000</v>
      </c>
      <c r="J21" s="17">
        <f>'予算入力シート（SFF）'!J32</f>
        <v>60000</v>
      </c>
      <c r="K21" s="17">
        <f>'予算入力シート（SFF）'!K32</f>
        <v>0</v>
      </c>
      <c r="L21" s="17">
        <f>'予算入力シート（SFF）'!L32</f>
        <v>0</v>
      </c>
      <c r="M21" s="17">
        <f>'予算入力シート（SFF）'!M32</f>
        <v>0</v>
      </c>
      <c r="N21" s="17">
        <f>'予算入力シート（SFF）'!N32</f>
        <v>0</v>
      </c>
      <c r="O21" s="17">
        <f>'予算入力シート（SFF）'!O32</f>
        <v>0</v>
      </c>
      <c r="P21" s="18">
        <f t="shared" si="3"/>
        <v>120000</v>
      </c>
      <c r="Q21" s="18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/>
      <c r="B22" s="14">
        <f t="shared" si="6"/>
        <v>17</v>
      </c>
      <c r="C22" s="23" t="s">
        <v>23</v>
      </c>
      <c r="D22" s="17">
        <f>'予算入力シート（SFF）'!D33</f>
        <v>0</v>
      </c>
      <c r="E22" s="17">
        <f>'予算入力シート（SFF）'!E33</f>
        <v>0</v>
      </c>
      <c r="F22" s="17">
        <f>'予算入力シート（SFF）'!F33</f>
        <v>0</v>
      </c>
      <c r="G22" s="17">
        <f>'予算入力シート（SFF）'!G33</f>
        <v>0</v>
      </c>
      <c r="H22" s="17">
        <f>'予算入力シート（SFF）'!H33</f>
        <v>0</v>
      </c>
      <c r="I22" s="17">
        <f>'予算入力シート（SFF）'!I33</f>
        <v>0</v>
      </c>
      <c r="J22" s="17">
        <f>'予算入力シート（SFF）'!J33</f>
        <v>0</v>
      </c>
      <c r="K22" s="17">
        <f>'予算入力シート（SFF）'!K33</f>
        <v>0</v>
      </c>
      <c r="L22" s="17">
        <f>'予算入力シート（SFF）'!L33</f>
        <v>0</v>
      </c>
      <c r="M22" s="17">
        <f>'予算入力シート（SFF）'!M33</f>
        <v>0</v>
      </c>
      <c r="N22" s="17">
        <f>'予算入力シート（SFF）'!N33</f>
        <v>0</v>
      </c>
      <c r="O22" s="17">
        <f>'予算入力シート（SFF）'!O33</f>
        <v>0</v>
      </c>
      <c r="P22" s="18">
        <f t="shared" si="3"/>
        <v>0</v>
      </c>
      <c r="Q22" s="18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/>
      <c r="B23" s="24"/>
      <c r="C23" s="25" t="s">
        <v>24</v>
      </c>
      <c r="D23" s="26">
        <f t="shared" ref="D23:O23" si="7">SUM(D15:D22)</f>
        <v>0</v>
      </c>
      <c r="E23" s="26">
        <f t="shared" si="7"/>
        <v>0</v>
      </c>
      <c r="F23" s="26">
        <f t="shared" si="7"/>
        <v>0</v>
      </c>
      <c r="G23" s="26">
        <f t="shared" si="7"/>
        <v>0</v>
      </c>
      <c r="H23" s="26">
        <f t="shared" si="7"/>
        <v>0</v>
      </c>
      <c r="I23" s="26">
        <f t="shared" si="7"/>
        <v>11821100</v>
      </c>
      <c r="J23" s="26">
        <f t="shared" si="7"/>
        <v>19545160</v>
      </c>
      <c r="K23" s="26">
        <f t="shared" si="7"/>
        <v>0</v>
      </c>
      <c r="L23" s="26">
        <f t="shared" si="7"/>
        <v>0</v>
      </c>
      <c r="M23" s="26">
        <f t="shared" si="7"/>
        <v>0</v>
      </c>
      <c r="N23" s="26">
        <f t="shared" si="7"/>
        <v>0</v>
      </c>
      <c r="O23" s="26">
        <f t="shared" si="7"/>
        <v>0</v>
      </c>
      <c r="P23" s="27">
        <f t="shared" si="3"/>
        <v>31366260</v>
      </c>
      <c r="Q23" s="27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25</v>
      </c>
      <c r="B24" s="28"/>
      <c r="C24" s="29" t="s">
        <v>26</v>
      </c>
      <c r="D24" s="30">
        <f t="shared" ref="D24:O24" si="8">D14-D23</f>
        <v>0</v>
      </c>
      <c r="E24" s="30">
        <f t="shared" si="8"/>
        <v>0</v>
      </c>
      <c r="F24" s="30">
        <f t="shared" si="8"/>
        <v>0</v>
      </c>
      <c r="G24" s="30">
        <f t="shared" si="8"/>
        <v>0</v>
      </c>
      <c r="H24" s="30">
        <f t="shared" si="8"/>
        <v>0</v>
      </c>
      <c r="I24" s="30">
        <f t="shared" si="8"/>
        <v>19721400</v>
      </c>
      <c r="J24" s="30">
        <f t="shared" si="8"/>
        <v>11997340</v>
      </c>
      <c r="K24" s="30">
        <f t="shared" si="8"/>
        <v>0</v>
      </c>
      <c r="L24" s="30">
        <f t="shared" si="8"/>
        <v>0</v>
      </c>
      <c r="M24" s="30">
        <f t="shared" si="8"/>
        <v>0</v>
      </c>
      <c r="N24" s="30">
        <f t="shared" si="8"/>
        <v>0</v>
      </c>
      <c r="O24" s="30">
        <f t="shared" si="8"/>
        <v>0</v>
      </c>
      <c r="P24" s="31">
        <f t="shared" si="3"/>
        <v>31718740</v>
      </c>
      <c r="Q24" s="31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8.25" customHeight="1">
      <c r="A25" s="5"/>
      <c r="B25" s="32"/>
      <c r="P25" s="3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5"/>
      <c r="B26" s="10" t="s">
        <v>27</v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34"/>
      <c r="Q26" s="34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"/>
      <c r="B27" s="14">
        <f>B22+1</f>
        <v>18</v>
      </c>
      <c r="C27" s="35" t="s">
        <v>28</v>
      </c>
      <c r="D27" s="36">
        <f>'予算入力シート（YouTube※アパレル、フィットネス)'!D8</f>
        <v>2000000</v>
      </c>
      <c r="E27" s="37">
        <f>'予算入力シート（YouTube※アパレル、フィットネス)'!E8</f>
        <v>2050000</v>
      </c>
      <c r="F27" s="37">
        <f>'予算入力シート（YouTube※アパレル、フィットネス)'!F8</f>
        <v>2480000</v>
      </c>
      <c r="G27" s="37">
        <f>'予算入力シート（YouTube※アパレル、フィットネス)'!G8</f>
        <v>4000000</v>
      </c>
      <c r="H27" s="37">
        <f>'予算入力シート（YouTube※アパレル、フィットネス)'!H8</f>
        <v>3260000</v>
      </c>
      <c r="I27" s="37">
        <f>'予算入力シート（YouTube※アパレル、フィットネス)'!I8</f>
        <v>2930000</v>
      </c>
      <c r="J27" s="37">
        <f>'予算入力シート（YouTube※アパレル、フィットネス)'!J8</f>
        <v>2400000</v>
      </c>
      <c r="K27" s="37">
        <f>'予算入力シート（YouTube※アパレル、フィットネス)'!K8</f>
        <v>1930000</v>
      </c>
      <c r="L27" s="37">
        <f>'予算入力シート（YouTube※アパレル、フィットネス)'!L8</f>
        <v>2810000</v>
      </c>
      <c r="M27" s="37">
        <f>'予算入力シート（YouTube※アパレル、フィットネス)'!M8</f>
        <v>2550000</v>
      </c>
      <c r="N27" s="37">
        <f>'予算入力シート（YouTube※アパレル、フィットネス)'!N8</f>
        <v>1850000</v>
      </c>
      <c r="O27" s="37">
        <f>'予算入力シート（YouTube※アパレル、フィットネス)'!O8</f>
        <v>1930000</v>
      </c>
      <c r="P27" s="38">
        <f t="shared" ref="P27:P38" si="9">SUM(D27:O27)</f>
        <v>30190000</v>
      </c>
      <c r="Q27" s="39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/>
      <c r="B28" s="14">
        <f t="shared" ref="B28:B30" si="10">B27+1</f>
        <v>19</v>
      </c>
      <c r="C28" s="35" t="s">
        <v>29</v>
      </c>
      <c r="D28" s="36">
        <f>'予算入力シート（YouTube※アパレル、フィットネス)'!D33</f>
        <v>600000</v>
      </c>
      <c r="E28" s="37">
        <f>'予算入力シート（YouTube※アパレル、フィットネス)'!E33</f>
        <v>600000</v>
      </c>
      <c r="F28" s="37">
        <f>'予算入力シート（YouTube※アパレル、フィットネス)'!F33</f>
        <v>600000</v>
      </c>
      <c r="G28" s="37">
        <f>'予算入力シート（YouTube※アパレル、フィットネス)'!G33</f>
        <v>600000</v>
      </c>
      <c r="H28" s="37">
        <f>'予算入力シート（YouTube※アパレル、フィットネス)'!H33</f>
        <v>600000</v>
      </c>
      <c r="I28" s="37">
        <f>'予算入力シート（YouTube※アパレル、フィットネス)'!I33</f>
        <v>600000</v>
      </c>
      <c r="J28" s="37">
        <f>'予算入力シート（YouTube※アパレル、フィットネス)'!J33</f>
        <v>600000</v>
      </c>
      <c r="K28" s="37">
        <f>'予算入力シート（YouTube※アパレル、フィットネス)'!K33</f>
        <v>500000</v>
      </c>
      <c r="L28" s="37">
        <f>'予算入力シート（YouTube※アパレル、フィットネス)'!L33</f>
        <v>0</v>
      </c>
      <c r="M28" s="37">
        <f>'予算入力シート（YouTube※アパレル、フィットネス)'!M33</f>
        <v>0</v>
      </c>
      <c r="N28" s="37">
        <f>'予算入力シート（YouTube※アパレル、フィットネス)'!N33</f>
        <v>1000000</v>
      </c>
      <c r="O28" s="37">
        <f>'予算入力シート（YouTube※アパレル、フィットネス)'!O33</f>
        <v>2000000</v>
      </c>
      <c r="P28" s="38">
        <f t="shared" si="9"/>
        <v>7700000</v>
      </c>
      <c r="Q28" s="38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/>
      <c r="B29" s="14">
        <f t="shared" si="10"/>
        <v>20</v>
      </c>
      <c r="C29" s="35" t="s">
        <v>30</v>
      </c>
      <c r="D29" s="17">
        <f>'予算入力シート（YouTube※アパレル、フィットネス)'!D34</f>
        <v>400000</v>
      </c>
      <c r="E29" s="17">
        <f>'予算入力シート（YouTube※アパレル、フィットネス)'!E34</f>
        <v>400000</v>
      </c>
      <c r="F29" s="17">
        <f>'予算入力シート（YouTube※アパレル、フィットネス)'!F34</f>
        <v>450000</v>
      </c>
      <c r="G29" s="17">
        <f>'予算入力シート（YouTube※アパレル、フィットネス)'!G34</f>
        <v>600000</v>
      </c>
      <c r="H29" s="17">
        <f>'予算入力シート（YouTube※アパレル、フィットネス)'!H34</f>
        <v>650000</v>
      </c>
      <c r="I29" s="17">
        <f>'予算入力シート（YouTube※アパレル、フィットネス)'!I34</f>
        <v>0</v>
      </c>
      <c r="J29" s="17">
        <f>'予算入力シート（YouTube※アパレル、フィットネス)'!J34</f>
        <v>0</v>
      </c>
      <c r="K29" s="17">
        <f>'予算入力シート（YouTube※アパレル、フィットネス)'!K34</f>
        <v>0</v>
      </c>
      <c r="L29" s="17">
        <f>'予算入力シート（YouTube※アパレル、フィットネス)'!L34</f>
        <v>0</v>
      </c>
      <c r="M29" s="17">
        <f>'予算入力シート（YouTube※アパレル、フィットネス)'!M34</f>
        <v>0</v>
      </c>
      <c r="N29" s="17">
        <f>'予算入力シート（YouTube※アパレル、フィットネス)'!N34</f>
        <v>0</v>
      </c>
      <c r="O29" s="17">
        <f>'予算入力シート（YouTube※アパレル、フィットネス)'!O34</f>
        <v>0</v>
      </c>
      <c r="P29" s="18">
        <f t="shared" si="9"/>
        <v>2500000</v>
      </c>
      <c r="Q29" s="18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/>
      <c r="B30" s="14">
        <f t="shared" si="10"/>
        <v>21</v>
      </c>
      <c r="C30" s="15" t="s">
        <v>31</v>
      </c>
      <c r="D30" s="36">
        <f>'予算入力シート（YouTube※アパレル、フィットネス)'!D34</f>
        <v>400000</v>
      </c>
      <c r="E30" s="17">
        <f>'予算入力シート（YouTube※アパレル、フィットネス)'!E7</f>
        <v>100000</v>
      </c>
      <c r="F30" s="17">
        <f>'予算入力シート（YouTube※アパレル、フィットネス)'!F7</f>
        <v>100000</v>
      </c>
      <c r="G30" s="17">
        <f>'予算入力シート（YouTube※アパレル、フィットネス)'!G7</f>
        <v>100000</v>
      </c>
      <c r="H30" s="17">
        <f>'予算入力シート（YouTube※アパレル、フィットネス)'!H7</f>
        <v>100000</v>
      </c>
      <c r="I30" s="17">
        <f>'予算入力シート（YouTube※アパレル、フィットネス)'!I7</f>
        <v>100000</v>
      </c>
      <c r="J30" s="17">
        <f>'予算入力シート（YouTube※アパレル、フィットネス)'!J7</f>
        <v>100000</v>
      </c>
      <c r="K30" s="17">
        <f>'予算入力シート（YouTube※アパレル、フィットネス)'!K7</f>
        <v>100000</v>
      </c>
      <c r="L30" s="17">
        <f>'予算入力シート（YouTube※アパレル、フィットネス)'!L7</f>
        <v>100000</v>
      </c>
      <c r="M30" s="17">
        <f>'予算入力シート（YouTube※アパレル、フィットネス)'!M7</f>
        <v>100000</v>
      </c>
      <c r="N30" s="17">
        <f>'予算入力シート（YouTube※アパレル、フィットネス)'!N7</f>
        <v>100000</v>
      </c>
      <c r="O30" s="17">
        <f>'予算入力シート（YouTube※アパレル、フィットネス)'!O7</f>
        <v>100000</v>
      </c>
      <c r="P30" s="18">
        <f t="shared" si="9"/>
        <v>1500000</v>
      </c>
      <c r="Q30" s="18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/>
      <c r="B31" s="19"/>
      <c r="C31" s="20" t="s">
        <v>15</v>
      </c>
      <c r="D31" s="21">
        <f t="shared" ref="D31:O31" si="11">SUM(D27:D30)</f>
        <v>3400000</v>
      </c>
      <c r="E31" s="21">
        <f t="shared" si="11"/>
        <v>3150000</v>
      </c>
      <c r="F31" s="21">
        <f t="shared" si="11"/>
        <v>3630000</v>
      </c>
      <c r="G31" s="21">
        <f t="shared" si="11"/>
        <v>5300000</v>
      </c>
      <c r="H31" s="21">
        <f t="shared" si="11"/>
        <v>4610000</v>
      </c>
      <c r="I31" s="21">
        <f t="shared" si="11"/>
        <v>3630000</v>
      </c>
      <c r="J31" s="21">
        <f t="shared" si="11"/>
        <v>3100000</v>
      </c>
      <c r="K31" s="21">
        <f t="shared" si="11"/>
        <v>2530000</v>
      </c>
      <c r="L31" s="21">
        <f t="shared" si="11"/>
        <v>2910000</v>
      </c>
      <c r="M31" s="21">
        <f t="shared" si="11"/>
        <v>2650000</v>
      </c>
      <c r="N31" s="21">
        <f t="shared" si="11"/>
        <v>2950000</v>
      </c>
      <c r="O31" s="21">
        <f t="shared" si="11"/>
        <v>4030000</v>
      </c>
      <c r="P31" s="22">
        <f t="shared" si="9"/>
        <v>41890000</v>
      </c>
      <c r="Q31" s="22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/>
      <c r="B32" s="40">
        <f>B30+1</f>
        <v>22</v>
      </c>
      <c r="C32" s="35" t="s">
        <v>32</v>
      </c>
      <c r="D32" s="36">
        <f>'予算入力シート（YouTube※アパレル、フィットネス)'!D9</f>
        <v>0</v>
      </c>
      <c r="E32" s="37">
        <f>'予算入力シート（YouTube※アパレル、フィットネス)'!E9</f>
        <v>0</v>
      </c>
      <c r="F32" s="37">
        <f>'予算入力シート（YouTube※アパレル、フィットネス)'!F9</f>
        <v>0</v>
      </c>
      <c r="G32" s="37">
        <f>'予算入力シート（YouTube※アパレル、フィットネス)'!G9</f>
        <v>0</v>
      </c>
      <c r="H32" s="37">
        <f>'予算入力シート（YouTube※アパレル、フィットネス)'!H9</f>
        <v>0</v>
      </c>
      <c r="I32" s="37">
        <f>'予算入力シート（YouTube※アパレル、フィットネス)'!I9</f>
        <v>0</v>
      </c>
      <c r="J32" s="37">
        <f>'予算入力シート（YouTube※アパレル、フィットネス)'!J9</f>
        <v>0</v>
      </c>
      <c r="K32" s="37">
        <f>'予算入力シート（YouTube※アパレル、フィットネス)'!K9</f>
        <v>0</v>
      </c>
      <c r="L32" s="37">
        <f>'予算入力シート（YouTube※アパレル、フィットネス)'!L9</f>
        <v>0</v>
      </c>
      <c r="M32" s="37">
        <f>'予算入力シート（YouTube※アパレル、フィットネス)'!M9</f>
        <v>0</v>
      </c>
      <c r="N32" s="37">
        <f>'予算入力シート（YouTube※アパレル、フィットネス)'!N9</f>
        <v>0</v>
      </c>
      <c r="O32" s="37">
        <f>'予算入力シート（YouTube※アパレル、フィットネス)'!O9</f>
        <v>0</v>
      </c>
      <c r="P32" s="38">
        <f t="shared" si="9"/>
        <v>0</v>
      </c>
      <c r="Q32" s="38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/>
      <c r="B33" s="40">
        <f t="shared" ref="B33:B36" si="12">B32+1</f>
        <v>23</v>
      </c>
      <c r="C33" s="35" t="s">
        <v>33</v>
      </c>
      <c r="D33" s="36">
        <f>'予算入力シート（YouTube※アパレル、フィットネス)'!D10</f>
        <v>0</v>
      </c>
      <c r="E33" s="37">
        <f>'予算入力シート（YouTube※アパレル、フィットネス)'!E10</f>
        <v>0</v>
      </c>
      <c r="F33" s="37">
        <f>'予算入力シート（YouTube※アパレル、フィットネス)'!F10</f>
        <v>0</v>
      </c>
      <c r="G33" s="37">
        <f>'予算入力シート（YouTube※アパレル、フィットネス)'!G10</f>
        <v>0</v>
      </c>
      <c r="H33" s="37">
        <f>'予算入力シート（YouTube※アパレル、フィットネス)'!H10</f>
        <v>0</v>
      </c>
      <c r="I33" s="37">
        <f>'予算入力シート（YouTube※アパレル、フィットネス)'!I10</f>
        <v>0</v>
      </c>
      <c r="J33" s="37">
        <f>'予算入力シート（YouTube※アパレル、フィットネス)'!J10</f>
        <v>0</v>
      </c>
      <c r="K33" s="37">
        <f>'予算入力シート（YouTube※アパレル、フィットネス)'!K10</f>
        <v>0</v>
      </c>
      <c r="L33" s="37">
        <f>'予算入力シート（YouTube※アパレル、フィットネス)'!L10</f>
        <v>0</v>
      </c>
      <c r="M33" s="37">
        <f>'予算入力シート（YouTube※アパレル、フィットネス)'!M10</f>
        <v>0</v>
      </c>
      <c r="N33" s="37">
        <f>'予算入力シート（YouTube※アパレル、フィットネス)'!N10</f>
        <v>0</v>
      </c>
      <c r="O33" s="37">
        <f>'予算入力シート（YouTube※アパレル、フィットネス)'!O10</f>
        <v>0</v>
      </c>
      <c r="P33" s="38">
        <f t="shared" si="9"/>
        <v>0</v>
      </c>
      <c r="Q33" s="38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/>
      <c r="B34" s="40">
        <f t="shared" si="12"/>
        <v>24</v>
      </c>
      <c r="C34" s="35" t="s">
        <v>34</v>
      </c>
      <c r="D34" s="36">
        <f>'予算入力シート（YouTube※アパレル、フィットネス)'!D11</f>
        <v>0</v>
      </c>
      <c r="E34" s="37">
        <f>'予算入力シート（YouTube※アパレル、フィットネス)'!E11</f>
        <v>0</v>
      </c>
      <c r="F34" s="37">
        <f>'予算入力シート（YouTube※アパレル、フィットネス)'!F11</f>
        <v>0</v>
      </c>
      <c r="G34" s="37">
        <f>'予算入力シート（YouTube※アパレル、フィットネス)'!G11</f>
        <v>0</v>
      </c>
      <c r="H34" s="37">
        <f>'予算入力シート（YouTube※アパレル、フィットネス)'!H11</f>
        <v>0</v>
      </c>
      <c r="I34" s="37">
        <f>'予算入力シート（YouTube※アパレル、フィットネス)'!I11</f>
        <v>0</v>
      </c>
      <c r="J34" s="37">
        <f>'予算入力シート（YouTube※アパレル、フィットネス)'!J11</f>
        <v>0</v>
      </c>
      <c r="K34" s="37">
        <f>'予算入力シート（YouTube※アパレル、フィットネス)'!K11</f>
        <v>0</v>
      </c>
      <c r="L34" s="37">
        <f>'予算入力シート（YouTube※アパレル、フィットネス)'!L11</f>
        <v>0</v>
      </c>
      <c r="M34" s="37">
        <f>'予算入力シート（YouTube※アパレル、フィットネス)'!M11</f>
        <v>0</v>
      </c>
      <c r="N34" s="37">
        <f>'予算入力シート（YouTube※アパレル、フィットネス)'!N11</f>
        <v>0</v>
      </c>
      <c r="O34" s="37">
        <f>'予算入力シート（YouTube※アパレル、フィットネス)'!O11</f>
        <v>0</v>
      </c>
      <c r="P34" s="38">
        <f t="shared" si="9"/>
        <v>0</v>
      </c>
      <c r="Q34" s="38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/>
      <c r="B35" s="40">
        <f t="shared" si="12"/>
        <v>25</v>
      </c>
      <c r="C35" s="35" t="s">
        <v>35</v>
      </c>
      <c r="D35" s="36">
        <f>'予算入力シート（YouTube※アパレル、フィットネス)'!D36</f>
        <v>370000</v>
      </c>
      <c r="E35" s="37">
        <f>'予算入力シート（YouTube※アパレル、フィットネス)'!E36</f>
        <v>420000</v>
      </c>
      <c r="F35" s="37">
        <f>'予算入力シート（YouTube※アパレル、フィットネス)'!F36</f>
        <v>420000</v>
      </c>
      <c r="G35" s="37">
        <f>'予算入力シート（YouTube※アパレル、フィットネス)'!G36</f>
        <v>420000</v>
      </c>
      <c r="H35" s="37">
        <f>'予算入力シート（YouTube※アパレル、フィットネス)'!H36</f>
        <v>420000</v>
      </c>
      <c r="I35" s="37">
        <f>'予算入力シート（YouTube※アパレル、フィットネス)'!I36</f>
        <v>420000</v>
      </c>
      <c r="J35" s="37">
        <f>'予算入力シート（YouTube※アパレル、フィットネス)'!J36</f>
        <v>420000</v>
      </c>
      <c r="K35" s="37">
        <f>'予算入力シート（YouTube※アパレル、フィットネス)'!K36</f>
        <v>420000</v>
      </c>
      <c r="L35" s="37">
        <f>'予算入力シート（YouTube※アパレル、フィットネス)'!L36</f>
        <v>420000</v>
      </c>
      <c r="M35" s="37">
        <f>'予算入力シート（YouTube※アパレル、フィットネス)'!M36</f>
        <v>420000</v>
      </c>
      <c r="N35" s="37">
        <f>'予算入力シート（YouTube※アパレル、フィットネス)'!N36</f>
        <v>420000</v>
      </c>
      <c r="O35" s="37">
        <f>'予算入力シート（YouTube※アパレル、フィットネス)'!O36</f>
        <v>420000</v>
      </c>
      <c r="P35" s="38">
        <f t="shared" si="9"/>
        <v>4990000</v>
      </c>
      <c r="Q35" s="39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36</v>
      </c>
      <c r="B36" s="40">
        <f t="shared" si="12"/>
        <v>26</v>
      </c>
      <c r="C36" s="15" t="s">
        <v>37</v>
      </c>
      <c r="D36" s="17">
        <f>'予算入力シート（YouTube※アパレル、フィットネス)'!D37</f>
        <v>36000</v>
      </c>
      <c r="E36" s="17">
        <f>'予算入力シート（YouTube※アパレル、フィットネス)'!E37</f>
        <v>36000</v>
      </c>
      <c r="F36" s="17">
        <f>'予算入力シート（YouTube※アパレル、フィットネス)'!F37</f>
        <v>37800</v>
      </c>
      <c r="G36" s="17">
        <f>'予算入力シート（YouTube※アパレル、フィットネス)'!G37</f>
        <v>43200</v>
      </c>
      <c r="H36" s="17">
        <f>'予算入力シート（YouTube※アパレル、フィットネス)'!H37</f>
        <v>45000</v>
      </c>
      <c r="I36" s="17">
        <f>'予算入力シート（YouTube※アパレル、フィットネス)'!I37</f>
        <v>21600</v>
      </c>
      <c r="J36" s="17">
        <f>'予算入力シート（YouTube※アパレル、フィットネス)'!J37</f>
        <v>21600</v>
      </c>
      <c r="K36" s="17">
        <f>'予算入力シート（YouTube※アパレル、フィットネス)'!K37</f>
        <v>18000</v>
      </c>
      <c r="L36" s="17">
        <f>'予算入力シート（YouTube※アパレル、フィットネス)'!L37</f>
        <v>0</v>
      </c>
      <c r="M36" s="17">
        <f>'予算入力シート（YouTube※アパレル、フィットネス)'!M37</f>
        <v>0</v>
      </c>
      <c r="N36" s="17">
        <f>'予算入力シート（YouTube※アパレル、フィットネス)'!N37</f>
        <v>36000</v>
      </c>
      <c r="O36" s="17">
        <f>'予算入力シート（YouTube※アパレル、フィットネス)'!O37</f>
        <v>72000</v>
      </c>
      <c r="P36" s="18">
        <f t="shared" si="9"/>
        <v>367200</v>
      </c>
      <c r="Q36" s="41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/>
      <c r="B37" s="24"/>
      <c r="C37" s="25" t="s">
        <v>24</v>
      </c>
      <c r="D37" s="26">
        <f t="shared" ref="D37:O37" si="13">SUM(D32:D36)</f>
        <v>406000</v>
      </c>
      <c r="E37" s="26">
        <f t="shared" si="13"/>
        <v>456000</v>
      </c>
      <c r="F37" s="26">
        <f t="shared" si="13"/>
        <v>457800</v>
      </c>
      <c r="G37" s="26">
        <f t="shared" si="13"/>
        <v>463200</v>
      </c>
      <c r="H37" s="26">
        <f t="shared" si="13"/>
        <v>465000</v>
      </c>
      <c r="I37" s="26">
        <f t="shared" si="13"/>
        <v>441600</v>
      </c>
      <c r="J37" s="26">
        <f t="shared" si="13"/>
        <v>441600</v>
      </c>
      <c r="K37" s="26">
        <f t="shared" si="13"/>
        <v>438000</v>
      </c>
      <c r="L37" s="26">
        <f t="shared" si="13"/>
        <v>420000</v>
      </c>
      <c r="M37" s="26">
        <f t="shared" si="13"/>
        <v>420000</v>
      </c>
      <c r="N37" s="26">
        <f t="shared" si="13"/>
        <v>456000</v>
      </c>
      <c r="O37" s="26">
        <f t="shared" si="13"/>
        <v>492000</v>
      </c>
      <c r="P37" s="27">
        <f t="shared" si="9"/>
        <v>5357200</v>
      </c>
      <c r="Q37" s="27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38</v>
      </c>
      <c r="B38" s="28"/>
      <c r="C38" s="29" t="s">
        <v>39</v>
      </c>
      <c r="D38" s="30">
        <f t="shared" ref="D38:O38" si="14">D31-D37</f>
        <v>2994000</v>
      </c>
      <c r="E38" s="30">
        <f t="shared" si="14"/>
        <v>2694000</v>
      </c>
      <c r="F38" s="30">
        <f t="shared" si="14"/>
        <v>3172200</v>
      </c>
      <c r="G38" s="30">
        <f t="shared" si="14"/>
        <v>4836800</v>
      </c>
      <c r="H38" s="30">
        <f t="shared" si="14"/>
        <v>4145000</v>
      </c>
      <c r="I38" s="30">
        <f t="shared" si="14"/>
        <v>3188400</v>
      </c>
      <c r="J38" s="30">
        <f t="shared" si="14"/>
        <v>2658400</v>
      </c>
      <c r="K38" s="30">
        <f t="shared" si="14"/>
        <v>2092000</v>
      </c>
      <c r="L38" s="30">
        <f t="shared" si="14"/>
        <v>2490000</v>
      </c>
      <c r="M38" s="30">
        <f t="shared" si="14"/>
        <v>2230000</v>
      </c>
      <c r="N38" s="30">
        <f t="shared" si="14"/>
        <v>2494000</v>
      </c>
      <c r="O38" s="30">
        <f t="shared" si="14"/>
        <v>3538000</v>
      </c>
      <c r="P38" s="31">
        <f t="shared" si="9"/>
        <v>36532800</v>
      </c>
      <c r="Q38" s="31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8.25" customHeight="1">
      <c r="A39" s="5"/>
      <c r="B39" s="32"/>
      <c r="P39" s="3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0" customHeight="1">
      <c r="A40" s="5"/>
      <c r="B40" s="10" t="s">
        <v>40</v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4"/>
      <c r="Q40" s="34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40">
        <v>27.0</v>
      </c>
      <c r="C41" s="35" t="s">
        <v>41</v>
      </c>
      <c r="D41" s="36">
        <f>'予算入力シート（管理部予算）'!D40</f>
        <v>2682000</v>
      </c>
      <c r="E41" s="36">
        <f>'予算入力シート（管理部予算）'!E40</f>
        <v>2682000</v>
      </c>
      <c r="F41" s="36">
        <f>'予算入力シート（管理部予算）'!F40</f>
        <v>2682000</v>
      </c>
      <c r="G41" s="36">
        <f>'予算入力シート（管理部予算）'!G40</f>
        <v>2682000</v>
      </c>
      <c r="H41" s="36">
        <f>'予算入力シート（管理部予算）'!H40</f>
        <v>2682000</v>
      </c>
      <c r="I41" s="36">
        <f>'予算入力シート（管理部予算）'!I40</f>
        <v>2682000</v>
      </c>
      <c r="J41" s="36">
        <f>'予算入力シート（管理部予算）'!J40</f>
        <v>2682000</v>
      </c>
      <c r="K41" s="36">
        <f>'予算入力シート（管理部予算）'!K40</f>
        <v>2682000</v>
      </c>
      <c r="L41" s="36">
        <f>'予算入力シート（管理部予算）'!L40</f>
        <v>2682000</v>
      </c>
      <c r="M41" s="36">
        <f>'予算入力シート（管理部予算）'!M40</f>
        <v>2682000</v>
      </c>
      <c r="N41" s="36">
        <f>'予算入力シート（管理部予算）'!N40</f>
        <v>2682000</v>
      </c>
      <c r="O41" s="36">
        <f>'予算入力シート（管理部予算）'!O40</f>
        <v>2682000</v>
      </c>
      <c r="P41" s="38">
        <f t="shared" ref="P41:P55" si="15">SUM(D41:O41)</f>
        <v>32184000</v>
      </c>
      <c r="Q41" s="38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/>
      <c r="B42" s="40">
        <f t="shared" ref="B42:B54" si="16">B41+1</f>
        <v>28</v>
      </c>
      <c r="C42" s="35" t="s">
        <v>42</v>
      </c>
      <c r="D42" s="36">
        <f>'予算入力シート（管理部予算）'!D41+'予算入力シート（YouTube※アパレル、フィットネス)'!D16+'予算入力シート（YouTube※アパレル、フィットネス)'!D42</f>
        <v>2360000</v>
      </c>
      <c r="E42" s="36">
        <f>'予算入力シート（管理部予算）'!E41+'予算入力シート（YouTube※アパレル、フィットネス)'!E16+'予算入力シート（YouTube※アパレル、フィットネス)'!E42</f>
        <v>2310000</v>
      </c>
      <c r="F42" s="36">
        <f>'予算入力シート（管理部予算）'!F41+'予算入力シート（YouTube※アパレル、フィットネス)'!F16+'予算入力シート（YouTube※アパレル、フィットネス)'!F42</f>
        <v>2310000</v>
      </c>
      <c r="G42" s="36">
        <f>'予算入力シート（管理部予算）'!G41+'予算入力シート（YouTube※アパレル、フィットネス)'!G16+'予算入力シート（YouTube※アパレル、フィットネス)'!G42</f>
        <v>2310000</v>
      </c>
      <c r="H42" s="36">
        <f>'予算入力シート（管理部予算）'!H41+'予算入力シート（YouTube※アパレル、フィットネス)'!H16+'予算入力シート（YouTube※アパレル、フィットネス)'!H42</f>
        <v>2410000</v>
      </c>
      <c r="I42" s="36">
        <f>'予算入力シート（管理部予算）'!I41+'予算入力シート（YouTube※アパレル、フィットネス)'!I16+'予算入力シート（YouTube※アパレル、フィットネス)'!I42</f>
        <v>2060000</v>
      </c>
      <c r="J42" s="36">
        <f>'予算入力シート（管理部予算）'!J41+'予算入力シート（YouTube※アパレル、フィットネス)'!J16+'予算入力シート（YouTube※アパレル、フィットネス)'!J42</f>
        <v>2060000</v>
      </c>
      <c r="K42" s="36">
        <f>'予算入力シート（管理部予算）'!K41+'予算入力シート（YouTube※アパレル、フィットネス)'!K16+'予算入力シート（YouTube※アパレル、フィットネス)'!K42</f>
        <v>2060000</v>
      </c>
      <c r="L42" s="36">
        <f>'予算入力シート（管理部予算）'!L41+'予算入力シート（YouTube※アパレル、フィットネス)'!L16+'予算入力シート（YouTube※アパレル、フィットネス)'!L42</f>
        <v>2060000</v>
      </c>
      <c r="M42" s="36">
        <f>'予算入力シート（管理部予算）'!M41+'予算入力シート（YouTube※アパレル、フィットネス)'!M16+'予算入力シート（YouTube※アパレル、フィットネス)'!M42</f>
        <v>2120000</v>
      </c>
      <c r="N42" s="36">
        <f>'予算入力シート（管理部予算）'!N41+'予算入力シート（YouTube※アパレル、フィットネス)'!N16+'予算入力シート（YouTube※アパレル、フィットネス)'!N42</f>
        <v>2060000</v>
      </c>
      <c r="O42" s="36">
        <f>'予算入力シート（管理部予算）'!O41+'予算入力シート（YouTube※アパレル、フィットネス)'!O16+'予算入力シート（YouTube※アパレル、フィットネス)'!O42</f>
        <v>2060000</v>
      </c>
      <c r="P42" s="38">
        <f t="shared" si="15"/>
        <v>26180000</v>
      </c>
      <c r="Q42" s="38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/>
      <c r="B43" s="40">
        <f t="shared" si="16"/>
        <v>29</v>
      </c>
      <c r="C43" s="35" t="s">
        <v>23</v>
      </c>
      <c r="D43" s="36">
        <f>'予算入力シート（管理部予算）'!D42+'予算入力シート（YouTube※アパレル、フィットネス)'!D17+'予算入力シート（SFF）'!D40</f>
        <v>55723</v>
      </c>
      <c r="E43" s="36">
        <f>'予算入力シート（管理部予算）'!E42+'予算入力シート（YouTube※アパレル、フィットネス)'!E17+'予算入力シート（SFF）'!E40</f>
        <v>55723</v>
      </c>
      <c r="F43" s="36">
        <f>'予算入力シート（管理部予算）'!F42+'予算入力シート（YouTube※アパレル、フィットネス)'!F17+'予算入力シート（SFF）'!F40</f>
        <v>55723</v>
      </c>
      <c r="G43" s="36">
        <f>'予算入力シート（管理部予算）'!G42+'予算入力シート（YouTube※アパレル、フィットネス)'!G17+'予算入力シート（SFF）'!G40</f>
        <v>55723</v>
      </c>
      <c r="H43" s="36">
        <f>'予算入力シート（管理部予算）'!H42+'予算入力シート（YouTube※アパレル、フィットネス)'!H17+'予算入力シート（SFF）'!H40</f>
        <v>55723</v>
      </c>
      <c r="I43" s="36">
        <f>'予算入力シート（管理部予算）'!I42+'予算入力シート（YouTube※アパレル、フィットネス)'!I17+'予算入力シート（SFF）'!I40</f>
        <v>55723</v>
      </c>
      <c r="J43" s="36">
        <f>'予算入力シート（管理部予算）'!J42+'予算入力シート（YouTube※アパレル、フィットネス)'!J17+'予算入力シート（SFF）'!J40</f>
        <v>55723</v>
      </c>
      <c r="K43" s="36">
        <f>'予算入力シート（管理部予算）'!K42+'予算入力シート（YouTube※アパレル、フィットネス)'!K17+'予算入力シート（SFF）'!K40</f>
        <v>55723</v>
      </c>
      <c r="L43" s="36">
        <f>'予算入力シート（管理部予算）'!L42+'予算入力シート（YouTube※アパレル、フィットネス)'!L17+'予算入力シート（SFF）'!L40</f>
        <v>55723</v>
      </c>
      <c r="M43" s="36">
        <f>'予算入力シート（管理部予算）'!M42+'予算入力シート（YouTube※アパレル、フィットネス)'!M17+'予算入力シート（SFF）'!M40</f>
        <v>55723</v>
      </c>
      <c r="N43" s="36">
        <f>'予算入力シート（管理部予算）'!N42+'予算入力シート（YouTube※アパレル、フィットネス)'!N17+'予算入力シート（SFF）'!N40</f>
        <v>55723</v>
      </c>
      <c r="O43" s="36">
        <f>'予算入力シート（管理部予算）'!O42+'予算入力シート（YouTube※アパレル、フィットネス)'!O17+'予算入力シート（SFF）'!O40</f>
        <v>55723</v>
      </c>
      <c r="P43" s="38">
        <f t="shared" si="15"/>
        <v>668676</v>
      </c>
      <c r="Q43" s="38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/>
      <c r="B44" s="40">
        <f t="shared" si="16"/>
        <v>30</v>
      </c>
      <c r="C44" s="35" t="s">
        <v>43</v>
      </c>
      <c r="D44" s="36">
        <f>'予算入力シート（管理部予算）'!D43+'予算入力シート（YouTube※アパレル、フィットネス)'!D43+'予算入力シート（SFF）'!D41+'予算入力シート（YouTube※アパレル、フィットネス)'!D18</f>
        <v>621396</v>
      </c>
      <c r="E44" s="36">
        <f>'予算入力シート（管理部予算）'!E43+'予算入力シート（YouTube※アパレル、フィットネス)'!E43+'予算入力シート（SFF）'!E41+'予算入力シート（YouTube※アパレル、フィットネス)'!E18</f>
        <v>621396</v>
      </c>
      <c r="F44" s="36">
        <f>'予算入力シート（管理部予算）'!F43+'予算入力シート（YouTube※アパレル、フィットネス)'!F43+'予算入力シート（SFF）'!F41+'予算入力シート（YouTube※アパレル、フィットネス)'!F18</f>
        <v>621396</v>
      </c>
      <c r="G44" s="36">
        <f>'予算入力シート（管理部予算）'!G43+'予算入力シート（YouTube※アパレル、フィットネス)'!G43+'予算入力シート（SFF）'!G41+'予算入力シート（YouTube※アパレル、フィットネス)'!G18</f>
        <v>621396</v>
      </c>
      <c r="H44" s="36">
        <f>'予算入力シート（管理部予算）'!H43+'予算入力シート（YouTube※アパレル、フィットネス)'!H43+'予算入力シート（SFF）'!H41+'予算入力シート（YouTube※アパレル、フィットネス)'!H18</f>
        <v>621396</v>
      </c>
      <c r="I44" s="36">
        <f>'予算入力シート（管理部予算）'!I43+'予算入力シート（YouTube※アパレル、フィットネス)'!I43+'予算入力シート（SFF）'!I41+'予算入力シート（YouTube※アパレル、フィットネス)'!I18</f>
        <v>621396</v>
      </c>
      <c r="J44" s="36">
        <f>'予算入力シート（管理部予算）'!J43+'予算入力シート（YouTube※アパレル、フィットネス)'!J43+'予算入力シート（SFF）'!J41+'予算入力シート（YouTube※アパレル、フィットネス)'!J18</f>
        <v>621396</v>
      </c>
      <c r="K44" s="36">
        <f>'予算入力シート（管理部予算）'!K43+'予算入力シート（YouTube※アパレル、フィットネス)'!K43+'予算入力シート（SFF）'!K41+'予算入力シート（YouTube※アパレル、フィットネス)'!K18</f>
        <v>621396</v>
      </c>
      <c r="L44" s="36">
        <f>'予算入力シート（管理部予算）'!L43+'予算入力シート（YouTube※アパレル、フィットネス)'!L43+'予算入力シート（SFF）'!L41+'予算入力シート（YouTube※アパレル、フィットネス)'!L18</f>
        <v>621396</v>
      </c>
      <c r="M44" s="36">
        <f>'予算入力シート（管理部予算）'!M43+'予算入力シート（YouTube※アパレル、フィットネス)'!M43+'予算入力シート（SFF）'!M41+'予算入力シート（YouTube※アパレル、フィットネス)'!M18</f>
        <v>621396</v>
      </c>
      <c r="N44" s="36">
        <f>'予算入力シート（管理部予算）'!N43+'予算入力シート（YouTube※アパレル、フィットネス)'!N43+'予算入力シート（SFF）'!N41+'予算入力シート（YouTube※アパレル、フィットネス)'!N18</f>
        <v>621396</v>
      </c>
      <c r="O44" s="36">
        <f>'予算入力シート（管理部予算）'!O43+'予算入力シート（YouTube※アパレル、フィットネス)'!O43+'予算入力シート（SFF）'!O41+'予算入力シート（YouTube※アパレル、フィットネス)'!O18</f>
        <v>621396</v>
      </c>
      <c r="P44" s="38">
        <f t="shared" si="15"/>
        <v>7456752</v>
      </c>
      <c r="Q44" s="38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/>
      <c r="B45" s="40">
        <f t="shared" si="16"/>
        <v>31</v>
      </c>
      <c r="C45" s="35" t="s">
        <v>16</v>
      </c>
      <c r="D45" s="36">
        <f>'予算入力シート（管理部予算）'!D44+'予算入力シート（YouTube※アパレル、フィットネス)'!D44+'予算入力シート（YouTube※アパレル、フィットネス)'!D19</f>
        <v>50000</v>
      </c>
      <c r="E45" s="36">
        <f>'予算入力シート（管理部予算）'!E44+'予算入力シート（YouTube※アパレル、フィットネス)'!E44+'予算入力シート（YouTube※アパレル、フィットネス)'!E19</f>
        <v>50000</v>
      </c>
      <c r="F45" s="36">
        <f>'予算入力シート（管理部予算）'!F44+'予算入力シート（YouTube※アパレル、フィットネス)'!F44+'予算入力シート（YouTube※アパレル、フィットネス)'!F19</f>
        <v>50000</v>
      </c>
      <c r="G45" s="36">
        <f>'予算入力シート（管理部予算）'!G44+'予算入力シート（YouTube※アパレル、フィットネス)'!G44+'予算入力シート（YouTube※アパレル、フィットネス)'!G19</f>
        <v>50000</v>
      </c>
      <c r="H45" s="36">
        <f>'予算入力シート（管理部予算）'!H44+'予算入力シート（YouTube※アパレル、フィットネス)'!H44+'予算入力シート（YouTube※アパレル、フィットネス)'!H19</f>
        <v>50000</v>
      </c>
      <c r="I45" s="36">
        <f>'予算入力シート（管理部予算）'!I44+'予算入力シート（YouTube※アパレル、フィットネス)'!I44+'予算入力シート（YouTube※アパレル、フィットネス)'!I19</f>
        <v>50000</v>
      </c>
      <c r="J45" s="36">
        <f>'予算入力シート（管理部予算）'!J44+'予算入力シート（YouTube※アパレル、フィットネス)'!J44+'予算入力シート（YouTube※アパレル、フィットネス)'!J19</f>
        <v>50000</v>
      </c>
      <c r="K45" s="36">
        <f>'予算入力シート（管理部予算）'!K44+'予算入力シート（YouTube※アパレル、フィットネス)'!K44+'予算入力シート（YouTube※アパレル、フィットネス)'!K19</f>
        <v>50000</v>
      </c>
      <c r="L45" s="36">
        <f>'予算入力シート（管理部予算）'!L44+'予算入力シート（YouTube※アパレル、フィットネス)'!L44+'予算入力シート（YouTube※アパレル、フィットネス)'!L19</f>
        <v>70800</v>
      </c>
      <c r="M45" s="36">
        <f>'予算入力シート（管理部予算）'!M44+'予算入力シート（YouTube※アパレル、フィットネス)'!M44+'予算入力シート（YouTube※アパレル、フィットネス)'!M19</f>
        <v>51000</v>
      </c>
      <c r="N45" s="36">
        <f>'予算入力シート（管理部予算）'!N44+'予算入力シート（YouTube※アパレル、フィットネス)'!N44+'予算入力シート（YouTube※アパレル、フィットネス)'!N19</f>
        <v>50000</v>
      </c>
      <c r="O45" s="36">
        <f>'予算入力シート（管理部予算）'!O44+'予算入力シート（YouTube※アパレル、フィットネス)'!O44+'予算入力シート（YouTube※アパレル、フィットネス)'!O19</f>
        <v>50000</v>
      </c>
      <c r="P45" s="38">
        <f t="shared" si="15"/>
        <v>621800</v>
      </c>
      <c r="Q45" s="38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/>
      <c r="B46" s="40">
        <f t="shared" si="16"/>
        <v>32</v>
      </c>
      <c r="C46" s="35" t="s">
        <v>44</v>
      </c>
      <c r="D46" s="36">
        <f>'予算入力シート（管理部予算）'!D45+'予算入力シート（YouTube※アパレル、フィットネス)'!D45</f>
        <v>43681</v>
      </c>
      <c r="E46" s="36">
        <f>'予算入力シート（管理部予算）'!E45+'予算入力シート（YouTube※アパレル、フィットネス)'!E45</f>
        <v>43681</v>
      </c>
      <c r="F46" s="36">
        <f>'予算入力シート（管理部予算）'!F45+'予算入力シート（YouTube※アパレル、フィットネス)'!F45</f>
        <v>43681</v>
      </c>
      <c r="G46" s="36">
        <f>'予算入力シート（管理部予算）'!G45+'予算入力シート（YouTube※アパレル、フィットネス)'!G45</f>
        <v>43681</v>
      </c>
      <c r="H46" s="36">
        <f>'予算入力シート（管理部予算）'!H45+'予算入力シート（YouTube※アパレル、フィットネス)'!H45</f>
        <v>43681</v>
      </c>
      <c r="I46" s="36">
        <f>'予算入力シート（管理部予算）'!I45+'予算入力シート（YouTube※アパレル、フィットネス)'!I45</f>
        <v>43681</v>
      </c>
      <c r="J46" s="36">
        <f>'予算入力シート（管理部予算）'!J45+'予算入力シート（YouTube※アパレル、フィットネス)'!J45</f>
        <v>43681</v>
      </c>
      <c r="K46" s="36">
        <f>'予算入力シート（管理部予算）'!K45+'予算入力シート（YouTube※アパレル、フィットネス)'!K45</f>
        <v>43681</v>
      </c>
      <c r="L46" s="36">
        <f>'予算入力シート（管理部予算）'!L45+'予算入力シート（YouTube※アパレル、フィットネス)'!L45</f>
        <v>43681</v>
      </c>
      <c r="M46" s="36">
        <f>'予算入力シート（管理部予算）'!M45+'予算入力シート（YouTube※アパレル、フィットネス)'!M45</f>
        <v>43681</v>
      </c>
      <c r="N46" s="36">
        <f>'予算入力シート（管理部予算）'!N45+'予算入力シート（YouTube※アパレル、フィットネス)'!N45</f>
        <v>43681</v>
      </c>
      <c r="O46" s="36">
        <f>'予算入力シート（管理部予算）'!O45+'予算入力シート（YouTube※アパレル、フィットネス)'!O45</f>
        <v>43681</v>
      </c>
      <c r="P46" s="38">
        <f t="shared" si="15"/>
        <v>524172</v>
      </c>
      <c r="Q46" s="38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/>
      <c r="B47" s="40">
        <f t="shared" si="16"/>
        <v>33</v>
      </c>
      <c r="C47" s="35" t="s">
        <v>20</v>
      </c>
      <c r="D47" s="36">
        <f>'予算入力シート（管理部予算）'!D46+'予算入力シート（YouTube※アパレル、フィットネス)'!D21</f>
        <v>30840</v>
      </c>
      <c r="E47" s="36">
        <f>'予算入力シート（管理部予算）'!E46+'予算入力シート（YouTube※アパレル、フィットネス)'!E21</f>
        <v>30840</v>
      </c>
      <c r="F47" s="36">
        <f>'予算入力シート（管理部予算）'!F46+'予算入力シート（YouTube※アパレル、フィットネス)'!F21</f>
        <v>30840</v>
      </c>
      <c r="G47" s="36">
        <f>'予算入力シート（管理部予算）'!G46+'予算入力シート（YouTube※アパレル、フィットネス)'!G21</f>
        <v>30840</v>
      </c>
      <c r="H47" s="36">
        <f>'予算入力シート（管理部予算）'!H46+'予算入力シート（YouTube※アパレル、フィットネス)'!H21</f>
        <v>30840</v>
      </c>
      <c r="I47" s="36">
        <f>'予算入力シート（管理部予算）'!I46+'予算入力シート（YouTube※アパレル、フィットネス)'!I21</f>
        <v>30840</v>
      </c>
      <c r="J47" s="36">
        <f>'予算入力シート（管理部予算）'!J46+'予算入力シート（YouTube※アパレル、フィットネス)'!J21</f>
        <v>30840</v>
      </c>
      <c r="K47" s="36">
        <f>'予算入力シート（管理部予算）'!K46+'予算入力シート（YouTube※アパレル、フィットネス)'!K21</f>
        <v>30840</v>
      </c>
      <c r="L47" s="36">
        <f>'予算入力シート（管理部予算）'!L46+'予算入力シート（YouTube※アパレル、フィットネス)'!L21</f>
        <v>30840</v>
      </c>
      <c r="M47" s="36">
        <f>'予算入力シート（管理部予算）'!M46+'予算入力シート（YouTube※アパレル、フィットネス)'!M21</f>
        <v>30840</v>
      </c>
      <c r="N47" s="36">
        <f>'予算入力シート（管理部予算）'!N46+'予算入力シート（YouTube※アパレル、フィットネス)'!N21</f>
        <v>30840</v>
      </c>
      <c r="O47" s="36">
        <f>'予算入力シート（管理部予算）'!O46+'予算入力シート（YouTube※アパレル、フィットネス)'!O21</f>
        <v>30840</v>
      </c>
      <c r="P47" s="38">
        <f t="shared" si="15"/>
        <v>370080</v>
      </c>
      <c r="Q47" s="38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/>
      <c r="B48" s="40">
        <f t="shared" si="16"/>
        <v>34</v>
      </c>
      <c r="C48" s="35" t="s">
        <v>45</v>
      </c>
      <c r="D48" s="36">
        <f>'予算入力シート（管理部予算）'!D47</f>
        <v>2700</v>
      </c>
      <c r="E48" s="36">
        <f>'予算入力シート（管理部予算）'!E47</f>
        <v>42400</v>
      </c>
      <c r="F48" s="36">
        <f>'予算入力シート（管理部予算）'!F47</f>
        <v>0</v>
      </c>
      <c r="G48" s="36">
        <f>'予算入力シート（管理部予算）'!G47</f>
        <v>0</v>
      </c>
      <c r="H48" s="36">
        <f>'予算入力シート（管理部予算）'!H47</f>
        <v>0</v>
      </c>
      <c r="I48" s="36">
        <f>'予算入力シート（管理部予算）'!I47</f>
        <v>16000</v>
      </c>
      <c r="J48" s="36">
        <f>'予算入力シート（管理部予算）'!J47</f>
        <v>5000</v>
      </c>
      <c r="K48" s="36">
        <f>'予算入力シート（管理部予算）'!K47</f>
        <v>0</v>
      </c>
      <c r="L48" s="36">
        <f>'予算入力シート（管理部予算）'!L47</f>
        <v>0</v>
      </c>
      <c r="M48" s="36">
        <f>'予算入力シート（管理部予算）'!M47</f>
        <v>0</v>
      </c>
      <c r="N48" s="36">
        <f>'予算入力シート（管理部予算）'!N47</f>
        <v>0</v>
      </c>
      <c r="O48" s="36">
        <f>'予算入力シート（管理部予算）'!O47</f>
        <v>0</v>
      </c>
      <c r="P48" s="38">
        <f t="shared" si="15"/>
        <v>66100</v>
      </c>
      <c r="Q48" s="38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/>
      <c r="B49" s="40">
        <f t="shared" si="16"/>
        <v>35</v>
      </c>
      <c r="C49" s="35" t="s">
        <v>46</v>
      </c>
      <c r="D49" s="36">
        <f>'予算入力シート（管理部予算）'!D48+'予算入力シート（YouTube※アパレル、フィットネス)'!D22</f>
        <v>134582</v>
      </c>
      <c r="E49" s="36">
        <f>'予算入力シート（管理部予算）'!E48+'予算入力シート（YouTube※アパレル、フィットネス)'!E22</f>
        <v>134582</v>
      </c>
      <c r="F49" s="36">
        <f>'予算入力シート（管理部予算）'!F48+'予算入力シート（YouTube※アパレル、フィットネス)'!F22</f>
        <v>134582</v>
      </c>
      <c r="G49" s="36">
        <f>'予算入力シート（管理部予算）'!G48+'予算入力シート（YouTube※アパレル、フィットネス)'!G22</f>
        <v>134582</v>
      </c>
      <c r="H49" s="36">
        <f>'予算入力シート（管理部予算）'!H48+'予算入力シート（YouTube※アパレル、フィットネス)'!H22</f>
        <v>134582</v>
      </c>
      <c r="I49" s="36">
        <f>'予算入力シート（管理部予算）'!I48+'予算入力シート（YouTube※アパレル、フィットネス)'!I22</f>
        <v>134582</v>
      </c>
      <c r="J49" s="36">
        <f>'予算入力シート（管理部予算）'!J48+'予算入力シート（YouTube※アパレル、フィットネス)'!J22</f>
        <v>134582</v>
      </c>
      <c r="K49" s="36">
        <f>'予算入力シート（管理部予算）'!K48+'予算入力シート（YouTube※アパレル、フィットネス)'!K22</f>
        <v>134582</v>
      </c>
      <c r="L49" s="36">
        <f>'予算入力シート（管理部予算）'!L48+'予算入力シート（YouTube※アパレル、フィットネス)'!L22</f>
        <v>134582</v>
      </c>
      <c r="M49" s="36">
        <f>'予算入力シート（管理部予算）'!M48+'予算入力シート（YouTube※アパレル、フィットネス)'!M22</f>
        <v>134582</v>
      </c>
      <c r="N49" s="36">
        <f>'予算入力シート（管理部予算）'!N48+'予算入力シート（YouTube※アパレル、フィットネス)'!N22</f>
        <v>134582</v>
      </c>
      <c r="O49" s="36">
        <f>'予算入力シート（管理部予算）'!O48+'予算入力シート（YouTube※アパレル、フィットネス)'!O22</f>
        <v>134582</v>
      </c>
      <c r="P49" s="38">
        <f t="shared" si="15"/>
        <v>1614984</v>
      </c>
      <c r="Q49" s="38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/>
      <c r="B50" s="40">
        <f t="shared" si="16"/>
        <v>36</v>
      </c>
      <c r="C50" s="35" t="s">
        <v>47</v>
      </c>
      <c r="D50" s="36">
        <f>'予算入力シート（管理部予算）'!D49</f>
        <v>0</v>
      </c>
      <c r="E50" s="36">
        <f>'予算入力シート（管理部予算）'!E49</f>
        <v>0</v>
      </c>
      <c r="F50" s="36">
        <f>'予算入力シート（管理部予算）'!F49</f>
        <v>0</v>
      </c>
      <c r="G50" s="36">
        <f>'予算入力シート（管理部予算）'!G49</f>
        <v>0</v>
      </c>
      <c r="H50" s="36">
        <f>'予算入力シート（管理部予算）'!H49</f>
        <v>28180</v>
      </c>
      <c r="I50" s="36">
        <f>'予算入力シート（管理部予算）'!I49</f>
        <v>0</v>
      </c>
      <c r="J50" s="36">
        <f>'予算入力シート（管理部予算）'!J49</f>
        <v>0</v>
      </c>
      <c r="K50" s="36">
        <f>'予算入力シート（管理部予算）'!K49</f>
        <v>0</v>
      </c>
      <c r="L50" s="36">
        <f>'予算入力シート（管理部予算）'!L49</f>
        <v>0</v>
      </c>
      <c r="M50" s="36">
        <f>'予算入力シート（管理部予算）'!M49</f>
        <v>0</v>
      </c>
      <c r="N50" s="36">
        <f>'予算入力シート（管理部予算）'!N49</f>
        <v>0</v>
      </c>
      <c r="O50" s="36">
        <f>'予算入力シート（管理部予算）'!O49</f>
        <v>0</v>
      </c>
      <c r="P50" s="38">
        <f t="shared" si="15"/>
        <v>28180</v>
      </c>
      <c r="Q50" s="38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/>
      <c r="B51" s="40">
        <f t="shared" si="16"/>
        <v>37</v>
      </c>
      <c r="C51" s="35" t="s">
        <v>19</v>
      </c>
      <c r="D51" s="36">
        <f>'予算入力シート（管理部予算）'!D50+'予算入力シート（YouTube※アパレル、フィットネス)'!D46+'予算入力シート（YouTube※アパレル、フィットネス)'!D25</f>
        <v>15083</v>
      </c>
      <c r="E51" s="36">
        <f>'予算入力シート（管理部予算）'!E50+'予算入力シート（YouTube※アパレル、フィットネス)'!E46+'予算入力シート（YouTube※アパレル、フィットネス)'!E25</f>
        <v>15083</v>
      </c>
      <c r="F51" s="36">
        <f>'予算入力シート（管理部予算）'!F50+'予算入力シート（YouTube※アパレル、フィットネス)'!F46+'予算入力シート（YouTube※アパレル、フィットネス)'!F25</f>
        <v>15083</v>
      </c>
      <c r="G51" s="36">
        <f>'予算入力シート（管理部予算）'!G50+'予算入力シート（YouTube※アパレル、フィットネス)'!G46+'予算入力シート（YouTube※アパレル、フィットネス)'!G25</f>
        <v>15083</v>
      </c>
      <c r="H51" s="36">
        <f>'予算入力シート（管理部予算）'!H50+'予算入力シート（YouTube※アパレル、フィットネス)'!H46+'予算入力シート（YouTube※アパレル、フィットネス)'!H25</f>
        <v>15083</v>
      </c>
      <c r="I51" s="36">
        <f>'予算入力シート（管理部予算）'!I50+'予算入力シート（YouTube※アパレル、フィットネス)'!I46+'予算入力シート（YouTube※アパレル、フィットネス)'!I25</f>
        <v>15083</v>
      </c>
      <c r="J51" s="36">
        <f>'予算入力シート（管理部予算）'!J50+'予算入力シート（YouTube※アパレル、フィットネス)'!J46+'予算入力シート（YouTube※アパレル、フィットネス)'!J25</f>
        <v>15083</v>
      </c>
      <c r="K51" s="36">
        <f>'予算入力シート（管理部予算）'!K50+'予算入力シート（YouTube※アパレル、フィットネス)'!K46+'予算入力シート（YouTube※アパレル、フィットネス)'!K25</f>
        <v>15083</v>
      </c>
      <c r="L51" s="36">
        <f>'予算入力シート（管理部予算）'!L50+'予算入力シート（YouTube※アパレル、フィットネス)'!L46+'予算入力シート（YouTube※アパレル、フィットネス)'!L25</f>
        <v>15083</v>
      </c>
      <c r="M51" s="36">
        <f>'予算入力シート（管理部予算）'!M50+'予算入力シート（YouTube※アパレル、フィットネス)'!M46+'予算入力シート（YouTube※アパレル、フィットネス)'!M25</f>
        <v>15083</v>
      </c>
      <c r="N51" s="36">
        <f>'予算入力シート（管理部予算）'!N50+'予算入力シート（YouTube※アパレル、フィットネス)'!N46+'予算入力シート（YouTube※アパレル、フィットネス)'!N25</f>
        <v>15083</v>
      </c>
      <c r="O51" s="36">
        <f>'予算入力シート（管理部予算）'!O50+'予算入力シート（YouTube※アパレル、フィットネス)'!O46+'予算入力シート（YouTube※アパレル、フィットネス)'!O25</f>
        <v>15083</v>
      </c>
      <c r="P51" s="38">
        <f t="shared" si="15"/>
        <v>180996</v>
      </c>
      <c r="Q51" s="38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/>
      <c r="B52" s="40">
        <f t="shared" si="16"/>
        <v>38</v>
      </c>
      <c r="C52" s="35" t="s">
        <v>48</v>
      </c>
      <c r="D52" s="36">
        <f>'予算入力シート（YouTube※アパレル、フィットネス)'!D20</f>
        <v>57700</v>
      </c>
      <c r="E52" s="36">
        <f>'予算入力シート（YouTube※アパレル、フィットネス)'!E20</f>
        <v>57700</v>
      </c>
      <c r="F52" s="36">
        <f>'予算入力シート（YouTube※アパレル、フィットネス)'!F20</f>
        <v>57700</v>
      </c>
      <c r="G52" s="36">
        <f>'予算入力シート（YouTube※アパレル、フィットネス)'!G20</f>
        <v>57700</v>
      </c>
      <c r="H52" s="36">
        <f>'予算入力シート（YouTube※アパレル、フィットネス)'!H20</f>
        <v>57700</v>
      </c>
      <c r="I52" s="36">
        <f>'予算入力シート（YouTube※アパレル、フィットネス)'!I20</f>
        <v>57700</v>
      </c>
      <c r="J52" s="36">
        <f>'予算入力シート（YouTube※アパレル、フィットネス)'!J20</f>
        <v>57700</v>
      </c>
      <c r="K52" s="36">
        <f>'予算入力シート（YouTube※アパレル、フィットネス)'!K20</f>
        <v>57700</v>
      </c>
      <c r="L52" s="36">
        <f>'予算入力シート（YouTube※アパレル、フィットネス)'!L20</f>
        <v>57700</v>
      </c>
      <c r="M52" s="36">
        <f>'予算入力シート（YouTube※アパレル、フィットネス)'!M20</f>
        <v>0</v>
      </c>
      <c r="N52" s="36">
        <f>'予算入力シート（YouTube※アパレル、フィットネス)'!N20</f>
        <v>0</v>
      </c>
      <c r="O52" s="36">
        <f>'予算入力シート（YouTube※アパレル、フィットネス)'!O20</f>
        <v>0</v>
      </c>
      <c r="P52" s="38">
        <f t="shared" si="15"/>
        <v>519300</v>
      </c>
      <c r="Q52" s="38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/>
      <c r="B53" s="40">
        <f t="shared" si="16"/>
        <v>39</v>
      </c>
      <c r="C53" s="35" t="s">
        <v>49</v>
      </c>
      <c r="D53" s="36">
        <f>'予算入力シート（YouTube※アパレル、フィットネス)'!D23</f>
        <v>4250.9</v>
      </c>
      <c r="E53" s="36">
        <f>'予算入力シート（YouTube※アパレル、フィットネス)'!E23</f>
        <v>4250.9</v>
      </c>
      <c r="F53" s="36">
        <f>'予算入力シート（YouTube※アパレル、フィットネス)'!F23</f>
        <v>4250.9</v>
      </c>
      <c r="G53" s="36">
        <f>'予算入力シート（YouTube※アパレル、フィットネス)'!G23</f>
        <v>4250.9</v>
      </c>
      <c r="H53" s="36">
        <f>'予算入力シート（YouTube※アパレル、フィットネス)'!H23</f>
        <v>4250.9</v>
      </c>
      <c r="I53" s="36">
        <f>'予算入力シート（YouTube※アパレル、フィットネス)'!I23</f>
        <v>4250.9</v>
      </c>
      <c r="J53" s="36">
        <f>'予算入力シート（YouTube※アパレル、フィットネス)'!J23</f>
        <v>4250.9</v>
      </c>
      <c r="K53" s="36">
        <f>'予算入力シート（YouTube※アパレル、フィットネス)'!K23</f>
        <v>4250.9</v>
      </c>
      <c r="L53" s="36">
        <f>'予算入力シート（YouTube※アパレル、フィットネス)'!L23</f>
        <v>4250.9</v>
      </c>
      <c r="M53" s="36">
        <f>'予算入力シート（YouTube※アパレル、フィットネス)'!M23</f>
        <v>4250.9</v>
      </c>
      <c r="N53" s="36">
        <f>'予算入力シート（YouTube※アパレル、フィットネス)'!N23</f>
        <v>4250.9</v>
      </c>
      <c r="O53" s="36">
        <f>'予算入力シート（YouTube※アパレル、フィットネス)'!O23</f>
        <v>4250.9</v>
      </c>
      <c r="P53" s="38">
        <f t="shared" si="15"/>
        <v>51010.8</v>
      </c>
      <c r="Q53" s="38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/>
      <c r="B54" s="40">
        <f t="shared" si="16"/>
        <v>40</v>
      </c>
      <c r="C54" s="35" t="s">
        <v>22</v>
      </c>
      <c r="D54" s="36">
        <f>'予算入力シート（YouTube※アパレル、フィットネス)'!D24</f>
        <v>20000</v>
      </c>
      <c r="E54" s="36">
        <f>'予算入力シート（YouTube※アパレル、フィットネス)'!E24</f>
        <v>20000</v>
      </c>
      <c r="F54" s="36">
        <f>'予算入力シート（YouTube※アパレル、フィットネス)'!F24</f>
        <v>20000</v>
      </c>
      <c r="G54" s="36">
        <f>'予算入力シート（YouTube※アパレル、フィットネス)'!G24</f>
        <v>20000</v>
      </c>
      <c r="H54" s="36">
        <f>'予算入力シート（YouTube※アパレル、フィットネス)'!H24</f>
        <v>20000</v>
      </c>
      <c r="I54" s="36">
        <f>'予算入力シート（YouTube※アパレル、フィットネス)'!I24</f>
        <v>20000</v>
      </c>
      <c r="J54" s="36">
        <f>'予算入力シート（YouTube※アパレル、フィットネス)'!J24</f>
        <v>20000</v>
      </c>
      <c r="K54" s="36">
        <f>'予算入力シート（YouTube※アパレル、フィットネス)'!K24</f>
        <v>20000</v>
      </c>
      <c r="L54" s="36">
        <f>'予算入力シート（YouTube※アパレル、フィットネス)'!L24</f>
        <v>20000</v>
      </c>
      <c r="M54" s="36">
        <f>'予算入力シート（YouTube※アパレル、フィットネス)'!M24</f>
        <v>20000</v>
      </c>
      <c r="N54" s="36">
        <f>'予算入力シート（YouTube※アパレル、フィットネス)'!N24</f>
        <v>20000</v>
      </c>
      <c r="O54" s="36">
        <f>'予算入力シート（YouTube※アパレル、フィットネス)'!O24</f>
        <v>20000</v>
      </c>
      <c r="P54" s="38">
        <f t="shared" si="15"/>
        <v>240000</v>
      </c>
      <c r="Q54" s="38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">
        <v>50</v>
      </c>
      <c r="B55" s="42"/>
      <c r="C55" s="43" t="s">
        <v>51</v>
      </c>
      <c r="D55" s="44">
        <f t="shared" ref="D55:O55" si="17">SUM(D41:D54)</f>
        <v>6077955.9</v>
      </c>
      <c r="E55" s="44">
        <f t="shared" si="17"/>
        <v>6067655.9</v>
      </c>
      <c r="F55" s="44">
        <f t="shared" si="17"/>
        <v>6025255.9</v>
      </c>
      <c r="G55" s="44">
        <f t="shared" si="17"/>
        <v>6025255.9</v>
      </c>
      <c r="H55" s="44">
        <f t="shared" si="17"/>
        <v>6153435.9</v>
      </c>
      <c r="I55" s="44">
        <f t="shared" si="17"/>
        <v>5791255.9</v>
      </c>
      <c r="J55" s="44">
        <f t="shared" si="17"/>
        <v>5780255.9</v>
      </c>
      <c r="K55" s="44">
        <f t="shared" si="17"/>
        <v>5775255.9</v>
      </c>
      <c r="L55" s="44">
        <f t="shared" si="17"/>
        <v>5796055.9</v>
      </c>
      <c r="M55" s="44">
        <f t="shared" si="17"/>
        <v>5778555.9</v>
      </c>
      <c r="N55" s="44">
        <f t="shared" si="17"/>
        <v>5717555.9</v>
      </c>
      <c r="O55" s="44">
        <f t="shared" si="17"/>
        <v>5717555.9</v>
      </c>
      <c r="P55" s="45">
        <f t="shared" si="15"/>
        <v>70706050.8</v>
      </c>
      <c r="Q55" s="45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0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">
        <v>52</v>
      </c>
      <c r="B57" s="46"/>
      <c r="C57" s="47" t="s">
        <v>53</v>
      </c>
      <c r="D57" s="48">
        <f t="shared" ref="D57:O57" si="18">D24+D38-D55</f>
        <v>-3083955.9</v>
      </c>
      <c r="E57" s="48">
        <f t="shared" si="18"/>
        <v>-3373655.9</v>
      </c>
      <c r="F57" s="48">
        <f t="shared" si="18"/>
        <v>-2853055.9</v>
      </c>
      <c r="G57" s="48">
        <f t="shared" si="18"/>
        <v>-1188455.9</v>
      </c>
      <c r="H57" s="48">
        <f t="shared" si="18"/>
        <v>-2008435.9</v>
      </c>
      <c r="I57" s="48">
        <f t="shared" si="18"/>
        <v>17118544.1</v>
      </c>
      <c r="J57" s="48">
        <f t="shared" si="18"/>
        <v>8875484.1</v>
      </c>
      <c r="K57" s="48">
        <f t="shared" si="18"/>
        <v>-3683255.9</v>
      </c>
      <c r="L57" s="48">
        <f t="shared" si="18"/>
        <v>-3306055.9</v>
      </c>
      <c r="M57" s="48">
        <f t="shared" si="18"/>
        <v>-3548555.9</v>
      </c>
      <c r="N57" s="48">
        <f t="shared" si="18"/>
        <v>-3223555.9</v>
      </c>
      <c r="O57" s="48">
        <f t="shared" si="18"/>
        <v>-2179555.9</v>
      </c>
      <c r="P57" s="49">
        <f>SUM(D57:O57)</f>
        <v>-2454510.8</v>
      </c>
      <c r="Q57" s="49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3"/>
      <c r="Q987" s="3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3"/>
      <c r="Q988" s="3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3"/>
      <c r="Q989" s="3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3"/>
      <c r="Q990" s="3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3"/>
      <c r="Q991" s="3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3"/>
      <c r="Q992" s="3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3"/>
      <c r="Q993" s="3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3"/>
      <c r="Q994" s="3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3"/>
      <c r="Q995" s="3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3"/>
      <c r="Q996" s="3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3"/>
      <c r="Q997" s="3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3"/>
      <c r="Q998" s="3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3"/>
      <c r="Q999" s="3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6">
    <mergeCell ref="B3:C3"/>
    <mergeCell ref="B4:C4"/>
    <mergeCell ref="B25:P25"/>
    <mergeCell ref="B26:C26"/>
    <mergeCell ref="B39:P39"/>
    <mergeCell ref="B40:C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5.5"/>
    <col customWidth="1" min="2" max="2" width="3.38"/>
    <col customWidth="1" min="3" max="3" width="28.25"/>
    <col customWidth="1" min="4" max="15" width="10.88"/>
    <col customWidth="1" min="16" max="16" width="13.75"/>
    <col customWidth="1" min="17" max="17" width="32.75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 outlineLevel="1">
      <c r="A2" s="1"/>
      <c r="B2" s="4"/>
      <c r="C2" s="4"/>
      <c r="D2" s="4" t="str">
        <f t="shared" ref="D2:O2" si="1">YEAR(#REF!)&amp;MONTH(#REF!)</f>
        <v>#REF!</v>
      </c>
      <c r="E2" s="4" t="str">
        <f t="shared" si="1"/>
        <v>#REF!</v>
      </c>
      <c r="F2" s="4" t="str">
        <f t="shared" si="1"/>
        <v>#REF!</v>
      </c>
      <c r="G2" s="4" t="str">
        <f t="shared" si="1"/>
        <v>#REF!</v>
      </c>
      <c r="H2" s="4" t="str">
        <f t="shared" si="1"/>
        <v>#REF!</v>
      </c>
      <c r="I2" s="4" t="str">
        <f t="shared" si="1"/>
        <v>#REF!</v>
      </c>
      <c r="J2" s="4" t="str">
        <f t="shared" si="1"/>
        <v>#REF!</v>
      </c>
      <c r="K2" s="4" t="str">
        <f t="shared" si="1"/>
        <v>#REF!</v>
      </c>
      <c r="L2" s="4" t="str">
        <f t="shared" si="1"/>
        <v>#REF!</v>
      </c>
      <c r="M2" s="4" t="str">
        <f t="shared" si="1"/>
        <v>#REF!</v>
      </c>
      <c r="N2" s="4" t="str">
        <f t="shared" si="1"/>
        <v>#REF!</v>
      </c>
      <c r="O2" s="4" t="str">
        <f t="shared" si="1"/>
        <v>#REF!</v>
      </c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</row>
    <row r="3" ht="8.25" customHeight="1">
      <c r="A3" s="5"/>
      <c r="B3" s="32"/>
      <c r="P3" s="33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5"/>
      <c r="B4" s="50" t="s">
        <v>54</v>
      </c>
      <c r="C4" s="51"/>
      <c r="D4" s="52">
        <v>46112.0</v>
      </c>
      <c r="E4" s="53">
        <f t="shared" ref="E4:O4" si="2">EOMONTH(D4,1)</f>
        <v>46142</v>
      </c>
      <c r="F4" s="53">
        <f t="shared" si="2"/>
        <v>46173</v>
      </c>
      <c r="G4" s="53">
        <f t="shared" si="2"/>
        <v>46203</v>
      </c>
      <c r="H4" s="53">
        <f t="shared" si="2"/>
        <v>46234</v>
      </c>
      <c r="I4" s="53">
        <f t="shared" si="2"/>
        <v>46265</v>
      </c>
      <c r="J4" s="53">
        <f t="shared" si="2"/>
        <v>46295</v>
      </c>
      <c r="K4" s="53">
        <f t="shared" si="2"/>
        <v>46326</v>
      </c>
      <c r="L4" s="53">
        <f t="shared" si="2"/>
        <v>46356</v>
      </c>
      <c r="M4" s="53">
        <f t="shared" si="2"/>
        <v>46387</v>
      </c>
      <c r="N4" s="53">
        <f t="shared" si="2"/>
        <v>46418</v>
      </c>
      <c r="O4" s="54">
        <f t="shared" si="2"/>
        <v>46446</v>
      </c>
      <c r="P4" s="34"/>
      <c r="Q4" s="34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14">
        <v>1.0</v>
      </c>
      <c r="C5" s="35" t="s">
        <v>55</v>
      </c>
      <c r="D5" s="36">
        <v>1400000.0</v>
      </c>
      <c r="E5" s="36">
        <v>1400000.0</v>
      </c>
      <c r="F5" s="36">
        <v>1800000.0</v>
      </c>
      <c r="G5" s="36">
        <v>2300000.0</v>
      </c>
      <c r="H5" s="36">
        <v>2300000.0</v>
      </c>
      <c r="I5" s="36">
        <v>2300000.0</v>
      </c>
      <c r="J5" s="36">
        <v>1800000.0</v>
      </c>
      <c r="K5" s="36">
        <v>1400000.0</v>
      </c>
      <c r="L5" s="36">
        <v>2300000.0</v>
      </c>
      <c r="M5" s="36">
        <v>1800000.0</v>
      </c>
      <c r="N5" s="36">
        <v>1400000.0</v>
      </c>
      <c r="O5" s="36">
        <v>1400000.0</v>
      </c>
      <c r="P5" s="38">
        <f t="shared" ref="P5:P13" si="3">SUM(D5:O5)</f>
        <v>21600000</v>
      </c>
      <c r="Q5" s="55" t="s">
        <v>56</v>
      </c>
      <c r="R5" s="4"/>
      <c r="S5" s="56"/>
      <c r="T5" s="4"/>
      <c r="U5" s="4"/>
      <c r="V5" s="4"/>
      <c r="W5" s="4"/>
      <c r="X5" s="4"/>
      <c r="Y5" s="4"/>
      <c r="Z5" s="4"/>
      <c r="AA5" s="4"/>
    </row>
    <row r="6">
      <c r="A6" s="5"/>
      <c r="B6" s="14">
        <f t="shared" ref="B6:B7" si="4">B5+1</f>
        <v>2</v>
      </c>
      <c r="C6" s="15" t="s">
        <v>57</v>
      </c>
      <c r="D6" s="16">
        <v>500000.0</v>
      </c>
      <c r="E6" s="16">
        <v>550000.0</v>
      </c>
      <c r="F6" s="16">
        <v>580000.0</v>
      </c>
      <c r="G6" s="16">
        <v>1600000.0</v>
      </c>
      <c r="H6" s="16">
        <v>860000.0</v>
      </c>
      <c r="I6" s="16">
        <v>530000.0</v>
      </c>
      <c r="J6" s="16">
        <v>500000.0</v>
      </c>
      <c r="K6" s="16">
        <v>430000.0</v>
      </c>
      <c r="L6" s="16">
        <v>410000.0</v>
      </c>
      <c r="M6" s="16">
        <v>650000.0</v>
      </c>
      <c r="N6" s="16">
        <v>350000.0</v>
      </c>
      <c r="O6" s="16">
        <v>430000.0</v>
      </c>
      <c r="P6" s="18">
        <f t="shared" si="3"/>
        <v>7390000</v>
      </c>
      <c r="Q6" s="18"/>
      <c r="R6" s="4"/>
      <c r="S6" s="56"/>
      <c r="T6" s="4"/>
      <c r="U6" s="4"/>
      <c r="V6" s="4"/>
      <c r="W6" s="4"/>
      <c r="X6" s="4"/>
      <c r="Y6" s="4"/>
      <c r="Z6" s="4"/>
      <c r="AA6" s="4"/>
    </row>
    <row r="7">
      <c r="A7" s="5"/>
      <c r="B7" s="14">
        <f t="shared" si="4"/>
        <v>3</v>
      </c>
      <c r="C7" s="15" t="s">
        <v>58</v>
      </c>
      <c r="D7" s="16">
        <v>100000.0</v>
      </c>
      <c r="E7" s="16">
        <v>100000.0</v>
      </c>
      <c r="F7" s="16">
        <v>100000.0</v>
      </c>
      <c r="G7" s="16">
        <v>100000.0</v>
      </c>
      <c r="H7" s="16">
        <v>100000.0</v>
      </c>
      <c r="I7" s="16">
        <v>100000.0</v>
      </c>
      <c r="J7" s="16">
        <v>100000.0</v>
      </c>
      <c r="K7" s="16">
        <v>100000.0</v>
      </c>
      <c r="L7" s="16">
        <v>100000.0</v>
      </c>
      <c r="M7" s="16">
        <v>100000.0</v>
      </c>
      <c r="N7" s="16">
        <v>100000.0</v>
      </c>
      <c r="O7" s="16">
        <v>100000.0</v>
      </c>
      <c r="P7" s="18">
        <f t="shared" si="3"/>
        <v>1200000</v>
      </c>
      <c r="Q7" s="18"/>
      <c r="R7" s="4"/>
      <c r="S7" s="56"/>
      <c r="T7" s="4"/>
      <c r="U7" s="4"/>
      <c r="V7" s="4"/>
      <c r="W7" s="4"/>
      <c r="X7" s="4"/>
      <c r="Y7" s="4"/>
      <c r="Z7" s="4"/>
      <c r="AA7" s="4"/>
    </row>
    <row r="8">
      <c r="A8" s="5" t="s">
        <v>25</v>
      </c>
      <c r="B8" s="19"/>
      <c r="C8" s="20" t="s">
        <v>15</v>
      </c>
      <c r="D8" s="21">
        <f t="shared" ref="D8:O8" si="5">SUM(D5:D7)</f>
        <v>2000000</v>
      </c>
      <c r="E8" s="21">
        <f t="shared" si="5"/>
        <v>2050000</v>
      </c>
      <c r="F8" s="21">
        <f t="shared" si="5"/>
        <v>2480000</v>
      </c>
      <c r="G8" s="21">
        <f t="shared" si="5"/>
        <v>4000000</v>
      </c>
      <c r="H8" s="21">
        <f t="shared" si="5"/>
        <v>3260000</v>
      </c>
      <c r="I8" s="21">
        <f t="shared" si="5"/>
        <v>2930000</v>
      </c>
      <c r="J8" s="21">
        <f t="shared" si="5"/>
        <v>2400000</v>
      </c>
      <c r="K8" s="21">
        <f t="shared" si="5"/>
        <v>1930000</v>
      </c>
      <c r="L8" s="21">
        <f t="shared" si="5"/>
        <v>2810000</v>
      </c>
      <c r="M8" s="21">
        <f t="shared" si="5"/>
        <v>2550000</v>
      </c>
      <c r="N8" s="21">
        <f t="shared" si="5"/>
        <v>1850000</v>
      </c>
      <c r="O8" s="21">
        <f t="shared" si="5"/>
        <v>1930000</v>
      </c>
      <c r="P8" s="22">
        <f t="shared" si="3"/>
        <v>30190000</v>
      </c>
      <c r="Q8" s="22"/>
      <c r="R8" s="4"/>
      <c r="S8" s="56"/>
      <c r="T8" s="4"/>
      <c r="U8" s="4"/>
      <c r="V8" s="4"/>
      <c r="W8" s="4"/>
      <c r="X8" s="4"/>
      <c r="Y8" s="4"/>
      <c r="Z8" s="4"/>
      <c r="AA8" s="4"/>
    </row>
    <row r="9">
      <c r="A9" s="5"/>
      <c r="B9" s="40">
        <f>B6+1</f>
        <v>3</v>
      </c>
      <c r="C9" s="35" t="s">
        <v>32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  <c r="I9" s="36">
        <v>0.0</v>
      </c>
      <c r="J9" s="36">
        <v>0.0</v>
      </c>
      <c r="K9" s="36">
        <v>0.0</v>
      </c>
      <c r="L9" s="36">
        <v>0.0</v>
      </c>
      <c r="M9" s="36">
        <v>0.0</v>
      </c>
      <c r="N9" s="36">
        <v>0.0</v>
      </c>
      <c r="O9" s="36">
        <v>0.0</v>
      </c>
      <c r="P9" s="38">
        <f t="shared" si="3"/>
        <v>0</v>
      </c>
      <c r="Q9" s="39" t="s">
        <v>59</v>
      </c>
      <c r="R9" s="4"/>
      <c r="S9" s="56"/>
      <c r="T9" s="4"/>
      <c r="U9" s="4"/>
      <c r="V9" s="4"/>
      <c r="W9" s="4"/>
      <c r="X9" s="4"/>
      <c r="Y9" s="4"/>
      <c r="Z9" s="4"/>
      <c r="AA9" s="4"/>
    </row>
    <row r="10">
      <c r="A10" s="5"/>
      <c r="B10" s="40">
        <f t="shared" ref="B10:B11" si="6">B9+1</f>
        <v>4</v>
      </c>
      <c r="C10" s="35" t="s">
        <v>33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0.0</v>
      </c>
      <c r="J10" s="36">
        <v>0.0</v>
      </c>
      <c r="K10" s="36">
        <v>0.0</v>
      </c>
      <c r="L10" s="36">
        <v>0.0</v>
      </c>
      <c r="M10" s="36">
        <v>0.0</v>
      </c>
      <c r="N10" s="36">
        <v>0.0</v>
      </c>
      <c r="O10" s="36">
        <v>0.0</v>
      </c>
      <c r="P10" s="38">
        <f t="shared" si="3"/>
        <v>0</v>
      </c>
      <c r="Q10" s="39" t="s">
        <v>59</v>
      </c>
      <c r="R10" s="4"/>
      <c r="S10" s="56"/>
      <c r="T10" s="4"/>
      <c r="U10" s="4"/>
      <c r="V10" s="4"/>
      <c r="W10" s="4"/>
      <c r="X10" s="4"/>
      <c r="Y10" s="4"/>
      <c r="Z10" s="4"/>
      <c r="AA10" s="4"/>
    </row>
    <row r="11">
      <c r="A11" s="5" t="s">
        <v>36</v>
      </c>
      <c r="B11" s="40">
        <f t="shared" si="6"/>
        <v>5</v>
      </c>
      <c r="C11" s="15" t="s">
        <v>34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0.0</v>
      </c>
      <c r="J11" s="36">
        <v>0.0</v>
      </c>
      <c r="K11" s="36">
        <v>0.0</v>
      </c>
      <c r="L11" s="36">
        <v>0.0</v>
      </c>
      <c r="M11" s="36">
        <v>0.0</v>
      </c>
      <c r="N11" s="36">
        <v>0.0</v>
      </c>
      <c r="O11" s="36">
        <v>0.0</v>
      </c>
      <c r="P11" s="18">
        <f t="shared" si="3"/>
        <v>0</v>
      </c>
      <c r="Q11" s="41" t="s">
        <v>60</v>
      </c>
      <c r="R11" s="4"/>
      <c r="S11" s="56"/>
      <c r="T11" s="4"/>
      <c r="U11" s="4"/>
      <c r="V11" s="4"/>
      <c r="W11" s="4"/>
      <c r="X11" s="4"/>
      <c r="Y11" s="4"/>
      <c r="Z11" s="4"/>
      <c r="AA11" s="4"/>
    </row>
    <row r="12">
      <c r="A12" s="5"/>
      <c r="B12" s="24"/>
      <c r="C12" s="25" t="s">
        <v>24</v>
      </c>
      <c r="D12" s="26">
        <f t="shared" ref="D12:O12" si="7">SUM(D9:D11)</f>
        <v>0</v>
      </c>
      <c r="E12" s="26">
        <f t="shared" si="7"/>
        <v>0</v>
      </c>
      <c r="F12" s="26">
        <f t="shared" si="7"/>
        <v>0</v>
      </c>
      <c r="G12" s="26">
        <f t="shared" si="7"/>
        <v>0</v>
      </c>
      <c r="H12" s="26">
        <f t="shared" si="7"/>
        <v>0</v>
      </c>
      <c r="I12" s="26">
        <f t="shared" si="7"/>
        <v>0</v>
      </c>
      <c r="J12" s="26">
        <f t="shared" si="7"/>
        <v>0</v>
      </c>
      <c r="K12" s="26">
        <f t="shared" si="7"/>
        <v>0</v>
      </c>
      <c r="L12" s="26">
        <f t="shared" si="7"/>
        <v>0</v>
      </c>
      <c r="M12" s="26">
        <f t="shared" si="7"/>
        <v>0</v>
      </c>
      <c r="N12" s="26">
        <f t="shared" si="7"/>
        <v>0</v>
      </c>
      <c r="O12" s="26">
        <f t="shared" si="7"/>
        <v>0</v>
      </c>
      <c r="P12" s="27">
        <f t="shared" si="3"/>
        <v>0</v>
      </c>
      <c r="Q12" s="27"/>
      <c r="R12" s="4"/>
      <c r="S12" s="56"/>
      <c r="T12" s="4"/>
      <c r="U12" s="4"/>
      <c r="V12" s="4"/>
      <c r="W12" s="4"/>
      <c r="X12" s="4"/>
      <c r="Y12" s="4"/>
      <c r="Z12" s="4"/>
      <c r="AA12" s="4"/>
    </row>
    <row r="13">
      <c r="A13" s="5" t="s">
        <v>38</v>
      </c>
      <c r="B13" s="28"/>
      <c r="C13" s="29" t="s">
        <v>61</v>
      </c>
      <c r="D13" s="30">
        <f t="shared" ref="D13:O13" si="8">D8-D12</f>
        <v>2000000</v>
      </c>
      <c r="E13" s="30">
        <f t="shared" si="8"/>
        <v>2050000</v>
      </c>
      <c r="F13" s="30">
        <f t="shared" si="8"/>
        <v>2480000</v>
      </c>
      <c r="G13" s="30">
        <f t="shared" si="8"/>
        <v>4000000</v>
      </c>
      <c r="H13" s="30">
        <f t="shared" si="8"/>
        <v>3260000</v>
      </c>
      <c r="I13" s="30">
        <f t="shared" si="8"/>
        <v>2930000</v>
      </c>
      <c r="J13" s="30">
        <f t="shared" si="8"/>
        <v>2400000</v>
      </c>
      <c r="K13" s="30">
        <f t="shared" si="8"/>
        <v>1930000</v>
      </c>
      <c r="L13" s="30">
        <f t="shared" si="8"/>
        <v>2810000</v>
      </c>
      <c r="M13" s="30">
        <f t="shared" si="8"/>
        <v>2550000</v>
      </c>
      <c r="N13" s="30">
        <f t="shared" si="8"/>
        <v>1850000</v>
      </c>
      <c r="O13" s="30">
        <f t="shared" si="8"/>
        <v>1930000</v>
      </c>
      <c r="P13" s="31">
        <f t="shared" si="3"/>
        <v>30190000</v>
      </c>
      <c r="Q13" s="31"/>
      <c r="R13" s="4"/>
      <c r="S13" s="56"/>
      <c r="T13" s="4"/>
      <c r="U13" s="4"/>
      <c r="V13" s="4"/>
      <c r="W13" s="4"/>
      <c r="X13" s="4"/>
      <c r="Y13" s="4"/>
      <c r="Z13" s="4"/>
      <c r="AA13" s="4"/>
    </row>
    <row r="14" ht="8.25" customHeight="1">
      <c r="A14" s="5"/>
      <c r="B14" s="32"/>
      <c r="P14" s="33"/>
      <c r="R14" s="3"/>
      <c r="S14" s="2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5"/>
      <c r="B15" s="10" t="s">
        <v>62</v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34"/>
      <c r="Q15" s="34"/>
      <c r="R15" s="3"/>
      <c r="S15" s="2"/>
      <c r="T15" s="3"/>
      <c r="U15" s="3"/>
      <c r="V15" s="3"/>
      <c r="W15" s="3"/>
      <c r="X15" s="3"/>
      <c r="Y15" s="3"/>
      <c r="Z15" s="3"/>
      <c r="AA15" s="3"/>
    </row>
    <row r="16">
      <c r="A16" s="5"/>
      <c r="B16" s="14">
        <f>B11+1</f>
        <v>6</v>
      </c>
      <c r="C16" s="57" t="s">
        <v>42</v>
      </c>
      <c r="D16" s="16">
        <v>300000.0</v>
      </c>
      <c r="E16" s="16">
        <v>300000.0</v>
      </c>
      <c r="F16" s="16">
        <v>300000.0</v>
      </c>
      <c r="G16" s="16">
        <v>300000.0</v>
      </c>
      <c r="H16" s="16">
        <v>400000.0</v>
      </c>
      <c r="I16" s="16">
        <v>300000.0</v>
      </c>
      <c r="J16" s="16">
        <v>300000.0</v>
      </c>
      <c r="K16" s="16">
        <v>300000.0</v>
      </c>
      <c r="L16" s="16">
        <v>300000.0</v>
      </c>
      <c r="M16" s="16">
        <v>360000.0</v>
      </c>
      <c r="N16" s="16">
        <v>300000.0</v>
      </c>
      <c r="O16" s="16">
        <v>300000.0</v>
      </c>
      <c r="P16" s="18">
        <f t="shared" ref="P16:P26" si="9">SUM(D16:O16)</f>
        <v>3760000</v>
      </c>
      <c r="Q16" s="58" t="s">
        <v>63</v>
      </c>
      <c r="R16" s="4"/>
      <c r="S16" s="56"/>
      <c r="T16" s="4"/>
      <c r="U16" s="4"/>
      <c r="V16" s="4"/>
      <c r="W16" s="4"/>
      <c r="X16" s="4"/>
      <c r="Y16" s="4"/>
      <c r="Z16" s="4"/>
      <c r="AA16" s="4"/>
    </row>
    <row r="17">
      <c r="A17" s="5"/>
      <c r="B17" s="14">
        <f t="shared" ref="B17:B25" si="10">B16+1</f>
        <v>7</v>
      </c>
      <c r="C17" s="57" t="s">
        <v>23</v>
      </c>
      <c r="D17" s="16">
        <v>2073.0</v>
      </c>
      <c r="E17" s="16">
        <v>2073.0</v>
      </c>
      <c r="F17" s="16">
        <v>2073.0</v>
      </c>
      <c r="G17" s="16">
        <v>2073.0</v>
      </c>
      <c r="H17" s="16">
        <v>2073.0</v>
      </c>
      <c r="I17" s="16">
        <v>2073.0</v>
      </c>
      <c r="J17" s="16">
        <v>2073.0</v>
      </c>
      <c r="K17" s="16">
        <v>2073.0</v>
      </c>
      <c r="L17" s="16">
        <v>2073.0</v>
      </c>
      <c r="M17" s="16">
        <v>2073.0</v>
      </c>
      <c r="N17" s="16">
        <v>2073.0</v>
      </c>
      <c r="O17" s="16">
        <v>2073.0</v>
      </c>
      <c r="P17" s="18">
        <f t="shared" si="9"/>
        <v>24876</v>
      </c>
      <c r="Q17" s="41" t="s">
        <v>64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/>
      <c r="B18" s="14">
        <f t="shared" si="10"/>
        <v>8</v>
      </c>
      <c r="C18" s="57" t="s">
        <v>43</v>
      </c>
      <c r="D18" s="59">
        <v>101391.0</v>
      </c>
      <c r="E18" s="59">
        <v>101391.0</v>
      </c>
      <c r="F18" s="59">
        <v>101391.0</v>
      </c>
      <c r="G18" s="59">
        <v>101391.0</v>
      </c>
      <c r="H18" s="59">
        <v>101391.0</v>
      </c>
      <c r="I18" s="59">
        <v>101391.0</v>
      </c>
      <c r="J18" s="59">
        <v>101391.0</v>
      </c>
      <c r="K18" s="59">
        <v>101391.0</v>
      </c>
      <c r="L18" s="59">
        <v>101391.0</v>
      </c>
      <c r="M18" s="59">
        <v>101391.0</v>
      </c>
      <c r="N18" s="59">
        <v>101391.0</v>
      </c>
      <c r="O18" s="59">
        <v>101391.0</v>
      </c>
      <c r="P18" s="18">
        <f t="shared" si="9"/>
        <v>1216692</v>
      </c>
      <c r="Q18" s="41" t="s">
        <v>65</v>
      </c>
      <c r="R18" s="56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/>
      <c r="B19" s="14">
        <f t="shared" si="10"/>
        <v>9</v>
      </c>
      <c r="C19" s="57" t="s">
        <v>16</v>
      </c>
      <c r="D19" s="16">
        <v>0.0</v>
      </c>
      <c r="E19" s="16">
        <v>0.0</v>
      </c>
      <c r="F19" s="16">
        <v>0.0</v>
      </c>
      <c r="G19" s="16">
        <v>0.0</v>
      </c>
      <c r="H19" s="16">
        <v>0.0</v>
      </c>
      <c r="I19" s="16">
        <v>0.0</v>
      </c>
      <c r="J19" s="16">
        <v>0.0</v>
      </c>
      <c r="K19" s="16">
        <v>0.0</v>
      </c>
      <c r="L19" s="16">
        <v>0.0</v>
      </c>
      <c r="M19" s="16">
        <v>1000.0</v>
      </c>
      <c r="N19" s="16">
        <v>0.0</v>
      </c>
      <c r="O19" s="16">
        <v>0.0</v>
      </c>
      <c r="P19" s="18">
        <f t="shared" si="9"/>
        <v>1000</v>
      </c>
      <c r="Q19" s="41" t="s">
        <v>66</v>
      </c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/>
      <c r="B20" s="14">
        <f t="shared" si="10"/>
        <v>10</v>
      </c>
      <c r="C20" s="57" t="s">
        <v>48</v>
      </c>
      <c r="D20" s="16">
        <v>57700.0</v>
      </c>
      <c r="E20" s="16">
        <v>57700.0</v>
      </c>
      <c r="F20" s="16">
        <v>57700.0</v>
      </c>
      <c r="G20" s="16">
        <v>57700.0</v>
      </c>
      <c r="H20" s="16">
        <v>57700.0</v>
      </c>
      <c r="I20" s="16">
        <v>57700.0</v>
      </c>
      <c r="J20" s="16">
        <v>57700.0</v>
      </c>
      <c r="K20" s="16">
        <v>57700.0</v>
      </c>
      <c r="L20" s="16">
        <v>57700.0</v>
      </c>
      <c r="M20" s="16">
        <v>0.0</v>
      </c>
      <c r="N20" s="16">
        <v>0.0</v>
      </c>
      <c r="O20" s="16">
        <v>0.0</v>
      </c>
      <c r="P20" s="18">
        <f t="shared" si="9"/>
        <v>519300</v>
      </c>
      <c r="Q20" s="41" t="s">
        <v>67</v>
      </c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/>
      <c r="B21" s="14">
        <f t="shared" si="10"/>
        <v>11</v>
      </c>
      <c r="C21" s="35" t="s">
        <v>20</v>
      </c>
      <c r="D21" s="59">
        <v>3229.0</v>
      </c>
      <c r="E21" s="59">
        <v>3229.0</v>
      </c>
      <c r="F21" s="59">
        <v>3229.0</v>
      </c>
      <c r="G21" s="59">
        <v>3229.0</v>
      </c>
      <c r="H21" s="59">
        <v>3229.0</v>
      </c>
      <c r="I21" s="59">
        <v>3229.0</v>
      </c>
      <c r="J21" s="59">
        <v>3229.0</v>
      </c>
      <c r="K21" s="59">
        <v>3229.0</v>
      </c>
      <c r="L21" s="59">
        <v>3229.0</v>
      </c>
      <c r="M21" s="59">
        <v>3229.0</v>
      </c>
      <c r="N21" s="59">
        <v>3229.0</v>
      </c>
      <c r="O21" s="59">
        <v>3229.0</v>
      </c>
      <c r="P21" s="18">
        <f t="shared" si="9"/>
        <v>38748</v>
      </c>
      <c r="Q21" s="18"/>
      <c r="R21" s="56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/>
      <c r="B22" s="14">
        <f t="shared" si="10"/>
        <v>12</v>
      </c>
      <c r="C22" s="35" t="s">
        <v>46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16">
        <v>0.0</v>
      </c>
      <c r="K22" s="16">
        <v>0.0</v>
      </c>
      <c r="L22" s="16">
        <v>0.0</v>
      </c>
      <c r="M22" s="16">
        <v>0.0</v>
      </c>
      <c r="N22" s="16">
        <v>0.0</v>
      </c>
      <c r="O22" s="16">
        <v>0.0</v>
      </c>
      <c r="P22" s="18">
        <f t="shared" si="9"/>
        <v>0</v>
      </c>
      <c r="Q22" s="18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/>
      <c r="B23" s="14">
        <f t="shared" si="10"/>
        <v>13</v>
      </c>
      <c r="C23" s="35" t="s">
        <v>49</v>
      </c>
      <c r="D23" s="17">
        <v>4250.9</v>
      </c>
      <c r="E23" s="17">
        <v>4250.9</v>
      </c>
      <c r="F23" s="17">
        <v>4250.9</v>
      </c>
      <c r="G23" s="17">
        <v>4250.9</v>
      </c>
      <c r="H23" s="17">
        <v>4250.9</v>
      </c>
      <c r="I23" s="17">
        <v>4250.9</v>
      </c>
      <c r="J23" s="17">
        <v>4250.9</v>
      </c>
      <c r="K23" s="17">
        <v>4250.9</v>
      </c>
      <c r="L23" s="17">
        <v>4250.9</v>
      </c>
      <c r="M23" s="17">
        <v>4250.9</v>
      </c>
      <c r="N23" s="17">
        <v>4250.9</v>
      </c>
      <c r="O23" s="17">
        <v>4250.9</v>
      </c>
      <c r="P23" s="18">
        <f t="shared" si="9"/>
        <v>51010.8</v>
      </c>
      <c r="Q23" s="18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/>
      <c r="B24" s="14">
        <f t="shared" si="10"/>
        <v>14</v>
      </c>
      <c r="C24" s="35" t="s">
        <v>22</v>
      </c>
      <c r="D24" s="59">
        <v>20000.0</v>
      </c>
      <c r="E24" s="59">
        <v>20000.0</v>
      </c>
      <c r="F24" s="59">
        <v>20000.0</v>
      </c>
      <c r="G24" s="59">
        <v>20000.0</v>
      </c>
      <c r="H24" s="59">
        <v>20000.0</v>
      </c>
      <c r="I24" s="59">
        <v>20000.0</v>
      </c>
      <c r="J24" s="59">
        <v>20000.0</v>
      </c>
      <c r="K24" s="59">
        <v>20000.0</v>
      </c>
      <c r="L24" s="59">
        <v>20000.0</v>
      </c>
      <c r="M24" s="59">
        <v>20000.0</v>
      </c>
      <c r="N24" s="59">
        <v>20000.0</v>
      </c>
      <c r="O24" s="59">
        <v>20000.0</v>
      </c>
      <c r="P24" s="18">
        <f t="shared" si="9"/>
        <v>240000</v>
      </c>
      <c r="Q24" s="18"/>
      <c r="R24" s="56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/>
      <c r="B25" s="14">
        <f t="shared" si="10"/>
        <v>15</v>
      </c>
      <c r="C25" s="35" t="s">
        <v>19</v>
      </c>
      <c r="D25" s="59">
        <v>6196.0</v>
      </c>
      <c r="E25" s="59">
        <v>6196.0</v>
      </c>
      <c r="F25" s="59">
        <v>6196.0</v>
      </c>
      <c r="G25" s="59">
        <v>6196.0</v>
      </c>
      <c r="H25" s="59">
        <v>6196.0</v>
      </c>
      <c r="I25" s="59">
        <v>6196.0</v>
      </c>
      <c r="J25" s="59">
        <v>6196.0</v>
      </c>
      <c r="K25" s="59">
        <v>6196.0</v>
      </c>
      <c r="L25" s="59">
        <v>6196.0</v>
      </c>
      <c r="M25" s="59">
        <v>6196.0</v>
      </c>
      <c r="N25" s="59">
        <v>6196.0</v>
      </c>
      <c r="O25" s="59">
        <v>6196.0</v>
      </c>
      <c r="P25" s="18">
        <f t="shared" si="9"/>
        <v>74352</v>
      </c>
      <c r="Q25" s="41" t="s">
        <v>68</v>
      </c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50</v>
      </c>
      <c r="B26" s="42"/>
      <c r="C26" s="43" t="s">
        <v>69</v>
      </c>
      <c r="D26" s="44">
        <f t="shared" ref="D26:O26" si="11">SUM(D16:D25)</f>
        <v>494839.9</v>
      </c>
      <c r="E26" s="44">
        <f t="shared" si="11"/>
        <v>494839.9</v>
      </c>
      <c r="F26" s="44">
        <f t="shared" si="11"/>
        <v>494839.9</v>
      </c>
      <c r="G26" s="44">
        <f t="shared" si="11"/>
        <v>494839.9</v>
      </c>
      <c r="H26" s="44">
        <f t="shared" si="11"/>
        <v>594839.9</v>
      </c>
      <c r="I26" s="44">
        <f t="shared" si="11"/>
        <v>494839.9</v>
      </c>
      <c r="J26" s="44">
        <f t="shared" si="11"/>
        <v>494839.9</v>
      </c>
      <c r="K26" s="44">
        <f t="shared" si="11"/>
        <v>494839.9</v>
      </c>
      <c r="L26" s="44">
        <f t="shared" si="11"/>
        <v>494839.9</v>
      </c>
      <c r="M26" s="44">
        <f t="shared" si="11"/>
        <v>498139.9</v>
      </c>
      <c r="N26" s="44">
        <f t="shared" si="11"/>
        <v>437139.9</v>
      </c>
      <c r="O26" s="44">
        <f t="shared" si="11"/>
        <v>437139.9</v>
      </c>
      <c r="P26" s="45">
        <f t="shared" si="9"/>
        <v>5925978.8</v>
      </c>
      <c r="Q26" s="45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0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"/>
      <c r="Q27" s="3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">
        <v>52</v>
      </c>
      <c r="B28" s="46"/>
      <c r="C28" s="47" t="s">
        <v>70</v>
      </c>
      <c r="D28" s="48">
        <f t="shared" ref="D28:O28" si="12">D13-D26</f>
        <v>1505160.1</v>
      </c>
      <c r="E28" s="48">
        <f t="shared" si="12"/>
        <v>1555160.1</v>
      </c>
      <c r="F28" s="48">
        <f t="shared" si="12"/>
        <v>1985160.1</v>
      </c>
      <c r="G28" s="48">
        <f t="shared" si="12"/>
        <v>3505160.1</v>
      </c>
      <c r="H28" s="48">
        <f t="shared" si="12"/>
        <v>2665160.1</v>
      </c>
      <c r="I28" s="48">
        <f t="shared" si="12"/>
        <v>2435160.1</v>
      </c>
      <c r="J28" s="48">
        <f t="shared" si="12"/>
        <v>1905160.1</v>
      </c>
      <c r="K28" s="48">
        <f t="shared" si="12"/>
        <v>1435160.1</v>
      </c>
      <c r="L28" s="48">
        <f t="shared" si="12"/>
        <v>2315160.1</v>
      </c>
      <c r="M28" s="48">
        <f t="shared" si="12"/>
        <v>2051860.1</v>
      </c>
      <c r="N28" s="48">
        <f t="shared" si="12"/>
        <v>1412860.1</v>
      </c>
      <c r="O28" s="48">
        <f t="shared" si="12"/>
        <v>1492860.1</v>
      </c>
      <c r="P28" s="49">
        <f>SUM(D28:O28)</f>
        <v>24264021.2</v>
      </c>
      <c r="Q28" s="49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3"/>
      <c r="Q29" s="3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"/>
      <c r="Q30" s="3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3"/>
      <c r="Q31" s="3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/>
      <c r="B32" s="50" t="s">
        <v>71</v>
      </c>
      <c r="C32" s="51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34"/>
      <c r="Q32" s="3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/>
      <c r="B33" s="14">
        <v>1.0</v>
      </c>
      <c r="C33" s="35" t="s">
        <v>29</v>
      </c>
      <c r="D33" s="36">
        <v>600000.0</v>
      </c>
      <c r="E33" s="36">
        <v>600000.0</v>
      </c>
      <c r="F33" s="36">
        <v>600000.0</v>
      </c>
      <c r="G33" s="36">
        <v>600000.0</v>
      </c>
      <c r="H33" s="36">
        <v>600000.0</v>
      </c>
      <c r="I33" s="36">
        <v>600000.0</v>
      </c>
      <c r="J33" s="36">
        <v>600000.0</v>
      </c>
      <c r="K33" s="36">
        <v>500000.0</v>
      </c>
      <c r="L33" s="36">
        <v>0.0</v>
      </c>
      <c r="M33" s="36">
        <v>0.0</v>
      </c>
      <c r="N33" s="36">
        <v>1000000.0</v>
      </c>
      <c r="O33" s="36">
        <v>2000000.0</v>
      </c>
      <c r="P33" s="38">
        <f t="shared" ref="P33:P39" si="13">SUM(D33:O33)</f>
        <v>7700000</v>
      </c>
      <c r="Q33" s="39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/>
      <c r="B34" s="14">
        <f>B33+1</f>
        <v>2</v>
      </c>
      <c r="C34" s="15" t="s">
        <v>30</v>
      </c>
      <c r="D34" s="61">
        <v>400000.0</v>
      </c>
      <c r="E34" s="61">
        <v>400000.0</v>
      </c>
      <c r="F34" s="61">
        <v>450000.0</v>
      </c>
      <c r="G34" s="61">
        <v>600000.0</v>
      </c>
      <c r="H34" s="61">
        <v>650000.0</v>
      </c>
      <c r="I34" s="62">
        <v>0.0</v>
      </c>
      <c r="J34" s="62">
        <v>0.0</v>
      </c>
      <c r="K34" s="62">
        <v>0.0</v>
      </c>
      <c r="L34" s="62">
        <v>0.0</v>
      </c>
      <c r="M34" s="62">
        <v>0.0</v>
      </c>
      <c r="N34" s="62">
        <v>0.0</v>
      </c>
      <c r="O34" s="62">
        <v>0.0</v>
      </c>
      <c r="P34" s="18">
        <f t="shared" si="13"/>
        <v>2500000</v>
      </c>
      <c r="Q34" s="18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">
        <v>25</v>
      </c>
      <c r="B35" s="19"/>
      <c r="C35" s="20" t="s">
        <v>15</v>
      </c>
      <c r="D35" s="21">
        <f t="shared" ref="D35:O35" si="14">SUM(D33:D34)</f>
        <v>1000000</v>
      </c>
      <c r="E35" s="21">
        <f t="shared" si="14"/>
        <v>1000000</v>
      </c>
      <c r="F35" s="21">
        <f t="shared" si="14"/>
        <v>1050000</v>
      </c>
      <c r="G35" s="21">
        <f t="shared" si="14"/>
        <v>1200000</v>
      </c>
      <c r="H35" s="21">
        <f t="shared" si="14"/>
        <v>1250000</v>
      </c>
      <c r="I35" s="21">
        <f t="shared" si="14"/>
        <v>600000</v>
      </c>
      <c r="J35" s="21">
        <f t="shared" si="14"/>
        <v>600000</v>
      </c>
      <c r="K35" s="21">
        <f t="shared" si="14"/>
        <v>500000</v>
      </c>
      <c r="L35" s="21">
        <f t="shared" si="14"/>
        <v>0</v>
      </c>
      <c r="M35" s="21">
        <f t="shared" si="14"/>
        <v>0</v>
      </c>
      <c r="N35" s="21">
        <f t="shared" si="14"/>
        <v>1000000</v>
      </c>
      <c r="O35" s="21">
        <f t="shared" si="14"/>
        <v>2000000</v>
      </c>
      <c r="P35" s="22">
        <f t="shared" si="13"/>
        <v>10200000</v>
      </c>
      <c r="Q35" s="22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/>
      <c r="B36" s="40">
        <f>B34+1</f>
        <v>3</v>
      </c>
      <c r="C36" s="35" t="s">
        <v>35</v>
      </c>
      <c r="D36" s="16">
        <v>370000.0</v>
      </c>
      <c r="E36" s="16">
        <v>420000.0</v>
      </c>
      <c r="F36" s="16">
        <v>420000.0</v>
      </c>
      <c r="G36" s="16">
        <v>420000.0</v>
      </c>
      <c r="H36" s="16">
        <v>420000.0</v>
      </c>
      <c r="I36" s="16">
        <v>420000.0</v>
      </c>
      <c r="J36" s="16">
        <v>420000.0</v>
      </c>
      <c r="K36" s="16">
        <v>420000.0</v>
      </c>
      <c r="L36" s="16">
        <v>420000.0</v>
      </c>
      <c r="M36" s="16">
        <v>420000.0</v>
      </c>
      <c r="N36" s="16">
        <v>420000.0</v>
      </c>
      <c r="O36" s="16">
        <v>420000.0</v>
      </c>
      <c r="P36" s="38">
        <f t="shared" si="13"/>
        <v>4990000</v>
      </c>
      <c r="Q36" s="38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">
        <v>36</v>
      </c>
      <c r="B37" s="40">
        <v>4.0</v>
      </c>
      <c r="C37" s="15" t="s">
        <v>37</v>
      </c>
      <c r="D37" s="16">
        <f t="shared" ref="D37:O37" si="15">D35*0.036</f>
        <v>36000</v>
      </c>
      <c r="E37" s="16">
        <f t="shared" si="15"/>
        <v>36000</v>
      </c>
      <c r="F37" s="16">
        <f t="shared" si="15"/>
        <v>37800</v>
      </c>
      <c r="G37" s="16">
        <f t="shared" si="15"/>
        <v>43200</v>
      </c>
      <c r="H37" s="16">
        <f t="shared" si="15"/>
        <v>45000</v>
      </c>
      <c r="I37" s="16">
        <f t="shared" si="15"/>
        <v>21600</v>
      </c>
      <c r="J37" s="16">
        <f t="shared" si="15"/>
        <v>21600</v>
      </c>
      <c r="K37" s="16">
        <f t="shared" si="15"/>
        <v>18000</v>
      </c>
      <c r="L37" s="16">
        <f t="shared" si="15"/>
        <v>0</v>
      </c>
      <c r="M37" s="16">
        <f t="shared" si="15"/>
        <v>0</v>
      </c>
      <c r="N37" s="16">
        <f t="shared" si="15"/>
        <v>36000</v>
      </c>
      <c r="O37" s="16">
        <f t="shared" si="15"/>
        <v>72000</v>
      </c>
      <c r="P37" s="18">
        <f t="shared" si="13"/>
        <v>367200</v>
      </c>
      <c r="Q37" s="41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/>
      <c r="B38" s="24"/>
      <c r="C38" s="25" t="s">
        <v>24</v>
      </c>
      <c r="D38" s="26">
        <f t="shared" ref="D38:O38" si="16">SUM(D36:D37)</f>
        <v>406000</v>
      </c>
      <c r="E38" s="26">
        <f t="shared" si="16"/>
        <v>456000</v>
      </c>
      <c r="F38" s="26">
        <f t="shared" si="16"/>
        <v>457800</v>
      </c>
      <c r="G38" s="26">
        <f t="shared" si="16"/>
        <v>463200</v>
      </c>
      <c r="H38" s="26">
        <f t="shared" si="16"/>
        <v>465000</v>
      </c>
      <c r="I38" s="26">
        <f t="shared" si="16"/>
        <v>441600</v>
      </c>
      <c r="J38" s="26">
        <f t="shared" si="16"/>
        <v>441600</v>
      </c>
      <c r="K38" s="26">
        <f t="shared" si="16"/>
        <v>438000</v>
      </c>
      <c r="L38" s="26">
        <f t="shared" si="16"/>
        <v>420000</v>
      </c>
      <c r="M38" s="26">
        <f t="shared" si="16"/>
        <v>420000</v>
      </c>
      <c r="N38" s="26">
        <f t="shared" si="16"/>
        <v>456000</v>
      </c>
      <c r="O38" s="26">
        <f t="shared" si="16"/>
        <v>492000</v>
      </c>
      <c r="P38" s="27">
        <f t="shared" si="13"/>
        <v>5357200</v>
      </c>
      <c r="Q38" s="27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38</v>
      </c>
      <c r="B39" s="28"/>
      <c r="C39" s="29" t="s">
        <v>72</v>
      </c>
      <c r="D39" s="30">
        <f t="shared" ref="D39:O39" si="17">D35-D38</f>
        <v>594000</v>
      </c>
      <c r="E39" s="30">
        <f t="shared" si="17"/>
        <v>544000</v>
      </c>
      <c r="F39" s="30">
        <f t="shared" si="17"/>
        <v>592200</v>
      </c>
      <c r="G39" s="30">
        <f t="shared" si="17"/>
        <v>736800</v>
      </c>
      <c r="H39" s="30">
        <f t="shared" si="17"/>
        <v>785000</v>
      </c>
      <c r="I39" s="30">
        <f t="shared" si="17"/>
        <v>158400</v>
      </c>
      <c r="J39" s="30">
        <f t="shared" si="17"/>
        <v>158400</v>
      </c>
      <c r="K39" s="30">
        <f t="shared" si="17"/>
        <v>62000</v>
      </c>
      <c r="L39" s="30">
        <f t="shared" si="17"/>
        <v>-420000</v>
      </c>
      <c r="M39" s="30">
        <f t="shared" si="17"/>
        <v>-420000</v>
      </c>
      <c r="N39" s="30">
        <f t="shared" si="17"/>
        <v>544000</v>
      </c>
      <c r="O39" s="30">
        <f t="shared" si="17"/>
        <v>1508000</v>
      </c>
      <c r="P39" s="31">
        <f t="shared" si="13"/>
        <v>4842800</v>
      </c>
      <c r="Q39" s="31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/>
      <c r="B40" s="32"/>
      <c r="P40" s="33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/>
      <c r="B41" s="10" t="s">
        <v>73</v>
      </c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34"/>
      <c r="Q41" s="3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/>
      <c r="B42" s="14">
        <f>B37+1</f>
        <v>5</v>
      </c>
      <c r="C42" s="57" t="s">
        <v>42</v>
      </c>
      <c r="D42" s="36">
        <v>250000.0</v>
      </c>
      <c r="E42" s="36">
        <v>200000.0</v>
      </c>
      <c r="F42" s="36">
        <v>200000.0</v>
      </c>
      <c r="G42" s="36">
        <v>200000.0</v>
      </c>
      <c r="H42" s="36">
        <v>200000.0</v>
      </c>
      <c r="I42" s="36">
        <v>200000.0</v>
      </c>
      <c r="J42" s="36">
        <v>200000.0</v>
      </c>
      <c r="K42" s="36">
        <v>200000.0</v>
      </c>
      <c r="L42" s="36">
        <v>200000.0</v>
      </c>
      <c r="M42" s="36">
        <v>200000.0</v>
      </c>
      <c r="N42" s="36">
        <v>200000.0</v>
      </c>
      <c r="O42" s="36">
        <v>200000.0</v>
      </c>
      <c r="P42" s="18">
        <f t="shared" ref="P42:P47" si="18">SUM(D42:O42)</f>
        <v>2450000</v>
      </c>
      <c r="Q42" s="41" t="s">
        <v>74</v>
      </c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/>
      <c r="B43" s="14">
        <f t="shared" ref="B43:B46" si="19">B42+1</f>
        <v>6</v>
      </c>
      <c r="C43" s="57" t="s">
        <v>43</v>
      </c>
      <c r="D43" s="16">
        <v>208000.0</v>
      </c>
      <c r="E43" s="16">
        <v>208000.0</v>
      </c>
      <c r="F43" s="16">
        <v>208000.0</v>
      </c>
      <c r="G43" s="16">
        <v>208000.0</v>
      </c>
      <c r="H43" s="16">
        <v>208000.0</v>
      </c>
      <c r="I43" s="16">
        <v>208000.0</v>
      </c>
      <c r="J43" s="16">
        <v>208000.0</v>
      </c>
      <c r="K43" s="16">
        <v>208000.0</v>
      </c>
      <c r="L43" s="16">
        <v>208000.0</v>
      </c>
      <c r="M43" s="16">
        <v>208000.0</v>
      </c>
      <c r="N43" s="16">
        <v>208000.0</v>
      </c>
      <c r="O43" s="16">
        <v>208000.0</v>
      </c>
      <c r="P43" s="18">
        <f t="shared" si="18"/>
        <v>2496000</v>
      </c>
      <c r="Q43" s="41" t="s">
        <v>75</v>
      </c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/>
      <c r="B44" s="14">
        <f t="shared" si="19"/>
        <v>7</v>
      </c>
      <c r="C44" s="57" t="s">
        <v>16</v>
      </c>
      <c r="D44" s="16">
        <v>0.0</v>
      </c>
      <c r="E44" s="16">
        <v>0.0</v>
      </c>
      <c r="F44" s="16">
        <v>0.0</v>
      </c>
      <c r="G44" s="16">
        <v>0.0</v>
      </c>
      <c r="H44" s="16">
        <v>0.0</v>
      </c>
      <c r="I44" s="16">
        <v>0.0</v>
      </c>
      <c r="J44" s="16">
        <v>0.0</v>
      </c>
      <c r="K44" s="16">
        <v>0.0</v>
      </c>
      <c r="L44" s="16">
        <v>20800.0</v>
      </c>
      <c r="M44" s="16">
        <v>0.0</v>
      </c>
      <c r="N44" s="16">
        <v>0.0</v>
      </c>
      <c r="O44" s="16">
        <v>0.0</v>
      </c>
      <c r="P44" s="18">
        <f t="shared" si="18"/>
        <v>20800</v>
      </c>
      <c r="Q44" s="41" t="s">
        <v>76</v>
      </c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/>
      <c r="B45" s="14">
        <f t="shared" si="19"/>
        <v>8</v>
      </c>
      <c r="C45" s="57" t="s">
        <v>44</v>
      </c>
      <c r="D45" s="16">
        <v>32488.0</v>
      </c>
      <c r="E45" s="16">
        <v>32488.0</v>
      </c>
      <c r="F45" s="16">
        <v>32488.0</v>
      </c>
      <c r="G45" s="16">
        <v>32488.0</v>
      </c>
      <c r="H45" s="16">
        <v>32488.0</v>
      </c>
      <c r="I45" s="16">
        <v>32488.0</v>
      </c>
      <c r="J45" s="16">
        <v>32488.0</v>
      </c>
      <c r="K45" s="16">
        <v>32488.0</v>
      </c>
      <c r="L45" s="16">
        <v>32488.0</v>
      </c>
      <c r="M45" s="16">
        <v>32488.0</v>
      </c>
      <c r="N45" s="16">
        <v>32488.0</v>
      </c>
      <c r="O45" s="16">
        <v>32488.0</v>
      </c>
      <c r="P45" s="18">
        <f t="shared" si="18"/>
        <v>389856</v>
      </c>
      <c r="Q45" s="18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/>
      <c r="B46" s="14">
        <f t="shared" si="19"/>
        <v>9</v>
      </c>
      <c r="C46" s="35" t="s">
        <v>19</v>
      </c>
      <c r="D46" s="16">
        <v>3902.0</v>
      </c>
      <c r="E46" s="16">
        <v>3902.0</v>
      </c>
      <c r="F46" s="16">
        <v>3902.0</v>
      </c>
      <c r="G46" s="16">
        <v>3902.0</v>
      </c>
      <c r="H46" s="16">
        <v>3902.0</v>
      </c>
      <c r="I46" s="16">
        <v>3902.0</v>
      </c>
      <c r="J46" s="16">
        <v>3902.0</v>
      </c>
      <c r="K46" s="16">
        <v>3902.0</v>
      </c>
      <c r="L46" s="16">
        <v>3902.0</v>
      </c>
      <c r="M46" s="16">
        <v>3902.0</v>
      </c>
      <c r="N46" s="16">
        <v>3902.0</v>
      </c>
      <c r="O46" s="16">
        <v>3902.0</v>
      </c>
      <c r="P46" s="18">
        <f t="shared" si="18"/>
        <v>46824</v>
      </c>
      <c r="Q46" s="18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">
        <v>50</v>
      </c>
      <c r="B47" s="42"/>
      <c r="C47" s="43" t="s">
        <v>69</v>
      </c>
      <c r="D47" s="44">
        <f t="shared" ref="D47:O47" si="20">SUM(D42:D46)</f>
        <v>494390</v>
      </c>
      <c r="E47" s="44">
        <f t="shared" si="20"/>
        <v>444390</v>
      </c>
      <c r="F47" s="44">
        <f t="shared" si="20"/>
        <v>444390</v>
      </c>
      <c r="G47" s="44">
        <f t="shared" si="20"/>
        <v>444390</v>
      </c>
      <c r="H47" s="44">
        <f t="shared" si="20"/>
        <v>444390</v>
      </c>
      <c r="I47" s="44">
        <f t="shared" si="20"/>
        <v>444390</v>
      </c>
      <c r="J47" s="44">
        <f t="shared" si="20"/>
        <v>444390</v>
      </c>
      <c r="K47" s="44">
        <f t="shared" si="20"/>
        <v>444390</v>
      </c>
      <c r="L47" s="44">
        <f t="shared" si="20"/>
        <v>465190</v>
      </c>
      <c r="M47" s="44">
        <f t="shared" si="20"/>
        <v>444390</v>
      </c>
      <c r="N47" s="44">
        <f t="shared" si="20"/>
        <v>444390</v>
      </c>
      <c r="O47" s="44">
        <f t="shared" si="20"/>
        <v>444390</v>
      </c>
      <c r="P47" s="45">
        <f t="shared" si="18"/>
        <v>5403480</v>
      </c>
      <c r="Q47" s="45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3"/>
      <c r="Q48" s="3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">
        <v>52</v>
      </c>
      <c r="B49" s="46"/>
      <c r="C49" s="47" t="s">
        <v>53</v>
      </c>
      <c r="D49" s="48">
        <f t="shared" ref="D49:O49" si="21">D39-D47</f>
        <v>99610</v>
      </c>
      <c r="E49" s="48">
        <f t="shared" si="21"/>
        <v>99610</v>
      </c>
      <c r="F49" s="48">
        <f t="shared" si="21"/>
        <v>147810</v>
      </c>
      <c r="G49" s="48">
        <f t="shared" si="21"/>
        <v>292410</v>
      </c>
      <c r="H49" s="48">
        <f t="shared" si="21"/>
        <v>340610</v>
      </c>
      <c r="I49" s="48">
        <f t="shared" si="21"/>
        <v>-285990</v>
      </c>
      <c r="J49" s="48">
        <f t="shared" si="21"/>
        <v>-285990</v>
      </c>
      <c r="K49" s="48">
        <f t="shared" si="21"/>
        <v>-382390</v>
      </c>
      <c r="L49" s="48">
        <f t="shared" si="21"/>
        <v>-885190</v>
      </c>
      <c r="M49" s="48">
        <f t="shared" si="21"/>
        <v>-864390</v>
      </c>
      <c r="N49" s="48">
        <f t="shared" si="21"/>
        <v>99610</v>
      </c>
      <c r="O49" s="48">
        <f t="shared" si="21"/>
        <v>1063610</v>
      </c>
      <c r="P49" s="49">
        <f>SUM(D49:O49)</f>
        <v>-560680</v>
      </c>
      <c r="Q49" s="49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"/>
      <c r="Q50" s="3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3"/>
      <c r="Q51" s="3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3"/>
      <c r="Q53" s="3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  <c r="AA967" s="4"/>
    </row>
  </sheetData>
  <mergeCells count="7">
    <mergeCell ref="B3:P3"/>
    <mergeCell ref="B4:C4"/>
    <mergeCell ref="B14:P14"/>
    <mergeCell ref="B15:C15"/>
    <mergeCell ref="B32:C32"/>
    <mergeCell ref="B40:P40"/>
    <mergeCell ref="B41:C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1.13"/>
    <col customWidth="1" min="2" max="2" width="3.38"/>
    <col customWidth="1" min="3" max="3" width="31.13"/>
    <col customWidth="1" min="4" max="15" width="10.88"/>
    <col customWidth="1" min="16" max="16" width="9.5"/>
    <col customWidth="1" min="17" max="17" width="32.75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2" t="s">
        <v>77</v>
      </c>
      <c r="T1" s="3"/>
      <c r="U1" s="3"/>
      <c r="V1" s="3"/>
      <c r="W1" s="64" t="s">
        <v>78</v>
      </c>
      <c r="X1" s="65"/>
      <c r="Y1" s="66"/>
      <c r="Z1" s="2" t="s">
        <v>79</v>
      </c>
      <c r="AA1" s="65"/>
      <c r="AB1" s="65"/>
      <c r="AC1" s="65"/>
      <c r="AD1" s="64" t="s">
        <v>80</v>
      </c>
      <c r="AE1" s="3"/>
      <c r="AF1" s="3"/>
    </row>
    <row r="2" hidden="1" outlineLevel="1">
      <c r="A2" s="1"/>
      <c r="B2" s="4"/>
      <c r="C2" s="4"/>
      <c r="D2" s="4" t="str">
        <f t="shared" ref="D2:O2" si="1">YEAR(D3)&amp;MONTH(D3)</f>
        <v>20263</v>
      </c>
      <c r="E2" s="4" t="str">
        <f t="shared" si="1"/>
        <v>20264</v>
      </c>
      <c r="F2" s="4" t="str">
        <f t="shared" si="1"/>
        <v>20265</v>
      </c>
      <c r="G2" s="4" t="str">
        <f t="shared" si="1"/>
        <v>20266</v>
      </c>
      <c r="H2" s="4" t="str">
        <f t="shared" si="1"/>
        <v>20267</v>
      </c>
      <c r="I2" s="4" t="str">
        <f t="shared" si="1"/>
        <v>20268</v>
      </c>
      <c r="J2" s="4" t="str">
        <f t="shared" si="1"/>
        <v>20269</v>
      </c>
      <c r="K2" s="4" t="str">
        <f t="shared" si="1"/>
        <v>202610</v>
      </c>
      <c r="L2" s="4" t="str">
        <f t="shared" si="1"/>
        <v>202611</v>
      </c>
      <c r="M2" s="4" t="str">
        <f t="shared" si="1"/>
        <v>202612</v>
      </c>
      <c r="N2" s="4" t="str">
        <f t="shared" si="1"/>
        <v>20271</v>
      </c>
      <c r="O2" s="4" t="str">
        <f t="shared" si="1"/>
        <v>20272</v>
      </c>
      <c r="P2" s="3"/>
      <c r="Q2" s="3"/>
      <c r="R2" s="4"/>
      <c r="AF2" s="4"/>
    </row>
    <row r="3" ht="18.0" customHeight="1">
      <c r="A3" s="5" t="s">
        <v>81</v>
      </c>
      <c r="B3" s="6" t="s">
        <v>2</v>
      </c>
      <c r="C3" s="7"/>
      <c r="D3" s="8">
        <v>46112.0</v>
      </c>
      <c r="E3" s="8">
        <f t="shared" ref="E3:O3" si="2">EOMONTH(D3,1)</f>
        <v>46142</v>
      </c>
      <c r="F3" s="8">
        <f t="shared" si="2"/>
        <v>46173</v>
      </c>
      <c r="G3" s="8">
        <f t="shared" si="2"/>
        <v>46203</v>
      </c>
      <c r="H3" s="8">
        <f t="shared" si="2"/>
        <v>46234</v>
      </c>
      <c r="I3" s="8">
        <f t="shared" si="2"/>
        <v>46265</v>
      </c>
      <c r="J3" s="8">
        <f t="shared" si="2"/>
        <v>46295</v>
      </c>
      <c r="K3" s="8">
        <f t="shared" si="2"/>
        <v>46326</v>
      </c>
      <c r="L3" s="8">
        <f t="shared" si="2"/>
        <v>46356</v>
      </c>
      <c r="M3" s="8">
        <f t="shared" si="2"/>
        <v>46387</v>
      </c>
      <c r="N3" s="8">
        <f t="shared" si="2"/>
        <v>46418</v>
      </c>
      <c r="O3" s="8">
        <f t="shared" si="2"/>
        <v>46446</v>
      </c>
      <c r="P3" s="9" t="s">
        <v>3</v>
      </c>
      <c r="Q3" s="9" t="s">
        <v>4</v>
      </c>
      <c r="R3" s="2"/>
      <c r="S3" s="67" t="s">
        <v>82</v>
      </c>
      <c r="T3" s="68" t="s">
        <v>83</v>
      </c>
      <c r="U3" s="69" t="s">
        <v>84</v>
      </c>
      <c r="V3" s="69" t="s">
        <v>85</v>
      </c>
      <c r="W3" s="69" t="s">
        <v>86</v>
      </c>
      <c r="X3" s="70" t="s">
        <v>87</v>
      </c>
      <c r="Y3" s="3"/>
      <c r="Z3" s="71" t="s">
        <v>82</v>
      </c>
      <c r="AA3" s="72" t="s">
        <v>83</v>
      </c>
      <c r="AB3" s="73" t="s">
        <v>88</v>
      </c>
      <c r="AC3" s="73" t="s">
        <v>85</v>
      </c>
      <c r="AD3" s="73" t="s">
        <v>86</v>
      </c>
      <c r="AE3" s="74" t="s">
        <v>87</v>
      </c>
    </row>
    <row r="4" ht="24.0" customHeight="1">
      <c r="A4" s="5"/>
      <c r="B4" s="10" t="s">
        <v>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75" t="s">
        <v>89</v>
      </c>
      <c r="S4" s="76"/>
      <c r="T4" s="77" t="s">
        <v>90</v>
      </c>
      <c r="U4" s="78">
        <v>46082.0</v>
      </c>
      <c r="V4" s="79" t="s">
        <v>90</v>
      </c>
      <c r="W4" s="79" t="s">
        <v>6</v>
      </c>
      <c r="X4" s="80">
        <v>3000000.0</v>
      </c>
      <c r="Y4" s="75" t="s">
        <v>89</v>
      </c>
      <c r="Z4" s="76">
        <v>46265.0</v>
      </c>
      <c r="AA4" s="77" t="s">
        <v>90</v>
      </c>
      <c r="AB4" s="78">
        <v>46082.0</v>
      </c>
      <c r="AC4" s="79" t="s">
        <v>90</v>
      </c>
      <c r="AD4" s="81" t="s">
        <v>91</v>
      </c>
      <c r="AE4" s="80">
        <v>0.0</v>
      </c>
      <c r="AF4" s="3"/>
    </row>
    <row r="5">
      <c r="A5" s="5"/>
      <c r="B5" s="14">
        <v>1.0</v>
      </c>
      <c r="C5" s="15" t="s">
        <v>6</v>
      </c>
      <c r="D5" s="16">
        <f t="shared" ref="D5:O5" si="3">SUMIFS($X:$X,$S:$S,D$3,$W:$W,$C5)</f>
        <v>0</v>
      </c>
      <c r="E5" s="16">
        <f t="shared" si="3"/>
        <v>0</v>
      </c>
      <c r="F5" s="16">
        <f t="shared" si="3"/>
        <v>0</v>
      </c>
      <c r="G5" s="16">
        <f t="shared" si="3"/>
        <v>0</v>
      </c>
      <c r="H5" s="16">
        <f t="shared" si="3"/>
        <v>0</v>
      </c>
      <c r="I5" s="16">
        <f t="shared" si="3"/>
        <v>12200000</v>
      </c>
      <c r="J5" s="16">
        <f t="shared" si="3"/>
        <v>12200000</v>
      </c>
      <c r="K5" s="16">
        <f t="shared" si="3"/>
        <v>0</v>
      </c>
      <c r="L5" s="16">
        <f t="shared" si="3"/>
        <v>0</v>
      </c>
      <c r="M5" s="16">
        <f t="shared" si="3"/>
        <v>0</v>
      </c>
      <c r="N5" s="16">
        <f t="shared" si="3"/>
        <v>0</v>
      </c>
      <c r="O5" s="16">
        <f t="shared" si="3"/>
        <v>0</v>
      </c>
      <c r="P5" s="18">
        <f t="shared" ref="P5:P37" si="5">SUM(D5:O5)</f>
        <v>24400000</v>
      </c>
      <c r="Q5" s="18"/>
      <c r="R5" s="4"/>
      <c r="S5" s="82">
        <v>46295.0</v>
      </c>
      <c r="T5" s="83" t="s">
        <v>92</v>
      </c>
      <c r="U5" s="78">
        <v>45930.0</v>
      </c>
      <c r="V5" s="84"/>
      <c r="W5" s="79" t="s">
        <v>6</v>
      </c>
      <c r="X5" s="85">
        <v>0.0</v>
      </c>
      <c r="Y5" s="4"/>
      <c r="Z5" s="82">
        <v>46295.0</v>
      </c>
      <c r="AA5" s="83" t="s">
        <v>92</v>
      </c>
      <c r="AB5" s="86">
        <v>45930.0</v>
      </c>
      <c r="AC5" s="86"/>
      <c r="AD5" s="87" t="s">
        <v>93</v>
      </c>
      <c r="AE5" s="85">
        <v>0.0</v>
      </c>
      <c r="AF5" s="4"/>
    </row>
    <row r="6">
      <c r="A6" s="5"/>
      <c r="B6" s="14">
        <f t="shared" ref="B6:B13" si="6">B5+1</f>
        <v>2</v>
      </c>
      <c r="C6" s="15" t="s">
        <v>7</v>
      </c>
      <c r="D6" s="16">
        <f t="shared" ref="D6:O6" si="4">SUMIFS($X:$X,$S:$S,D$3,$W:$W,$C6)</f>
        <v>0</v>
      </c>
      <c r="E6" s="16">
        <f t="shared" si="4"/>
        <v>0</v>
      </c>
      <c r="F6" s="16">
        <f t="shared" si="4"/>
        <v>0</v>
      </c>
      <c r="G6" s="16">
        <f t="shared" si="4"/>
        <v>0</v>
      </c>
      <c r="H6" s="16">
        <f t="shared" si="4"/>
        <v>0</v>
      </c>
      <c r="I6" s="16">
        <f t="shared" si="4"/>
        <v>11940000</v>
      </c>
      <c r="J6" s="16">
        <f t="shared" si="4"/>
        <v>11940000</v>
      </c>
      <c r="K6" s="16">
        <f t="shared" si="4"/>
        <v>0</v>
      </c>
      <c r="L6" s="16">
        <f t="shared" si="4"/>
        <v>0</v>
      </c>
      <c r="M6" s="16">
        <f t="shared" si="4"/>
        <v>0</v>
      </c>
      <c r="N6" s="16">
        <f t="shared" si="4"/>
        <v>0</v>
      </c>
      <c r="O6" s="16">
        <f t="shared" si="4"/>
        <v>0</v>
      </c>
      <c r="P6" s="18">
        <f t="shared" si="5"/>
        <v>23880000</v>
      </c>
      <c r="Q6" s="18"/>
      <c r="R6" s="4"/>
      <c r="S6" s="82">
        <v>46295.0</v>
      </c>
      <c r="T6" s="83" t="s">
        <v>92</v>
      </c>
      <c r="U6" s="86">
        <v>45930.0</v>
      </c>
      <c r="V6" s="86"/>
      <c r="W6" s="88" t="s">
        <v>7</v>
      </c>
      <c r="X6" s="85">
        <v>0.0</v>
      </c>
      <c r="Y6" s="4"/>
      <c r="Z6" s="82">
        <v>46295.0</v>
      </c>
      <c r="AA6" s="83" t="s">
        <v>92</v>
      </c>
      <c r="AB6" s="86">
        <v>45930.0</v>
      </c>
      <c r="AC6" s="86"/>
      <c r="AD6" s="87" t="s">
        <v>94</v>
      </c>
      <c r="AE6" s="85">
        <v>0.0</v>
      </c>
      <c r="AF6" s="4"/>
    </row>
    <row r="7">
      <c r="A7" s="5"/>
      <c r="B7" s="14">
        <f t="shared" si="6"/>
        <v>3</v>
      </c>
      <c r="C7" s="15" t="s">
        <v>8</v>
      </c>
      <c r="D7" s="16">
        <f t="shared" ref="D7:O7" si="7">SUMIFS($X:$X,$S:$S,D$3,$W:$W,$C7)</f>
        <v>0</v>
      </c>
      <c r="E7" s="16">
        <f t="shared" si="7"/>
        <v>0</v>
      </c>
      <c r="F7" s="16">
        <f t="shared" si="7"/>
        <v>0</v>
      </c>
      <c r="G7" s="16">
        <f t="shared" si="7"/>
        <v>0</v>
      </c>
      <c r="H7" s="16">
        <f t="shared" si="7"/>
        <v>0</v>
      </c>
      <c r="I7" s="16">
        <f t="shared" si="7"/>
        <v>5033000</v>
      </c>
      <c r="J7" s="16">
        <f t="shared" si="7"/>
        <v>5033000</v>
      </c>
      <c r="K7" s="16">
        <f t="shared" si="7"/>
        <v>0</v>
      </c>
      <c r="L7" s="16">
        <f t="shared" si="7"/>
        <v>0</v>
      </c>
      <c r="M7" s="16">
        <f t="shared" si="7"/>
        <v>0</v>
      </c>
      <c r="N7" s="16">
        <f t="shared" si="7"/>
        <v>0</v>
      </c>
      <c r="O7" s="16">
        <f t="shared" si="7"/>
        <v>0</v>
      </c>
      <c r="P7" s="18">
        <f t="shared" si="5"/>
        <v>10066000</v>
      </c>
      <c r="Q7" s="18"/>
      <c r="R7" s="4"/>
      <c r="S7" s="82">
        <v>46295.0</v>
      </c>
      <c r="T7" s="83" t="s">
        <v>92</v>
      </c>
      <c r="U7" s="86">
        <v>45930.0</v>
      </c>
      <c r="V7" s="86"/>
      <c r="W7" s="88" t="s">
        <v>8</v>
      </c>
      <c r="X7" s="85">
        <v>0.0</v>
      </c>
      <c r="Y7" s="4"/>
      <c r="Z7" s="82">
        <v>46295.0</v>
      </c>
      <c r="AA7" s="83" t="s">
        <v>92</v>
      </c>
      <c r="AB7" s="86">
        <v>45930.0</v>
      </c>
      <c r="AC7" s="86"/>
      <c r="AD7" s="87" t="s">
        <v>95</v>
      </c>
      <c r="AE7" s="85">
        <v>0.0</v>
      </c>
      <c r="AF7" s="4"/>
    </row>
    <row r="8">
      <c r="A8" s="5"/>
      <c r="B8" s="14">
        <f t="shared" si="6"/>
        <v>4</v>
      </c>
      <c r="C8" s="15" t="s">
        <v>9</v>
      </c>
      <c r="D8" s="16">
        <f t="shared" ref="D8:O8" si="8">SUMIFS($X:$X,$S:$S,D$3,$W:$W,$C8)</f>
        <v>0</v>
      </c>
      <c r="E8" s="16">
        <f t="shared" si="8"/>
        <v>0</v>
      </c>
      <c r="F8" s="16">
        <f t="shared" si="8"/>
        <v>0</v>
      </c>
      <c r="G8" s="16">
        <f t="shared" si="8"/>
        <v>0</v>
      </c>
      <c r="H8" s="16">
        <f t="shared" si="8"/>
        <v>0</v>
      </c>
      <c r="I8" s="16">
        <f t="shared" si="8"/>
        <v>1089000</v>
      </c>
      <c r="J8" s="16">
        <f t="shared" si="8"/>
        <v>1089000</v>
      </c>
      <c r="K8" s="16">
        <f t="shared" si="8"/>
        <v>0</v>
      </c>
      <c r="L8" s="16">
        <f t="shared" si="8"/>
        <v>0</v>
      </c>
      <c r="M8" s="16">
        <f t="shared" si="8"/>
        <v>0</v>
      </c>
      <c r="N8" s="16">
        <f t="shared" si="8"/>
        <v>0</v>
      </c>
      <c r="O8" s="16">
        <f t="shared" si="8"/>
        <v>0</v>
      </c>
      <c r="P8" s="18">
        <f t="shared" si="5"/>
        <v>2178000</v>
      </c>
      <c r="Q8" s="18"/>
      <c r="R8" s="4"/>
      <c r="S8" s="82">
        <v>46295.0</v>
      </c>
      <c r="T8" s="83" t="s">
        <v>92</v>
      </c>
      <c r="U8" s="86">
        <v>45930.0</v>
      </c>
      <c r="V8" s="86"/>
      <c r="W8" s="88" t="s">
        <v>9</v>
      </c>
      <c r="X8" s="85">
        <v>0.0</v>
      </c>
      <c r="Y8" s="4"/>
      <c r="Z8" s="82">
        <v>46295.0</v>
      </c>
      <c r="AA8" s="83" t="s">
        <v>92</v>
      </c>
      <c r="AB8" s="86">
        <v>45930.0</v>
      </c>
      <c r="AC8" s="86"/>
      <c r="AD8" s="87" t="s">
        <v>96</v>
      </c>
      <c r="AE8" s="85">
        <v>0.0</v>
      </c>
      <c r="AF8" s="4"/>
    </row>
    <row r="9">
      <c r="A9" s="5"/>
      <c r="B9" s="14">
        <f t="shared" si="6"/>
        <v>5</v>
      </c>
      <c r="C9" s="15" t="s">
        <v>10</v>
      </c>
      <c r="D9" s="16">
        <f t="shared" ref="D9:O9" si="9">SUMIFS($X:$X,$S:$S,D$3,$W:$W,$C9)</f>
        <v>0</v>
      </c>
      <c r="E9" s="16">
        <f t="shared" si="9"/>
        <v>0</v>
      </c>
      <c r="F9" s="16">
        <f t="shared" si="9"/>
        <v>0</v>
      </c>
      <c r="G9" s="16">
        <f t="shared" si="9"/>
        <v>0</v>
      </c>
      <c r="H9" s="16">
        <f t="shared" si="9"/>
        <v>0</v>
      </c>
      <c r="I9" s="16">
        <f t="shared" si="9"/>
        <v>400000</v>
      </c>
      <c r="J9" s="16">
        <f t="shared" si="9"/>
        <v>400000</v>
      </c>
      <c r="K9" s="16">
        <f t="shared" si="9"/>
        <v>0</v>
      </c>
      <c r="L9" s="16">
        <f t="shared" si="9"/>
        <v>0</v>
      </c>
      <c r="M9" s="16">
        <f t="shared" si="9"/>
        <v>0</v>
      </c>
      <c r="N9" s="16">
        <f t="shared" si="9"/>
        <v>0</v>
      </c>
      <c r="O9" s="16">
        <f t="shared" si="9"/>
        <v>0</v>
      </c>
      <c r="P9" s="18">
        <f t="shared" si="5"/>
        <v>800000</v>
      </c>
      <c r="Q9" s="18"/>
      <c r="R9" s="4"/>
      <c r="S9" s="82">
        <v>46295.0</v>
      </c>
      <c r="T9" s="83" t="s">
        <v>92</v>
      </c>
      <c r="U9" s="86">
        <v>45930.0</v>
      </c>
      <c r="V9" s="86"/>
      <c r="W9" s="88" t="s">
        <v>10</v>
      </c>
      <c r="X9" s="85">
        <v>0.0</v>
      </c>
      <c r="Y9" s="4"/>
      <c r="Z9" s="82">
        <v>46295.0</v>
      </c>
      <c r="AA9" s="83" t="s">
        <v>92</v>
      </c>
      <c r="AB9" s="86">
        <v>45930.0</v>
      </c>
      <c r="AC9" s="86"/>
      <c r="AD9" s="87" t="s">
        <v>97</v>
      </c>
      <c r="AE9" s="85">
        <v>0.0</v>
      </c>
      <c r="AF9" s="4"/>
    </row>
    <row r="10">
      <c r="A10" s="5"/>
      <c r="B10" s="14">
        <f t="shared" si="6"/>
        <v>6</v>
      </c>
      <c r="C10" s="15" t="s">
        <v>11</v>
      </c>
      <c r="D10" s="16">
        <f t="shared" ref="D10:O10" si="10">SUMIFS($X:$X,$S:$S,D$3,$W:$W,$C10)</f>
        <v>0</v>
      </c>
      <c r="E10" s="16">
        <f t="shared" si="10"/>
        <v>0</v>
      </c>
      <c r="F10" s="16">
        <f t="shared" si="10"/>
        <v>0</v>
      </c>
      <c r="G10" s="16">
        <f t="shared" si="10"/>
        <v>0</v>
      </c>
      <c r="H10" s="16">
        <f t="shared" si="10"/>
        <v>0</v>
      </c>
      <c r="I10" s="16">
        <f t="shared" si="10"/>
        <v>600000</v>
      </c>
      <c r="J10" s="16">
        <f t="shared" si="10"/>
        <v>600000</v>
      </c>
      <c r="K10" s="16">
        <f t="shared" si="10"/>
        <v>0</v>
      </c>
      <c r="L10" s="16">
        <f t="shared" si="10"/>
        <v>0</v>
      </c>
      <c r="M10" s="16">
        <f t="shared" si="10"/>
        <v>0</v>
      </c>
      <c r="N10" s="16">
        <f t="shared" si="10"/>
        <v>0</v>
      </c>
      <c r="O10" s="16">
        <f t="shared" si="10"/>
        <v>0</v>
      </c>
      <c r="P10" s="18">
        <f t="shared" si="5"/>
        <v>1200000</v>
      </c>
      <c r="Q10" s="18"/>
      <c r="R10" s="4"/>
      <c r="S10" s="82">
        <v>46295.0</v>
      </c>
      <c r="T10" s="83" t="s">
        <v>92</v>
      </c>
      <c r="U10" s="86">
        <v>45930.0</v>
      </c>
      <c r="V10" s="86"/>
      <c r="W10" s="88" t="s">
        <v>11</v>
      </c>
      <c r="X10" s="85">
        <v>0.0</v>
      </c>
      <c r="Y10" s="4"/>
      <c r="Z10" s="82">
        <v>46295.0</v>
      </c>
      <c r="AA10" s="83" t="s">
        <v>92</v>
      </c>
      <c r="AB10" s="86">
        <v>45930.0</v>
      </c>
      <c r="AC10" s="86"/>
      <c r="AD10" s="87" t="s">
        <v>98</v>
      </c>
      <c r="AE10" s="85">
        <v>0.0</v>
      </c>
      <c r="AF10" s="4"/>
    </row>
    <row r="11">
      <c r="A11" s="5"/>
      <c r="B11" s="14">
        <f t="shared" si="6"/>
        <v>7</v>
      </c>
      <c r="C11" s="15" t="s">
        <v>12</v>
      </c>
      <c r="D11" s="16">
        <f t="shared" ref="D11:O11" si="11">SUMIFS($X:$X,$S:$S,D$3,$W:$W,$C11)</f>
        <v>0</v>
      </c>
      <c r="E11" s="16">
        <f t="shared" si="11"/>
        <v>0</v>
      </c>
      <c r="F11" s="16">
        <f t="shared" si="11"/>
        <v>0</v>
      </c>
      <c r="G11" s="16">
        <f t="shared" si="11"/>
        <v>0</v>
      </c>
      <c r="H11" s="16">
        <f t="shared" si="11"/>
        <v>0</v>
      </c>
      <c r="I11" s="16">
        <f t="shared" si="11"/>
        <v>198000</v>
      </c>
      <c r="J11" s="16">
        <f t="shared" si="11"/>
        <v>198000</v>
      </c>
      <c r="K11" s="16">
        <f t="shared" si="11"/>
        <v>0</v>
      </c>
      <c r="L11" s="16">
        <f t="shared" si="11"/>
        <v>0</v>
      </c>
      <c r="M11" s="16">
        <f t="shared" si="11"/>
        <v>0</v>
      </c>
      <c r="N11" s="16">
        <f t="shared" si="11"/>
        <v>0</v>
      </c>
      <c r="O11" s="16">
        <f t="shared" si="11"/>
        <v>0</v>
      </c>
      <c r="P11" s="18">
        <f t="shared" si="5"/>
        <v>396000</v>
      </c>
      <c r="Q11" s="18"/>
      <c r="R11" s="4"/>
      <c r="S11" s="82">
        <v>46295.0</v>
      </c>
      <c r="T11" s="83" t="s">
        <v>92</v>
      </c>
      <c r="U11" s="86">
        <v>45930.0</v>
      </c>
      <c r="V11" s="86"/>
      <c r="W11" s="88" t="s">
        <v>12</v>
      </c>
      <c r="X11" s="85">
        <v>0.0</v>
      </c>
      <c r="Y11" s="4"/>
      <c r="Z11" s="82">
        <v>46295.0</v>
      </c>
      <c r="AA11" s="83" t="s">
        <v>92</v>
      </c>
      <c r="AB11" s="86">
        <v>45930.0</v>
      </c>
      <c r="AC11" s="86"/>
      <c r="AD11" s="87" t="s">
        <v>99</v>
      </c>
      <c r="AE11" s="85">
        <v>0.0</v>
      </c>
      <c r="AF11" s="4"/>
    </row>
    <row r="12">
      <c r="A12" s="5"/>
      <c r="B12" s="14">
        <f t="shared" si="6"/>
        <v>8</v>
      </c>
      <c r="C12" s="15" t="s">
        <v>13</v>
      </c>
      <c r="D12" s="16">
        <f t="shared" ref="D12:O12" si="12">SUMIFS($X:$X,$S:$S,D$3,$W:$W,$C12)</f>
        <v>0</v>
      </c>
      <c r="E12" s="16">
        <f t="shared" si="12"/>
        <v>0</v>
      </c>
      <c r="F12" s="16">
        <f t="shared" si="12"/>
        <v>0</v>
      </c>
      <c r="G12" s="16">
        <f t="shared" si="12"/>
        <v>0</v>
      </c>
      <c r="H12" s="16">
        <f t="shared" si="12"/>
        <v>0</v>
      </c>
      <c r="I12" s="16">
        <f t="shared" si="12"/>
        <v>82500</v>
      </c>
      <c r="J12" s="16">
        <f t="shared" si="12"/>
        <v>82500</v>
      </c>
      <c r="K12" s="16">
        <f t="shared" si="12"/>
        <v>0</v>
      </c>
      <c r="L12" s="16">
        <f t="shared" si="12"/>
        <v>0</v>
      </c>
      <c r="M12" s="16">
        <f t="shared" si="12"/>
        <v>0</v>
      </c>
      <c r="N12" s="16">
        <f t="shared" si="12"/>
        <v>0</v>
      </c>
      <c r="O12" s="16">
        <f t="shared" si="12"/>
        <v>0</v>
      </c>
      <c r="P12" s="18">
        <f t="shared" si="5"/>
        <v>165000</v>
      </c>
      <c r="Q12" s="18"/>
      <c r="R12" s="4"/>
      <c r="S12" s="82">
        <v>46295.0</v>
      </c>
      <c r="T12" s="83" t="s">
        <v>92</v>
      </c>
      <c r="U12" s="86">
        <v>45930.0</v>
      </c>
      <c r="V12" s="86"/>
      <c r="W12" s="88" t="s">
        <v>13</v>
      </c>
      <c r="X12" s="85">
        <v>0.0</v>
      </c>
      <c r="Y12" s="4"/>
      <c r="Z12" s="82">
        <v>46295.0</v>
      </c>
      <c r="AA12" s="83" t="s">
        <v>92</v>
      </c>
      <c r="AB12" s="86">
        <v>45930.0</v>
      </c>
      <c r="AC12" s="86"/>
      <c r="AD12" s="87" t="s">
        <v>100</v>
      </c>
      <c r="AE12" s="85">
        <v>0.0</v>
      </c>
      <c r="AF12" s="4"/>
    </row>
    <row r="13">
      <c r="A13" s="5"/>
      <c r="B13" s="14">
        <f t="shared" si="6"/>
        <v>9</v>
      </c>
      <c r="C13" s="15" t="s">
        <v>14</v>
      </c>
      <c r="D13" s="16">
        <f t="shared" ref="D13:O13" si="13">SUMIFS($X:$X,$S:$S,D$3,$W:$W,$C13)</f>
        <v>0</v>
      </c>
      <c r="E13" s="16">
        <f t="shared" si="13"/>
        <v>0</v>
      </c>
      <c r="F13" s="16">
        <f t="shared" si="13"/>
        <v>0</v>
      </c>
      <c r="G13" s="16">
        <f t="shared" si="13"/>
        <v>0</v>
      </c>
      <c r="H13" s="16">
        <f t="shared" si="13"/>
        <v>0</v>
      </c>
      <c r="I13" s="16">
        <f t="shared" si="13"/>
        <v>0</v>
      </c>
      <c r="J13" s="16">
        <f t="shared" si="13"/>
        <v>0</v>
      </c>
      <c r="K13" s="16">
        <f t="shared" si="13"/>
        <v>0</v>
      </c>
      <c r="L13" s="16">
        <f t="shared" si="13"/>
        <v>0</v>
      </c>
      <c r="M13" s="16">
        <f t="shared" si="13"/>
        <v>0</v>
      </c>
      <c r="N13" s="16">
        <f t="shared" si="13"/>
        <v>0</v>
      </c>
      <c r="O13" s="16">
        <f t="shared" si="13"/>
        <v>0</v>
      </c>
      <c r="P13" s="18">
        <f t="shared" si="5"/>
        <v>0</v>
      </c>
      <c r="Q13" s="18"/>
      <c r="R13" s="4"/>
      <c r="S13" s="82">
        <v>46295.0</v>
      </c>
      <c r="T13" s="83" t="s">
        <v>92</v>
      </c>
      <c r="U13" s="86">
        <v>45930.0</v>
      </c>
      <c r="V13" s="86"/>
      <c r="W13" s="88" t="s">
        <v>14</v>
      </c>
      <c r="X13" s="85">
        <v>0.0</v>
      </c>
      <c r="Y13" s="4"/>
      <c r="Z13" s="82">
        <v>46295.0</v>
      </c>
      <c r="AA13" s="83" t="s">
        <v>92</v>
      </c>
      <c r="AB13" s="86">
        <v>45930.0</v>
      </c>
      <c r="AC13" s="86"/>
      <c r="AD13" s="87" t="s">
        <v>101</v>
      </c>
      <c r="AE13" s="85">
        <v>0.0</v>
      </c>
      <c r="AF13" s="4"/>
    </row>
    <row r="14">
      <c r="B14" s="19"/>
      <c r="C14" s="20" t="s">
        <v>15</v>
      </c>
      <c r="D14" s="21">
        <f t="shared" ref="D14:O14" si="14">SUM(D5:D13)</f>
        <v>0</v>
      </c>
      <c r="E14" s="21">
        <f t="shared" si="14"/>
        <v>0</v>
      </c>
      <c r="F14" s="21">
        <f t="shared" si="14"/>
        <v>0</v>
      </c>
      <c r="G14" s="21">
        <f t="shared" si="14"/>
        <v>0</v>
      </c>
      <c r="H14" s="21">
        <f t="shared" si="14"/>
        <v>0</v>
      </c>
      <c r="I14" s="21">
        <f t="shared" si="14"/>
        <v>31542500</v>
      </c>
      <c r="J14" s="21">
        <f t="shared" si="14"/>
        <v>31542500</v>
      </c>
      <c r="K14" s="21">
        <f t="shared" si="14"/>
        <v>0</v>
      </c>
      <c r="L14" s="21">
        <f t="shared" si="14"/>
        <v>0</v>
      </c>
      <c r="M14" s="21">
        <f t="shared" si="14"/>
        <v>0</v>
      </c>
      <c r="N14" s="21">
        <f t="shared" si="14"/>
        <v>0</v>
      </c>
      <c r="O14" s="21">
        <f t="shared" si="14"/>
        <v>0</v>
      </c>
      <c r="P14" s="22">
        <f t="shared" si="5"/>
        <v>63085000</v>
      </c>
      <c r="Q14" s="22"/>
      <c r="R14" s="4"/>
      <c r="S14" s="82">
        <v>46295.0</v>
      </c>
      <c r="T14" s="83" t="s">
        <v>92</v>
      </c>
      <c r="U14" s="86">
        <v>45961.0</v>
      </c>
      <c r="V14" s="86"/>
      <c r="W14" s="88" t="s">
        <v>6</v>
      </c>
      <c r="X14" s="85">
        <v>0.0</v>
      </c>
      <c r="Y14" s="4"/>
      <c r="Z14" s="82">
        <v>46295.0</v>
      </c>
      <c r="AA14" s="83" t="s">
        <v>92</v>
      </c>
      <c r="AB14" s="86">
        <v>45930.0</v>
      </c>
      <c r="AC14" s="86"/>
      <c r="AD14" s="87" t="s">
        <v>102</v>
      </c>
      <c r="AE14" s="85">
        <v>0.0</v>
      </c>
      <c r="AF14" s="4"/>
    </row>
    <row r="15">
      <c r="A15" s="15" t="s">
        <v>91</v>
      </c>
      <c r="B15" s="14">
        <f>B13+1</f>
        <v>10</v>
      </c>
      <c r="C15" s="15" t="s">
        <v>16</v>
      </c>
      <c r="D15" s="16">
        <f t="shared" ref="D15:O15" si="15">SUMIFS($AE:$AE,$Z:$Z,D$3,$AD:$AD,$A15)</f>
        <v>0</v>
      </c>
      <c r="E15" s="17">
        <f t="shared" si="15"/>
        <v>0</v>
      </c>
      <c r="F15" s="17">
        <f t="shared" si="15"/>
        <v>0</v>
      </c>
      <c r="G15" s="17">
        <f t="shared" si="15"/>
        <v>0</v>
      </c>
      <c r="H15" s="17">
        <f t="shared" si="15"/>
        <v>0</v>
      </c>
      <c r="I15" s="17">
        <f t="shared" si="15"/>
        <v>181188</v>
      </c>
      <c r="J15" s="17">
        <f t="shared" si="15"/>
        <v>181188</v>
      </c>
      <c r="K15" s="17">
        <f t="shared" si="15"/>
        <v>0</v>
      </c>
      <c r="L15" s="17">
        <f t="shared" si="15"/>
        <v>0</v>
      </c>
      <c r="M15" s="17">
        <f t="shared" si="15"/>
        <v>0</v>
      </c>
      <c r="N15" s="17">
        <f t="shared" si="15"/>
        <v>0</v>
      </c>
      <c r="O15" s="16">
        <f t="shared" si="15"/>
        <v>0</v>
      </c>
      <c r="P15" s="18">
        <f t="shared" si="5"/>
        <v>362376</v>
      </c>
      <c r="Q15" s="18"/>
      <c r="R15" s="4"/>
      <c r="S15" s="82">
        <v>46295.0</v>
      </c>
      <c r="T15" s="83" t="s">
        <v>92</v>
      </c>
      <c r="U15" s="86">
        <v>45961.0</v>
      </c>
      <c r="V15" s="86"/>
      <c r="W15" s="88" t="s">
        <v>7</v>
      </c>
      <c r="X15" s="85">
        <v>0.0</v>
      </c>
      <c r="Y15" s="4"/>
      <c r="Z15" s="82">
        <v>46295.0</v>
      </c>
      <c r="AA15" s="83" t="s">
        <v>92</v>
      </c>
      <c r="AB15" s="86">
        <v>45930.0</v>
      </c>
      <c r="AC15" s="86"/>
      <c r="AD15" s="87" t="s">
        <v>103</v>
      </c>
      <c r="AE15" s="85">
        <v>210000.0</v>
      </c>
      <c r="AF15" s="4"/>
    </row>
    <row r="16">
      <c r="A16" s="15" t="s">
        <v>104</v>
      </c>
      <c r="B16" s="14">
        <f t="shared" ref="B16:B35" si="17">B15+1</f>
        <v>11</v>
      </c>
      <c r="C16" s="15" t="s">
        <v>16</v>
      </c>
      <c r="D16" s="16">
        <f t="shared" ref="D16:O16" si="16">SUMIFS($AE:$AE,$Z:$Z,D$3,$AD:$AD,$A16)</f>
        <v>0</v>
      </c>
      <c r="E16" s="17">
        <f t="shared" si="16"/>
        <v>0</v>
      </c>
      <c r="F16" s="17">
        <f t="shared" si="16"/>
        <v>0</v>
      </c>
      <c r="G16" s="17">
        <f t="shared" si="16"/>
        <v>0</v>
      </c>
      <c r="H16" s="17">
        <f t="shared" si="16"/>
        <v>0</v>
      </c>
      <c r="I16" s="17">
        <f t="shared" si="16"/>
        <v>447840</v>
      </c>
      <c r="J16" s="17">
        <f t="shared" si="16"/>
        <v>429840</v>
      </c>
      <c r="K16" s="17">
        <f t="shared" si="16"/>
        <v>0</v>
      </c>
      <c r="L16" s="17">
        <f t="shared" si="16"/>
        <v>0</v>
      </c>
      <c r="M16" s="17">
        <f t="shared" si="16"/>
        <v>0</v>
      </c>
      <c r="N16" s="17">
        <f t="shared" si="16"/>
        <v>0</v>
      </c>
      <c r="O16" s="17">
        <f t="shared" si="16"/>
        <v>0</v>
      </c>
      <c r="P16" s="18">
        <f t="shared" si="5"/>
        <v>877680</v>
      </c>
      <c r="Q16" s="18"/>
      <c r="R16" s="4"/>
      <c r="S16" s="82">
        <v>46295.0</v>
      </c>
      <c r="T16" s="83" t="s">
        <v>92</v>
      </c>
      <c r="U16" s="89">
        <v>45961.0</v>
      </c>
      <c r="V16" s="89"/>
      <c r="W16" s="88" t="s">
        <v>8</v>
      </c>
      <c r="X16" s="85">
        <v>0.0</v>
      </c>
      <c r="Y16" s="4"/>
      <c r="Z16" s="82">
        <v>46295.0</v>
      </c>
      <c r="AA16" s="83" t="s">
        <v>92</v>
      </c>
      <c r="AB16" s="86">
        <v>45930.0</v>
      </c>
      <c r="AC16" s="86"/>
      <c r="AD16" s="87" t="s">
        <v>105</v>
      </c>
      <c r="AE16" s="85">
        <v>0.0</v>
      </c>
      <c r="AF16" s="4"/>
    </row>
    <row r="17">
      <c r="A17" s="15" t="s">
        <v>106</v>
      </c>
      <c r="B17" s="14">
        <f t="shared" si="17"/>
        <v>12</v>
      </c>
      <c r="C17" s="15" t="s">
        <v>16</v>
      </c>
      <c r="D17" s="16">
        <f t="shared" ref="D17:O17" si="18">SUMIFS($AE:$AE,$Z:$Z,D$3,$AD:$AD,$A17)</f>
        <v>0</v>
      </c>
      <c r="E17" s="17">
        <f t="shared" si="18"/>
        <v>0</v>
      </c>
      <c r="F17" s="17">
        <f t="shared" si="18"/>
        <v>0</v>
      </c>
      <c r="G17" s="17">
        <f t="shared" si="18"/>
        <v>0</v>
      </c>
      <c r="H17" s="17">
        <f t="shared" si="18"/>
        <v>0</v>
      </c>
      <c r="I17" s="17">
        <f t="shared" si="18"/>
        <v>39204</v>
      </c>
      <c r="J17" s="17">
        <f t="shared" si="18"/>
        <v>39204</v>
      </c>
      <c r="K17" s="17">
        <f t="shared" si="18"/>
        <v>0</v>
      </c>
      <c r="L17" s="17">
        <f t="shared" si="18"/>
        <v>0</v>
      </c>
      <c r="M17" s="17">
        <f t="shared" si="18"/>
        <v>0</v>
      </c>
      <c r="N17" s="17">
        <f t="shared" si="18"/>
        <v>0</v>
      </c>
      <c r="O17" s="17">
        <f t="shared" si="18"/>
        <v>0</v>
      </c>
      <c r="P17" s="18">
        <f t="shared" si="5"/>
        <v>78408</v>
      </c>
      <c r="Q17" s="18"/>
      <c r="R17" s="4"/>
      <c r="S17" s="82">
        <v>46295.0</v>
      </c>
      <c r="T17" s="83" t="s">
        <v>92</v>
      </c>
      <c r="U17" s="89">
        <v>45961.0</v>
      </c>
      <c r="V17" s="89"/>
      <c r="W17" s="88" t="s">
        <v>9</v>
      </c>
      <c r="X17" s="85">
        <v>0.0</v>
      </c>
      <c r="Y17" s="4"/>
      <c r="Z17" s="82">
        <v>46295.0</v>
      </c>
      <c r="AA17" s="83" t="s">
        <v>92</v>
      </c>
      <c r="AB17" s="86">
        <v>45930.0</v>
      </c>
      <c r="AC17" s="86"/>
      <c r="AD17" s="87" t="s">
        <v>107</v>
      </c>
      <c r="AE17" s="85">
        <v>0.0</v>
      </c>
      <c r="AF17" s="4"/>
    </row>
    <row r="18">
      <c r="A18" s="15" t="s">
        <v>108</v>
      </c>
      <c r="B18" s="14">
        <f t="shared" si="17"/>
        <v>13</v>
      </c>
      <c r="C18" s="15" t="s">
        <v>16</v>
      </c>
      <c r="D18" s="16">
        <f t="shared" ref="D18:O18" si="19">SUMIFS($AE:$AE,$Z:$Z,D$3,$AD:$AD,$A18)</f>
        <v>0</v>
      </c>
      <c r="E18" s="17">
        <f t="shared" si="19"/>
        <v>0</v>
      </c>
      <c r="F18" s="17">
        <f t="shared" si="19"/>
        <v>0</v>
      </c>
      <c r="G18" s="17">
        <f t="shared" si="19"/>
        <v>0</v>
      </c>
      <c r="H18" s="17">
        <f t="shared" si="19"/>
        <v>0</v>
      </c>
      <c r="I18" s="17">
        <f t="shared" si="19"/>
        <v>2640</v>
      </c>
      <c r="J18" s="17">
        <f t="shared" si="19"/>
        <v>2640</v>
      </c>
      <c r="K18" s="17">
        <f t="shared" si="19"/>
        <v>0</v>
      </c>
      <c r="L18" s="17">
        <f t="shared" si="19"/>
        <v>0</v>
      </c>
      <c r="M18" s="17">
        <f t="shared" si="19"/>
        <v>0</v>
      </c>
      <c r="N18" s="17">
        <f t="shared" si="19"/>
        <v>0</v>
      </c>
      <c r="O18" s="17">
        <f t="shared" si="19"/>
        <v>0</v>
      </c>
      <c r="P18" s="18">
        <f t="shared" si="5"/>
        <v>5280</v>
      </c>
      <c r="Q18" s="18"/>
      <c r="R18" s="4"/>
      <c r="S18" s="82">
        <v>46295.0</v>
      </c>
      <c r="T18" s="83" t="s">
        <v>92</v>
      </c>
      <c r="U18" s="89">
        <v>45961.0</v>
      </c>
      <c r="V18" s="89"/>
      <c r="W18" s="88" t="s">
        <v>10</v>
      </c>
      <c r="X18" s="85">
        <v>0.0</v>
      </c>
      <c r="Y18" s="4"/>
      <c r="Z18" s="82">
        <v>46295.0</v>
      </c>
      <c r="AA18" s="83" t="s">
        <v>92</v>
      </c>
      <c r="AB18" s="86">
        <v>45930.0</v>
      </c>
      <c r="AC18" s="86"/>
      <c r="AD18" s="87" t="s">
        <v>109</v>
      </c>
      <c r="AE18" s="85">
        <v>795160.0</v>
      </c>
      <c r="AF18" s="4"/>
    </row>
    <row r="19">
      <c r="A19" s="15" t="s">
        <v>110</v>
      </c>
      <c r="B19" s="14">
        <f t="shared" si="17"/>
        <v>14</v>
      </c>
      <c r="C19" s="15" t="s">
        <v>16</v>
      </c>
      <c r="D19" s="16">
        <f t="shared" ref="D19:O19" si="20">SUMIFS($AE:$AE,$Z:$Z,D$3,$AD:$AD,$A19)</f>
        <v>0</v>
      </c>
      <c r="E19" s="17">
        <f t="shared" si="20"/>
        <v>0</v>
      </c>
      <c r="F19" s="17">
        <f t="shared" si="20"/>
        <v>0</v>
      </c>
      <c r="G19" s="17">
        <f t="shared" si="20"/>
        <v>0</v>
      </c>
      <c r="H19" s="17">
        <f t="shared" si="20"/>
        <v>0</v>
      </c>
      <c r="I19" s="17">
        <f t="shared" si="20"/>
        <v>7128</v>
      </c>
      <c r="J19" s="17">
        <f t="shared" si="20"/>
        <v>7128</v>
      </c>
      <c r="K19" s="17">
        <f t="shared" si="20"/>
        <v>0</v>
      </c>
      <c r="L19" s="17">
        <f t="shared" si="20"/>
        <v>0</v>
      </c>
      <c r="M19" s="17">
        <f t="shared" si="20"/>
        <v>0</v>
      </c>
      <c r="N19" s="17">
        <f t="shared" si="20"/>
        <v>0</v>
      </c>
      <c r="O19" s="17">
        <f t="shared" si="20"/>
        <v>0</v>
      </c>
      <c r="P19" s="18">
        <f t="shared" si="5"/>
        <v>14256</v>
      </c>
      <c r="Q19" s="18"/>
      <c r="R19" s="4"/>
      <c r="S19" s="82">
        <v>46295.0</v>
      </c>
      <c r="T19" s="83" t="s">
        <v>92</v>
      </c>
      <c r="U19" s="89">
        <v>45961.0</v>
      </c>
      <c r="V19" s="89"/>
      <c r="W19" s="88" t="s">
        <v>11</v>
      </c>
      <c r="X19" s="85">
        <v>0.0</v>
      </c>
      <c r="Y19" s="4"/>
      <c r="Z19" s="82">
        <v>46295.0</v>
      </c>
      <c r="AA19" s="83" t="s">
        <v>92</v>
      </c>
      <c r="AB19" s="86">
        <v>45930.0</v>
      </c>
      <c r="AC19" s="86"/>
      <c r="AD19" s="87" t="s">
        <v>111</v>
      </c>
      <c r="AE19" s="85">
        <v>0.0</v>
      </c>
      <c r="AF19" s="4"/>
    </row>
    <row r="20">
      <c r="A20" s="15" t="s">
        <v>98</v>
      </c>
      <c r="B20" s="14">
        <f t="shared" si="17"/>
        <v>15</v>
      </c>
      <c r="C20" s="15" t="s">
        <v>17</v>
      </c>
      <c r="D20" s="16">
        <f t="shared" ref="D20:O20" si="21">SUMIFS($AE:$AE,$Z:$Z,D$3,$AD:$AD,$A20)</f>
        <v>0</v>
      </c>
      <c r="E20" s="17">
        <f t="shared" si="21"/>
        <v>0</v>
      </c>
      <c r="F20" s="17">
        <f t="shared" si="21"/>
        <v>0</v>
      </c>
      <c r="G20" s="17">
        <f t="shared" si="21"/>
        <v>0</v>
      </c>
      <c r="H20" s="17">
        <f t="shared" si="21"/>
        <v>0</v>
      </c>
      <c r="I20" s="17">
        <f t="shared" si="21"/>
        <v>1050000</v>
      </c>
      <c r="J20" s="17">
        <f t="shared" si="21"/>
        <v>1350000</v>
      </c>
      <c r="K20" s="17">
        <f t="shared" si="21"/>
        <v>0</v>
      </c>
      <c r="L20" s="17">
        <f t="shared" si="21"/>
        <v>0</v>
      </c>
      <c r="M20" s="17">
        <f t="shared" si="21"/>
        <v>0</v>
      </c>
      <c r="N20" s="17">
        <f t="shared" si="21"/>
        <v>0</v>
      </c>
      <c r="O20" s="17">
        <f t="shared" si="21"/>
        <v>0</v>
      </c>
      <c r="P20" s="18">
        <f t="shared" si="5"/>
        <v>2400000</v>
      </c>
      <c r="Q20" s="18"/>
      <c r="R20" s="4"/>
      <c r="S20" s="82">
        <v>46295.0</v>
      </c>
      <c r="T20" s="83" t="s">
        <v>92</v>
      </c>
      <c r="U20" s="89">
        <v>45961.0</v>
      </c>
      <c r="V20" s="89"/>
      <c r="W20" s="88" t="s">
        <v>12</v>
      </c>
      <c r="X20" s="85">
        <v>0.0</v>
      </c>
      <c r="Y20" s="4"/>
      <c r="Z20" s="82">
        <v>46295.0</v>
      </c>
      <c r="AA20" s="83" t="s">
        <v>92</v>
      </c>
      <c r="AB20" s="86">
        <v>45930.0</v>
      </c>
      <c r="AC20" s="86"/>
      <c r="AD20" s="87" t="s">
        <v>112</v>
      </c>
      <c r="AE20" s="85">
        <v>0.0</v>
      </c>
      <c r="AF20" s="4"/>
    </row>
    <row r="21">
      <c r="A21" s="15" t="s">
        <v>99</v>
      </c>
      <c r="B21" s="14">
        <f t="shared" si="17"/>
        <v>16</v>
      </c>
      <c r="C21" s="15" t="s">
        <v>18</v>
      </c>
      <c r="D21" s="16">
        <f t="shared" ref="D21:O21" si="22">SUMIFS($AE:$AE,$Z:$Z,D$3,$AD:$AD,$A21)</f>
        <v>0</v>
      </c>
      <c r="E21" s="17">
        <f t="shared" si="22"/>
        <v>0</v>
      </c>
      <c r="F21" s="17">
        <f t="shared" si="22"/>
        <v>0</v>
      </c>
      <c r="G21" s="17">
        <f t="shared" si="22"/>
        <v>0</v>
      </c>
      <c r="H21" s="17">
        <f t="shared" si="22"/>
        <v>0</v>
      </c>
      <c r="I21" s="17">
        <f t="shared" si="22"/>
        <v>2500000</v>
      </c>
      <c r="J21" s="17">
        <f t="shared" si="22"/>
        <v>2500000</v>
      </c>
      <c r="K21" s="17">
        <f t="shared" si="22"/>
        <v>0</v>
      </c>
      <c r="L21" s="17">
        <f t="shared" si="22"/>
        <v>0</v>
      </c>
      <c r="M21" s="17">
        <f t="shared" si="22"/>
        <v>0</v>
      </c>
      <c r="N21" s="17">
        <f t="shared" si="22"/>
        <v>0</v>
      </c>
      <c r="O21" s="17">
        <f t="shared" si="22"/>
        <v>0</v>
      </c>
      <c r="P21" s="18">
        <f t="shared" si="5"/>
        <v>5000000</v>
      </c>
      <c r="Q21" s="18"/>
      <c r="R21" s="4"/>
      <c r="S21" s="82">
        <v>46295.0</v>
      </c>
      <c r="T21" s="83" t="s">
        <v>92</v>
      </c>
      <c r="U21" s="89">
        <v>45961.0</v>
      </c>
      <c r="V21" s="89"/>
      <c r="W21" s="88" t="s">
        <v>13</v>
      </c>
      <c r="X21" s="85">
        <v>0.0</v>
      </c>
      <c r="Y21" s="4"/>
      <c r="Z21" s="82">
        <v>46295.0</v>
      </c>
      <c r="AA21" s="83" t="s">
        <v>92</v>
      </c>
      <c r="AB21" s="86">
        <v>45930.0</v>
      </c>
      <c r="AC21" s="86"/>
      <c r="AD21" s="87" t="s">
        <v>46</v>
      </c>
      <c r="AE21" s="85">
        <v>0.0</v>
      </c>
      <c r="AF21" s="4"/>
    </row>
    <row r="22">
      <c r="A22" s="15" t="s">
        <v>113</v>
      </c>
      <c r="B22" s="14">
        <f t="shared" si="17"/>
        <v>17</v>
      </c>
      <c r="C22" s="15" t="s">
        <v>18</v>
      </c>
      <c r="D22" s="16">
        <f t="shared" ref="D22:O22" si="23">SUMIFS($AE:$AE,$Z:$Z,D$3,$AD:$AD,$A22)</f>
        <v>0</v>
      </c>
      <c r="E22" s="17">
        <f t="shared" si="23"/>
        <v>0</v>
      </c>
      <c r="F22" s="17">
        <f t="shared" si="23"/>
        <v>0</v>
      </c>
      <c r="G22" s="17">
        <f t="shared" si="23"/>
        <v>0</v>
      </c>
      <c r="H22" s="17">
        <f t="shared" si="23"/>
        <v>0</v>
      </c>
      <c r="I22" s="17">
        <f t="shared" si="23"/>
        <v>100000</v>
      </c>
      <c r="J22" s="17">
        <f t="shared" si="23"/>
        <v>100000</v>
      </c>
      <c r="K22" s="17">
        <f t="shared" si="23"/>
        <v>0</v>
      </c>
      <c r="L22" s="17">
        <f t="shared" si="23"/>
        <v>0</v>
      </c>
      <c r="M22" s="17">
        <f t="shared" si="23"/>
        <v>0</v>
      </c>
      <c r="N22" s="17">
        <f t="shared" si="23"/>
        <v>0</v>
      </c>
      <c r="O22" s="17">
        <f t="shared" si="23"/>
        <v>0</v>
      </c>
      <c r="P22" s="18">
        <f t="shared" si="5"/>
        <v>200000</v>
      </c>
      <c r="Q22" s="18"/>
      <c r="R22" s="4"/>
      <c r="S22" s="82">
        <v>46295.0</v>
      </c>
      <c r="T22" s="83" t="s">
        <v>92</v>
      </c>
      <c r="U22" s="89">
        <v>45961.0</v>
      </c>
      <c r="V22" s="89"/>
      <c r="W22" s="88" t="s">
        <v>14</v>
      </c>
      <c r="X22" s="85">
        <v>0.0</v>
      </c>
      <c r="Y22" s="4"/>
      <c r="Z22" s="82">
        <v>46295.0</v>
      </c>
      <c r="AA22" s="83" t="s">
        <v>92</v>
      </c>
      <c r="AB22" s="86">
        <v>45930.0</v>
      </c>
      <c r="AC22" s="86"/>
      <c r="AD22" s="87" t="s">
        <v>114</v>
      </c>
      <c r="AE22" s="85">
        <v>0.0</v>
      </c>
      <c r="AF22" s="4"/>
    </row>
    <row r="23">
      <c r="A23" s="15" t="s">
        <v>115</v>
      </c>
      <c r="B23" s="14">
        <f t="shared" si="17"/>
        <v>18</v>
      </c>
      <c r="C23" s="15" t="s">
        <v>18</v>
      </c>
      <c r="D23" s="16">
        <f t="shared" ref="D23:O23" si="24">SUMIFS($AE:$AE,$Z:$Z,D$3,$AD:$AD,$A23)</f>
        <v>0</v>
      </c>
      <c r="E23" s="17">
        <f t="shared" si="24"/>
        <v>0</v>
      </c>
      <c r="F23" s="17">
        <f t="shared" si="24"/>
        <v>0</v>
      </c>
      <c r="G23" s="17">
        <f t="shared" si="24"/>
        <v>0</v>
      </c>
      <c r="H23" s="17">
        <f t="shared" si="24"/>
        <v>0</v>
      </c>
      <c r="I23" s="17">
        <f t="shared" si="24"/>
        <v>110000</v>
      </c>
      <c r="J23" s="17">
        <f t="shared" si="24"/>
        <v>110000</v>
      </c>
      <c r="K23" s="17">
        <f t="shared" si="24"/>
        <v>0</v>
      </c>
      <c r="L23" s="17">
        <f t="shared" si="24"/>
        <v>0</v>
      </c>
      <c r="M23" s="17">
        <f t="shared" si="24"/>
        <v>0</v>
      </c>
      <c r="N23" s="17">
        <f t="shared" si="24"/>
        <v>0</v>
      </c>
      <c r="O23" s="17">
        <f t="shared" si="24"/>
        <v>0</v>
      </c>
      <c r="P23" s="18">
        <f t="shared" si="5"/>
        <v>220000</v>
      </c>
      <c r="Q23" s="18"/>
      <c r="R23" s="4"/>
      <c r="S23" s="82">
        <v>46295.0</v>
      </c>
      <c r="T23" s="83" t="s">
        <v>92</v>
      </c>
      <c r="U23" s="89">
        <v>45991.0</v>
      </c>
      <c r="V23" s="89"/>
      <c r="W23" s="88" t="s">
        <v>6</v>
      </c>
      <c r="X23" s="85">
        <v>0.0</v>
      </c>
      <c r="Y23" s="4"/>
      <c r="Z23" s="82">
        <v>46295.0</v>
      </c>
      <c r="AA23" s="83" t="s">
        <v>92</v>
      </c>
      <c r="AB23" s="86">
        <v>45930.0</v>
      </c>
      <c r="AC23" s="86"/>
      <c r="AD23" s="87" t="s">
        <v>23</v>
      </c>
      <c r="AE23" s="85">
        <v>0.0</v>
      </c>
      <c r="AF23" s="4"/>
    </row>
    <row r="24">
      <c r="A24" s="15" t="s">
        <v>116</v>
      </c>
      <c r="B24" s="14">
        <f t="shared" si="17"/>
        <v>19</v>
      </c>
      <c r="C24" s="15" t="s">
        <v>18</v>
      </c>
      <c r="D24" s="16">
        <f t="shared" ref="D24:O24" si="25">SUMIFS($AE:$AE,$Z:$Z,D$3,$AD:$AD,$A24)</f>
        <v>0</v>
      </c>
      <c r="E24" s="17">
        <f t="shared" si="25"/>
        <v>0</v>
      </c>
      <c r="F24" s="17">
        <f t="shared" si="25"/>
        <v>0</v>
      </c>
      <c r="G24" s="17">
        <f t="shared" si="25"/>
        <v>0</v>
      </c>
      <c r="H24" s="17">
        <f t="shared" si="25"/>
        <v>0</v>
      </c>
      <c r="I24" s="17">
        <f t="shared" si="25"/>
        <v>700000</v>
      </c>
      <c r="J24" s="17">
        <f t="shared" si="25"/>
        <v>700000</v>
      </c>
      <c r="K24" s="17">
        <f t="shared" si="25"/>
        <v>0</v>
      </c>
      <c r="L24" s="17">
        <f t="shared" si="25"/>
        <v>0</v>
      </c>
      <c r="M24" s="17">
        <f t="shared" si="25"/>
        <v>0</v>
      </c>
      <c r="N24" s="17">
        <f t="shared" si="25"/>
        <v>0</v>
      </c>
      <c r="O24" s="17">
        <f t="shared" si="25"/>
        <v>0</v>
      </c>
      <c r="P24" s="18">
        <f t="shared" si="5"/>
        <v>1400000</v>
      </c>
      <c r="Q24" s="18"/>
      <c r="R24" s="4"/>
      <c r="S24" s="82">
        <v>46295.0</v>
      </c>
      <c r="T24" s="83" t="s">
        <v>92</v>
      </c>
      <c r="U24" s="89">
        <v>45991.0</v>
      </c>
      <c r="V24" s="89"/>
      <c r="W24" s="88" t="s">
        <v>7</v>
      </c>
      <c r="X24" s="85">
        <v>0.0</v>
      </c>
      <c r="Y24" s="4"/>
      <c r="Z24" s="82">
        <v>46295.0</v>
      </c>
      <c r="AA24" s="83" t="s">
        <v>92</v>
      </c>
      <c r="AB24" s="86">
        <v>45930.0</v>
      </c>
      <c r="AC24" s="86"/>
      <c r="AD24" s="87" t="s">
        <v>117</v>
      </c>
      <c r="AE24" s="85">
        <v>0.0</v>
      </c>
      <c r="AF24" s="4"/>
    </row>
    <row r="25">
      <c r="A25" s="15" t="s">
        <v>103</v>
      </c>
      <c r="B25" s="14">
        <f t="shared" si="17"/>
        <v>20</v>
      </c>
      <c r="C25" s="15" t="s">
        <v>18</v>
      </c>
      <c r="D25" s="16">
        <f t="shared" ref="D25:O25" si="26">SUMIFS($AE:$AE,$Z:$Z,D$3,$AD:$AD,$A25)</f>
        <v>0</v>
      </c>
      <c r="E25" s="17">
        <f t="shared" si="26"/>
        <v>0</v>
      </c>
      <c r="F25" s="17">
        <f t="shared" si="26"/>
        <v>0</v>
      </c>
      <c r="G25" s="17">
        <f t="shared" si="26"/>
        <v>0</v>
      </c>
      <c r="H25" s="17">
        <f t="shared" si="26"/>
        <v>0</v>
      </c>
      <c r="I25" s="17">
        <f t="shared" si="26"/>
        <v>2000000</v>
      </c>
      <c r="J25" s="17">
        <f t="shared" si="26"/>
        <v>7310000</v>
      </c>
      <c r="K25" s="17">
        <f t="shared" si="26"/>
        <v>0</v>
      </c>
      <c r="L25" s="17">
        <f t="shared" si="26"/>
        <v>0</v>
      </c>
      <c r="M25" s="17">
        <f t="shared" si="26"/>
        <v>0</v>
      </c>
      <c r="N25" s="17">
        <f t="shared" si="26"/>
        <v>0</v>
      </c>
      <c r="O25" s="17">
        <f t="shared" si="26"/>
        <v>0</v>
      </c>
      <c r="P25" s="18">
        <f t="shared" si="5"/>
        <v>9310000</v>
      </c>
      <c r="Q25" s="18"/>
      <c r="R25" s="4"/>
      <c r="S25" s="82">
        <v>46295.0</v>
      </c>
      <c r="T25" s="83" t="s">
        <v>92</v>
      </c>
      <c r="U25" s="89">
        <v>45991.0</v>
      </c>
      <c r="V25" s="89"/>
      <c r="W25" s="88" t="s">
        <v>8</v>
      </c>
      <c r="X25" s="85">
        <v>0.0</v>
      </c>
      <c r="Y25" s="4"/>
      <c r="Z25" s="82">
        <v>46295.0</v>
      </c>
      <c r="AA25" s="83" t="s">
        <v>92</v>
      </c>
      <c r="AB25" s="86">
        <v>45930.0</v>
      </c>
      <c r="AC25" s="86"/>
      <c r="AD25" s="87" t="s">
        <v>14</v>
      </c>
      <c r="AE25" s="85">
        <v>0.0</v>
      </c>
      <c r="AF25" s="4"/>
    </row>
    <row r="26">
      <c r="A26" s="15" t="s">
        <v>118</v>
      </c>
      <c r="B26" s="14">
        <f t="shared" si="17"/>
        <v>21</v>
      </c>
      <c r="C26" s="15" t="s">
        <v>18</v>
      </c>
      <c r="D26" s="16">
        <f t="shared" ref="D26:O26" si="27">SUMIFS($AE:$AE,$Z:$Z,D$3,$AD:$AD,$A26)</f>
        <v>0</v>
      </c>
      <c r="E26" s="17">
        <f t="shared" si="27"/>
        <v>0</v>
      </c>
      <c r="F26" s="17">
        <f t="shared" si="27"/>
        <v>0</v>
      </c>
      <c r="G26" s="17">
        <f t="shared" si="27"/>
        <v>0</v>
      </c>
      <c r="H26" s="17">
        <f t="shared" si="27"/>
        <v>0</v>
      </c>
      <c r="I26" s="17">
        <f t="shared" si="27"/>
        <v>450000</v>
      </c>
      <c r="J26" s="17">
        <f t="shared" si="27"/>
        <v>450000</v>
      </c>
      <c r="K26" s="17">
        <f t="shared" si="27"/>
        <v>0</v>
      </c>
      <c r="L26" s="17">
        <f t="shared" si="27"/>
        <v>0</v>
      </c>
      <c r="M26" s="17">
        <f t="shared" si="27"/>
        <v>0</v>
      </c>
      <c r="N26" s="17">
        <f t="shared" si="27"/>
        <v>0</v>
      </c>
      <c r="O26" s="17">
        <f t="shared" si="27"/>
        <v>0</v>
      </c>
      <c r="P26" s="18">
        <f t="shared" si="5"/>
        <v>900000</v>
      </c>
      <c r="Q26" s="18"/>
      <c r="R26" s="4"/>
      <c r="S26" s="82">
        <v>46295.0</v>
      </c>
      <c r="T26" s="83" t="s">
        <v>92</v>
      </c>
      <c r="U26" s="89">
        <v>45991.0</v>
      </c>
      <c r="V26" s="89"/>
      <c r="W26" s="88" t="s">
        <v>9</v>
      </c>
      <c r="X26" s="85">
        <v>0.0</v>
      </c>
      <c r="Y26" s="4"/>
      <c r="Z26" s="82">
        <v>46295.0</v>
      </c>
      <c r="AA26" s="83" t="s">
        <v>92</v>
      </c>
      <c r="AB26" s="86">
        <v>45961.0</v>
      </c>
      <c r="AC26" s="86"/>
      <c r="AD26" s="87" t="s">
        <v>93</v>
      </c>
      <c r="AE26" s="85">
        <v>0.0</v>
      </c>
      <c r="AF26" s="4"/>
    </row>
    <row r="27">
      <c r="A27" s="15" t="s">
        <v>107</v>
      </c>
      <c r="B27" s="14">
        <f t="shared" si="17"/>
        <v>22</v>
      </c>
      <c r="C27" s="15" t="s">
        <v>19</v>
      </c>
      <c r="D27" s="16">
        <f t="shared" ref="D27:O27" si="28">SUMIFS($AE:$AE,$Z:$Z,D$3,$AD:$AD,$A27)</f>
        <v>0</v>
      </c>
      <c r="E27" s="17">
        <f t="shared" si="28"/>
        <v>0</v>
      </c>
      <c r="F27" s="17">
        <f t="shared" si="28"/>
        <v>0</v>
      </c>
      <c r="G27" s="17">
        <f t="shared" si="28"/>
        <v>0</v>
      </c>
      <c r="H27" s="17">
        <f t="shared" si="28"/>
        <v>0</v>
      </c>
      <c r="I27" s="17">
        <f t="shared" si="28"/>
        <v>0</v>
      </c>
      <c r="J27" s="17">
        <f t="shared" si="28"/>
        <v>0</v>
      </c>
      <c r="K27" s="17">
        <f t="shared" si="28"/>
        <v>0</v>
      </c>
      <c r="L27" s="17">
        <f t="shared" si="28"/>
        <v>0</v>
      </c>
      <c r="M27" s="17">
        <f t="shared" si="28"/>
        <v>0</v>
      </c>
      <c r="N27" s="17">
        <f t="shared" si="28"/>
        <v>0</v>
      </c>
      <c r="O27" s="17">
        <f t="shared" si="28"/>
        <v>0</v>
      </c>
      <c r="P27" s="18">
        <f t="shared" si="5"/>
        <v>0</v>
      </c>
      <c r="Q27" s="18"/>
      <c r="R27" s="4"/>
      <c r="S27" s="82">
        <v>46295.0</v>
      </c>
      <c r="T27" s="83" t="s">
        <v>92</v>
      </c>
      <c r="U27" s="89">
        <v>45991.0</v>
      </c>
      <c r="V27" s="89"/>
      <c r="W27" s="88" t="s">
        <v>10</v>
      </c>
      <c r="X27" s="85">
        <v>0.0</v>
      </c>
      <c r="Y27" s="4"/>
      <c r="Z27" s="82">
        <v>46295.0</v>
      </c>
      <c r="AA27" s="83" t="s">
        <v>92</v>
      </c>
      <c r="AB27" s="89">
        <v>45961.0</v>
      </c>
      <c r="AC27" s="89"/>
      <c r="AD27" s="87" t="s">
        <v>94</v>
      </c>
      <c r="AE27" s="85">
        <v>0.0</v>
      </c>
      <c r="AF27" s="4"/>
    </row>
    <row r="28">
      <c r="A28" s="15" t="s">
        <v>109</v>
      </c>
      <c r="B28" s="14">
        <f t="shared" si="17"/>
        <v>23</v>
      </c>
      <c r="C28" s="15" t="s">
        <v>20</v>
      </c>
      <c r="D28" s="16">
        <f t="shared" ref="D28:O28" si="29">SUMIFS($AE:$AE,$Z:$Z,D$3,$AD:$AD,$A28)</f>
        <v>0</v>
      </c>
      <c r="E28" s="17">
        <f t="shared" si="29"/>
        <v>0</v>
      </c>
      <c r="F28" s="17">
        <f t="shared" si="29"/>
        <v>0</v>
      </c>
      <c r="G28" s="17">
        <f t="shared" si="29"/>
        <v>0</v>
      </c>
      <c r="H28" s="17">
        <f t="shared" si="29"/>
        <v>0</v>
      </c>
      <c r="I28" s="17">
        <f t="shared" si="29"/>
        <v>3113100</v>
      </c>
      <c r="J28" s="17">
        <f t="shared" si="29"/>
        <v>4795160</v>
      </c>
      <c r="K28" s="17">
        <f t="shared" si="29"/>
        <v>0</v>
      </c>
      <c r="L28" s="17">
        <f t="shared" si="29"/>
        <v>0</v>
      </c>
      <c r="M28" s="17">
        <f t="shared" si="29"/>
        <v>0</v>
      </c>
      <c r="N28" s="17">
        <f t="shared" si="29"/>
        <v>0</v>
      </c>
      <c r="O28" s="17">
        <f t="shared" si="29"/>
        <v>0</v>
      </c>
      <c r="P28" s="18">
        <f t="shared" si="5"/>
        <v>7908260</v>
      </c>
      <c r="Q28" s="18"/>
      <c r="R28" s="4"/>
      <c r="S28" s="82">
        <v>46295.0</v>
      </c>
      <c r="T28" s="83" t="s">
        <v>92</v>
      </c>
      <c r="U28" s="89">
        <v>45991.0</v>
      </c>
      <c r="V28" s="89"/>
      <c r="W28" s="88" t="s">
        <v>11</v>
      </c>
      <c r="X28" s="85">
        <v>0.0</v>
      </c>
      <c r="Y28" s="4"/>
      <c r="Z28" s="82">
        <v>46295.0</v>
      </c>
      <c r="AA28" s="83" t="s">
        <v>92</v>
      </c>
      <c r="AB28" s="89">
        <v>45961.0</v>
      </c>
      <c r="AC28" s="89"/>
      <c r="AD28" s="87" t="s">
        <v>95</v>
      </c>
      <c r="AE28" s="85">
        <v>0.0</v>
      </c>
      <c r="AF28" s="4"/>
    </row>
    <row r="29">
      <c r="A29" s="15" t="s">
        <v>111</v>
      </c>
      <c r="B29" s="14">
        <f t="shared" si="17"/>
        <v>24</v>
      </c>
      <c r="C29" s="15" t="s">
        <v>19</v>
      </c>
      <c r="D29" s="16">
        <f t="shared" ref="D29:O29" si="30">SUMIFS($AE:$AE,$Z:$Z,D$3,$AD:$AD,$A29)</f>
        <v>0</v>
      </c>
      <c r="E29" s="17">
        <f t="shared" si="30"/>
        <v>0</v>
      </c>
      <c r="F29" s="17">
        <f t="shared" si="30"/>
        <v>0</v>
      </c>
      <c r="G29" s="17">
        <f t="shared" si="30"/>
        <v>0</v>
      </c>
      <c r="H29" s="17">
        <f t="shared" si="30"/>
        <v>0</v>
      </c>
      <c r="I29" s="17">
        <f t="shared" si="30"/>
        <v>910000</v>
      </c>
      <c r="J29" s="17">
        <f t="shared" si="30"/>
        <v>910000</v>
      </c>
      <c r="K29" s="17">
        <f t="shared" si="30"/>
        <v>0</v>
      </c>
      <c r="L29" s="17">
        <f t="shared" si="30"/>
        <v>0</v>
      </c>
      <c r="M29" s="17">
        <f t="shared" si="30"/>
        <v>0</v>
      </c>
      <c r="N29" s="17">
        <f t="shared" si="30"/>
        <v>0</v>
      </c>
      <c r="O29" s="17">
        <f t="shared" si="30"/>
        <v>0</v>
      </c>
      <c r="P29" s="18">
        <f t="shared" si="5"/>
        <v>1820000</v>
      </c>
      <c r="Q29" s="18"/>
      <c r="R29" s="4"/>
      <c r="S29" s="82">
        <v>46295.0</v>
      </c>
      <c r="T29" s="83" t="s">
        <v>92</v>
      </c>
      <c r="U29" s="89">
        <v>45991.0</v>
      </c>
      <c r="V29" s="89"/>
      <c r="W29" s="88" t="s">
        <v>12</v>
      </c>
      <c r="X29" s="85">
        <v>0.0</v>
      </c>
      <c r="Y29" s="4"/>
      <c r="Z29" s="82">
        <v>46295.0</v>
      </c>
      <c r="AA29" s="83" t="s">
        <v>92</v>
      </c>
      <c r="AB29" s="89">
        <v>45961.0</v>
      </c>
      <c r="AC29" s="89"/>
      <c r="AD29" s="87" t="s">
        <v>96</v>
      </c>
      <c r="AE29" s="85">
        <v>0.0</v>
      </c>
      <c r="AF29" s="4"/>
    </row>
    <row r="30">
      <c r="A30" s="15" t="s">
        <v>112</v>
      </c>
      <c r="B30" s="14">
        <f t="shared" si="17"/>
        <v>25</v>
      </c>
      <c r="C30" s="15" t="s">
        <v>19</v>
      </c>
      <c r="D30" s="16">
        <f t="shared" ref="D30:O30" si="31">SUMIFS($AE:$AE,$Z:$Z,D$3,$AD:$AD,$A30)</f>
        <v>0</v>
      </c>
      <c r="E30" s="17">
        <f t="shared" si="31"/>
        <v>0</v>
      </c>
      <c r="F30" s="17">
        <f t="shared" si="31"/>
        <v>0</v>
      </c>
      <c r="G30" s="17">
        <f t="shared" si="31"/>
        <v>0</v>
      </c>
      <c r="H30" s="17">
        <f t="shared" si="31"/>
        <v>0</v>
      </c>
      <c r="I30" s="17">
        <f t="shared" si="31"/>
        <v>0</v>
      </c>
      <c r="J30" s="17">
        <f t="shared" si="31"/>
        <v>0</v>
      </c>
      <c r="K30" s="17">
        <f t="shared" si="31"/>
        <v>0</v>
      </c>
      <c r="L30" s="17">
        <f t="shared" si="31"/>
        <v>0</v>
      </c>
      <c r="M30" s="17">
        <f t="shared" si="31"/>
        <v>0</v>
      </c>
      <c r="N30" s="17">
        <f t="shared" si="31"/>
        <v>0</v>
      </c>
      <c r="O30" s="17">
        <f t="shared" si="31"/>
        <v>0</v>
      </c>
      <c r="P30" s="18">
        <f t="shared" si="5"/>
        <v>0</v>
      </c>
      <c r="Q30" s="18"/>
      <c r="R30" s="4"/>
      <c r="S30" s="82">
        <v>46295.0</v>
      </c>
      <c r="T30" s="83" t="s">
        <v>92</v>
      </c>
      <c r="U30" s="89">
        <v>45991.0</v>
      </c>
      <c r="V30" s="89"/>
      <c r="W30" s="88" t="s">
        <v>13</v>
      </c>
      <c r="X30" s="85">
        <v>0.0</v>
      </c>
      <c r="Y30" s="4"/>
      <c r="Z30" s="82">
        <v>46295.0</v>
      </c>
      <c r="AA30" s="83" t="s">
        <v>92</v>
      </c>
      <c r="AB30" s="89">
        <v>45961.0</v>
      </c>
      <c r="AC30" s="89"/>
      <c r="AD30" s="87" t="s">
        <v>97</v>
      </c>
      <c r="AE30" s="85">
        <v>0.0</v>
      </c>
      <c r="AF30" s="4"/>
    </row>
    <row r="31">
      <c r="A31" s="15" t="s">
        <v>46</v>
      </c>
      <c r="B31" s="14">
        <f t="shared" si="17"/>
        <v>26</v>
      </c>
      <c r="C31" s="15" t="s">
        <v>21</v>
      </c>
      <c r="D31" s="16">
        <f t="shared" ref="D31:O31" si="32">SUMIFS($AE:$AE,$Z:$Z,D$3,$AD:$AD,$A31)</f>
        <v>0</v>
      </c>
      <c r="E31" s="17">
        <f t="shared" si="32"/>
        <v>0</v>
      </c>
      <c r="F31" s="17">
        <f t="shared" si="32"/>
        <v>0</v>
      </c>
      <c r="G31" s="17">
        <f t="shared" si="32"/>
        <v>0</v>
      </c>
      <c r="H31" s="17">
        <f t="shared" si="32"/>
        <v>0</v>
      </c>
      <c r="I31" s="17">
        <f t="shared" si="32"/>
        <v>150000</v>
      </c>
      <c r="J31" s="17">
        <f t="shared" si="32"/>
        <v>600000</v>
      </c>
      <c r="K31" s="17">
        <f t="shared" si="32"/>
        <v>0</v>
      </c>
      <c r="L31" s="17">
        <f t="shared" si="32"/>
        <v>0</v>
      </c>
      <c r="M31" s="17">
        <f t="shared" si="32"/>
        <v>0</v>
      </c>
      <c r="N31" s="17">
        <f t="shared" si="32"/>
        <v>0</v>
      </c>
      <c r="O31" s="17">
        <f t="shared" si="32"/>
        <v>0</v>
      </c>
      <c r="P31" s="18">
        <f t="shared" si="5"/>
        <v>750000</v>
      </c>
      <c r="Q31" s="18"/>
      <c r="R31" s="4"/>
      <c r="S31" s="82">
        <v>46295.0</v>
      </c>
      <c r="T31" s="83" t="s">
        <v>92</v>
      </c>
      <c r="U31" s="89">
        <v>45991.0</v>
      </c>
      <c r="V31" s="89"/>
      <c r="W31" s="88" t="s">
        <v>14</v>
      </c>
      <c r="X31" s="85">
        <v>0.0</v>
      </c>
      <c r="Y31" s="4"/>
      <c r="Z31" s="82">
        <v>46295.0</v>
      </c>
      <c r="AA31" s="83" t="s">
        <v>92</v>
      </c>
      <c r="AB31" s="89">
        <v>45961.0</v>
      </c>
      <c r="AC31" s="89"/>
      <c r="AD31" s="87" t="s">
        <v>98</v>
      </c>
      <c r="AE31" s="85">
        <v>0.0</v>
      </c>
      <c r="AF31" s="4"/>
    </row>
    <row r="32">
      <c r="A32" s="15" t="s">
        <v>114</v>
      </c>
      <c r="B32" s="14">
        <f t="shared" si="17"/>
        <v>27</v>
      </c>
      <c r="C32" s="15" t="s">
        <v>22</v>
      </c>
      <c r="D32" s="16">
        <f t="shared" ref="D32:O32" si="33">SUMIFS($AE:$AE,$Z:$Z,D$3,$AD:$AD,$A32)</f>
        <v>0</v>
      </c>
      <c r="E32" s="17">
        <f t="shared" si="33"/>
        <v>0</v>
      </c>
      <c r="F32" s="17">
        <f t="shared" si="33"/>
        <v>0</v>
      </c>
      <c r="G32" s="17">
        <f t="shared" si="33"/>
        <v>0</v>
      </c>
      <c r="H32" s="17">
        <f t="shared" si="33"/>
        <v>0</v>
      </c>
      <c r="I32" s="17">
        <f t="shared" si="33"/>
        <v>60000</v>
      </c>
      <c r="J32" s="17">
        <f t="shared" si="33"/>
        <v>60000</v>
      </c>
      <c r="K32" s="17">
        <f t="shared" si="33"/>
        <v>0</v>
      </c>
      <c r="L32" s="17">
        <f t="shared" si="33"/>
        <v>0</v>
      </c>
      <c r="M32" s="17">
        <f t="shared" si="33"/>
        <v>0</v>
      </c>
      <c r="N32" s="17">
        <f t="shared" si="33"/>
        <v>0</v>
      </c>
      <c r="O32" s="17">
        <f t="shared" si="33"/>
        <v>0</v>
      </c>
      <c r="P32" s="18">
        <f t="shared" si="5"/>
        <v>120000</v>
      </c>
      <c r="Q32" s="18"/>
      <c r="R32" s="4"/>
      <c r="S32" s="82">
        <v>46295.0</v>
      </c>
      <c r="T32" s="83" t="s">
        <v>92</v>
      </c>
      <c r="U32" s="89">
        <v>46022.0</v>
      </c>
      <c r="V32" s="89"/>
      <c r="W32" s="88" t="s">
        <v>6</v>
      </c>
      <c r="X32" s="85">
        <v>0.0</v>
      </c>
      <c r="Y32" s="4"/>
      <c r="Z32" s="82">
        <v>46295.0</v>
      </c>
      <c r="AA32" s="83" t="s">
        <v>92</v>
      </c>
      <c r="AB32" s="89">
        <v>45961.0</v>
      </c>
      <c r="AC32" s="89"/>
      <c r="AD32" s="87" t="s">
        <v>99</v>
      </c>
      <c r="AE32" s="85">
        <v>0.0</v>
      </c>
      <c r="AF32" s="4"/>
    </row>
    <row r="33">
      <c r="A33" s="15" t="s">
        <v>23</v>
      </c>
      <c r="B33" s="14">
        <f t="shared" si="17"/>
        <v>28</v>
      </c>
      <c r="C33" s="15" t="s">
        <v>23</v>
      </c>
      <c r="D33" s="16">
        <f t="shared" ref="D33:O33" si="34">SUMIFS($AE:$AE,$Z:$Z,D$3,$AD:$AD,$A33)</f>
        <v>0</v>
      </c>
      <c r="E33" s="17">
        <f t="shared" si="34"/>
        <v>0</v>
      </c>
      <c r="F33" s="17">
        <f t="shared" si="34"/>
        <v>0</v>
      </c>
      <c r="G33" s="17">
        <f t="shared" si="34"/>
        <v>0</v>
      </c>
      <c r="H33" s="17">
        <f t="shared" si="34"/>
        <v>0</v>
      </c>
      <c r="I33" s="17">
        <f t="shared" si="34"/>
        <v>0</v>
      </c>
      <c r="J33" s="17">
        <f t="shared" si="34"/>
        <v>0</v>
      </c>
      <c r="K33" s="17">
        <f t="shared" si="34"/>
        <v>0</v>
      </c>
      <c r="L33" s="17">
        <f t="shared" si="34"/>
        <v>0</v>
      </c>
      <c r="M33" s="17">
        <f t="shared" si="34"/>
        <v>0</v>
      </c>
      <c r="N33" s="17">
        <f t="shared" si="34"/>
        <v>0</v>
      </c>
      <c r="O33" s="17">
        <f t="shared" si="34"/>
        <v>0</v>
      </c>
      <c r="P33" s="18">
        <f t="shared" si="5"/>
        <v>0</v>
      </c>
      <c r="Q33" s="18"/>
      <c r="R33" s="4"/>
      <c r="S33" s="82">
        <v>46295.0</v>
      </c>
      <c r="T33" s="83" t="s">
        <v>92</v>
      </c>
      <c r="U33" s="89">
        <v>46022.0</v>
      </c>
      <c r="V33" s="89"/>
      <c r="W33" s="88" t="s">
        <v>7</v>
      </c>
      <c r="X33" s="85">
        <v>0.0</v>
      </c>
      <c r="Y33" s="4"/>
      <c r="Z33" s="82">
        <v>46295.0</v>
      </c>
      <c r="AA33" s="83" t="s">
        <v>92</v>
      </c>
      <c r="AB33" s="89">
        <v>45961.0</v>
      </c>
      <c r="AC33" s="89"/>
      <c r="AD33" s="87" t="s">
        <v>100</v>
      </c>
      <c r="AE33" s="85">
        <v>0.0</v>
      </c>
      <c r="AF33" s="4"/>
    </row>
    <row r="34">
      <c r="A34" s="15" t="s">
        <v>117</v>
      </c>
      <c r="B34" s="14">
        <f t="shared" si="17"/>
        <v>29</v>
      </c>
      <c r="C34" s="15" t="s">
        <v>19</v>
      </c>
      <c r="D34" s="16">
        <f t="shared" ref="D34:O34" si="35">SUMIFS($AE:$AE,$Z:$Z,D$3,$AD:$AD,$A34)</f>
        <v>0</v>
      </c>
      <c r="E34" s="17">
        <f t="shared" si="35"/>
        <v>0</v>
      </c>
      <c r="F34" s="17">
        <f t="shared" si="35"/>
        <v>0</v>
      </c>
      <c r="G34" s="17">
        <f t="shared" si="35"/>
        <v>0</v>
      </c>
      <c r="H34" s="17">
        <f t="shared" si="35"/>
        <v>0</v>
      </c>
      <c r="I34" s="17">
        <f t="shared" si="35"/>
        <v>0</v>
      </c>
      <c r="J34" s="17">
        <f t="shared" si="35"/>
        <v>0</v>
      </c>
      <c r="K34" s="17">
        <f t="shared" si="35"/>
        <v>0</v>
      </c>
      <c r="L34" s="17">
        <f t="shared" si="35"/>
        <v>0</v>
      </c>
      <c r="M34" s="17">
        <f t="shared" si="35"/>
        <v>0</v>
      </c>
      <c r="N34" s="17">
        <f t="shared" si="35"/>
        <v>0</v>
      </c>
      <c r="O34" s="17">
        <f t="shared" si="35"/>
        <v>0</v>
      </c>
      <c r="P34" s="18">
        <f t="shared" si="5"/>
        <v>0</v>
      </c>
      <c r="Q34" s="18"/>
      <c r="R34" s="4"/>
      <c r="S34" s="82">
        <v>46295.0</v>
      </c>
      <c r="T34" s="83" t="s">
        <v>92</v>
      </c>
      <c r="U34" s="89">
        <v>46022.0</v>
      </c>
      <c r="V34" s="89"/>
      <c r="W34" s="88" t="s">
        <v>8</v>
      </c>
      <c r="X34" s="85">
        <v>0.0</v>
      </c>
      <c r="Y34" s="4"/>
      <c r="Z34" s="82">
        <v>46295.0</v>
      </c>
      <c r="AA34" s="83" t="s">
        <v>92</v>
      </c>
      <c r="AB34" s="89">
        <v>45961.0</v>
      </c>
      <c r="AC34" s="89"/>
      <c r="AD34" s="87" t="s">
        <v>101</v>
      </c>
      <c r="AE34" s="85">
        <v>0.0</v>
      </c>
      <c r="AF34" s="4"/>
    </row>
    <row r="35">
      <c r="A35" s="15" t="s">
        <v>14</v>
      </c>
      <c r="B35" s="14">
        <f t="shared" si="17"/>
        <v>30</v>
      </c>
      <c r="C35" s="90" t="s">
        <v>119</v>
      </c>
      <c r="D35" s="91">
        <f t="shared" ref="D35:O35" si="36">SUMIFS($AE:$AE,$Z:$Z,D$3,$AD:$AD,$A35)</f>
        <v>0</v>
      </c>
      <c r="E35" s="91">
        <f t="shared" si="36"/>
        <v>0</v>
      </c>
      <c r="F35" s="91">
        <f t="shared" si="36"/>
        <v>0</v>
      </c>
      <c r="G35" s="91">
        <f t="shared" si="36"/>
        <v>0</v>
      </c>
      <c r="H35" s="91">
        <f t="shared" si="36"/>
        <v>0</v>
      </c>
      <c r="I35" s="91">
        <f t="shared" si="36"/>
        <v>765000</v>
      </c>
      <c r="J35" s="91">
        <f t="shared" si="36"/>
        <v>2105000</v>
      </c>
      <c r="K35" s="91">
        <f t="shared" si="36"/>
        <v>0</v>
      </c>
      <c r="L35" s="91">
        <f t="shared" si="36"/>
        <v>0</v>
      </c>
      <c r="M35" s="91">
        <f t="shared" si="36"/>
        <v>0</v>
      </c>
      <c r="N35" s="91">
        <f t="shared" si="36"/>
        <v>0</v>
      </c>
      <c r="O35" s="91">
        <f t="shared" si="36"/>
        <v>0</v>
      </c>
      <c r="P35" s="92">
        <f t="shared" si="5"/>
        <v>2870000</v>
      </c>
      <c r="Q35" s="92"/>
      <c r="R35" s="4"/>
      <c r="S35" s="82">
        <v>46295.0</v>
      </c>
      <c r="T35" s="93" t="s">
        <v>92</v>
      </c>
      <c r="U35" s="94">
        <v>46022.0</v>
      </c>
      <c r="V35" s="94"/>
      <c r="W35" s="95" t="s">
        <v>9</v>
      </c>
      <c r="X35" s="96">
        <v>0.0</v>
      </c>
      <c r="Y35" s="4"/>
      <c r="Z35" s="82">
        <v>46295.0</v>
      </c>
      <c r="AA35" s="93" t="s">
        <v>92</v>
      </c>
      <c r="AB35" s="94">
        <v>45961.0</v>
      </c>
      <c r="AC35" s="94"/>
      <c r="AD35" s="97" t="s">
        <v>102</v>
      </c>
      <c r="AE35" s="96">
        <v>0.0</v>
      </c>
      <c r="AF35" s="4"/>
    </row>
    <row r="36">
      <c r="A36" s="5"/>
      <c r="B36" s="24"/>
      <c r="C36" s="25" t="s">
        <v>24</v>
      </c>
      <c r="D36" s="26">
        <f t="shared" ref="D36:O36" si="37">SUM(D15:D35)</f>
        <v>0</v>
      </c>
      <c r="E36" s="26">
        <f t="shared" si="37"/>
        <v>0</v>
      </c>
      <c r="F36" s="26">
        <f t="shared" si="37"/>
        <v>0</v>
      </c>
      <c r="G36" s="26">
        <f t="shared" si="37"/>
        <v>0</v>
      </c>
      <c r="H36" s="26">
        <f t="shared" si="37"/>
        <v>0</v>
      </c>
      <c r="I36" s="26">
        <f t="shared" si="37"/>
        <v>12586100</v>
      </c>
      <c r="J36" s="26">
        <f t="shared" si="37"/>
        <v>21650160</v>
      </c>
      <c r="K36" s="26">
        <f t="shared" si="37"/>
        <v>0</v>
      </c>
      <c r="L36" s="26">
        <f t="shared" si="37"/>
        <v>0</v>
      </c>
      <c r="M36" s="26">
        <f t="shared" si="37"/>
        <v>0</v>
      </c>
      <c r="N36" s="26">
        <f t="shared" si="37"/>
        <v>0</v>
      </c>
      <c r="O36" s="26">
        <f t="shared" si="37"/>
        <v>0</v>
      </c>
      <c r="P36" s="27">
        <f t="shared" si="5"/>
        <v>34236260</v>
      </c>
      <c r="Q36" s="27"/>
      <c r="R36" s="4"/>
      <c r="S36" s="82">
        <v>46295.0</v>
      </c>
      <c r="T36" s="98" t="s">
        <v>92</v>
      </c>
      <c r="U36" s="99">
        <v>46022.0</v>
      </c>
      <c r="V36" s="99"/>
      <c r="W36" s="98" t="s">
        <v>10</v>
      </c>
      <c r="X36" s="100">
        <v>0.0</v>
      </c>
      <c r="Z36" s="82">
        <v>46295.0</v>
      </c>
      <c r="AA36" s="98" t="s">
        <v>92</v>
      </c>
      <c r="AB36" s="99">
        <v>45961.0</v>
      </c>
      <c r="AC36" s="99"/>
      <c r="AD36" s="100" t="s">
        <v>103</v>
      </c>
      <c r="AE36" s="100">
        <v>210000.0</v>
      </c>
      <c r="AF36" s="4"/>
    </row>
    <row r="37">
      <c r="A37" s="5"/>
      <c r="B37" s="28"/>
      <c r="C37" s="29" t="s">
        <v>26</v>
      </c>
      <c r="D37" s="30">
        <f t="shared" ref="D37:O37" si="38">D14-D36</f>
        <v>0</v>
      </c>
      <c r="E37" s="30">
        <f t="shared" si="38"/>
        <v>0</v>
      </c>
      <c r="F37" s="30">
        <f t="shared" si="38"/>
        <v>0</v>
      </c>
      <c r="G37" s="30">
        <f t="shared" si="38"/>
        <v>0</v>
      </c>
      <c r="H37" s="30">
        <f t="shared" si="38"/>
        <v>0</v>
      </c>
      <c r="I37" s="30">
        <f t="shared" si="38"/>
        <v>18956400</v>
      </c>
      <c r="J37" s="30">
        <f t="shared" si="38"/>
        <v>9892340</v>
      </c>
      <c r="K37" s="30">
        <f t="shared" si="38"/>
        <v>0</v>
      </c>
      <c r="L37" s="30">
        <f t="shared" si="38"/>
        <v>0</v>
      </c>
      <c r="M37" s="30">
        <f t="shared" si="38"/>
        <v>0</v>
      </c>
      <c r="N37" s="30">
        <f t="shared" si="38"/>
        <v>0</v>
      </c>
      <c r="O37" s="30">
        <f t="shared" si="38"/>
        <v>0</v>
      </c>
      <c r="P37" s="31">
        <f t="shared" si="5"/>
        <v>28848740</v>
      </c>
      <c r="Q37" s="31"/>
      <c r="R37" s="4"/>
      <c r="S37" s="82">
        <v>46295.0</v>
      </c>
      <c r="T37" s="56" t="s">
        <v>92</v>
      </c>
      <c r="U37" s="101">
        <v>46022.0</v>
      </c>
      <c r="V37" s="101"/>
      <c r="W37" s="56" t="s">
        <v>11</v>
      </c>
      <c r="X37" s="102">
        <v>0.0</v>
      </c>
      <c r="Y37" s="4"/>
      <c r="Z37" s="82">
        <v>46295.0</v>
      </c>
      <c r="AA37" s="56" t="s">
        <v>92</v>
      </c>
      <c r="AB37" s="101">
        <v>45961.0</v>
      </c>
      <c r="AC37" s="101"/>
      <c r="AD37" s="102" t="s">
        <v>105</v>
      </c>
      <c r="AE37" s="102">
        <v>0.0</v>
      </c>
      <c r="AF37" s="4"/>
    </row>
    <row r="38" ht="8.25" customHeight="1">
      <c r="A38" s="5"/>
      <c r="B38" s="32"/>
      <c r="P38" s="33"/>
      <c r="R38" s="3"/>
      <c r="S38" s="82">
        <v>46295.0</v>
      </c>
      <c r="T38" s="2" t="s">
        <v>92</v>
      </c>
      <c r="U38" s="103">
        <v>46022.0</v>
      </c>
      <c r="V38" s="103"/>
      <c r="W38" s="2" t="s">
        <v>12</v>
      </c>
      <c r="X38" s="104">
        <v>0.0</v>
      </c>
      <c r="Y38" s="3"/>
      <c r="Z38" s="82">
        <v>46295.0</v>
      </c>
      <c r="AA38" s="2" t="s">
        <v>92</v>
      </c>
      <c r="AB38" s="103">
        <v>45961.0</v>
      </c>
      <c r="AC38" s="103"/>
      <c r="AD38" s="104" t="s">
        <v>107</v>
      </c>
      <c r="AE38" s="104">
        <v>0.0</v>
      </c>
      <c r="AF38" s="3"/>
    </row>
    <row r="39" ht="24.0" customHeight="1">
      <c r="A39" s="5"/>
      <c r="B39" s="10" t="s">
        <v>120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34"/>
      <c r="Q39" s="34"/>
      <c r="R39" s="3"/>
      <c r="S39" s="82">
        <v>46295.0</v>
      </c>
      <c r="T39" s="2" t="s">
        <v>92</v>
      </c>
      <c r="U39" s="103">
        <v>46022.0</v>
      </c>
      <c r="V39" s="103"/>
      <c r="W39" s="2" t="s">
        <v>13</v>
      </c>
      <c r="X39" s="104">
        <v>0.0</v>
      </c>
      <c r="Y39" s="3"/>
      <c r="Z39" s="82">
        <v>46295.0</v>
      </c>
      <c r="AA39" s="2" t="s">
        <v>92</v>
      </c>
      <c r="AB39" s="103">
        <v>45961.0</v>
      </c>
      <c r="AC39" s="103"/>
      <c r="AD39" s="104" t="s">
        <v>109</v>
      </c>
      <c r="AE39" s="104">
        <v>0.0</v>
      </c>
      <c r="AF39" s="3"/>
    </row>
    <row r="40">
      <c r="A40" s="5"/>
      <c r="B40" s="14">
        <f>B35+1</f>
        <v>31</v>
      </c>
      <c r="C40" s="105" t="s">
        <v>23</v>
      </c>
      <c r="D40" s="16">
        <v>16900.0</v>
      </c>
      <c r="E40" s="16">
        <v>16900.0</v>
      </c>
      <c r="F40" s="16">
        <v>16900.0</v>
      </c>
      <c r="G40" s="16">
        <v>16900.0</v>
      </c>
      <c r="H40" s="16">
        <v>16900.0</v>
      </c>
      <c r="I40" s="16">
        <v>16900.0</v>
      </c>
      <c r="J40" s="16">
        <v>16900.0</v>
      </c>
      <c r="K40" s="16">
        <v>16900.0</v>
      </c>
      <c r="L40" s="16">
        <v>16900.0</v>
      </c>
      <c r="M40" s="16">
        <v>16900.0</v>
      </c>
      <c r="N40" s="16">
        <v>16900.0</v>
      </c>
      <c r="O40" s="16">
        <v>16900.0</v>
      </c>
      <c r="P40" s="18">
        <f t="shared" ref="P40:P42" si="39">SUM(D40:O40)</f>
        <v>202800</v>
      </c>
      <c r="Q40" s="41" t="s">
        <v>121</v>
      </c>
      <c r="R40" s="4"/>
      <c r="S40" s="82">
        <v>46295.0</v>
      </c>
      <c r="T40" s="56" t="s">
        <v>92</v>
      </c>
      <c r="U40" s="101">
        <v>46022.0</v>
      </c>
      <c r="V40" s="101"/>
      <c r="W40" s="56" t="s">
        <v>14</v>
      </c>
      <c r="X40" s="102">
        <v>0.0</v>
      </c>
      <c r="Y40" s="4"/>
      <c r="Z40" s="82">
        <v>46295.0</v>
      </c>
      <c r="AA40" s="56" t="s">
        <v>92</v>
      </c>
      <c r="AB40" s="101">
        <v>45961.0</v>
      </c>
      <c r="AC40" s="101"/>
      <c r="AD40" s="102" t="s">
        <v>111</v>
      </c>
      <c r="AE40" s="102">
        <v>0.0</v>
      </c>
      <c r="AF40" s="4"/>
    </row>
    <row r="41">
      <c r="A41" s="5"/>
      <c r="B41" s="14">
        <f>B40+1</f>
        <v>32</v>
      </c>
      <c r="C41" s="105" t="s">
        <v>43</v>
      </c>
      <c r="D41" s="16">
        <v>1037.0</v>
      </c>
      <c r="E41" s="16">
        <v>1037.0</v>
      </c>
      <c r="F41" s="16">
        <v>1037.0</v>
      </c>
      <c r="G41" s="16">
        <v>1037.0</v>
      </c>
      <c r="H41" s="16">
        <v>1037.0</v>
      </c>
      <c r="I41" s="16">
        <v>1037.0</v>
      </c>
      <c r="J41" s="16">
        <v>1037.0</v>
      </c>
      <c r="K41" s="16">
        <v>1037.0</v>
      </c>
      <c r="L41" s="16">
        <v>1037.0</v>
      </c>
      <c r="M41" s="16">
        <v>1037.0</v>
      </c>
      <c r="N41" s="16">
        <v>1037.0</v>
      </c>
      <c r="O41" s="16">
        <v>1037.0</v>
      </c>
      <c r="P41" s="18">
        <f t="shared" si="39"/>
        <v>12444</v>
      </c>
      <c r="Q41" s="41" t="s">
        <v>122</v>
      </c>
      <c r="R41" s="4"/>
      <c r="S41" s="82">
        <v>46295.0</v>
      </c>
      <c r="T41" s="56" t="s">
        <v>92</v>
      </c>
      <c r="U41" s="101">
        <v>46053.0</v>
      </c>
      <c r="V41" s="101"/>
      <c r="W41" s="56" t="s">
        <v>6</v>
      </c>
      <c r="X41" s="102">
        <v>0.0</v>
      </c>
      <c r="Y41" s="4"/>
      <c r="Z41" s="82">
        <v>46295.0</v>
      </c>
      <c r="AA41" s="56" t="s">
        <v>92</v>
      </c>
      <c r="AB41" s="101">
        <v>45961.0</v>
      </c>
      <c r="AC41" s="101"/>
      <c r="AD41" s="102" t="s">
        <v>112</v>
      </c>
      <c r="AE41" s="102">
        <v>0.0</v>
      </c>
      <c r="AF41" s="4"/>
    </row>
    <row r="42">
      <c r="A42" s="5"/>
      <c r="B42" s="42"/>
      <c r="C42" s="43" t="s">
        <v>69</v>
      </c>
      <c r="D42" s="44">
        <f t="shared" ref="D42:O42" si="40">SUM(D40:D41)</f>
        <v>17937</v>
      </c>
      <c r="E42" s="44">
        <f t="shared" si="40"/>
        <v>17937</v>
      </c>
      <c r="F42" s="44">
        <f t="shared" si="40"/>
        <v>17937</v>
      </c>
      <c r="G42" s="44">
        <f t="shared" si="40"/>
        <v>17937</v>
      </c>
      <c r="H42" s="44">
        <f t="shared" si="40"/>
        <v>17937</v>
      </c>
      <c r="I42" s="44">
        <f t="shared" si="40"/>
        <v>17937</v>
      </c>
      <c r="J42" s="44">
        <f t="shared" si="40"/>
        <v>17937</v>
      </c>
      <c r="K42" s="44">
        <f t="shared" si="40"/>
        <v>17937</v>
      </c>
      <c r="L42" s="44">
        <f t="shared" si="40"/>
        <v>17937</v>
      </c>
      <c r="M42" s="44">
        <f t="shared" si="40"/>
        <v>17937</v>
      </c>
      <c r="N42" s="44">
        <f t="shared" si="40"/>
        <v>17937</v>
      </c>
      <c r="O42" s="44">
        <f t="shared" si="40"/>
        <v>17937</v>
      </c>
      <c r="P42" s="45">
        <f t="shared" si="39"/>
        <v>215244</v>
      </c>
      <c r="Q42" s="45"/>
      <c r="R42" s="4"/>
      <c r="S42" s="82">
        <v>46295.0</v>
      </c>
      <c r="T42" s="56" t="s">
        <v>92</v>
      </c>
      <c r="U42" s="101">
        <v>46053.0</v>
      </c>
      <c r="V42" s="101"/>
      <c r="W42" s="56" t="s">
        <v>7</v>
      </c>
      <c r="X42" s="56">
        <v>0.0</v>
      </c>
      <c r="Y42" s="4"/>
      <c r="Z42" s="82">
        <v>46295.0</v>
      </c>
      <c r="AA42" s="56" t="s">
        <v>92</v>
      </c>
      <c r="AB42" s="101">
        <v>45961.0</v>
      </c>
      <c r="AC42" s="101"/>
      <c r="AD42" s="102" t="s">
        <v>46</v>
      </c>
      <c r="AE42" s="102">
        <v>0.0</v>
      </c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3"/>
      <c r="Q43" s="3"/>
      <c r="R43" s="4"/>
      <c r="S43" s="82">
        <v>46295.0</v>
      </c>
      <c r="T43" s="56" t="s">
        <v>92</v>
      </c>
      <c r="U43" s="101">
        <v>46053.0</v>
      </c>
      <c r="V43" s="101"/>
      <c r="W43" s="56" t="s">
        <v>8</v>
      </c>
      <c r="X43" s="56">
        <v>0.0</v>
      </c>
      <c r="Y43" s="4"/>
      <c r="Z43" s="82">
        <v>46295.0</v>
      </c>
      <c r="AA43" s="56" t="s">
        <v>92</v>
      </c>
      <c r="AB43" s="101">
        <v>45961.0</v>
      </c>
      <c r="AC43" s="101"/>
      <c r="AD43" s="56" t="s">
        <v>114</v>
      </c>
      <c r="AE43" s="56">
        <v>0.0</v>
      </c>
      <c r="AF43" s="4"/>
    </row>
    <row r="44">
      <c r="A44" s="5"/>
      <c r="B44" s="46"/>
      <c r="C44" s="47" t="s">
        <v>123</v>
      </c>
      <c r="D44" s="48">
        <f t="shared" ref="D44:O44" si="41">D37-D42</f>
        <v>-17937</v>
      </c>
      <c r="E44" s="48">
        <f t="shared" si="41"/>
        <v>-17937</v>
      </c>
      <c r="F44" s="48">
        <f t="shared" si="41"/>
        <v>-17937</v>
      </c>
      <c r="G44" s="48">
        <f t="shared" si="41"/>
        <v>-17937</v>
      </c>
      <c r="H44" s="48">
        <f t="shared" si="41"/>
        <v>-17937</v>
      </c>
      <c r="I44" s="48">
        <f t="shared" si="41"/>
        <v>18938463</v>
      </c>
      <c r="J44" s="48">
        <f t="shared" si="41"/>
        <v>9874403</v>
      </c>
      <c r="K44" s="48">
        <f t="shared" si="41"/>
        <v>-17937</v>
      </c>
      <c r="L44" s="48">
        <f t="shared" si="41"/>
        <v>-17937</v>
      </c>
      <c r="M44" s="48">
        <f t="shared" si="41"/>
        <v>-17937</v>
      </c>
      <c r="N44" s="48">
        <f t="shared" si="41"/>
        <v>-17937</v>
      </c>
      <c r="O44" s="48">
        <f t="shared" si="41"/>
        <v>-17937</v>
      </c>
      <c r="P44" s="49">
        <f>SUM(D44:O44)</f>
        <v>28633496</v>
      </c>
      <c r="Q44" s="49"/>
      <c r="R44" s="4"/>
      <c r="S44" s="82">
        <v>46295.0</v>
      </c>
      <c r="T44" s="56" t="s">
        <v>92</v>
      </c>
      <c r="U44" s="101">
        <v>46053.0</v>
      </c>
      <c r="V44" s="101"/>
      <c r="W44" s="56" t="s">
        <v>9</v>
      </c>
      <c r="X44" s="56">
        <v>0.0</v>
      </c>
      <c r="Y44" s="4"/>
      <c r="Z44" s="82">
        <v>46295.0</v>
      </c>
      <c r="AA44" s="56" t="s">
        <v>92</v>
      </c>
      <c r="AB44" s="101">
        <v>45961.0</v>
      </c>
      <c r="AC44" s="101"/>
      <c r="AD44" s="56" t="s">
        <v>23</v>
      </c>
      <c r="AE44" s="56">
        <v>0.0</v>
      </c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3"/>
      <c r="Q45" s="3"/>
      <c r="R45" s="4"/>
      <c r="S45" s="82">
        <v>46295.0</v>
      </c>
      <c r="T45" s="56" t="s">
        <v>92</v>
      </c>
      <c r="U45" s="101">
        <v>46053.0</v>
      </c>
      <c r="V45" s="101"/>
      <c r="W45" s="56" t="s">
        <v>10</v>
      </c>
      <c r="X45" s="56">
        <v>0.0</v>
      </c>
      <c r="Y45" s="4"/>
      <c r="Z45" s="82">
        <v>46295.0</v>
      </c>
      <c r="AA45" s="56" t="s">
        <v>92</v>
      </c>
      <c r="AB45" s="101">
        <v>45961.0</v>
      </c>
      <c r="AC45" s="101"/>
      <c r="AD45" s="56" t="s">
        <v>117</v>
      </c>
      <c r="AE45" s="56">
        <v>0.0</v>
      </c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3"/>
      <c r="Q46" s="3"/>
      <c r="R46" s="4"/>
      <c r="S46" s="82">
        <v>46295.0</v>
      </c>
      <c r="T46" s="56" t="s">
        <v>92</v>
      </c>
      <c r="U46" s="106">
        <v>46053.0</v>
      </c>
      <c r="V46" s="106"/>
      <c r="W46" s="56" t="s">
        <v>11</v>
      </c>
      <c r="X46" s="102">
        <v>0.0</v>
      </c>
      <c r="Y46" s="4"/>
      <c r="Z46" s="82">
        <v>46295.0</v>
      </c>
      <c r="AA46" s="56" t="s">
        <v>92</v>
      </c>
      <c r="AB46" s="101">
        <v>45961.0</v>
      </c>
      <c r="AC46" s="101"/>
      <c r="AD46" s="56" t="s">
        <v>14</v>
      </c>
      <c r="AE46" s="56">
        <v>0.0</v>
      </c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3"/>
      <c r="Q47" s="3"/>
      <c r="R47" s="4"/>
      <c r="S47" s="82">
        <v>46295.0</v>
      </c>
      <c r="T47" s="56" t="s">
        <v>92</v>
      </c>
      <c r="U47" s="106">
        <v>46053.0</v>
      </c>
      <c r="V47" s="106"/>
      <c r="W47" s="56" t="s">
        <v>12</v>
      </c>
      <c r="X47" s="102">
        <v>0.0</v>
      </c>
      <c r="Y47" s="4"/>
      <c r="Z47" s="82">
        <v>46295.0</v>
      </c>
      <c r="AA47" s="56" t="s">
        <v>92</v>
      </c>
      <c r="AB47" s="101">
        <v>45991.0</v>
      </c>
      <c r="AC47" s="101"/>
      <c r="AD47" s="56" t="s">
        <v>93</v>
      </c>
      <c r="AE47" s="56">
        <v>0.0</v>
      </c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3"/>
      <c r="Q48" s="3"/>
      <c r="R48" s="4"/>
      <c r="S48" s="82">
        <v>46295.0</v>
      </c>
      <c r="T48" s="56" t="s">
        <v>92</v>
      </c>
      <c r="U48" s="106">
        <v>46053.0</v>
      </c>
      <c r="V48" s="106"/>
      <c r="W48" s="56" t="s">
        <v>13</v>
      </c>
      <c r="X48" s="56">
        <v>0.0</v>
      </c>
      <c r="Y48" s="4"/>
      <c r="Z48" s="82">
        <v>46295.0</v>
      </c>
      <c r="AA48" s="56" t="s">
        <v>92</v>
      </c>
      <c r="AB48" s="101">
        <v>45991.0</v>
      </c>
      <c r="AC48" s="101"/>
      <c r="AD48" s="56" t="s">
        <v>94</v>
      </c>
      <c r="AE48" s="56">
        <v>0.0</v>
      </c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"/>
      <c r="Q49" s="3"/>
      <c r="R49" s="4"/>
      <c r="S49" s="82">
        <v>46295.0</v>
      </c>
      <c r="T49" s="56" t="s">
        <v>92</v>
      </c>
      <c r="U49" s="106">
        <v>46053.0</v>
      </c>
      <c r="V49" s="106"/>
      <c r="W49" s="56" t="s">
        <v>14</v>
      </c>
      <c r="X49" s="56">
        <v>0.0</v>
      </c>
      <c r="Y49" s="4"/>
      <c r="Z49" s="82">
        <v>46295.0</v>
      </c>
      <c r="AA49" s="56" t="s">
        <v>92</v>
      </c>
      <c r="AB49" s="101">
        <v>45991.0</v>
      </c>
      <c r="AC49" s="101"/>
      <c r="AD49" s="56" t="s">
        <v>95</v>
      </c>
      <c r="AE49" s="56">
        <v>0.0</v>
      </c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"/>
      <c r="Q50" s="3"/>
      <c r="R50" s="4"/>
      <c r="S50" s="82">
        <v>46295.0</v>
      </c>
      <c r="T50" s="56" t="s">
        <v>92</v>
      </c>
      <c r="U50" s="106">
        <v>46081.0</v>
      </c>
      <c r="V50" s="106"/>
      <c r="W50" s="56" t="s">
        <v>6</v>
      </c>
      <c r="X50" s="56">
        <v>0.0</v>
      </c>
      <c r="Y50" s="4"/>
      <c r="Z50" s="82">
        <v>46295.0</v>
      </c>
      <c r="AA50" s="56" t="s">
        <v>92</v>
      </c>
      <c r="AB50" s="101">
        <v>45991.0</v>
      </c>
      <c r="AC50" s="101"/>
      <c r="AD50" s="56" t="s">
        <v>96</v>
      </c>
      <c r="AE50" s="56">
        <v>0.0</v>
      </c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3"/>
      <c r="Q51" s="3"/>
      <c r="R51" s="4"/>
      <c r="S51" s="82">
        <v>46295.0</v>
      </c>
      <c r="T51" s="56" t="s">
        <v>92</v>
      </c>
      <c r="U51" s="106">
        <v>46081.0</v>
      </c>
      <c r="V51" s="106"/>
      <c r="W51" s="56" t="s">
        <v>7</v>
      </c>
      <c r="X51" s="56">
        <v>0.0</v>
      </c>
      <c r="Y51" s="4"/>
      <c r="Z51" s="82">
        <v>46295.0</v>
      </c>
      <c r="AA51" s="56" t="s">
        <v>92</v>
      </c>
      <c r="AB51" s="101">
        <v>45991.0</v>
      </c>
      <c r="AC51" s="101"/>
      <c r="AD51" s="56" t="s">
        <v>97</v>
      </c>
      <c r="AE51" s="56">
        <v>0.0</v>
      </c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3"/>
      <c r="Q52" s="3"/>
      <c r="R52" s="4"/>
      <c r="S52" s="82">
        <v>46295.0</v>
      </c>
      <c r="T52" s="56" t="s">
        <v>92</v>
      </c>
      <c r="U52" s="106">
        <v>46081.0</v>
      </c>
      <c r="V52" s="106"/>
      <c r="W52" s="56" t="s">
        <v>8</v>
      </c>
      <c r="X52" s="56">
        <v>0.0</v>
      </c>
      <c r="Y52" s="4"/>
      <c r="Z52" s="82">
        <v>46295.0</v>
      </c>
      <c r="AA52" s="56" t="s">
        <v>92</v>
      </c>
      <c r="AB52" s="101">
        <v>45991.0</v>
      </c>
      <c r="AC52" s="101"/>
      <c r="AD52" s="56" t="s">
        <v>98</v>
      </c>
      <c r="AE52" s="56">
        <v>0.0</v>
      </c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3"/>
      <c r="Q53" s="3"/>
      <c r="R53" s="4"/>
      <c r="S53" s="82">
        <v>46295.0</v>
      </c>
      <c r="T53" s="56" t="s">
        <v>92</v>
      </c>
      <c r="U53" s="106">
        <v>46081.0</v>
      </c>
      <c r="V53" s="106"/>
      <c r="W53" s="56" t="s">
        <v>9</v>
      </c>
      <c r="X53" s="56">
        <v>0.0</v>
      </c>
      <c r="Y53" s="4"/>
      <c r="Z53" s="82">
        <v>46295.0</v>
      </c>
      <c r="AA53" s="56" t="s">
        <v>92</v>
      </c>
      <c r="AB53" s="101">
        <v>45991.0</v>
      </c>
      <c r="AC53" s="101"/>
      <c r="AD53" s="56" t="s">
        <v>99</v>
      </c>
      <c r="AE53" s="56">
        <v>0.0</v>
      </c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3"/>
      <c r="Q54" s="3"/>
      <c r="R54" s="4"/>
      <c r="S54" s="82">
        <v>46295.0</v>
      </c>
      <c r="T54" s="56" t="s">
        <v>92</v>
      </c>
      <c r="U54" s="106">
        <v>46081.0</v>
      </c>
      <c r="V54" s="106"/>
      <c r="W54" s="56" t="s">
        <v>10</v>
      </c>
      <c r="X54" s="56">
        <v>0.0</v>
      </c>
      <c r="Y54" s="4"/>
      <c r="Z54" s="82">
        <v>46295.0</v>
      </c>
      <c r="AA54" s="56" t="s">
        <v>92</v>
      </c>
      <c r="AB54" s="101">
        <v>45991.0</v>
      </c>
      <c r="AC54" s="101"/>
      <c r="AD54" s="56" t="s">
        <v>100</v>
      </c>
      <c r="AE54" s="56">
        <v>0.0</v>
      </c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"/>
      <c r="Q55" s="3"/>
      <c r="R55" s="4"/>
      <c r="S55" s="82">
        <v>46295.0</v>
      </c>
      <c r="T55" s="56" t="s">
        <v>92</v>
      </c>
      <c r="U55" s="106">
        <v>46081.0</v>
      </c>
      <c r="V55" s="106"/>
      <c r="W55" s="56" t="s">
        <v>11</v>
      </c>
      <c r="X55" s="56">
        <v>0.0</v>
      </c>
      <c r="Y55" s="4"/>
      <c r="Z55" s="82">
        <v>46295.0</v>
      </c>
      <c r="AA55" s="56" t="s">
        <v>92</v>
      </c>
      <c r="AB55" s="101">
        <v>45991.0</v>
      </c>
      <c r="AC55" s="101"/>
      <c r="AD55" s="56" t="s">
        <v>101</v>
      </c>
      <c r="AE55" s="56">
        <v>0.0</v>
      </c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"/>
      <c r="Q56" s="3"/>
      <c r="R56" s="4"/>
      <c r="S56" s="82">
        <v>46295.0</v>
      </c>
      <c r="T56" s="56" t="s">
        <v>92</v>
      </c>
      <c r="U56" s="106">
        <v>46081.0</v>
      </c>
      <c r="V56" s="106"/>
      <c r="W56" s="56" t="s">
        <v>12</v>
      </c>
      <c r="X56" s="102">
        <v>0.0</v>
      </c>
      <c r="Y56" s="4"/>
      <c r="Z56" s="82">
        <v>46295.0</v>
      </c>
      <c r="AA56" s="56" t="s">
        <v>92</v>
      </c>
      <c r="AB56" s="101">
        <v>45991.0</v>
      </c>
      <c r="AC56" s="101"/>
      <c r="AD56" s="56" t="s">
        <v>102</v>
      </c>
      <c r="AE56" s="56">
        <v>0.0</v>
      </c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3"/>
      <c r="Q57" s="3"/>
      <c r="R57" s="4"/>
      <c r="S57" s="82">
        <v>46295.0</v>
      </c>
      <c r="T57" s="56" t="s">
        <v>92</v>
      </c>
      <c r="U57" s="106">
        <v>46081.0</v>
      </c>
      <c r="V57" s="106"/>
      <c r="W57" s="56" t="s">
        <v>13</v>
      </c>
      <c r="X57" s="102">
        <v>0.0</v>
      </c>
      <c r="Y57" s="4"/>
      <c r="Z57" s="82">
        <v>46295.0</v>
      </c>
      <c r="AA57" s="56" t="s">
        <v>92</v>
      </c>
      <c r="AB57" s="101">
        <v>45991.0</v>
      </c>
      <c r="AC57" s="101"/>
      <c r="AD57" s="56" t="s">
        <v>103</v>
      </c>
      <c r="AE57" s="102">
        <v>210000.0</v>
      </c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"/>
      <c r="Q58" s="3"/>
      <c r="R58" s="4"/>
      <c r="S58" s="82">
        <v>46295.0</v>
      </c>
      <c r="T58" s="56" t="s">
        <v>92</v>
      </c>
      <c r="U58" s="106">
        <v>46081.0</v>
      </c>
      <c r="V58" s="106"/>
      <c r="W58" s="56" t="s">
        <v>14</v>
      </c>
      <c r="X58" s="56">
        <v>0.0</v>
      </c>
      <c r="Y58" s="4"/>
      <c r="Z58" s="82">
        <v>46295.0</v>
      </c>
      <c r="AA58" s="56" t="s">
        <v>92</v>
      </c>
      <c r="AB58" s="101">
        <v>45991.0</v>
      </c>
      <c r="AC58" s="101"/>
      <c r="AD58" s="56" t="s">
        <v>105</v>
      </c>
      <c r="AE58" s="56">
        <v>0.0</v>
      </c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"/>
      <c r="Q59" s="3"/>
      <c r="R59" s="4"/>
      <c r="S59" s="82">
        <v>46295.0</v>
      </c>
      <c r="T59" s="56" t="s">
        <v>92</v>
      </c>
      <c r="U59" s="106">
        <v>46112.0</v>
      </c>
      <c r="V59" s="106"/>
      <c r="W59" s="56" t="s">
        <v>6</v>
      </c>
      <c r="X59" s="56">
        <v>0.0</v>
      </c>
      <c r="Y59" s="4"/>
      <c r="Z59" s="82">
        <v>46295.0</v>
      </c>
      <c r="AA59" s="56" t="s">
        <v>92</v>
      </c>
      <c r="AB59" s="101">
        <v>45991.0</v>
      </c>
      <c r="AC59" s="101"/>
      <c r="AD59" s="56" t="s">
        <v>107</v>
      </c>
      <c r="AE59" s="102">
        <v>0.0</v>
      </c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/>
      <c r="Q60" s="3"/>
      <c r="R60" s="4"/>
      <c r="S60" s="82">
        <v>46295.0</v>
      </c>
      <c r="T60" s="56" t="s">
        <v>92</v>
      </c>
      <c r="U60" s="106">
        <v>46112.0</v>
      </c>
      <c r="V60" s="106"/>
      <c r="W60" s="56" t="s">
        <v>7</v>
      </c>
      <c r="X60" s="56">
        <v>0.0</v>
      </c>
      <c r="Y60" s="4"/>
      <c r="Z60" s="82">
        <v>46295.0</v>
      </c>
      <c r="AA60" s="56" t="s">
        <v>92</v>
      </c>
      <c r="AB60" s="101">
        <v>45991.0</v>
      </c>
      <c r="AC60" s="101"/>
      <c r="AD60" s="56" t="s">
        <v>109</v>
      </c>
      <c r="AE60" s="102">
        <v>0.0</v>
      </c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"/>
      <c r="Q61" s="3"/>
      <c r="R61" s="4"/>
      <c r="S61" s="82">
        <v>46295.0</v>
      </c>
      <c r="T61" s="56" t="s">
        <v>92</v>
      </c>
      <c r="U61" s="106">
        <v>46112.0</v>
      </c>
      <c r="V61" s="106"/>
      <c r="W61" s="56" t="s">
        <v>8</v>
      </c>
      <c r="X61" s="102">
        <v>5033000.0</v>
      </c>
      <c r="Y61" s="4"/>
      <c r="Z61" s="82">
        <v>46295.0</v>
      </c>
      <c r="AA61" s="56" t="s">
        <v>92</v>
      </c>
      <c r="AB61" s="101">
        <v>45991.0</v>
      </c>
      <c r="AC61" s="101"/>
      <c r="AD61" s="56" t="s">
        <v>111</v>
      </c>
      <c r="AE61" s="56">
        <v>0.0</v>
      </c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  <c r="Q62" s="3"/>
      <c r="R62" s="4"/>
      <c r="S62" s="82">
        <v>46295.0</v>
      </c>
      <c r="T62" s="56" t="s">
        <v>92</v>
      </c>
      <c r="U62" s="106">
        <v>46112.0</v>
      </c>
      <c r="V62" s="106"/>
      <c r="W62" s="56" t="s">
        <v>9</v>
      </c>
      <c r="X62" s="102">
        <v>1089000.0</v>
      </c>
      <c r="Y62" s="4"/>
      <c r="Z62" s="82">
        <v>46295.0</v>
      </c>
      <c r="AA62" s="56" t="s">
        <v>92</v>
      </c>
      <c r="AB62" s="101">
        <v>45991.0</v>
      </c>
      <c r="AC62" s="101"/>
      <c r="AD62" s="56" t="s">
        <v>112</v>
      </c>
      <c r="AE62" s="56">
        <v>0.0</v>
      </c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"/>
      <c r="Q63" s="3"/>
      <c r="R63" s="4"/>
      <c r="S63" s="82">
        <v>46295.0</v>
      </c>
      <c r="T63" s="56" t="s">
        <v>92</v>
      </c>
      <c r="U63" s="106">
        <v>46112.0</v>
      </c>
      <c r="V63" s="106"/>
      <c r="W63" s="56" t="s">
        <v>10</v>
      </c>
      <c r="X63" s="56">
        <v>0.0</v>
      </c>
      <c r="Y63" s="4"/>
      <c r="Z63" s="82">
        <v>46295.0</v>
      </c>
      <c r="AA63" s="56" t="s">
        <v>92</v>
      </c>
      <c r="AB63" s="101">
        <v>45991.0</v>
      </c>
      <c r="AC63" s="101"/>
      <c r="AD63" s="56" t="s">
        <v>46</v>
      </c>
      <c r="AE63" s="56">
        <v>0.0</v>
      </c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3"/>
      <c r="Q64" s="3"/>
      <c r="R64" s="4"/>
      <c r="S64" s="82">
        <v>46295.0</v>
      </c>
      <c r="T64" s="56" t="s">
        <v>92</v>
      </c>
      <c r="U64" s="106">
        <v>46112.0</v>
      </c>
      <c r="V64" s="106"/>
      <c r="W64" s="56" t="s">
        <v>11</v>
      </c>
      <c r="X64" s="56">
        <v>0.0</v>
      </c>
      <c r="Y64" s="4"/>
      <c r="Z64" s="82">
        <v>46295.0</v>
      </c>
      <c r="AA64" s="56" t="s">
        <v>92</v>
      </c>
      <c r="AB64" s="101">
        <v>45991.0</v>
      </c>
      <c r="AC64" s="101"/>
      <c r="AD64" s="56" t="s">
        <v>114</v>
      </c>
      <c r="AE64" s="56">
        <v>0.0</v>
      </c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"/>
      <c r="Q65" s="3"/>
      <c r="R65" s="4"/>
      <c r="S65" s="82">
        <v>46295.0</v>
      </c>
      <c r="T65" s="56" t="s">
        <v>92</v>
      </c>
      <c r="U65" s="106">
        <v>46112.0</v>
      </c>
      <c r="V65" s="106"/>
      <c r="W65" s="56" t="s">
        <v>12</v>
      </c>
      <c r="X65" s="56">
        <v>0.0</v>
      </c>
      <c r="Y65" s="4"/>
      <c r="Z65" s="82">
        <v>46295.0</v>
      </c>
      <c r="AA65" s="56" t="s">
        <v>92</v>
      </c>
      <c r="AB65" s="101">
        <v>45991.0</v>
      </c>
      <c r="AC65" s="101"/>
      <c r="AD65" s="56" t="s">
        <v>23</v>
      </c>
      <c r="AE65" s="56">
        <v>0.0</v>
      </c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"/>
      <c r="Q66" s="3"/>
      <c r="R66" s="4"/>
      <c r="S66" s="82">
        <v>46295.0</v>
      </c>
      <c r="T66" s="56" t="s">
        <v>92</v>
      </c>
      <c r="U66" s="106">
        <v>46112.0</v>
      </c>
      <c r="V66" s="106"/>
      <c r="W66" s="56" t="s">
        <v>13</v>
      </c>
      <c r="X66" s="102">
        <v>0.0</v>
      </c>
      <c r="Y66" s="4"/>
      <c r="Z66" s="82">
        <v>46295.0</v>
      </c>
      <c r="AA66" s="56" t="s">
        <v>92</v>
      </c>
      <c r="AB66" s="101">
        <v>45991.0</v>
      </c>
      <c r="AC66" s="101"/>
      <c r="AD66" s="56" t="s">
        <v>117</v>
      </c>
      <c r="AE66" s="56">
        <v>0.0</v>
      </c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3"/>
      <c r="Q67" s="3"/>
      <c r="R67" s="4"/>
      <c r="S67" s="82">
        <v>46295.0</v>
      </c>
      <c r="T67" s="56" t="s">
        <v>92</v>
      </c>
      <c r="U67" s="106">
        <v>46112.0</v>
      </c>
      <c r="V67" s="106"/>
      <c r="W67" s="56" t="s">
        <v>14</v>
      </c>
      <c r="X67" s="102">
        <v>0.0</v>
      </c>
      <c r="Y67" s="4"/>
      <c r="Z67" s="82">
        <v>46295.0</v>
      </c>
      <c r="AA67" s="56" t="s">
        <v>92</v>
      </c>
      <c r="AB67" s="101">
        <v>45991.0</v>
      </c>
      <c r="AC67" s="101"/>
      <c r="AD67" s="56" t="s">
        <v>14</v>
      </c>
      <c r="AE67" s="56">
        <v>0.0</v>
      </c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"/>
      <c r="Q68" s="3"/>
      <c r="R68" s="4"/>
      <c r="S68" s="82">
        <v>46295.0</v>
      </c>
      <c r="T68" s="56" t="s">
        <v>92</v>
      </c>
      <c r="U68" s="106">
        <v>46142.0</v>
      </c>
      <c r="V68" s="106"/>
      <c r="W68" s="56" t="s">
        <v>6</v>
      </c>
      <c r="X68" s="102">
        <v>6100000.0</v>
      </c>
      <c r="Y68" s="4"/>
      <c r="Z68" s="82">
        <v>46295.0</v>
      </c>
      <c r="AA68" s="56" t="s">
        <v>92</v>
      </c>
      <c r="AB68" s="101">
        <v>46022.0</v>
      </c>
      <c r="AC68" s="101"/>
      <c r="AD68" s="56" t="s">
        <v>93</v>
      </c>
      <c r="AE68" s="56">
        <v>0.0</v>
      </c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"/>
      <c r="Q69" s="3"/>
      <c r="R69" s="4"/>
      <c r="S69" s="82">
        <v>46295.0</v>
      </c>
      <c r="T69" s="56" t="s">
        <v>92</v>
      </c>
      <c r="U69" s="106">
        <v>46142.0</v>
      </c>
      <c r="V69" s="106"/>
      <c r="W69" s="56" t="s">
        <v>7</v>
      </c>
      <c r="X69" s="102">
        <v>0.0</v>
      </c>
      <c r="Y69" s="4"/>
      <c r="Z69" s="82">
        <v>46295.0</v>
      </c>
      <c r="AA69" s="56" t="s">
        <v>92</v>
      </c>
      <c r="AB69" s="101">
        <v>46022.0</v>
      </c>
      <c r="AC69" s="101"/>
      <c r="AD69" s="56" t="s">
        <v>94</v>
      </c>
      <c r="AE69" s="56">
        <v>0.0</v>
      </c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3"/>
      <c r="Q70" s="3"/>
      <c r="R70" s="4"/>
      <c r="S70" s="82">
        <v>46295.0</v>
      </c>
      <c r="T70" s="56" t="s">
        <v>92</v>
      </c>
      <c r="U70" s="106">
        <v>46142.0</v>
      </c>
      <c r="V70" s="106"/>
      <c r="W70" s="56" t="s">
        <v>8</v>
      </c>
      <c r="X70" s="102">
        <v>0.0</v>
      </c>
      <c r="Y70" s="4"/>
      <c r="Z70" s="82">
        <v>46295.0</v>
      </c>
      <c r="AA70" s="56" t="s">
        <v>92</v>
      </c>
      <c r="AB70" s="101">
        <v>46022.0</v>
      </c>
      <c r="AC70" s="101"/>
      <c r="AD70" s="56" t="s">
        <v>95</v>
      </c>
      <c r="AE70" s="56">
        <v>0.0</v>
      </c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3"/>
      <c r="Q71" s="3"/>
      <c r="R71" s="4"/>
      <c r="S71" s="82">
        <v>46295.0</v>
      </c>
      <c r="T71" s="56" t="s">
        <v>92</v>
      </c>
      <c r="U71" s="106">
        <v>46142.0</v>
      </c>
      <c r="V71" s="106"/>
      <c r="W71" s="56" t="s">
        <v>9</v>
      </c>
      <c r="X71" s="56">
        <v>0.0</v>
      </c>
      <c r="Y71" s="4"/>
      <c r="Z71" s="82">
        <v>46295.0</v>
      </c>
      <c r="AA71" s="56" t="s">
        <v>92</v>
      </c>
      <c r="AB71" s="101">
        <v>46022.0</v>
      </c>
      <c r="AC71" s="101"/>
      <c r="AD71" s="56" t="s">
        <v>96</v>
      </c>
      <c r="AE71" s="56">
        <v>0.0</v>
      </c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3"/>
      <c r="Q72" s="3"/>
      <c r="R72" s="4"/>
      <c r="S72" s="82">
        <v>46295.0</v>
      </c>
      <c r="T72" s="56" t="s">
        <v>92</v>
      </c>
      <c r="U72" s="106">
        <v>46142.0</v>
      </c>
      <c r="V72" s="106"/>
      <c r="W72" s="56" t="s">
        <v>10</v>
      </c>
      <c r="X72" s="56">
        <v>0.0</v>
      </c>
      <c r="Y72" s="4"/>
      <c r="Z72" s="82">
        <v>46295.0</v>
      </c>
      <c r="AA72" s="56" t="s">
        <v>92</v>
      </c>
      <c r="AB72" s="101">
        <v>46022.0</v>
      </c>
      <c r="AC72" s="101"/>
      <c r="AD72" s="56" t="s">
        <v>97</v>
      </c>
      <c r="AE72" s="56">
        <v>0.0</v>
      </c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"/>
      <c r="Q73" s="3"/>
      <c r="R73" s="4"/>
      <c r="S73" s="82">
        <v>46295.0</v>
      </c>
      <c r="T73" s="56" t="s">
        <v>92</v>
      </c>
      <c r="U73" s="106">
        <v>46142.0</v>
      </c>
      <c r="V73" s="106"/>
      <c r="W73" s="56" t="s">
        <v>11</v>
      </c>
      <c r="X73" s="56">
        <v>0.0</v>
      </c>
      <c r="Y73" s="4"/>
      <c r="Z73" s="82">
        <v>46295.0</v>
      </c>
      <c r="AA73" s="56" t="s">
        <v>92</v>
      </c>
      <c r="AB73" s="101">
        <v>46022.0</v>
      </c>
      <c r="AC73" s="101"/>
      <c r="AD73" s="56" t="s">
        <v>98</v>
      </c>
      <c r="AE73" s="56">
        <v>0.0</v>
      </c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"/>
      <c r="Q74" s="3"/>
      <c r="R74" s="4"/>
      <c r="S74" s="82">
        <v>46295.0</v>
      </c>
      <c r="T74" s="56" t="s">
        <v>92</v>
      </c>
      <c r="U74" s="106">
        <v>46142.0</v>
      </c>
      <c r="V74" s="106"/>
      <c r="W74" s="56" t="s">
        <v>12</v>
      </c>
      <c r="X74" s="56">
        <v>0.0</v>
      </c>
      <c r="Y74" s="4"/>
      <c r="Z74" s="82">
        <v>46295.0</v>
      </c>
      <c r="AA74" s="56" t="s">
        <v>92</v>
      </c>
      <c r="AB74" s="101">
        <v>46022.0</v>
      </c>
      <c r="AC74" s="101"/>
      <c r="AD74" s="56" t="s">
        <v>99</v>
      </c>
      <c r="AE74" s="56">
        <v>0.0</v>
      </c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"/>
      <c r="Q75" s="3"/>
      <c r="R75" s="4"/>
      <c r="S75" s="82">
        <v>46295.0</v>
      </c>
      <c r="T75" s="56" t="s">
        <v>92</v>
      </c>
      <c r="U75" s="106">
        <v>46142.0</v>
      </c>
      <c r="V75" s="106"/>
      <c r="W75" s="56" t="s">
        <v>13</v>
      </c>
      <c r="X75" s="56">
        <v>0.0</v>
      </c>
      <c r="Y75" s="4"/>
      <c r="Z75" s="82">
        <v>46295.0</v>
      </c>
      <c r="AA75" s="56" t="s">
        <v>92</v>
      </c>
      <c r="AB75" s="101">
        <v>46022.0</v>
      </c>
      <c r="AC75" s="101"/>
      <c r="AD75" s="56" t="s">
        <v>100</v>
      </c>
      <c r="AE75" s="56">
        <v>0.0</v>
      </c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"/>
      <c r="Q76" s="3"/>
      <c r="R76" s="4"/>
      <c r="S76" s="82">
        <v>46295.0</v>
      </c>
      <c r="T76" s="56" t="s">
        <v>92</v>
      </c>
      <c r="U76" s="106">
        <v>46142.0</v>
      </c>
      <c r="V76" s="106"/>
      <c r="W76" s="56" t="s">
        <v>14</v>
      </c>
      <c r="X76" s="102">
        <v>0.0</v>
      </c>
      <c r="Y76" s="4"/>
      <c r="Z76" s="82">
        <v>46295.0</v>
      </c>
      <c r="AA76" s="56" t="s">
        <v>92</v>
      </c>
      <c r="AB76" s="101">
        <v>46022.0</v>
      </c>
      <c r="AC76" s="101"/>
      <c r="AD76" s="56" t="s">
        <v>101</v>
      </c>
      <c r="AE76" s="56">
        <v>0.0</v>
      </c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/>
      <c r="Q77" s="3"/>
      <c r="R77" s="4"/>
      <c r="S77" s="82">
        <v>46295.0</v>
      </c>
      <c r="T77" s="56" t="s">
        <v>92</v>
      </c>
      <c r="U77" s="106">
        <v>46173.0</v>
      </c>
      <c r="V77" s="106"/>
      <c r="W77" s="56" t="s">
        <v>6</v>
      </c>
      <c r="X77" s="102">
        <v>6100000.0</v>
      </c>
      <c r="Y77" s="4"/>
      <c r="Z77" s="82">
        <v>46295.0</v>
      </c>
      <c r="AA77" s="56" t="s">
        <v>92</v>
      </c>
      <c r="AB77" s="101">
        <v>46022.0</v>
      </c>
      <c r="AC77" s="101"/>
      <c r="AD77" s="56" t="s">
        <v>102</v>
      </c>
      <c r="AE77" s="56">
        <v>0.0</v>
      </c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3"/>
      <c r="Q78" s="3"/>
      <c r="R78" s="4"/>
      <c r="S78" s="82">
        <v>46295.0</v>
      </c>
      <c r="T78" s="56" t="s">
        <v>92</v>
      </c>
      <c r="U78" s="106">
        <v>46173.0</v>
      </c>
      <c r="V78" s="106"/>
      <c r="W78" s="56" t="s">
        <v>7</v>
      </c>
      <c r="X78" s="56">
        <v>0.0</v>
      </c>
      <c r="Y78" s="4"/>
      <c r="Z78" s="82">
        <v>46295.0</v>
      </c>
      <c r="AA78" s="56" t="s">
        <v>92</v>
      </c>
      <c r="AB78" s="101">
        <v>46022.0</v>
      </c>
      <c r="AC78" s="101"/>
      <c r="AD78" s="56" t="s">
        <v>103</v>
      </c>
      <c r="AE78" s="102">
        <v>210000.0</v>
      </c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3"/>
      <c r="Q79" s="3"/>
      <c r="R79" s="4"/>
      <c r="S79" s="82">
        <v>46295.0</v>
      </c>
      <c r="T79" s="56" t="s">
        <v>92</v>
      </c>
      <c r="U79" s="106">
        <v>46173.0</v>
      </c>
      <c r="V79" s="106"/>
      <c r="W79" s="56" t="s">
        <v>8</v>
      </c>
      <c r="X79" s="56">
        <v>0.0</v>
      </c>
      <c r="Y79" s="4"/>
      <c r="Z79" s="82">
        <v>46295.0</v>
      </c>
      <c r="AA79" s="56" t="s">
        <v>92</v>
      </c>
      <c r="AB79" s="101">
        <v>46022.0</v>
      </c>
      <c r="AC79" s="101"/>
      <c r="AD79" s="56" t="s">
        <v>105</v>
      </c>
      <c r="AE79" s="56">
        <v>0.0</v>
      </c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3"/>
      <c r="Q80" s="3"/>
      <c r="R80" s="4"/>
      <c r="S80" s="82">
        <v>46295.0</v>
      </c>
      <c r="T80" s="56" t="s">
        <v>92</v>
      </c>
      <c r="U80" s="106">
        <v>46173.0</v>
      </c>
      <c r="V80" s="106"/>
      <c r="W80" s="56" t="s">
        <v>9</v>
      </c>
      <c r="X80" s="56">
        <v>0.0</v>
      </c>
      <c r="Y80" s="4"/>
      <c r="Z80" s="82">
        <v>46295.0</v>
      </c>
      <c r="AA80" s="56" t="s">
        <v>92</v>
      </c>
      <c r="AB80" s="101">
        <v>46022.0</v>
      </c>
      <c r="AC80" s="101"/>
      <c r="AD80" s="56" t="s">
        <v>107</v>
      </c>
      <c r="AE80" s="56">
        <v>0.0</v>
      </c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3"/>
      <c r="Q81" s="3"/>
      <c r="R81" s="4"/>
      <c r="S81" s="82">
        <v>46295.0</v>
      </c>
      <c r="T81" s="56" t="s">
        <v>92</v>
      </c>
      <c r="U81" s="106">
        <v>46173.0</v>
      </c>
      <c r="V81" s="106"/>
      <c r="W81" s="56" t="s">
        <v>10</v>
      </c>
      <c r="X81" s="56">
        <v>0.0</v>
      </c>
      <c r="Y81" s="4"/>
      <c r="Z81" s="82">
        <v>46295.0</v>
      </c>
      <c r="AA81" s="56" t="s">
        <v>92</v>
      </c>
      <c r="AB81" s="101">
        <v>46022.0</v>
      </c>
      <c r="AC81" s="101"/>
      <c r="AD81" s="56" t="s">
        <v>109</v>
      </c>
      <c r="AE81" s="102">
        <v>0.0</v>
      </c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3"/>
      <c r="Q82" s="3"/>
      <c r="R82" s="4"/>
      <c r="S82" s="82">
        <v>46295.0</v>
      </c>
      <c r="T82" s="56" t="s">
        <v>92</v>
      </c>
      <c r="U82" s="106">
        <v>46173.0</v>
      </c>
      <c r="V82" s="106"/>
      <c r="W82" s="56" t="s">
        <v>11</v>
      </c>
      <c r="X82" s="56">
        <v>0.0</v>
      </c>
      <c r="Y82" s="4"/>
      <c r="Z82" s="82">
        <v>46295.0</v>
      </c>
      <c r="AA82" s="56" t="s">
        <v>92</v>
      </c>
      <c r="AB82" s="101">
        <v>46022.0</v>
      </c>
      <c r="AC82" s="101"/>
      <c r="AD82" s="56" t="s">
        <v>111</v>
      </c>
      <c r="AE82" s="102">
        <v>0.0</v>
      </c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"/>
      <c r="Q83" s="3"/>
      <c r="R83" s="4"/>
      <c r="S83" s="82">
        <v>46295.0</v>
      </c>
      <c r="T83" s="56" t="s">
        <v>92</v>
      </c>
      <c r="U83" s="106">
        <v>46173.0</v>
      </c>
      <c r="V83" s="106"/>
      <c r="W83" s="56" t="s">
        <v>12</v>
      </c>
      <c r="X83" s="56">
        <v>0.0</v>
      </c>
      <c r="Y83" s="4"/>
      <c r="Z83" s="82">
        <v>46295.0</v>
      </c>
      <c r="AA83" s="56" t="s">
        <v>92</v>
      </c>
      <c r="AB83" s="101">
        <v>46022.0</v>
      </c>
      <c r="AC83" s="101"/>
      <c r="AD83" s="56" t="s">
        <v>112</v>
      </c>
      <c r="AE83" s="56">
        <v>0.0</v>
      </c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"/>
      <c r="Q84" s="3"/>
      <c r="R84" s="4"/>
      <c r="S84" s="82">
        <v>46295.0</v>
      </c>
      <c r="T84" s="56" t="s">
        <v>92</v>
      </c>
      <c r="U84" s="106">
        <v>46173.0</v>
      </c>
      <c r="V84" s="106"/>
      <c r="W84" s="56" t="s">
        <v>13</v>
      </c>
      <c r="X84" s="56">
        <v>0.0</v>
      </c>
      <c r="Y84" s="4"/>
      <c r="Z84" s="82">
        <v>46295.0</v>
      </c>
      <c r="AA84" s="56" t="s">
        <v>92</v>
      </c>
      <c r="AB84" s="101">
        <v>46022.0</v>
      </c>
      <c r="AC84" s="101"/>
      <c r="AD84" s="56" t="s">
        <v>46</v>
      </c>
      <c r="AE84" s="56">
        <v>0.0</v>
      </c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"/>
      <c r="Q85" s="3"/>
      <c r="R85" s="4"/>
      <c r="S85" s="82">
        <v>46295.0</v>
      </c>
      <c r="T85" s="56" t="s">
        <v>92</v>
      </c>
      <c r="U85" s="106">
        <v>46173.0</v>
      </c>
      <c r="V85" s="106"/>
      <c r="W85" s="56" t="s">
        <v>14</v>
      </c>
      <c r="X85" s="56">
        <v>0.0</v>
      </c>
      <c r="Y85" s="4"/>
      <c r="Z85" s="82">
        <v>46295.0</v>
      </c>
      <c r="AA85" s="56" t="s">
        <v>92</v>
      </c>
      <c r="AB85" s="101">
        <v>46022.0</v>
      </c>
      <c r="AC85" s="101"/>
      <c r="AD85" s="56" t="s">
        <v>114</v>
      </c>
      <c r="AE85" s="56">
        <v>0.0</v>
      </c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"/>
      <c r="Q86" s="3"/>
      <c r="R86" s="4"/>
      <c r="S86" s="82">
        <v>46295.0</v>
      </c>
      <c r="T86" s="56" t="s">
        <v>92</v>
      </c>
      <c r="U86" s="106">
        <v>46203.0</v>
      </c>
      <c r="V86" s="106"/>
      <c r="W86" s="56" t="s">
        <v>6</v>
      </c>
      <c r="X86" s="56">
        <v>0.0</v>
      </c>
      <c r="Y86" s="4"/>
      <c r="Z86" s="82">
        <v>46295.0</v>
      </c>
      <c r="AA86" s="56" t="s">
        <v>92</v>
      </c>
      <c r="AB86" s="101">
        <v>46022.0</v>
      </c>
      <c r="AC86" s="101"/>
      <c r="AD86" s="56" t="s">
        <v>23</v>
      </c>
      <c r="AE86" s="56">
        <v>0.0</v>
      </c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"/>
      <c r="Q87" s="3"/>
      <c r="R87" s="4"/>
      <c r="S87" s="82">
        <v>46295.0</v>
      </c>
      <c r="T87" s="56" t="s">
        <v>92</v>
      </c>
      <c r="U87" s="106">
        <v>46203.0</v>
      </c>
      <c r="V87" s="106"/>
      <c r="W87" s="56" t="s">
        <v>7</v>
      </c>
      <c r="X87" s="56">
        <v>0.0</v>
      </c>
      <c r="Y87" s="4"/>
      <c r="Z87" s="82">
        <v>46295.0</v>
      </c>
      <c r="AA87" s="56" t="s">
        <v>92</v>
      </c>
      <c r="AB87" s="101">
        <v>46022.0</v>
      </c>
      <c r="AC87" s="101"/>
      <c r="AD87" s="56" t="s">
        <v>117</v>
      </c>
      <c r="AE87" s="56">
        <v>0.0</v>
      </c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"/>
      <c r="Q88" s="3"/>
      <c r="R88" s="4"/>
      <c r="S88" s="82">
        <v>46295.0</v>
      </c>
      <c r="T88" s="56" t="s">
        <v>92</v>
      </c>
      <c r="U88" s="106">
        <v>46203.0</v>
      </c>
      <c r="V88" s="106"/>
      <c r="W88" s="56" t="s">
        <v>8</v>
      </c>
      <c r="X88" s="56">
        <v>0.0</v>
      </c>
      <c r="Y88" s="4"/>
      <c r="Z88" s="82">
        <v>46295.0</v>
      </c>
      <c r="AA88" s="56" t="s">
        <v>92</v>
      </c>
      <c r="AB88" s="101">
        <v>46022.0</v>
      </c>
      <c r="AC88" s="101"/>
      <c r="AD88" s="56" t="s">
        <v>14</v>
      </c>
      <c r="AE88" s="56">
        <v>0.0</v>
      </c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"/>
      <c r="Q89" s="3"/>
      <c r="R89" s="4"/>
      <c r="S89" s="82">
        <v>46295.0</v>
      </c>
      <c r="T89" s="56" t="s">
        <v>92</v>
      </c>
      <c r="U89" s="106">
        <v>46203.0</v>
      </c>
      <c r="V89" s="106"/>
      <c r="W89" s="56" t="s">
        <v>9</v>
      </c>
      <c r="X89" s="56">
        <v>0.0</v>
      </c>
      <c r="Y89" s="4"/>
      <c r="Z89" s="82">
        <v>46295.0</v>
      </c>
      <c r="AA89" s="56" t="s">
        <v>92</v>
      </c>
      <c r="AB89" s="101">
        <v>46053.0</v>
      </c>
      <c r="AC89" s="101"/>
      <c r="AD89" s="56" t="s">
        <v>93</v>
      </c>
      <c r="AE89" s="56">
        <v>0.0</v>
      </c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"/>
      <c r="Q90" s="3"/>
      <c r="R90" s="4"/>
      <c r="S90" s="82">
        <v>46295.0</v>
      </c>
      <c r="T90" s="56" t="s">
        <v>92</v>
      </c>
      <c r="U90" s="106">
        <v>46203.0</v>
      </c>
      <c r="V90" s="106"/>
      <c r="W90" s="56" t="s">
        <v>10</v>
      </c>
      <c r="X90" s="56">
        <v>0.0</v>
      </c>
      <c r="Y90" s="4"/>
      <c r="Z90" s="82">
        <v>46295.0</v>
      </c>
      <c r="AA90" s="56" t="s">
        <v>92</v>
      </c>
      <c r="AB90" s="101">
        <v>46053.0</v>
      </c>
      <c r="AC90" s="101"/>
      <c r="AD90" s="56" t="s">
        <v>94</v>
      </c>
      <c r="AE90" s="56">
        <v>0.0</v>
      </c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3"/>
      <c r="Q91" s="3"/>
      <c r="R91" s="4"/>
      <c r="S91" s="82">
        <v>46295.0</v>
      </c>
      <c r="T91" s="56" t="s">
        <v>92</v>
      </c>
      <c r="U91" s="106">
        <v>46203.0</v>
      </c>
      <c r="V91" s="106"/>
      <c r="W91" s="56" t="s">
        <v>11</v>
      </c>
      <c r="X91" s="56">
        <v>0.0</v>
      </c>
      <c r="Y91" s="4"/>
      <c r="Z91" s="82">
        <v>46295.0</v>
      </c>
      <c r="AA91" s="56" t="s">
        <v>92</v>
      </c>
      <c r="AB91" s="101">
        <v>46053.0</v>
      </c>
      <c r="AC91" s="101"/>
      <c r="AD91" s="56" t="s">
        <v>95</v>
      </c>
      <c r="AE91" s="56">
        <v>0.0</v>
      </c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3"/>
      <c r="Q92" s="3"/>
      <c r="R92" s="4"/>
      <c r="S92" s="82">
        <v>46295.0</v>
      </c>
      <c r="T92" s="56" t="s">
        <v>92</v>
      </c>
      <c r="U92" s="106">
        <v>46203.0</v>
      </c>
      <c r="V92" s="106"/>
      <c r="W92" s="56" t="s">
        <v>12</v>
      </c>
      <c r="X92" s="56">
        <v>0.0</v>
      </c>
      <c r="Y92" s="4"/>
      <c r="Z92" s="82">
        <v>46295.0</v>
      </c>
      <c r="AA92" s="56" t="s">
        <v>92</v>
      </c>
      <c r="AB92" s="101">
        <v>46053.0</v>
      </c>
      <c r="AC92" s="101"/>
      <c r="AD92" s="56" t="s">
        <v>96</v>
      </c>
      <c r="AE92" s="56">
        <v>0.0</v>
      </c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"/>
      <c r="Q93" s="3"/>
      <c r="R93" s="4"/>
      <c r="S93" s="82">
        <v>46295.0</v>
      </c>
      <c r="T93" s="56" t="s">
        <v>92</v>
      </c>
      <c r="U93" s="106">
        <v>46203.0</v>
      </c>
      <c r="V93" s="106"/>
      <c r="W93" s="56" t="s">
        <v>13</v>
      </c>
      <c r="X93" s="56">
        <v>0.0</v>
      </c>
      <c r="Y93" s="4"/>
      <c r="Z93" s="82">
        <v>46295.0</v>
      </c>
      <c r="AA93" s="56" t="s">
        <v>92</v>
      </c>
      <c r="AB93" s="106">
        <v>46053.0</v>
      </c>
      <c r="AC93" s="106"/>
      <c r="AD93" s="56" t="s">
        <v>97</v>
      </c>
      <c r="AE93" s="56">
        <v>0.0</v>
      </c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"/>
      <c r="Q94" s="3"/>
      <c r="R94" s="4"/>
      <c r="S94" s="82">
        <v>46295.0</v>
      </c>
      <c r="T94" s="56" t="s">
        <v>92</v>
      </c>
      <c r="U94" s="106">
        <v>46203.0</v>
      </c>
      <c r="V94" s="106"/>
      <c r="W94" s="56" t="s">
        <v>14</v>
      </c>
      <c r="X94" s="56">
        <v>0.0</v>
      </c>
      <c r="Y94" s="4"/>
      <c r="Z94" s="82">
        <v>46295.0</v>
      </c>
      <c r="AA94" s="56" t="s">
        <v>92</v>
      </c>
      <c r="AB94" s="106">
        <v>46053.0</v>
      </c>
      <c r="AC94" s="106"/>
      <c r="AD94" s="56" t="s">
        <v>98</v>
      </c>
      <c r="AE94" s="102">
        <v>200000.0</v>
      </c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3"/>
      <c r="Q95" s="3"/>
      <c r="R95" s="4"/>
      <c r="S95" s="82">
        <v>46295.0</v>
      </c>
      <c r="T95" s="56" t="s">
        <v>92</v>
      </c>
      <c r="U95" s="106">
        <v>46234.0</v>
      </c>
      <c r="V95" s="106"/>
      <c r="W95" s="56" t="s">
        <v>6</v>
      </c>
      <c r="X95" s="56">
        <v>0.0</v>
      </c>
      <c r="Y95" s="4"/>
      <c r="Z95" s="82">
        <v>46295.0</v>
      </c>
      <c r="AA95" s="56" t="s">
        <v>92</v>
      </c>
      <c r="AB95" s="106">
        <v>46053.0</v>
      </c>
      <c r="AC95" s="106"/>
      <c r="AD95" s="56" t="s">
        <v>99</v>
      </c>
      <c r="AE95" s="56">
        <v>0.0</v>
      </c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3"/>
      <c r="Q96" s="3"/>
      <c r="R96" s="4"/>
      <c r="S96" s="82">
        <v>46295.0</v>
      </c>
      <c r="T96" s="56" t="s">
        <v>92</v>
      </c>
      <c r="U96" s="106">
        <v>46234.0</v>
      </c>
      <c r="V96" s="106"/>
      <c r="W96" s="56" t="s">
        <v>7</v>
      </c>
      <c r="X96" s="102">
        <v>0.0</v>
      </c>
      <c r="Y96" s="4"/>
      <c r="Z96" s="82">
        <v>46295.0</v>
      </c>
      <c r="AA96" s="56" t="s">
        <v>92</v>
      </c>
      <c r="AB96" s="106">
        <v>46053.0</v>
      </c>
      <c r="AC96" s="106"/>
      <c r="AD96" s="56" t="s">
        <v>100</v>
      </c>
      <c r="AE96" s="56">
        <v>0.0</v>
      </c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"/>
      <c r="Q97" s="3"/>
      <c r="R97" s="4"/>
      <c r="S97" s="82">
        <v>46295.0</v>
      </c>
      <c r="T97" s="56" t="s">
        <v>92</v>
      </c>
      <c r="U97" s="106">
        <v>46234.0</v>
      </c>
      <c r="V97" s="106"/>
      <c r="W97" s="56" t="s">
        <v>8</v>
      </c>
      <c r="X97" s="56">
        <v>0.0</v>
      </c>
      <c r="Y97" s="4"/>
      <c r="Z97" s="82">
        <v>46295.0</v>
      </c>
      <c r="AA97" s="56" t="s">
        <v>92</v>
      </c>
      <c r="AB97" s="106">
        <v>46053.0</v>
      </c>
      <c r="AC97" s="106"/>
      <c r="AD97" s="56" t="s">
        <v>101</v>
      </c>
      <c r="AE97" s="56">
        <v>0.0</v>
      </c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"/>
      <c r="Q98" s="3"/>
      <c r="R98" s="4"/>
      <c r="S98" s="82">
        <v>46295.0</v>
      </c>
      <c r="T98" s="56" t="s">
        <v>92</v>
      </c>
      <c r="U98" s="106">
        <v>46234.0</v>
      </c>
      <c r="V98" s="106"/>
      <c r="W98" s="56" t="s">
        <v>9</v>
      </c>
      <c r="X98" s="56">
        <v>0.0</v>
      </c>
      <c r="Y98" s="4"/>
      <c r="Z98" s="82">
        <v>46295.0</v>
      </c>
      <c r="AA98" s="56" t="s">
        <v>92</v>
      </c>
      <c r="AB98" s="106">
        <v>46053.0</v>
      </c>
      <c r="AC98" s="106"/>
      <c r="AD98" s="56" t="s">
        <v>102</v>
      </c>
      <c r="AE98" s="102">
        <v>0.0</v>
      </c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"/>
      <c r="Q99" s="3"/>
      <c r="R99" s="4"/>
      <c r="S99" s="82">
        <v>46295.0</v>
      </c>
      <c r="T99" s="56" t="s">
        <v>92</v>
      </c>
      <c r="U99" s="106">
        <v>46234.0</v>
      </c>
      <c r="V99" s="106"/>
      <c r="W99" s="56" t="s">
        <v>10</v>
      </c>
      <c r="X99" s="56">
        <v>0.0</v>
      </c>
      <c r="Y99" s="4"/>
      <c r="Z99" s="82">
        <v>46295.0</v>
      </c>
      <c r="AA99" s="56" t="s">
        <v>92</v>
      </c>
      <c r="AB99" s="106">
        <v>46053.0</v>
      </c>
      <c r="AC99" s="106"/>
      <c r="AD99" s="56" t="s">
        <v>103</v>
      </c>
      <c r="AE99" s="102">
        <v>710000.0</v>
      </c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4"/>
      <c r="S100" s="82">
        <v>46295.0</v>
      </c>
      <c r="T100" s="56" t="s">
        <v>92</v>
      </c>
      <c r="U100" s="106">
        <v>46234.0</v>
      </c>
      <c r="V100" s="106"/>
      <c r="W100" s="56" t="s">
        <v>11</v>
      </c>
      <c r="X100" s="56">
        <v>0.0</v>
      </c>
      <c r="Y100" s="4"/>
      <c r="Z100" s="82">
        <v>46295.0</v>
      </c>
      <c r="AA100" s="56" t="s">
        <v>92</v>
      </c>
      <c r="AB100" s="106">
        <v>46053.0</v>
      </c>
      <c r="AC100" s="106"/>
      <c r="AD100" s="56" t="s">
        <v>105</v>
      </c>
      <c r="AE100" s="56">
        <v>0.0</v>
      </c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4"/>
      <c r="S101" s="82">
        <v>46295.0</v>
      </c>
      <c r="T101" s="56" t="s">
        <v>92</v>
      </c>
      <c r="U101" s="106">
        <v>46234.0</v>
      </c>
      <c r="V101" s="106"/>
      <c r="W101" s="56" t="s">
        <v>12</v>
      </c>
      <c r="X101" s="56">
        <v>0.0</v>
      </c>
      <c r="Y101" s="4"/>
      <c r="Z101" s="82">
        <v>46295.0</v>
      </c>
      <c r="AA101" s="56" t="s">
        <v>92</v>
      </c>
      <c r="AB101" s="106">
        <v>46053.0</v>
      </c>
      <c r="AC101" s="106"/>
      <c r="AD101" s="56" t="s">
        <v>107</v>
      </c>
      <c r="AE101" s="56">
        <v>0.0</v>
      </c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4"/>
      <c r="S102" s="82">
        <v>46295.0</v>
      </c>
      <c r="T102" s="56" t="s">
        <v>92</v>
      </c>
      <c r="U102" s="106">
        <v>46234.0</v>
      </c>
      <c r="V102" s="106"/>
      <c r="W102" s="56" t="s">
        <v>13</v>
      </c>
      <c r="X102" s="56">
        <v>0.0</v>
      </c>
      <c r="Y102" s="4"/>
      <c r="Z102" s="82">
        <v>46295.0</v>
      </c>
      <c r="AA102" s="56" t="s">
        <v>92</v>
      </c>
      <c r="AB102" s="106">
        <v>46053.0</v>
      </c>
      <c r="AC102" s="106"/>
      <c r="AD102" s="56" t="s">
        <v>109</v>
      </c>
      <c r="AE102" s="56">
        <v>0.0</v>
      </c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4"/>
      <c r="S103" s="82">
        <v>46295.0</v>
      </c>
      <c r="T103" s="56" t="s">
        <v>92</v>
      </c>
      <c r="U103" s="106">
        <v>46234.0</v>
      </c>
      <c r="V103" s="106"/>
      <c r="W103" s="56" t="s">
        <v>14</v>
      </c>
      <c r="X103" s="56">
        <v>0.0</v>
      </c>
      <c r="Y103" s="4"/>
      <c r="Z103" s="82">
        <v>46295.0</v>
      </c>
      <c r="AA103" s="56" t="s">
        <v>92</v>
      </c>
      <c r="AB103" s="106">
        <v>46053.0</v>
      </c>
      <c r="AC103" s="106"/>
      <c r="AD103" s="56" t="s">
        <v>111</v>
      </c>
      <c r="AE103" s="102">
        <v>0.0</v>
      </c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4"/>
      <c r="S104" s="82">
        <v>46295.0</v>
      </c>
      <c r="T104" s="56" t="s">
        <v>92</v>
      </c>
      <c r="U104" s="106">
        <v>46265.0</v>
      </c>
      <c r="V104" s="106"/>
      <c r="W104" s="56" t="s">
        <v>6</v>
      </c>
      <c r="X104" s="56">
        <v>0.0</v>
      </c>
      <c r="Y104" s="4"/>
      <c r="Z104" s="82">
        <v>46295.0</v>
      </c>
      <c r="AA104" s="56" t="s">
        <v>92</v>
      </c>
      <c r="AB104" s="106">
        <v>46053.0</v>
      </c>
      <c r="AC104" s="106"/>
      <c r="AD104" s="56" t="s">
        <v>112</v>
      </c>
      <c r="AE104" s="102">
        <v>0.0</v>
      </c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4"/>
      <c r="S105" s="82">
        <v>46295.0</v>
      </c>
      <c r="T105" s="56" t="s">
        <v>92</v>
      </c>
      <c r="U105" s="106">
        <v>46265.0</v>
      </c>
      <c r="V105" s="106"/>
      <c r="W105" s="56" t="s">
        <v>7</v>
      </c>
      <c r="X105" s="102">
        <v>1.194E7</v>
      </c>
      <c r="Y105" s="4"/>
      <c r="Z105" s="82">
        <v>46295.0</v>
      </c>
      <c r="AA105" s="56" t="s">
        <v>92</v>
      </c>
      <c r="AB105" s="106">
        <v>46053.0</v>
      </c>
      <c r="AC105" s="106"/>
      <c r="AD105" s="56" t="s">
        <v>46</v>
      </c>
      <c r="AE105" s="56">
        <v>0.0</v>
      </c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4"/>
      <c r="S106" s="82">
        <v>46295.0</v>
      </c>
      <c r="T106" s="56" t="s">
        <v>92</v>
      </c>
      <c r="U106" s="106">
        <v>46265.0</v>
      </c>
      <c r="V106" s="106"/>
      <c r="W106" s="56" t="s">
        <v>8</v>
      </c>
      <c r="X106" s="56">
        <v>0.0</v>
      </c>
      <c r="Y106" s="4"/>
      <c r="Z106" s="82">
        <v>46295.0</v>
      </c>
      <c r="AA106" s="56" t="s">
        <v>92</v>
      </c>
      <c r="AB106" s="106">
        <v>46053.0</v>
      </c>
      <c r="AC106" s="106"/>
      <c r="AD106" s="56" t="s">
        <v>114</v>
      </c>
      <c r="AE106" s="56">
        <v>0.0</v>
      </c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4"/>
      <c r="S107" s="82">
        <v>46295.0</v>
      </c>
      <c r="T107" s="56" t="s">
        <v>92</v>
      </c>
      <c r="U107" s="106">
        <v>46265.0</v>
      </c>
      <c r="V107" s="106"/>
      <c r="W107" s="56" t="s">
        <v>9</v>
      </c>
      <c r="X107" s="102">
        <v>0.0</v>
      </c>
      <c r="Y107" s="4"/>
      <c r="Z107" s="82">
        <v>46295.0</v>
      </c>
      <c r="AA107" s="56" t="s">
        <v>92</v>
      </c>
      <c r="AB107" s="106">
        <v>46053.0</v>
      </c>
      <c r="AC107" s="106"/>
      <c r="AD107" s="56" t="s">
        <v>23</v>
      </c>
      <c r="AE107" s="56">
        <v>0.0</v>
      </c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4"/>
      <c r="S108" s="82">
        <v>46295.0</v>
      </c>
      <c r="T108" s="56" t="s">
        <v>92</v>
      </c>
      <c r="U108" s="106">
        <v>46265.0</v>
      </c>
      <c r="V108" s="106"/>
      <c r="W108" s="56" t="s">
        <v>10</v>
      </c>
      <c r="X108" s="102">
        <v>400000.0</v>
      </c>
      <c r="Y108" s="4"/>
      <c r="Z108" s="82">
        <v>46295.0</v>
      </c>
      <c r="AA108" s="56" t="s">
        <v>92</v>
      </c>
      <c r="AB108" s="106">
        <v>46053.0</v>
      </c>
      <c r="AC108" s="106"/>
      <c r="AD108" s="56" t="s">
        <v>117</v>
      </c>
      <c r="AE108" s="56">
        <v>0.0</v>
      </c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4"/>
      <c r="S109" s="82">
        <v>46295.0</v>
      </c>
      <c r="T109" s="56" t="s">
        <v>92</v>
      </c>
      <c r="U109" s="106">
        <v>46265.0</v>
      </c>
      <c r="V109" s="106"/>
      <c r="W109" s="56" t="s">
        <v>11</v>
      </c>
      <c r="X109" s="102">
        <v>600000.0</v>
      </c>
      <c r="Y109" s="4"/>
      <c r="Z109" s="82">
        <v>46295.0</v>
      </c>
      <c r="AA109" s="56" t="s">
        <v>92</v>
      </c>
      <c r="AB109" s="106">
        <v>46053.0</v>
      </c>
      <c r="AC109" s="106"/>
      <c r="AD109" s="56" t="s">
        <v>14</v>
      </c>
      <c r="AE109" s="102">
        <v>205000.0</v>
      </c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4"/>
      <c r="S110" s="82">
        <v>46295.0</v>
      </c>
      <c r="T110" s="56" t="s">
        <v>92</v>
      </c>
      <c r="U110" s="106">
        <v>46265.0</v>
      </c>
      <c r="V110" s="106"/>
      <c r="W110" s="56" t="s">
        <v>12</v>
      </c>
      <c r="X110" s="102">
        <v>198000.0</v>
      </c>
      <c r="Y110" s="4"/>
      <c r="Z110" s="82">
        <v>46295.0</v>
      </c>
      <c r="AA110" s="56" t="s">
        <v>92</v>
      </c>
      <c r="AB110" s="106">
        <v>46081.0</v>
      </c>
      <c r="AC110" s="106"/>
      <c r="AD110" s="56" t="s">
        <v>93</v>
      </c>
      <c r="AE110" s="56">
        <v>0.0</v>
      </c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4"/>
      <c r="S111" s="82">
        <v>46295.0</v>
      </c>
      <c r="T111" s="56" t="s">
        <v>92</v>
      </c>
      <c r="U111" s="106">
        <v>46265.0</v>
      </c>
      <c r="V111" s="106"/>
      <c r="W111" s="56" t="s">
        <v>13</v>
      </c>
      <c r="X111" s="102">
        <v>82500.0</v>
      </c>
      <c r="Y111" s="4"/>
      <c r="Z111" s="82">
        <v>46295.0</v>
      </c>
      <c r="AA111" s="56" t="s">
        <v>92</v>
      </c>
      <c r="AB111" s="106">
        <v>46081.0</v>
      </c>
      <c r="AC111" s="106"/>
      <c r="AD111" s="56" t="s">
        <v>94</v>
      </c>
      <c r="AE111" s="56">
        <v>0.0</v>
      </c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4"/>
      <c r="S112" s="82">
        <v>46295.0</v>
      </c>
      <c r="T112" s="56" t="s">
        <v>92</v>
      </c>
      <c r="U112" s="106">
        <v>46265.0</v>
      </c>
      <c r="V112" s="106"/>
      <c r="W112" s="56" t="s">
        <v>14</v>
      </c>
      <c r="X112" s="56">
        <v>0.0</v>
      </c>
      <c r="Y112" s="4"/>
      <c r="Z112" s="82">
        <v>46295.0</v>
      </c>
      <c r="AA112" s="56" t="s">
        <v>92</v>
      </c>
      <c r="AB112" s="106">
        <v>46081.0</v>
      </c>
      <c r="AC112" s="106"/>
      <c r="AD112" s="56" t="s">
        <v>95</v>
      </c>
      <c r="AE112" s="56">
        <v>0.0</v>
      </c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4"/>
      <c r="S113" s="106">
        <v>46265.0</v>
      </c>
      <c r="T113" s="56" t="s">
        <v>124</v>
      </c>
      <c r="U113" s="106">
        <v>45930.0</v>
      </c>
      <c r="V113" s="106"/>
      <c r="W113" s="56" t="s">
        <v>6</v>
      </c>
      <c r="X113" s="56">
        <v>0.0</v>
      </c>
      <c r="Y113" s="4"/>
      <c r="Z113" s="82">
        <v>46295.0</v>
      </c>
      <c r="AA113" s="56" t="s">
        <v>92</v>
      </c>
      <c r="AB113" s="106">
        <v>46081.0</v>
      </c>
      <c r="AC113" s="106"/>
      <c r="AD113" s="56" t="s">
        <v>96</v>
      </c>
      <c r="AE113" s="102">
        <v>0.0</v>
      </c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4"/>
      <c r="S114" s="106">
        <v>46265.0</v>
      </c>
      <c r="T114" s="56" t="s">
        <v>124</v>
      </c>
      <c r="U114" s="106">
        <v>45930.0</v>
      </c>
      <c r="V114" s="106"/>
      <c r="W114" s="56" t="s">
        <v>7</v>
      </c>
      <c r="X114" s="102">
        <v>0.0</v>
      </c>
      <c r="Y114" s="4"/>
      <c r="Z114" s="82">
        <v>46295.0</v>
      </c>
      <c r="AA114" s="56" t="s">
        <v>92</v>
      </c>
      <c r="AB114" s="106">
        <v>46081.0</v>
      </c>
      <c r="AC114" s="106"/>
      <c r="AD114" s="56" t="s">
        <v>97</v>
      </c>
      <c r="AE114" s="102">
        <v>0.0</v>
      </c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4"/>
      <c r="S115" s="106">
        <v>46265.0</v>
      </c>
      <c r="T115" s="56" t="s">
        <v>124</v>
      </c>
      <c r="U115" s="106">
        <v>45930.0</v>
      </c>
      <c r="V115" s="106"/>
      <c r="W115" s="56" t="s">
        <v>8</v>
      </c>
      <c r="X115" s="56">
        <v>0.0</v>
      </c>
      <c r="Y115" s="4"/>
      <c r="Z115" s="82">
        <v>46295.0</v>
      </c>
      <c r="AA115" s="56" t="s">
        <v>92</v>
      </c>
      <c r="AB115" s="106">
        <v>46081.0</v>
      </c>
      <c r="AC115" s="106"/>
      <c r="AD115" s="56" t="s">
        <v>98</v>
      </c>
      <c r="AE115" s="56">
        <v>0.0</v>
      </c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4"/>
      <c r="S116" s="106">
        <v>46265.0</v>
      </c>
      <c r="T116" s="56" t="s">
        <v>124</v>
      </c>
      <c r="U116" s="106">
        <v>45930.0</v>
      </c>
      <c r="V116" s="106"/>
      <c r="W116" s="56" t="s">
        <v>9</v>
      </c>
      <c r="X116" s="102">
        <v>0.0</v>
      </c>
      <c r="Y116" s="4"/>
      <c r="Z116" s="82">
        <v>46295.0</v>
      </c>
      <c r="AA116" s="56" t="s">
        <v>92</v>
      </c>
      <c r="AB116" s="106">
        <v>46081.0</v>
      </c>
      <c r="AC116" s="106"/>
      <c r="AD116" s="56" t="s">
        <v>99</v>
      </c>
      <c r="AE116" s="56">
        <v>0.0</v>
      </c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4"/>
      <c r="S117" s="106">
        <v>46265.0</v>
      </c>
      <c r="T117" s="56" t="s">
        <v>124</v>
      </c>
      <c r="U117" s="106">
        <v>45930.0</v>
      </c>
      <c r="V117" s="106"/>
      <c r="W117" s="56" t="s">
        <v>10</v>
      </c>
      <c r="X117" s="56">
        <v>0.0</v>
      </c>
      <c r="Y117" s="4"/>
      <c r="Z117" s="82">
        <v>46295.0</v>
      </c>
      <c r="AA117" s="56" t="s">
        <v>92</v>
      </c>
      <c r="AB117" s="106">
        <v>46081.0</v>
      </c>
      <c r="AC117" s="106"/>
      <c r="AD117" s="56" t="s">
        <v>100</v>
      </c>
      <c r="AE117" s="56">
        <v>0.0</v>
      </c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4"/>
      <c r="S118" s="106">
        <v>46265.0</v>
      </c>
      <c r="T118" s="56" t="s">
        <v>124</v>
      </c>
      <c r="U118" s="106">
        <v>45930.0</v>
      </c>
      <c r="V118" s="106"/>
      <c r="W118" s="56" t="s">
        <v>11</v>
      </c>
      <c r="X118" s="56">
        <v>0.0</v>
      </c>
      <c r="Y118" s="4"/>
      <c r="Z118" s="82">
        <v>46295.0</v>
      </c>
      <c r="AA118" s="56" t="s">
        <v>92</v>
      </c>
      <c r="AB118" s="106">
        <v>46081.0</v>
      </c>
      <c r="AC118" s="106"/>
      <c r="AD118" s="56" t="s">
        <v>101</v>
      </c>
      <c r="AE118" s="56">
        <v>0.0</v>
      </c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4"/>
      <c r="S119" s="106">
        <v>46265.0</v>
      </c>
      <c r="T119" s="56" t="s">
        <v>124</v>
      </c>
      <c r="U119" s="106">
        <v>45930.0</v>
      </c>
      <c r="V119" s="106"/>
      <c r="W119" s="56" t="s">
        <v>12</v>
      </c>
      <c r="X119" s="56">
        <v>0.0</v>
      </c>
      <c r="Y119" s="4"/>
      <c r="Z119" s="82">
        <v>46295.0</v>
      </c>
      <c r="AA119" s="56" t="s">
        <v>92</v>
      </c>
      <c r="AB119" s="106">
        <v>46081.0</v>
      </c>
      <c r="AC119" s="106"/>
      <c r="AD119" s="56" t="s">
        <v>102</v>
      </c>
      <c r="AE119" s="56">
        <v>0.0</v>
      </c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4"/>
      <c r="S120" s="106">
        <v>46265.0</v>
      </c>
      <c r="T120" s="56" t="s">
        <v>124</v>
      </c>
      <c r="U120" s="106">
        <v>45930.0</v>
      </c>
      <c r="V120" s="106"/>
      <c r="W120" s="56" t="s">
        <v>13</v>
      </c>
      <c r="X120" s="102">
        <v>0.0</v>
      </c>
      <c r="Y120" s="4"/>
      <c r="Z120" s="82">
        <v>46295.0</v>
      </c>
      <c r="AA120" s="56" t="s">
        <v>92</v>
      </c>
      <c r="AB120" s="106">
        <v>46081.0</v>
      </c>
      <c r="AC120" s="106"/>
      <c r="AD120" s="56" t="s">
        <v>103</v>
      </c>
      <c r="AE120" s="102">
        <v>710000.0</v>
      </c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4"/>
      <c r="S121" s="106">
        <v>46265.0</v>
      </c>
      <c r="T121" s="56" t="s">
        <v>124</v>
      </c>
      <c r="U121" s="106">
        <v>45930.0</v>
      </c>
      <c r="V121" s="106"/>
      <c r="W121" s="56" t="s">
        <v>14</v>
      </c>
      <c r="X121" s="102">
        <v>0.0</v>
      </c>
      <c r="Y121" s="4"/>
      <c r="Z121" s="82">
        <v>46295.0</v>
      </c>
      <c r="AA121" s="56" t="s">
        <v>92</v>
      </c>
      <c r="AB121" s="106">
        <v>46081.0</v>
      </c>
      <c r="AC121" s="106"/>
      <c r="AD121" s="56" t="s">
        <v>105</v>
      </c>
      <c r="AE121" s="56">
        <v>0.0</v>
      </c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4"/>
      <c r="S122" s="106">
        <v>46265.0</v>
      </c>
      <c r="T122" s="56" t="s">
        <v>124</v>
      </c>
      <c r="U122" s="106">
        <v>46022.0</v>
      </c>
      <c r="V122" s="106"/>
      <c r="W122" s="56" t="s">
        <v>6</v>
      </c>
      <c r="X122" s="102">
        <v>0.0</v>
      </c>
      <c r="Y122" s="4"/>
      <c r="Z122" s="82">
        <v>46295.0</v>
      </c>
      <c r="AA122" s="56" t="s">
        <v>92</v>
      </c>
      <c r="AB122" s="106">
        <v>46081.0</v>
      </c>
      <c r="AC122" s="106"/>
      <c r="AD122" s="56" t="s">
        <v>107</v>
      </c>
      <c r="AE122" s="56">
        <v>0.0</v>
      </c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4"/>
      <c r="S123" s="106">
        <v>46265.0</v>
      </c>
      <c r="T123" s="56" t="s">
        <v>124</v>
      </c>
      <c r="U123" s="106">
        <v>46022.0</v>
      </c>
      <c r="V123" s="106"/>
      <c r="W123" s="56" t="s">
        <v>7</v>
      </c>
      <c r="X123" s="102">
        <v>0.0</v>
      </c>
      <c r="Y123" s="4"/>
      <c r="Z123" s="82">
        <v>46295.0</v>
      </c>
      <c r="AA123" s="56" t="s">
        <v>92</v>
      </c>
      <c r="AB123" s="106">
        <v>46081.0</v>
      </c>
      <c r="AC123" s="106"/>
      <c r="AD123" s="56" t="s">
        <v>109</v>
      </c>
      <c r="AE123" s="56">
        <v>0.0</v>
      </c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4"/>
      <c r="S124" s="106">
        <v>46265.0</v>
      </c>
      <c r="T124" s="56" t="s">
        <v>124</v>
      </c>
      <c r="U124" s="106">
        <v>46022.0</v>
      </c>
      <c r="V124" s="106"/>
      <c r="W124" s="56" t="s">
        <v>8</v>
      </c>
      <c r="X124" s="102">
        <v>0.0</v>
      </c>
      <c r="Y124" s="4"/>
      <c r="Z124" s="82">
        <v>46295.0</v>
      </c>
      <c r="AA124" s="56" t="s">
        <v>92</v>
      </c>
      <c r="AB124" s="106">
        <v>46081.0</v>
      </c>
      <c r="AC124" s="106"/>
      <c r="AD124" s="56" t="s">
        <v>111</v>
      </c>
      <c r="AE124" s="56">
        <v>0.0</v>
      </c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4"/>
      <c r="S125" s="106">
        <v>46265.0</v>
      </c>
      <c r="T125" s="56" t="s">
        <v>124</v>
      </c>
      <c r="U125" s="106">
        <v>46022.0</v>
      </c>
      <c r="V125" s="106"/>
      <c r="W125" s="56" t="s">
        <v>9</v>
      </c>
      <c r="X125" s="56">
        <v>0.0</v>
      </c>
      <c r="Y125" s="4"/>
      <c r="Z125" s="82">
        <v>46295.0</v>
      </c>
      <c r="AA125" s="56" t="s">
        <v>92</v>
      </c>
      <c r="AB125" s="106">
        <v>46081.0</v>
      </c>
      <c r="AC125" s="106"/>
      <c r="AD125" s="56" t="s">
        <v>112</v>
      </c>
      <c r="AE125" s="102">
        <v>0.0</v>
      </c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4"/>
      <c r="S126" s="106">
        <v>46265.0</v>
      </c>
      <c r="T126" s="56" t="s">
        <v>124</v>
      </c>
      <c r="U126" s="106">
        <v>46022.0</v>
      </c>
      <c r="V126" s="106"/>
      <c r="W126" s="56" t="s">
        <v>10</v>
      </c>
      <c r="X126" s="56">
        <v>0.0</v>
      </c>
      <c r="Y126" s="4"/>
      <c r="Z126" s="82">
        <v>46295.0</v>
      </c>
      <c r="AA126" s="56" t="s">
        <v>92</v>
      </c>
      <c r="AB126" s="106">
        <v>46081.0</v>
      </c>
      <c r="AC126" s="106"/>
      <c r="AD126" s="56" t="s">
        <v>46</v>
      </c>
      <c r="AE126" s="102">
        <v>0.0</v>
      </c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4"/>
      <c r="S127" s="106">
        <v>46265.0</v>
      </c>
      <c r="T127" s="56" t="s">
        <v>124</v>
      </c>
      <c r="U127" s="106">
        <v>46022.0</v>
      </c>
      <c r="V127" s="106"/>
      <c r="W127" s="56" t="s">
        <v>11</v>
      </c>
      <c r="X127" s="102">
        <v>0.0</v>
      </c>
      <c r="Y127" s="4"/>
      <c r="Z127" s="82">
        <v>46295.0</v>
      </c>
      <c r="AA127" s="56" t="s">
        <v>92</v>
      </c>
      <c r="AB127" s="106">
        <v>46081.0</v>
      </c>
      <c r="AC127" s="106"/>
      <c r="AD127" s="56" t="s">
        <v>114</v>
      </c>
      <c r="AE127" s="56">
        <v>0.0</v>
      </c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4"/>
      <c r="S128" s="106">
        <v>46265.0</v>
      </c>
      <c r="T128" s="56" t="s">
        <v>124</v>
      </c>
      <c r="U128" s="106">
        <v>46022.0</v>
      </c>
      <c r="V128" s="106"/>
      <c r="W128" s="56" t="s">
        <v>12</v>
      </c>
      <c r="X128" s="102">
        <v>0.0</v>
      </c>
      <c r="Y128" s="4"/>
      <c r="Z128" s="82">
        <v>46295.0</v>
      </c>
      <c r="AA128" s="56" t="s">
        <v>92</v>
      </c>
      <c r="AB128" s="106">
        <v>46081.0</v>
      </c>
      <c r="AC128" s="106"/>
      <c r="AD128" s="56" t="s">
        <v>23</v>
      </c>
      <c r="AE128" s="56">
        <v>0.0</v>
      </c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4"/>
      <c r="S129" s="106">
        <v>46265.0</v>
      </c>
      <c r="T129" s="56" t="s">
        <v>124</v>
      </c>
      <c r="U129" s="106">
        <v>46022.0</v>
      </c>
      <c r="V129" s="106"/>
      <c r="W129" s="56" t="s">
        <v>13</v>
      </c>
      <c r="X129" s="56">
        <v>0.0</v>
      </c>
      <c r="Y129" s="4"/>
      <c r="Z129" s="82">
        <v>46295.0</v>
      </c>
      <c r="AA129" s="56" t="s">
        <v>92</v>
      </c>
      <c r="AB129" s="106">
        <v>46081.0</v>
      </c>
      <c r="AC129" s="106"/>
      <c r="AD129" s="56" t="s">
        <v>117</v>
      </c>
      <c r="AE129" s="56">
        <v>0.0</v>
      </c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4"/>
      <c r="S130" s="106">
        <v>46265.0</v>
      </c>
      <c r="T130" s="56" t="s">
        <v>124</v>
      </c>
      <c r="U130" s="106">
        <v>46022.0</v>
      </c>
      <c r="V130" s="106"/>
      <c r="W130" s="56" t="s">
        <v>14</v>
      </c>
      <c r="X130" s="56">
        <v>0.0</v>
      </c>
      <c r="Y130" s="4"/>
      <c r="Z130" s="82">
        <v>46295.0</v>
      </c>
      <c r="AA130" s="56" t="s">
        <v>92</v>
      </c>
      <c r="AB130" s="106">
        <v>46081.0</v>
      </c>
      <c r="AC130" s="106"/>
      <c r="AD130" s="56" t="s">
        <v>14</v>
      </c>
      <c r="AE130" s="102">
        <v>1200000.0</v>
      </c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4"/>
      <c r="S131" s="106">
        <v>46265.0</v>
      </c>
      <c r="T131" s="56" t="s">
        <v>124</v>
      </c>
      <c r="U131" s="106">
        <v>46053.0</v>
      </c>
      <c r="V131" s="106"/>
      <c r="W131" s="56" t="s">
        <v>6</v>
      </c>
      <c r="X131" s="56">
        <v>0.0</v>
      </c>
      <c r="Y131" s="4"/>
      <c r="Z131" s="82">
        <v>46295.0</v>
      </c>
      <c r="AA131" s="56" t="s">
        <v>92</v>
      </c>
      <c r="AB131" s="106">
        <v>46112.0</v>
      </c>
      <c r="AC131" s="106"/>
      <c r="AD131" s="56" t="s">
        <v>93</v>
      </c>
      <c r="AE131" s="102">
        <v>181188.0</v>
      </c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4"/>
      <c r="S132" s="106">
        <v>46265.0</v>
      </c>
      <c r="T132" s="56" t="s">
        <v>124</v>
      </c>
      <c r="U132" s="106">
        <v>46053.0</v>
      </c>
      <c r="V132" s="106"/>
      <c r="W132" s="56" t="s">
        <v>7</v>
      </c>
      <c r="X132" s="56">
        <v>0.0</v>
      </c>
      <c r="Y132" s="4"/>
      <c r="Z132" s="82">
        <v>46295.0</v>
      </c>
      <c r="AA132" s="56" t="s">
        <v>92</v>
      </c>
      <c r="AB132" s="106">
        <v>46112.0</v>
      </c>
      <c r="AC132" s="106"/>
      <c r="AD132" s="56" t="s">
        <v>94</v>
      </c>
      <c r="AE132" s="56">
        <v>0.0</v>
      </c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4"/>
      <c r="S133" s="106">
        <v>46265.0</v>
      </c>
      <c r="T133" s="56" t="s">
        <v>124</v>
      </c>
      <c r="U133" s="106">
        <v>46053.0</v>
      </c>
      <c r="V133" s="106"/>
      <c r="W133" s="56" t="s">
        <v>8</v>
      </c>
      <c r="X133" s="56">
        <v>0.0</v>
      </c>
      <c r="Y133" s="4"/>
      <c r="Z133" s="82">
        <v>46295.0</v>
      </c>
      <c r="AA133" s="56" t="s">
        <v>92</v>
      </c>
      <c r="AB133" s="106">
        <v>46112.0</v>
      </c>
      <c r="AC133" s="106"/>
      <c r="AD133" s="56" t="s">
        <v>95</v>
      </c>
      <c r="AE133" s="102">
        <v>39204.0</v>
      </c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4"/>
      <c r="S134" s="106">
        <v>46265.0</v>
      </c>
      <c r="T134" s="56" t="s">
        <v>124</v>
      </c>
      <c r="U134" s="106">
        <v>46053.0</v>
      </c>
      <c r="V134" s="106"/>
      <c r="W134" s="56" t="s">
        <v>9</v>
      </c>
      <c r="X134" s="56">
        <v>0.0</v>
      </c>
      <c r="Y134" s="4"/>
      <c r="Z134" s="82">
        <v>46295.0</v>
      </c>
      <c r="AA134" s="56" t="s">
        <v>92</v>
      </c>
      <c r="AB134" s="106">
        <v>46112.0</v>
      </c>
      <c r="AC134" s="106"/>
      <c r="AD134" s="56" t="s">
        <v>96</v>
      </c>
      <c r="AE134" s="56">
        <v>0.0</v>
      </c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4"/>
      <c r="S135" s="106">
        <v>46265.0</v>
      </c>
      <c r="T135" s="56" t="s">
        <v>124</v>
      </c>
      <c r="U135" s="106">
        <v>46053.0</v>
      </c>
      <c r="V135" s="106"/>
      <c r="W135" s="56" t="s">
        <v>10</v>
      </c>
      <c r="X135" s="56">
        <v>0.0</v>
      </c>
      <c r="Y135" s="4"/>
      <c r="Z135" s="82">
        <v>46295.0</v>
      </c>
      <c r="AA135" s="56" t="s">
        <v>92</v>
      </c>
      <c r="AB135" s="106">
        <v>46112.0</v>
      </c>
      <c r="AC135" s="106"/>
      <c r="AD135" s="56" t="s">
        <v>97</v>
      </c>
      <c r="AE135" s="102">
        <v>0.0</v>
      </c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4"/>
      <c r="S136" s="106">
        <v>46265.0</v>
      </c>
      <c r="T136" s="56" t="s">
        <v>124</v>
      </c>
      <c r="U136" s="101">
        <v>46053.0</v>
      </c>
      <c r="V136" s="101"/>
      <c r="W136" s="56" t="s">
        <v>11</v>
      </c>
      <c r="X136" s="102">
        <v>0.0</v>
      </c>
      <c r="Y136" s="4"/>
      <c r="Z136" s="82">
        <v>46295.0</v>
      </c>
      <c r="AA136" s="56" t="s">
        <v>92</v>
      </c>
      <c r="AB136" s="106">
        <v>46112.0</v>
      </c>
      <c r="AC136" s="106"/>
      <c r="AD136" s="56" t="s">
        <v>98</v>
      </c>
      <c r="AE136" s="102">
        <v>1050000.0</v>
      </c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4"/>
      <c r="S137" s="106">
        <v>46265.0</v>
      </c>
      <c r="T137" s="56" t="s">
        <v>124</v>
      </c>
      <c r="U137" s="101">
        <v>46053.0</v>
      </c>
      <c r="V137" s="101"/>
      <c r="W137" s="56" t="s">
        <v>12</v>
      </c>
      <c r="X137" s="102">
        <v>0.0</v>
      </c>
      <c r="Y137" s="4"/>
      <c r="Z137" s="82">
        <v>46295.0</v>
      </c>
      <c r="AA137" s="56" t="s">
        <v>92</v>
      </c>
      <c r="AB137" s="106">
        <v>46112.0</v>
      </c>
      <c r="AC137" s="106"/>
      <c r="AD137" s="56" t="s">
        <v>99</v>
      </c>
      <c r="AE137" s="102">
        <v>0.0</v>
      </c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4"/>
      <c r="S138" s="106">
        <v>46265.0</v>
      </c>
      <c r="T138" s="56" t="s">
        <v>124</v>
      </c>
      <c r="U138" s="101">
        <v>46053.0</v>
      </c>
      <c r="V138" s="101"/>
      <c r="W138" s="56" t="s">
        <v>13</v>
      </c>
      <c r="X138" s="56">
        <v>0.0</v>
      </c>
      <c r="Y138" s="4"/>
      <c r="Z138" s="82">
        <v>46295.0</v>
      </c>
      <c r="AA138" s="56" t="s">
        <v>92</v>
      </c>
      <c r="AB138" s="106">
        <v>46112.0</v>
      </c>
      <c r="AC138" s="106"/>
      <c r="AD138" s="56" t="s">
        <v>100</v>
      </c>
      <c r="AE138" s="102">
        <v>0.0</v>
      </c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4"/>
      <c r="S139" s="106">
        <v>46265.0</v>
      </c>
      <c r="T139" s="56" t="s">
        <v>124</v>
      </c>
      <c r="U139" s="101">
        <v>46053.0</v>
      </c>
      <c r="V139" s="101"/>
      <c r="W139" s="56" t="s">
        <v>14</v>
      </c>
      <c r="X139" s="56">
        <v>0.0</v>
      </c>
      <c r="Y139" s="4"/>
      <c r="Z139" s="82">
        <v>46295.0</v>
      </c>
      <c r="AA139" s="56" t="s">
        <v>92</v>
      </c>
      <c r="AB139" s="106">
        <v>46112.0</v>
      </c>
      <c r="AC139" s="106"/>
      <c r="AD139" s="56" t="s">
        <v>101</v>
      </c>
      <c r="AE139" s="102">
        <v>0.0</v>
      </c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4"/>
      <c r="S140" s="106">
        <v>46265.0</v>
      </c>
      <c r="T140" s="56" t="s">
        <v>124</v>
      </c>
      <c r="U140" s="101">
        <v>46081.0</v>
      </c>
      <c r="V140" s="101"/>
      <c r="W140" s="56" t="s">
        <v>6</v>
      </c>
      <c r="X140" s="56">
        <v>0.0</v>
      </c>
      <c r="Y140" s="4"/>
      <c r="Z140" s="82">
        <v>46295.0</v>
      </c>
      <c r="AA140" s="56" t="s">
        <v>92</v>
      </c>
      <c r="AB140" s="106">
        <v>46112.0</v>
      </c>
      <c r="AC140" s="106"/>
      <c r="AD140" s="56" t="s">
        <v>102</v>
      </c>
      <c r="AE140" s="102">
        <v>0.0</v>
      </c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4"/>
      <c r="S141" s="106">
        <v>46265.0</v>
      </c>
      <c r="T141" s="56" t="s">
        <v>124</v>
      </c>
      <c r="U141" s="101">
        <v>46081.0</v>
      </c>
      <c r="V141" s="101"/>
      <c r="W141" s="56" t="s">
        <v>7</v>
      </c>
      <c r="X141" s="56">
        <v>0.0</v>
      </c>
      <c r="Y141" s="4"/>
      <c r="Z141" s="82">
        <v>46295.0</v>
      </c>
      <c r="AA141" s="56" t="s">
        <v>92</v>
      </c>
      <c r="AB141" s="106">
        <v>46112.0</v>
      </c>
      <c r="AC141" s="106"/>
      <c r="AD141" s="56" t="s">
        <v>103</v>
      </c>
      <c r="AE141" s="102">
        <v>710000.0</v>
      </c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4"/>
      <c r="S142" s="106">
        <v>46265.0</v>
      </c>
      <c r="T142" s="56" t="s">
        <v>124</v>
      </c>
      <c r="U142" s="101">
        <v>46081.0</v>
      </c>
      <c r="V142" s="101"/>
      <c r="W142" s="56" t="s">
        <v>8</v>
      </c>
      <c r="X142" s="56">
        <v>0.0</v>
      </c>
      <c r="Y142" s="4"/>
      <c r="Z142" s="82">
        <v>46295.0</v>
      </c>
      <c r="AA142" s="56" t="s">
        <v>92</v>
      </c>
      <c r="AB142" s="106">
        <v>46112.0</v>
      </c>
      <c r="AC142" s="106"/>
      <c r="AD142" s="56" t="s">
        <v>105</v>
      </c>
      <c r="AE142" s="102">
        <v>0.0</v>
      </c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4"/>
      <c r="S143" s="106">
        <v>46265.0</v>
      </c>
      <c r="T143" s="56" t="s">
        <v>124</v>
      </c>
      <c r="U143" s="101">
        <v>46081.0</v>
      </c>
      <c r="V143" s="101"/>
      <c r="W143" s="56" t="s">
        <v>9</v>
      </c>
      <c r="X143" s="56">
        <v>0.0</v>
      </c>
      <c r="Y143" s="4"/>
      <c r="Z143" s="82">
        <v>46295.0</v>
      </c>
      <c r="AA143" s="56" t="s">
        <v>92</v>
      </c>
      <c r="AB143" s="106">
        <v>46112.0</v>
      </c>
      <c r="AC143" s="106"/>
      <c r="AD143" s="56" t="s">
        <v>107</v>
      </c>
      <c r="AE143" s="102">
        <v>0.0</v>
      </c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4"/>
      <c r="S144" s="106">
        <v>46265.0</v>
      </c>
      <c r="T144" s="56" t="s">
        <v>124</v>
      </c>
      <c r="U144" s="101">
        <v>46081.0</v>
      </c>
      <c r="V144" s="101"/>
      <c r="W144" s="56" t="s">
        <v>10</v>
      </c>
      <c r="X144" s="56">
        <v>0.0</v>
      </c>
      <c r="Y144" s="4"/>
      <c r="Z144" s="82">
        <v>46295.0</v>
      </c>
      <c r="AA144" s="56" t="s">
        <v>92</v>
      </c>
      <c r="AB144" s="106">
        <v>46112.0</v>
      </c>
      <c r="AC144" s="106"/>
      <c r="AD144" s="56" t="s">
        <v>109</v>
      </c>
      <c r="AE144" s="56">
        <v>0.0</v>
      </c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4"/>
      <c r="S145" s="106">
        <v>46265.0</v>
      </c>
      <c r="T145" s="56" t="s">
        <v>124</v>
      </c>
      <c r="U145" s="101">
        <v>46081.0</v>
      </c>
      <c r="V145" s="101"/>
      <c r="W145" s="56" t="s">
        <v>11</v>
      </c>
      <c r="X145" s="56">
        <v>0.0</v>
      </c>
      <c r="Y145" s="4"/>
      <c r="Z145" s="82">
        <v>46295.0</v>
      </c>
      <c r="AA145" s="56" t="s">
        <v>92</v>
      </c>
      <c r="AB145" s="106">
        <v>46112.0</v>
      </c>
      <c r="AC145" s="106"/>
      <c r="AD145" s="56" t="s">
        <v>111</v>
      </c>
      <c r="AE145" s="102">
        <v>310000.0</v>
      </c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4"/>
      <c r="S146" s="106">
        <v>46265.0</v>
      </c>
      <c r="T146" s="56" t="s">
        <v>124</v>
      </c>
      <c r="U146" s="106">
        <v>46081.0</v>
      </c>
      <c r="V146" s="106"/>
      <c r="W146" s="56" t="s">
        <v>12</v>
      </c>
      <c r="X146" s="102">
        <v>0.0</v>
      </c>
      <c r="Y146" s="4"/>
      <c r="Z146" s="82">
        <v>46295.0</v>
      </c>
      <c r="AA146" s="56" t="s">
        <v>92</v>
      </c>
      <c r="AB146" s="106">
        <v>46112.0</v>
      </c>
      <c r="AC146" s="106"/>
      <c r="AD146" s="56" t="s">
        <v>112</v>
      </c>
      <c r="AE146" s="56">
        <v>0.0</v>
      </c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4"/>
      <c r="S147" s="106">
        <v>46265.0</v>
      </c>
      <c r="T147" s="56" t="s">
        <v>124</v>
      </c>
      <c r="U147" s="106">
        <v>46081.0</v>
      </c>
      <c r="V147" s="106"/>
      <c r="W147" s="56" t="s">
        <v>13</v>
      </c>
      <c r="X147" s="102">
        <v>0.0</v>
      </c>
      <c r="Y147" s="4"/>
      <c r="Z147" s="82">
        <v>46295.0</v>
      </c>
      <c r="AA147" s="56" t="s">
        <v>92</v>
      </c>
      <c r="AB147" s="106">
        <v>46112.0</v>
      </c>
      <c r="AC147" s="106"/>
      <c r="AD147" s="56" t="s">
        <v>46</v>
      </c>
      <c r="AE147" s="102">
        <v>0.0</v>
      </c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4"/>
      <c r="S148" s="106">
        <v>46265.0</v>
      </c>
      <c r="T148" s="56" t="s">
        <v>124</v>
      </c>
      <c r="U148" s="106">
        <v>46081.0</v>
      </c>
      <c r="V148" s="106"/>
      <c r="W148" s="56" t="s">
        <v>14</v>
      </c>
      <c r="X148" s="56">
        <v>0.0</v>
      </c>
      <c r="Y148" s="4"/>
      <c r="Z148" s="82">
        <v>46295.0</v>
      </c>
      <c r="AA148" s="56" t="s">
        <v>92</v>
      </c>
      <c r="AB148" s="106">
        <v>46112.0</v>
      </c>
      <c r="AC148" s="106"/>
      <c r="AD148" s="56" t="s">
        <v>114</v>
      </c>
      <c r="AE148" s="102">
        <v>0.0</v>
      </c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4"/>
      <c r="S149" s="106">
        <v>46265.0</v>
      </c>
      <c r="T149" s="56" t="s">
        <v>124</v>
      </c>
      <c r="U149" s="106">
        <v>46112.0</v>
      </c>
      <c r="V149" s="106"/>
      <c r="W149" s="56" t="s">
        <v>6</v>
      </c>
      <c r="X149" s="56">
        <v>0.0</v>
      </c>
      <c r="Y149" s="4"/>
      <c r="Z149" s="82">
        <v>46295.0</v>
      </c>
      <c r="AA149" s="56" t="s">
        <v>92</v>
      </c>
      <c r="AB149" s="106">
        <v>46112.0</v>
      </c>
      <c r="AC149" s="106"/>
      <c r="AD149" s="56" t="s">
        <v>23</v>
      </c>
      <c r="AE149" s="56">
        <v>0.0</v>
      </c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4"/>
      <c r="S150" s="106">
        <v>46265.0</v>
      </c>
      <c r="T150" s="56" t="s">
        <v>124</v>
      </c>
      <c r="U150" s="106">
        <v>46112.0</v>
      </c>
      <c r="V150" s="106"/>
      <c r="W150" s="56" t="s">
        <v>7</v>
      </c>
      <c r="X150" s="56">
        <v>0.0</v>
      </c>
      <c r="Y150" s="4"/>
      <c r="Z150" s="82">
        <v>46295.0</v>
      </c>
      <c r="AA150" s="56" t="s">
        <v>92</v>
      </c>
      <c r="AB150" s="106">
        <v>46112.0</v>
      </c>
      <c r="AC150" s="106"/>
      <c r="AD150" s="56" t="s">
        <v>117</v>
      </c>
      <c r="AE150" s="56">
        <v>0.0</v>
      </c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4"/>
      <c r="S151" s="106">
        <v>46265.0</v>
      </c>
      <c r="T151" s="56" t="s">
        <v>124</v>
      </c>
      <c r="U151" s="106">
        <v>46112.0</v>
      </c>
      <c r="V151" s="106"/>
      <c r="W151" s="56" t="s">
        <v>8</v>
      </c>
      <c r="X151" s="102">
        <v>5033000.0</v>
      </c>
      <c r="Y151" s="4"/>
      <c r="Z151" s="82">
        <v>46295.0</v>
      </c>
      <c r="AA151" s="56" t="s">
        <v>92</v>
      </c>
      <c r="AB151" s="106">
        <v>46112.0</v>
      </c>
      <c r="AC151" s="106"/>
      <c r="AD151" s="56" t="s">
        <v>14</v>
      </c>
      <c r="AE151" s="102">
        <v>0.0</v>
      </c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4"/>
      <c r="S152" s="106">
        <v>46265.0</v>
      </c>
      <c r="T152" s="56" t="s">
        <v>124</v>
      </c>
      <c r="U152" s="106">
        <v>46112.0</v>
      </c>
      <c r="V152" s="106"/>
      <c r="W152" s="56" t="s">
        <v>9</v>
      </c>
      <c r="X152" s="102">
        <v>1089000.0</v>
      </c>
      <c r="Y152" s="4"/>
      <c r="Z152" s="82">
        <v>46295.0</v>
      </c>
      <c r="AA152" s="56" t="s">
        <v>92</v>
      </c>
      <c r="AB152" s="106">
        <v>46142.0</v>
      </c>
      <c r="AC152" s="106"/>
      <c r="AD152" s="56" t="s">
        <v>93</v>
      </c>
      <c r="AE152" s="102">
        <v>0.0</v>
      </c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4"/>
      <c r="S153" s="106">
        <v>46265.0</v>
      </c>
      <c r="T153" s="56" t="s">
        <v>124</v>
      </c>
      <c r="U153" s="106">
        <v>46112.0</v>
      </c>
      <c r="V153" s="106"/>
      <c r="W153" s="56" t="s">
        <v>10</v>
      </c>
      <c r="X153" s="56">
        <v>0.0</v>
      </c>
      <c r="Y153" s="4"/>
      <c r="Z153" s="82">
        <v>46295.0</v>
      </c>
      <c r="AA153" s="56" t="s">
        <v>92</v>
      </c>
      <c r="AB153" s="106">
        <v>46142.0</v>
      </c>
      <c r="AC153" s="106"/>
      <c r="AD153" s="56" t="s">
        <v>94</v>
      </c>
      <c r="AE153" s="56">
        <v>0.0</v>
      </c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4"/>
      <c r="S154" s="106">
        <v>46265.0</v>
      </c>
      <c r="T154" s="56" t="s">
        <v>124</v>
      </c>
      <c r="U154" s="106">
        <v>46112.0</v>
      </c>
      <c r="V154" s="106"/>
      <c r="W154" s="56" t="s">
        <v>11</v>
      </c>
      <c r="X154" s="56">
        <v>0.0</v>
      </c>
      <c r="Y154" s="4"/>
      <c r="Z154" s="82">
        <v>46295.0</v>
      </c>
      <c r="AA154" s="56" t="s">
        <v>92</v>
      </c>
      <c r="AB154" s="106">
        <v>46142.0</v>
      </c>
      <c r="AC154" s="106"/>
      <c r="AD154" s="56" t="s">
        <v>95</v>
      </c>
      <c r="AE154" s="56">
        <v>0.0</v>
      </c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4"/>
      <c r="S155" s="106">
        <v>46265.0</v>
      </c>
      <c r="T155" s="56" t="s">
        <v>124</v>
      </c>
      <c r="U155" s="106">
        <v>46112.0</v>
      </c>
      <c r="V155" s="106"/>
      <c r="W155" s="56" t="s">
        <v>12</v>
      </c>
      <c r="X155" s="56">
        <v>0.0</v>
      </c>
      <c r="Y155" s="4"/>
      <c r="Z155" s="82">
        <v>46295.0</v>
      </c>
      <c r="AA155" s="56" t="s">
        <v>92</v>
      </c>
      <c r="AB155" s="106">
        <v>46142.0</v>
      </c>
      <c r="AC155" s="106"/>
      <c r="AD155" s="56" t="s">
        <v>96</v>
      </c>
      <c r="AE155" s="56">
        <v>0.0</v>
      </c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4"/>
      <c r="S156" s="106">
        <v>46265.0</v>
      </c>
      <c r="T156" s="56" t="s">
        <v>124</v>
      </c>
      <c r="U156" s="106">
        <v>46112.0</v>
      </c>
      <c r="V156" s="106"/>
      <c r="W156" s="56" t="s">
        <v>13</v>
      </c>
      <c r="X156" s="102">
        <v>0.0</v>
      </c>
      <c r="Y156" s="4"/>
      <c r="Z156" s="82">
        <v>46295.0</v>
      </c>
      <c r="AA156" s="56" t="s">
        <v>92</v>
      </c>
      <c r="AB156" s="106">
        <v>46142.0</v>
      </c>
      <c r="AC156" s="106"/>
      <c r="AD156" s="56" t="s">
        <v>97</v>
      </c>
      <c r="AE156" s="56">
        <v>0.0</v>
      </c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4"/>
      <c r="S157" s="106">
        <v>46265.0</v>
      </c>
      <c r="T157" s="56" t="s">
        <v>124</v>
      </c>
      <c r="U157" s="106">
        <v>46112.0</v>
      </c>
      <c r="V157" s="106"/>
      <c r="W157" s="56" t="s">
        <v>14</v>
      </c>
      <c r="X157" s="102">
        <v>0.0</v>
      </c>
      <c r="Y157" s="4"/>
      <c r="Z157" s="82">
        <v>46295.0</v>
      </c>
      <c r="AA157" s="56" t="s">
        <v>92</v>
      </c>
      <c r="AB157" s="106">
        <v>46142.0</v>
      </c>
      <c r="AC157" s="106"/>
      <c r="AD157" s="56" t="s">
        <v>98</v>
      </c>
      <c r="AE157" s="56">
        <v>0.0</v>
      </c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4"/>
      <c r="S158" s="106">
        <v>46265.0</v>
      </c>
      <c r="T158" s="56" t="s">
        <v>124</v>
      </c>
      <c r="U158" s="106">
        <v>46142.0</v>
      </c>
      <c r="V158" s="106"/>
      <c r="W158" s="56" t="s">
        <v>6</v>
      </c>
      <c r="X158" s="102">
        <v>6100000.0</v>
      </c>
      <c r="Y158" s="4"/>
      <c r="Z158" s="82">
        <v>46295.0</v>
      </c>
      <c r="AA158" s="56" t="s">
        <v>92</v>
      </c>
      <c r="AB158" s="106">
        <v>46142.0</v>
      </c>
      <c r="AC158" s="106"/>
      <c r="AD158" s="56" t="s">
        <v>99</v>
      </c>
      <c r="AE158" s="56">
        <v>0.0</v>
      </c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4"/>
      <c r="S159" s="106">
        <v>46265.0</v>
      </c>
      <c r="T159" s="56" t="s">
        <v>124</v>
      </c>
      <c r="U159" s="106">
        <v>46142.0</v>
      </c>
      <c r="V159" s="106"/>
      <c r="W159" s="56" t="s">
        <v>7</v>
      </c>
      <c r="X159" s="56">
        <v>0.0</v>
      </c>
      <c r="Y159" s="4"/>
      <c r="Z159" s="82">
        <v>46295.0</v>
      </c>
      <c r="AA159" s="56" t="s">
        <v>92</v>
      </c>
      <c r="AB159" s="106">
        <v>46142.0</v>
      </c>
      <c r="AC159" s="106"/>
      <c r="AD159" s="56" t="s">
        <v>100</v>
      </c>
      <c r="AE159" s="56">
        <v>0.0</v>
      </c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4"/>
      <c r="S160" s="106">
        <v>46265.0</v>
      </c>
      <c r="T160" s="56" t="s">
        <v>124</v>
      </c>
      <c r="U160" s="106">
        <v>46142.0</v>
      </c>
      <c r="V160" s="106"/>
      <c r="W160" s="56" t="s">
        <v>8</v>
      </c>
      <c r="X160" s="56">
        <v>0.0</v>
      </c>
      <c r="Y160" s="4"/>
      <c r="Z160" s="82">
        <v>46295.0</v>
      </c>
      <c r="AA160" s="56" t="s">
        <v>92</v>
      </c>
      <c r="AB160" s="106">
        <v>46142.0</v>
      </c>
      <c r="AC160" s="106"/>
      <c r="AD160" s="56" t="s">
        <v>101</v>
      </c>
      <c r="AE160" s="56">
        <v>0.0</v>
      </c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4"/>
      <c r="S161" s="106">
        <v>46265.0</v>
      </c>
      <c r="T161" s="56" t="s">
        <v>124</v>
      </c>
      <c r="U161" s="106">
        <v>46142.0</v>
      </c>
      <c r="V161" s="106"/>
      <c r="W161" s="56" t="s">
        <v>9</v>
      </c>
      <c r="X161" s="56">
        <v>0.0</v>
      </c>
      <c r="Y161" s="4"/>
      <c r="Z161" s="82">
        <v>46295.0</v>
      </c>
      <c r="AA161" s="56" t="s">
        <v>92</v>
      </c>
      <c r="AB161" s="106">
        <v>46142.0</v>
      </c>
      <c r="AC161" s="106"/>
      <c r="AD161" s="56" t="s">
        <v>102</v>
      </c>
      <c r="AE161" s="56">
        <v>0.0</v>
      </c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4"/>
      <c r="S162" s="106">
        <v>46265.0</v>
      </c>
      <c r="T162" s="56" t="s">
        <v>124</v>
      </c>
      <c r="U162" s="106">
        <v>46142.0</v>
      </c>
      <c r="V162" s="106"/>
      <c r="W162" s="56" t="s">
        <v>10</v>
      </c>
      <c r="X162" s="56">
        <v>0.0</v>
      </c>
      <c r="Y162" s="4"/>
      <c r="Z162" s="82">
        <v>46295.0</v>
      </c>
      <c r="AA162" s="56" t="s">
        <v>92</v>
      </c>
      <c r="AB162" s="106">
        <v>46142.0</v>
      </c>
      <c r="AC162" s="106"/>
      <c r="AD162" s="56" t="s">
        <v>103</v>
      </c>
      <c r="AE162" s="102">
        <v>710000.0</v>
      </c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4"/>
      <c r="S163" s="106">
        <v>46265.0</v>
      </c>
      <c r="T163" s="56" t="s">
        <v>124</v>
      </c>
      <c r="U163" s="106">
        <v>46142.0</v>
      </c>
      <c r="V163" s="106"/>
      <c r="W163" s="56" t="s">
        <v>11</v>
      </c>
      <c r="X163" s="56">
        <v>0.0</v>
      </c>
      <c r="Y163" s="4"/>
      <c r="Z163" s="82">
        <v>46295.0</v>
      </c>
      <c r="AA163" s="56" t="s">
        <v>92</v>
      </c>
      <c r="AB163" s="106">
        <v>46142.0</v>
      </c>
      <c r="AC163" s="106"/>
      <c r="AD163" s="56" t="s">
        <v>105</v>
      </c>
      <c r="AE163" s="56">
        <v>0.0</v>
      </c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4"/>
      <c r="S164" s="106">
        <v>46265.0</v>
      </c>
      <c r="T164" s="56" t="s">
        <v>124</v>
      </c>
      <c r="U164" s="106">
        <v>46142.0</v>
      </c>
      <c r="V164" s="106"/>
      <c r="W164" s="56" t="s">
        <v>12</v>
      </c>
      <c r="X164" s="56">
        <v>0.0</v>
      </c>
      <c r="Y164" s="4"/>
      <c r="Z164" s="82">
        <v>46295.0</v>
      </c>
      <c r="AA164" s="56" t="s">
        <v>92</v>
      </c>
      <c r="AB164" s="106">
        <v>46142.0</v>
      </c>
      <c r="AC164" s="106"/>
      <c r="AD164" s="56" t="s">
        <v>107</v>
      </c>
      <c r="AE164" s="56">
        <v>0.0</v>
      </c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4"/>
      <c r="S165" s="106">
        <v>46265.0</v>
      </c>
      <c r="T165" s="56" t="s">
        <v>124</v>
      </c>
      <c r="U165" s="106">
        <v>46142.0</v>
      </c>
      <c r="V165" s="106"/>
      <c r="W165" s="56" t="s">
        <v>13</v>
      </c>
      <c r="X165" s="56">
        <v>0.0</v>
      </c>
      <c r="Y165" s="4"/>
      <c r="Z165" s="82">
        <v>46295.0</v>
      </c>
      <c r="AA165" s="56" t="s">
        <v>92</v>
      </c>
      <c r="AB165" s="106">
        <v>46142.0</v>
      </c>
      <c r="AC165" s="106"/>
      <c r="AD165" s="56" t="s">
        <v>109</v>
      </c>
      <c r="AE165" s="56">
        <v>0.0</v>
      </c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4"/>
      <c r="S166" s="106">
        <v>46265.0</v>
      </c>
      <c r="T166" s="56" t="s">
        <v>124</v>
      </c>
      <c r="U166" s="106">
        <v>46142.0</v>
      </c>
      <c r="V166" s="106"/>
      <c r="W166" s="56" t="s">
        <v>14</v>
      </c>
      <c r="X166" s="102">
        <v>0.0</v>
      </c>
      <c r="Y166" s="4"/>
      <c r="Z166" s="82">
        <v>46295.0</v>
      </c>
      <c r="AA166" s="56" t="s">
        <v>92</v>
      </c>
      <c r="AB166" s="106">
        <v>46142.0</v>
      </c>
      <c r="AC166" s="106"/>
      <c r="AD166" s="56" t="s">
        <v>111</v>
      </c>
      <c r="AE166" s="102">
        <v>250000.0</v>
      </c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4"/>
      <c r="S167" s="106">
        <v>46265.0</v>
      </c>
      <c r="T167" s="56" t="s">
        <v>124</v>
      </c>
      <c r="U167" s="106">
        <v>46173.0</v>
      </c>
      <c r="V167" s="106"/>
      <c r="W167" s="56" t="s">
        <v>6</v>
      </c>
      <c r="X167" s="102">
        <v>6100000.0</v>
      </c>
      <c r="Y167" s="4"/>
      <c r="Z167" s="82">
        <v>46295.0</v>
      </c>
      <c r="AA167" s="56" t="s">
        <v>92</v>
      </c>
      <c r="AB167" s="106">
        <v>46142.0</v>
      </c>
      <c r="AC167" s="106"/>
      <c r="AD167" s="56" t="s">
        <v>112</v>
      </c>
      <c r="AE167" s="56">
        <v>0.0</v>
      </c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4"/>
      <c r="S168" s="106">
        <v>46265.0</v>
      </c>
      <c r="T168" s="56" t="s">
        <v>124</v>
      </c>
      <c r="U168" s="106">
        <v>46173.0</v>
      </c>
      <c r="V168" s="106"/>
      <c r="W168" s="56" t="s">
        <v>7</v>
      </c>
      <c r="X168" s="102">
        <v>0.0</v>
      </c>
      <c r="Y168" s="4"/>
      <c r="Z168" s="82">
        <v>46295.0</v>
      </c>
      <c r="AA168" s="56" t="s">
        <v>92</v>
      </c>
      <c r="AB168" s="106">
        <v>46142.0</v>
      </c>
      <c r="AC168" s="106"/>
      <c r="AD168" s="56" t="s">
        <v>46</v>
      </c>
      <c r="AE168" s="56">
        <v>0.0</v>
      </c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4"/>
      <c r="S169" s="106">
        <v>46265.0</v>
      </c>
      <c r="T169" s="56" t="s">
        <v>124</v>
      </c>
      <c r="U169" s="106">
        <v>46173.0</v>
      </c>
      <c r="V169" s="106"/>
      <c r="W169" s="56" t="s">
        <v>8</v>
      </c>
      <c r="X169" s="102">
        <v>0.0</v>
      </c>
      <c r="Y169" s="4"/>
      <c r="Z169" s="82">
        <v>46295.0</v>
      </c>
      <c r="AA169" s="56" t="s">
        <v>92</v>
      </c>
      <c r="AB169" s="106">
        <v>46142.0</v>
      </c>
      <c r="AC169" s="106"/>
      <c r="AD169" s="56" t="s">
        <v>114</v>
      </c>
      <c r="AE169" s="102">
        <v>0.0</v>
      </c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4"/>
      <c r="S170" s="106">
        <v>46265.0</v>
      </c>
      <c r="T170" s="56" t="s">
        <v>124</v>
      </c>
      <c r="U170" s="106">
        <v>46173.0</v>
      </c>
      <c r="V170" s="106"/>
      <c r="W170" s="56" t="s">
        <v>9</v>
      </c>
      <c r="X170" s="102">
        <v>0.0</v>
      </c>
      <c r="Y170" s="4"/>
      <c r="Z170" s="82">
        <v>46295.0</v>
      </c>
      <c r="AA170" s="56" t="s">
        <v>92</v>
      </c>
      <c r="AB170" s="106">
        <v>46142.0</v>
      </c>
      <c r="AC170" s="106"/>
      <c r="AD170" s="56" t="s">
        <v>23</v>
      </c>
      <c r="AE170" s="102">
        <v>0.0</v>
      </c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4"/>
      <c r="S171" s="106">
        <v>46265.0</v>
      </c>
      <c r="T171" s="56" t="s">
        <v>124</v>
      </c>
      <c r="U171" s="106">
        <v>46173.0</v>
      </c>
      <c r="V171" s="106"/>
      <c r="W171" s="56" t="s">
        <v>10</v>
      </c>
      <c r="X171" s="56">
        <v>0.0</v>
      </c>
      <c r="Y171" s="4"/>
      <c r="Z171" s="82">
        <v>46295.0</v>
      </c>
      <c r="AA171" s="56" t="s">
        <v>92</v>
      </c>
      <c r="AB171" s="106">
        <v>46142.0</v>
      </c>
      <c r="AC171" s="106"/>
      <c r="AD171" s="56" t="s">
        <v>117</v>
      </c>
      <c r="AE171" s="56">
        <v>0.0</v>
      </c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4"/>
      <c r="S172" s="106">
        <v>46265.0</v>
      </c>
      <c r="T172" s="56" t="s">
        <v>124</v>
      </c>
      <c r="U172" s="106">
        <v>46173.0</v>
      </c>
      <c r="V172" s="106"/>
      <c r="W172" s="56" t="s">
        <v>11</v>
      </c>
      <c r="X172" s="56">
        <v>0.0</v>
      </c>
      <c r="Y172" s="4"/>
      <c r="Z172" s="82">
        <v>46295.0</v>
      </c>
      <c r="AA172" s="56" t="s">
        <v>92</v>
      </c>
      <c r="AB172" s="106">
        <v>46142.0</v>
      </c>
      <c r="AC172" s="106"/>
      <c r="AD172" s="56" t="s">
        <v>14</v>
      </c>
      <c r="AE172" s="56">
        <v>0.0</v>
      </c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4"/>
      <c r="S173" s="106">
        <v>46265.0</v>
      </c>
      <c r="T173" s="56" t="s">
        <v>124</v>
      </c>
      <c r="U173" s="106">
        <v>46173.0</v>
      </c>
      <c r="V173" s="106"/>
      <c r="W173" s="56" t="s">
        <v>12</v>
      </c>
      <c r="X173" s="56">
        <v>0.0</v>
      </c>
      <c r="Y173" s="4"/>
      <c r="Z173" s="82">
        <v>46295.0</v>
      </c>
      <c r="AA173" s="56" t="s">
        <v>92</v>
      </c>
      <c r="AB173" s="106">
        <v>46173.0</v>
      </c>
      <c r="AC173" s="106"/>
      <c r="AD173" s="56" t="s">
        <v>93</v>
      </c>
      <c r="AE173" s="102">
        <v>0.0</v>
      </c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4"/>
      <c r="S174" s="106">
        <v>46265.0</v>
      </c>
      <c r="T174" s="56" t="s">
        <v>124</v>
      </c>
      <c r="U174" s="106">
        <v>46173.0</v>
      </c>
      <c r="V174" s="106"/>
      <c r="W174" s="56" t="s">
        <v>13</v>
      </c>
      <c r="X174" s="56">
        <v>0.0</v>
      </c>
      <c r="Y174" s="4"/>
      <c r="Z174" s="82">
        <v>46295.0</v>
      </c>
      <c r="AA174" s="56" t="s">
        <v>92</v>
      </c>
      <c r="AB174" s="106">
        <v>46173.0</v>
      </c>
      <c r="AC174" s="106"/>
      <c r="AD174" s="56" t="s">
        <v>94</v>
      </c>
      <c r="AE174" s="102">
        <v>0.0</v>
      </c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4"/>
      <c r="S175" s="106">
        <v>46265.0</v>
      </c>
      <c r="T175" s="56" t="s">
        <v>124</v>
      </c>
      <c r="U175" s="106">
        <v>46173.0</v>
      </c>
      <c r="V175" s="106"/>
      <c r="W175" s="56" t="s">
        <v>14</v>
      </c>
      <c r="X175" s="56">
        <v>0.0</v>
      </c>
      <c r="Y175" s="4"/>
      <c r="Z175" s="82">
        <v>46295.0</v>
      </c>
      <c r="AA175" s="56" t="s">
        <v>92</v>
      </c>
      <c r="AB175" s="106">
        <v>46173.0</v>
      </c>
      <c r="AC175" s="106"/>
      <c r="AD175" s="56" t="s">
        <v>95</v>
      </c>
      <c r="AE175" s="56">
        <v>0.0</v>
      </c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4"/>
      <c r="S176" s="106">
        <v>46265.0</v>
      </c>
      <c r="T176" s="56" t="s">
        <v>124</v>
      </c>
      <c r="U176" s="106">
        <v>46203.0</v>
      </c>
      <c r="V176" s="106"/>
      <c r="W176" s="56" t="s">
        <v>6</v>
      </c>
      <c r="X176" s="102">
        <v>0.0</v>
      </c>
      <c r="Y176" s="4"/>
      <c r="Z176" s="82">
        <v>46295.0</v>
      </c>
      <c r="AA176" s="56" t="s">
        <v>92</v>
      </c>
      <c r="AB176" s="106">
        <v>46173.0</v>
      </c>
      <c r="AC176" s="106"/>
      <c r="AD176" s="56" t="s">
        <v>96</v>
      </c>
      <c r="AE176" s="56">
        <v>0.0</v>
      </c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4"/>
      <c r="S177" s="106">
        <v>46265.0</v>
      </c>
      <c r="T177" s="56" t="s">
        <v>124</v>
      </c>
      <c r="U177" s="106">
        <v>46203.0</v>
      </c>
      <c r="V177" s="106"/>
      <c r="W177" s="56" t="s">
        <v>7</v>
      </c>
      <c r="X177" s="102">
        <v>0.0</v>
      </c>
      <c r="Y177" s="4"/>
      <c r="Z177" s="82">
        <v>46295.0</v>
      </c>
      <c r="AA177" s="56" t="s">
        <v>92</v>
      </c>
      <c r="AB177" s="106">
        <v>46173.0</v>
      </c>
      <c r="AC177" s="106"/>
      <c r="AD177" s="56" t="s">
        <v>97</v>
      </c>
      <c r="AE177" s="56">
        <v>0.0</v>
      </c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4"/>
      <c r="S178" s="106">
        <v>46265.0</v>
      </c>
      <c r="T178" s="56" t="s">
        <v>124</v>
      </c>
      <c r="U178" s="106">
        <v>46203.0</v>
      </c>
      <c r="V178" s="106"/>
      <c r="W178" s="56" t="s">
        <v>8</v>
      </c>
      <c r="X178" s="56">
        <v>0.0</v>
      </c>
      <c r="Y178" s="4"/>
      <c r="Z178" s="82">
        <v>46295.0</v>
      </c>
      <c r="AA178" s="56" t="s">
        <v>92</v>
      </c>
      <c r="AB178" s="106">
        <v>46173.0</v>
      </c>
      <c r="AC178" s="106"/>
      <c r="AD178" s="56" t="s">
        <v>98</v>
      </c>
      <c r="AE178" s="56">
        <v>0.0</v>
      </c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4"/>
      <c r="S179" s="106">
        <v>46265.0</v>
      </c>
      <c r="T179" s="56" t="s">
        <v>124</v>
      </c>
      <c r="U179" s="106">
        <v>46203.0</v>
      </c>
      <c r="V179" s="106"/>
      <c r="W179" s="56" t="s">
        <v>9</v>
      </c>
      <c r="X179" s="56">
        <v>0.0</v>
      </c>
      <c r="Y179" s="4"/>
      <c r="Z179" s="82">
        <v>46295.0</v>
      </c>
      <c r="AA179" s="56" t="s">
        <v>92</v>
      </c>
      <c r="AB179" s="106">
        <v>46173.0</v>
      </c>
      <c r="AC179" s="106"/>
      <c r="AD179" s="56" t="s">
        <v>99</v>
      </c>
      <c r="AE179" s="56">
        <v>0.0</v>
      </c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4"/>
      <c r="S180" s="106">
        <v>46265.0</v>
      </c>
      <c r="T180" s="56" t="s">
        <v>124</v>
      </c>
      <c r="U180" s="106">
        <v>46203.0</v>
      </c>
      <c r="V180" s="106"/>
      <c r="W180" s="56" t="s">
        <v>10</v>
      </c>
      <c r="X180" s="56">
        <v>0.0</v>
      </c>
      <c r="Y180" s="4"/>
      <c r="Z180" s="82">
        <v>46295.0</v>
      </c>
      <c r="AA180" s="56" t="s">
        <v>92</v>
      </c>
      <c r="AB180" s="106">
        <v>46173.0</v>
      </c>
      <c r="AC180" s="106"/>
      <c r="AD180" s="56" t="s">
        <v>100</v>
      </c>
      <c r="AE180" s="56">
        <v>0.0</v>
      </c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4"/>
      <c r="S181" s="106">
        <v>46265.0</v>
      </c>
      <c r="T181" s="56" t="s">
        <v>124</v>
      </c>
      <c r="U181" s="106">
        <v>46203.0</v>
      </c>
      <c r="V181" s="106"/>
      <c r="W181" s="56" t="s">
        <v>11</v>
      </c>
      <c r="X181" s="56">
        <v>0.0</v>
      </c>
      <c r="Y181" s="4"/>
      <c r="Z181" s="82">
        <v>46295.0</v>
      </c>
      <c r="AA181" s="56" t="s">
        <v>92</v>
      </c>
      <c r="AB181" s="106">
        <v>46173.0</v>
      </c>
      <c r="AC181" s="106"/>
      <c r="AD181" s="56" t="s">
        <v>101</v>
      </c>
      <c r="AE181" s="56">
        <v>0.0</v>
      </c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4"/>
      <c r="S182" s="106">
        <v>46265.0</v>
      </c>
      <c r="T182" s="56" t="s">
        <v>124</v>
      </c>
      <c r="U182" s="106">
        <v>46203.0</v>
      </c>
      <c r="V182" s="106"/>
      <c r="W182" s="56" t="s">
        <v>12</v>
      </c>
      <c r="X182" s="56">
        <v>0.0</v>
      </c>
      <c r="Y182" s="4"/>
      <c r="Z182" s="82">
        <v>46295.0</v>
      </c>
      <c r="AA182" s="56" t="s">
        <v>92</v>
      </c>
      <c r="AB182" s="106">
        <v>46173.0</v>
      </c>
      <c r="AC182" s="106"/>
      <c r="AD182" s="56" t="s">
        <v>102</v>
      </c>
      <c r="AE182" s="56">
        <v>0.0</v>
      </c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4"/>
      <c r="S183" s="106">
        <v>46265.0</v>
      </c>
      <c r="T183" s="56" t="s">
        <v>124</v>
      </c>
      <c r="U183" s="106">
        <v>46203.0</v>
      </c>
      <c r="V183" s="106"/>
      <c r="W183" s="56" t="s">
        <v>13</v>
      </c>
      <c r="X183" s="56">
        <v>0.0</v>
      </c>
      <c r="Y183" s="4"/>
      <c r="Z183" s="82">
        <v>46295.0</v>
      </c>
      <c r="AA183" s="56" t="s">
        <v>92</v>
      </c>
      <c r="AB183" s="106">
        <v>46173.0</v>
      </c>
      <c r="AC183" s="106"/>
      <c r="AD183" s="56" t="s">
        <v>103</v>
      </c>
      <c r="AE183" s="102">
        <v>710000.0</v>
      </c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4"/>
      <c r="S184" s="106">
        <v>46265.0</v>
      </c>
      <c r="T184" s="56" t="s">
        <v>124</v>
      </c>
      <c r="U184" s="106">
        <v>46203.0</v>
      </c>
      <c r="V184" s="106"/>
      <c r="W184" s="56" t="s">
        <v>14</v>
      </c>
      <c r="X184" s="56">
        <v>0.0</v>
      </c>
      <c r="Y184" s="4"/>
      <c r="Z184" s="82">
        <v>46295.0</v>
      </c>
      <c r="AA184" s="56" t="s">
        <v>92</v>
      </c>
      <c r="AB184" s="106">
        <v>46173.0</v>
      </c>
      <c r="AC184" s="106"/>
      <c r="AD184" s="56" t="s">
        <v>105</v>
      </c>
      <c r="AE184" s="56">
        <v>0.0</v>
      </c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4"/>
      <c r="S185" s="106">
        <v>46265.0</v>
      </c>
      <c r="T185" s="56" t="s">
        <v>124</v>
      </c>
      <c r="U185" s="106">
        <v>46265.0</v>
      </c>
      <c r="V185" s="106"/>
      <c r="W185" s="56" t="s">
        <v>6</v>
      </c>
      <c r="X185" s="56">
        <v>0.0</v>
      </c>
      <c r="Y185" s="4"/>
      <c r="Z185" s="82">
        <v>46295.0</v>
      </c>
      <c r="AA185" s="56" t="s">
        <v>92</v>
      </c>
      <c r="AB185" s="106">
        <v>46173.0</v>
      </c>
      <c r="AC185" s="106"/>
      <c r="AD185" s="56" t="s">
        <v>107</v>
      </c>
      <c r="AE185" s="56">
        <v>0.0</v>
      </c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4"/>
      <c r="S186" s="106">
        <v>46265.0</v>
      </c>
      <c r="T186" s="56" t="s">
        <v>124</v>
      </c>
      <c r="U186" s="106">
        <v>46265.0</v>
      </c>
      <c r="V186" s="106"/>
      <c r="W186" s="56" t="s">
        <v>7</v>
      </c>
      <c r="X186" s="56">
        <v>0.0</v>
      </c>
      <c r="Y186" s="4"/>
      <c r="Z186" s="82">
        <v>46295.0</v>
      </c>
      <c r="AA186" s="56" t="s">
        <v>92</v>
      </c>
      <c r="AB186" s="106">
        <v>46173.0</v>
      </c>
      <c r="AC186" s="106"/>
      <c r="AD186" s="56" t="s">
        <v>109</v>
      </c>
      <c r="AE186" s="56">
        <v>0.0</v>
      </c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4"/>
      <c r="S187" s="106">
        <v>46265.0</v>
      </c>
      <c r="T187" s="56" t="s">
        <v>124</v>
      </c>
      <c r="U187" s="106">
        <v>46265.0</v>
      </c>
      <c r="V187" s="106"/>
      <c r="W187" s="56" t="s">
        <v>8</v>
      </c>
      <c r="X187" s="56">
        <v>0.0</v>
      </c>
      <c r="Y187" s="4"/>
      <c r="Z187" s="82">
        <v>46295.0</v>
      </c>
      <c r="AA187" s="56" t="s">
        <v>92</v>
      </c>
      <c r="AB187" s="106">
        <v>46173.0</v>
      </c>
      <c r="AC187" s="106"/>
      <c r="AD187" s="56" t="s">
        <v>111</v>
      </c>
      <c r="AE187" s="102">
        <v>200000.0</v>
      </c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4"/>
      <c r="S188" s="106">
        <v>46265.0</v>
      </c>
      <c r="T188" s="56" t="s">
        <v>124</v>
      </c>
      <c r="U188" s="106">
        <v>46265.0</v>
      </c>
      <c r="V188" s="106"/>
      <c r="W188" s="56" t="s">
        <v>9</v>
      </c>
      <c r="X188" s="56">
        <v>0.0</v>
      </c>
      <c r="Y188" s="4"/>
      <c r="Z188" s="82">
        <v>46295.0</v>
      </c>
      <c r="AA188" s="56" t="s">
        <v>92</v>
      </c>
      <c r="AB188" s="106">
        <v>46173.0</v>
      </c>
      <c r="AC188" s="106"/>
      <c r="AD188" s="56" t="s">
        <v>112</v>
      </c>
      <c r="AE188" s="56">
        <v>0.0</v>
      </c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4"/>
      <c r="S189" s="106">
        <v>46265.0</v>
      </c>
      <c r="T189" s="56" t="s">
        <v>124</v>
      </c>
      <c r="U189" s="106">
        <v>46265.0</v>
      </c>
      <c r="V189" s="106"/>
      <c r="W189" s="56" t="s">
        <v>10</v>
      </c>
      <c r="X189" s="56">
        <v>0.0</v>
      </c>
      <c r="Y189" s="4"/>
      <c r="Z189" s="82">
        <v>46295.0</v>
      </c>
      <c r="AA189" s="56" t="s">
        <v>92</v>
      </c>
      <c r="AB189" s="106">
        <v>46173.0</v>
      </c>
      <c r="AC189" s="106"/>
      <c r="AD189" s="56" t="s">
        <v>46</v>
      </c>
      <c r="AE189" s="56">
        <v>0.0</v>
      </c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4"/>
      <c r="S190" s="106">
        <v>46265.0</v>
      </c>
      <c r="T190" s="56" t="s">
        <v>124</v>
      </c>
      <c r="U190" s="106">
        <v>46265.0</v>
      </c>
      <c r="V190" s="106"/>
      <c r="W190" s="56" t="s">
        <v>11</v>
      </c>
      <c r="X190" s="56">
        <v>0.0</v>
      </c>
      <c r="Y190" s="4"/>
      <c r="Z190" s="82">
        <v>46295.0</v>
      </c>
      <c r="AA190" s="56" t="s">
        <v>92</v>
      </c>
      <c r="AB190" s="106">
        <v>46173.0</v>
      </c>
      <c r="AC190" s="106"/>
      <c r="AD190" s="56" t="s">
        <v>114</v>
      </c>
      <c r="AE190" s="56">
        <v>0.0</v>
      </c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4"/>
      <c r="S191" s="106">
        <v>46265.0</v>
      </c>
      <c r="T191" s="56" t="s">
        <v>124</v>
      </c>
      <c r="U191" s="106">
        <v>46265.0</v>
      </c>
      <c r="V191" s="106"/>
      <c r="W191" s="56" t="s">
        <v>12</v>
      </c>
      <c r="X191" s="56">
        <v>0.0</v>
      </c>
      <c r="Y191" s="4"/>
      <c r="Z191" s="82">
        <v>46295.0</v>
      </c>
      <c r="AA191" s="56" t="s">
        <v>92</v>
      </c>
      <c r="AB191" s="106">
        <v>46173.0</v>
      </c>
      <c r="AC191" s="106"/>
      <c r="AD191" s="56" t="s">
        <v>23</v>
      </c>
      <c r="AE191" s="102">
        <v>0.0</v>
      </c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4"/>
      <c r="S192" s="106">
        <v>46265.0</v>
      </c>
      <c r="T192" s="56" t="s">
        <v>124</v>
      </c>
      <c r="U192" s="106">
        <v>46265.0</v>
      </c>
      <c r="V192" s="106"/>
      <c r="W192" s="56" t="s">
        <v>13</v>
      </c>
      <c r="X192" s="56">
        <v>0.0</v>
      </c>
      <c r="Y192" s="4"/>
      <c r="Z192" s="82">
        <v>46295.0</v>
      </c>
      <c r="AA192" s="56" t="s">
        <v>92</v>
      </c>
      <c r="AB192" s="106">
        <v>46173.0</v>
      </c>
      <c r="AC192" s="106"/>
      <c r="AD192" s="56" t="s">
        <v>117</v>
      </c>
      <c r="AE192" s="102">
        <v>0.0</v>
      </c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4"/>
      <c r="S193" s="106">
        <v>46265.0</v>
      </c>
      <c r="T193" s="56" t="s">
        <v>124</v>
      </c>
      <c r="U193" s="106">
        <v>46265.0</v>
      </c>
      <c r="V193" s="106"/>
      <c r="W193" s="56" t="s">
        <v>14</v>
      </c>
      <c r="X193" s="56">
        <v>0.0</v>
      </c>
      <c r="Y193" s="4"/>
      <c r="Z193" s="82">
        <v>46295.0</v>
      </c>
      <c r="AA193" s="56" t="s">
        <v>92</v>
      </c>
      <c r="AB193" s="106">
        <v>46173.0</v>
      </c>
      <c r="AC193" s="106"/>
      <c r="AD193" s="56" t="s">
        <v>14</v>
      </c>
      <c r="AE193" s="102">
        <v>300000.0</v>
      </c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4"/>
      <c r="S194" s="106">
        <v>46265.0</v>
      </c>
      <c r="T194" s="56" t="s">
        <v>124</v>
      </c>
      <c r="U194" s="106">
        <v>46295.0</v>
      </c>
      <c r="V194" s="106"/>
      <c r="W194" s="56" t="s">
        <v>6</v>
      </c>
      <c r="X194" s="56">
        <v>0.0</v>
      </c>
      <c r="Y194" s="4"/>
      <c r="Z194" s="82">
        <v>46295.0</v>
      </c>
      <c r="AA194" s="56" t="s">
        <v>92</v>
      </c>
      <c r="AB194" s="106">
        <v>46203.0</v>
      </c>
      <c r="AC194" s="106"/>
      <c r="AD194" s="56" t="s">
        <v>93</v>
      </c>
      <c r="AE194" s="56">
        <v>0.0</v>
      </c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4"/>
      <c r="S195" s="106">
        <v>46265.0</v>
      </c>
      <c r="T195" s="56" t="s">
        <v>124</v>
      </c>
      <c r="U195" s="106">
        <v>46295.0</v>
      </c>
      <c r="V195" s="106"/>
      <c r="W195" s="56" t="s">
        <v>7</v>
      </c>
      <c r="X195" s="102">
        <v>1.194E7</v>
      </c>
      <c r="Y195" s="4"/>
      <c r="Z195" s="82">
        <v>46295.0</v>
      </c>
      <c r="AA195" s="56" t="s">
        <v>92</v>
      </c>
      <c r="AB195" s="106">
        <v>46203.0</v>
      </c>
      <c r="AC195" s="106"/>
      <c r="AD195" s="56" t="s">
        <v>94</v>
      </c>
      <c r="AE195" s="102">
        <v>0.0</v>
      </c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4"/>
      <c r="S196" s="106">
        <v>46265.0</v>
      </c>
      <c r="T196" s="56" t="s">
        <v>124</v>
      </c>
      <c r="U196" s="106">
        <v>46295.0</v>
      </c>
      <c r="V196" s="106"/>
      <c r="W196" s="56" t="s">
        <v>8</v>
      </c>
      <c r="X196" s="56">
        <v>0.0</v>
      </c>
      <c r="Y196" s="4"/>
      <c r="Z196" s="82">
        <v>46295.0</v>
      </c>
      <c r="AA196" s="56" t="s">
        <v>92</v>
      </c>
      <c r="AB196" s="106">
        <v>46203.0</v>
      </c>
      <c r="AC196" s="106"/>
      <c r="AD196" s="56" t="s">
        <v>95</v>
      </c>
      <c r="AE196" s="102">
        <v>0.0</v>
      </c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4"/>
      <c r="S197" s="106">
        <v>46265.0</v>
      </c>
      <c r="T197" s="56" t="s">
        <v>124</v>
      </c>
      <c r="U197" s="106">
        <v>46295.0</v>
      </c>
      <c r="V197" s="106"/>
      <c r="W197" s="56" t="s">
        <v>9</v>
      </c>
      <c r="X197" s="56">
        <v>0.0</v>
      </c>
      <c r="Y197" s="4"/>
      <c r="Z197" s="82">
        <v>46295.0</v>
      </c>
      <c r="AA197" s="56" t="s">
        <v>92</v>
      </c>
      <c r="AB197" s="106">
        <v>46203.0</v>
      </c>
      <c r="AC197" s="106"/>
      <c r="AD197" s="56" t="s">
        <v>96</v>
      </c>
      <c r="AE197" s="56">
        <v>0.0</v>
      </c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4"/>
      <c r="S198" s="106">
        <v>46265.0</v>
      </c>
      <c r="T198" s="56" t="s">
        <v>124</v>
      </c>
      <c r="U198" s="106">
        <v>46295.0</v>
      </c>
      <c r="V198" s="106"/>
      <c r="W198" s="56" t="s">
        <v>10</v>
      </c>
      <c r="X198" s="102">
        <v>400000.0</v>
      </c>
      <c r="Y198" s="4"/>
      <c r="Z198" s="82">
        <v>46295.0</v>
      </c>
      <c r="AA198" s="56" t="s">
        <v>92</v>
      </c>
      <c r="AB198" s="106">
        <v>46203.0</v>
      </c>
      <c r="AC198" s="106"/>
      <c r="AD198" s="56" t="s">
        <v>97</v>
      </c>
      <c r="AE198" s="56">
        <v>0.0</v>
      </c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4"/>
      <c r="S199" s="106">
        <v>46265.0</v>
      </c>
      <c r="T199" s="56" t="s">
        <v>124</v>
      </c>
      <c r="U199" s="106">
        <v>46295.0</v>
      </c>
      <c r="V199" s="106"/>
      <c r="W199" s="56" t="s">
        <v>11</v>
      </c>
      <c r="X199" s="102">
        <v>600000.0</v>
      </c>
      <c r="Y199" s="4"/>
      <c r="Z199" s="82">
        <v>46295.0</v>
      </c>
      <c r="AA199" s="56" t="s">
        <v>92</v>
      </c>
      <c r="AB199" s="106">
        <v>46203.0</v>
      </c>
      <c r="AC199" s="106"/>
      <c r="AD199" s="56" t="s">
        <v>98</v>
      </c>
      <c r="AE199" s="102">
        <v>100000.0</v>
      </c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4"/>
      <c r="S200" s="106">
        <v>46265.0</v>
      </c>
      <c r="T200" s="56" t="s">
        <v>124</v>
      </c>
      <c r="U200" s="106">
        <v>46295.0</v>
      </c>
      <c r="V200" s="106"/>
      <c r="W200" s="56" t="s">
        <v>12</v>
      </c>
      <c r="X200" s="102">
        <v>198000.0</v>
      </c>
      <c r="Y200" s="4"/>
      <c r="Z200" s="82">
        <v>46295.0</v>
      </c>
      <c r="AA200" s="56" t="s">
        <v>92</v>
      </c>
      <c r="AB200" s="106">
        <v>46203.0</v>
      </c>
      <c r="AC200" s="106"/>
      <c r="AD200" s="56" t="s">
        <v>99</v>
      </c>
      <c r="AE200" s="56">
        <v>0.0</v>
      </c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4"/>
      <c r="S201" s="106">
        <v>46265.0</v>
      </c>
      <c r="T201" s="56" t="s">
        <v>124</v>
      </c>
      <c r="U201" s="106">
        <v>46295.0</v>
      </c>
      <c r="V201" s="106"/>
      <c r="W201" s="56" t="s">
        <v>13</v>
      </c>
      <c r="X201" s="102">
        <v>82500.0</v>
      </c>
      <c r="Y201" s="4"/>
      <c r="Z201" s="82">
        <v>46295.0</v>
      </c>
      <c r="AA201" s="56" t="s">
        <v>92</v>
      </c>
      <c r="AB201" s="106">
        <v>46203.0</v>
      </c>
      <c r="AC201" s="106"/>
      <c r="AD201" s="56" t="s">
        <v>100</v>
      </c>
      <c r="AE201" s="102">
        <v>0.0</v>
      </c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4"/>
      <c r="S202" s="106">
        <v>46265.0</v>
      </c>
      <c r="T202" s="56" t="s">
        <v>124</v>
      </c>
      <c r="U202" s="106">
        <v>46295.0</v>
      </c>
      <c r="V202" s="106"/>
      <c r="W202" s="56" t="s">
        <v>14</v>
      </c>
      <c r="X202" s="56">
        <v>0.0</v>
      </c>
      <c r="Y202" s="4"/>
      <c r="Z202" s="82">
        <v>46295.0</v>
      </c>
      <c r="AA202" s="56" t="s">
        <v>92</v>
      </c>
      <c r="AB202" s="106">
        <v>46203.0</v>
      </c>
      <c r="AC202" s="106"/>
      <c r="AD202" s="56" t="s">
        <v>101</v>
      </c>
      <c r="AE202" s="102">
        <v>0.0</v>
      </c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4"/>
      <c r="S203" s="106"/>
      <c r="T203" s="56"/>
      <c r="U203" s="4"/>
      <c r="V203" s="4"/>
      <c r="W203" s="56"/>
      <c r="X203" s="56"/>
      <c r="Y203" s="4"/>
      <c r="Z203" s="82">
        <v>46295.0</v>
      </c>
      <c r="AA203" s="56" t="s">
        <v>92</v>
      </c>
      <c r="AB203" s="106">
        <v>46203.0</v>
      </c>
      <c r="AC203" s="106"/>
      <c r="AD203" s="56" t="s">
        <v>102</v>
      </c>
      <c r="AE203" s="56">
        <v>0.0</v>
      </c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4"/>
      <c r="S204" s="106"/>
      <c r="T204" s="56"/>
      <c r="U204" s="4"/>
      <c r="V204" s="4"/>
      <c r="W204" s="56"/>
      <c r="X204" s="56"/>
      <c r="Y204" s="4"/>
      <c r="Z204" s="82">
        <v>46295.0</v>
      </c>
      <c r="AA204" s="56" t="s">
        <v>92</v>
      </c>
      <c r="AB204" s="106">
        <v>46203.0</v>
      </c>
      <c r="AC204" s="106"/>
      <c r="AD204" s="56" t="s">
        <v>103</v>
      </c>
      <c r="AE204" s="102">
        <v>710000.0</v>
      </c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4"/>
      <c r="S205" s="106"/>
      <c r="T205" s="56"/>
      <c r="U205" s="4"/>
      <c r="V205" s="4"/>
      <c r="W205" s="56"/>
      <c r="X205" s="56"/>
      <c r="Y205" s="4"/>
      <c r="Z205" s="82">
        <v>46295.0</v>
      </c>
      <c r="AA205" s="56" t="s">
        <v>92</v>
      </c>
      <c r="AB205" s="106">
        <v>46203.0</v>
      </c>
      <c r="AC205" s="106"/>
      <c r="AD205" s="56" t="s">
        <v>105</v>
      </c>
      <c r="AE205" s="56">
        <v>0.0</v>
      </c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4"/>
      <c r="S206" s="106"/>
      <c r="T206" s="56"/>
      <c r="U206" s="4"/>
      <c r="V206" s="4"/>
      <c r="W206" s="56"/>
      <c r="X206" s="56"/>
      <c r="Y206" s="4"/>
      <c r="Z206" s="82">
        <v>46295.0</v>
      </c>
      <c r="AA206" s="56" t="s">
        <v>92</v>
      </c>
      <c r="AB206" s="106">
        <v>46203.0</v>
      </c>
      <c r="AC206" s="106"/>
      <c r="AD206" s="56" t="s">
        <v>107</v>
      </c>
      <c r="AE206" s="56">
        <v>0.0</v>
      </c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4"/>
      <c r="S207" s="106"/>
      <c r="T207" s="56"/>
      <c r="U207" s="4"/>
      <c r="V207" s="4"/>
      <c r="W207" s="56"/>
      <c r="X207" s="56"/>
      <c r="Y207" s="4"/>
      <c r="Z207" s="82">
        <v>46295.0</v>
      </c>
      <c r="AA207" s="56" t="s">
        <v>92</v>
      </c>
      <c r="AB207" s="106">
        <v>46203.0</v>
      </c>
      <c r="AC207" s="106"/>
      <c r="AD207" s="56" t="s">
        <v>109</v>
      </c>
      <c r="AE207" s="56">
        <v>0.0</v>
      </c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4"/>
      <c r="S208" s="106"/>
      <c r="T208" s="56"/>
      <c r="U208" s="4"/>
      <c r="V208" s="4"/>
      <c r="W208" s="56"/>
      <c r="X208" s="56"/>
      <c r="Y208" s="4"/>
      <c r="Z208" s="82">
        <v>46295.0</v>
      </c>
      <c r="AA208" s="56" t="s">
        <v>92</v>
      </c>
      <c r="AB208" s="106">
        <v>46203.0</v>
      </c>
      <c r="AC208" s="106"/>
      <c r="AD208" s="56" t="s">
        <v>111</v>
      </c>
      <c r="AE208" s="102">
        <v>0.0</v>
      </c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4"/>
      <c r="S209" s="106"/>
      <c r="T209" s="56"/>
      <c r="U209" s="4"/>
      <c r="V209" s="4"/>
      <c r="W209" s="56"/>
      <c r="X209" s="56"/>
      <c r="Y209" s="4"/>
      <c r="Z209" s="82">
        <v>46295.0</v>
      </c>
      <c r="AA209" s="56" t="s">
        <v>92</v>
      </c>
      <c r="AB209" s="106">
        <v>46203.0</v>
      </c>
      <c r="AC209" s="106"/>
      <c r="AD209" s="56" t="s">
        <v>112</v>
      </c>
      <c r="AE209" s="102">
        <v>0.0</v>
      </c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4"/>
      <c r="S210" s="106"/>
      <c r="T210" s="56"/>
      <c r="U210" s="4"/>
      <c r="V210" s="4"/>
      <c r="W210" s="56"/>
      <c r="X210" s="56"/>
      <c r="Y210" s="4"/>
      <c r="Z210" s="82">
        <v>46295.0</v>
      </c>
      <c r="AA210" s="56" t="s">
        <v>92</v>
      </c>
      <c r="AB210" s="106">
        <v>46203.0</v>
      </c>
      <c r="AC210" s="106"/>
      <c r="AD210" s="56" t="s">
        <v>46</v>
      </c>
      <c r="AE210" s="56">
        <v>0.0</v>
      </c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4"/>
      <c r="S211" s="106"/>
      <c r="T211" s="56"/>
      <c r="U211" s="4"/>
      <c r="V211" s="4"/>
      <c r="W211" s="56"/>
      <c r="X211" s="56"/>
      <c r="Y211" s="4"/>
      <c r="Z211" s="82">
        <v>46295.0</v>
      </c>
      <c r="AA211" s="56" t="s">
        <v>92</v>
      </c>
      <c r="AB211" s="106">
        <v>46203.0</v>
      </c>
      <c r="AC211" s="106"/>
      <c r="AD211" s="56" t="s">
        <v>114</v>
      </c>
      <c r="AE211" s="56">
        <v>0.0</v>
      </c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4"/>
      <c r="S212" s="106"/>
      <c r="T212" s="56"/>
      <c r="U212" s="4"/>
      <c r="V212" s="4"/>
      <c r="W212" s="56"/>
      <c r="X212" s="56"/>
      <c r="Y212" s="4"/>
      <c r="Z212" s="82">
        <v>46295.0</v>
      </c>
      <c r="AA212" s="56" t="s">
        <v>92</v>
      </c>
      <c r="AB212" s="106">
        <v>46203.0</v>
      </c>
      <c r="AC212" s="106"/>
      <c r="AD212" s="56" t="s">
        <v>23</v>
      </c>
      <c r="AE212" s="56">
        <v>0.0</v>
      </c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4"/>
      <c r="S213" s="106"/>
      <c r="T213" s="56"/>
      <c r="U213" s="4"/>
      <c r="V213" s="4"/>
      <c r="W213" s="56"/>
      <c r="X213" s="56"/>
      <c r="Y213" s="4"/>
      <c r="Z213" s="82">
        <v>46295.0</v>
      </c>
      <c r="AA213" s="56" t="s">
        <v>92</v>
      </c>
      <c r="AB213" s="106">
        <v>46203.0</v>
      </c>
      <c r="AC213" s="106"/>
      <c r="AD213" s="56" t="s">
        <v>117</v>
      </c>
      <c r="AE213" s="102">
        <v>0.0</v>
      </c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4"/>
      <c r="S214" s="106"/>
      <c r="T214" s="56"/>
      <c r="U214" s="4"/>
      <c r="V214" s="4"/>
      <c r="W214" s="56"/>
      <c r="X214" s="56"/>
      <c r="Y214" s="4"/>
      <c r="Z214" s="82">
        <v>46295.0</v>
      </c>
      <c r="AA214" s="56" t="s">
        <v>92</v>
      </c>
      <c r="AB214" s="106">
        <v>46203.0</v>
      </c>
      <c r="AC214" s="106"/>
      <c r="AD214" s="56" t="s">
        <v>14</v>
      </c>
      <c r="AE214" s="102">
        <v>50000.0</v>
      </c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4"/>
      <c r="S215" s="106"/>
      <c r="T215" s="56"/>
      <c r="U215" s="4"/>
      <c r="V215" s="4"/>
      <c r="W215" s="56"/>
      <c r="X215" s="56"/>
      <c r="Y215" s="4"/>
      <c r="Z215" s="82">
        <v>46295.0</v>
      </c>
      <c r="AA215" s="56" t="s">
        <v>92</v>
      </c>
      <c r="AB215" s="106">
        <v>46234.0</v>
      </c>
      <c r="AC215" s="106"/>
      <c r="AD215" s="56" t="s">
        <v>93</v>
      </c>
      <c r="AE215" s="56">
        <v>0.0</v>
      </c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4"/>
      <c r="S216" s="106"/>
      <c r="T216" s="56"/>
      <c r="U216" s="4"/>
      <c r="V216" s="4"/>
      <c r="W216" s="56"/>
      <c r="X216" s="102"/>
      <c r="Y216" s="4"/>
      <c r="Z216" s="82">
        <v>46295.0</v>
      </c>
      <c r="AA216" s="56" t="s">
        <v>92</v>
      </c>
      <c r="AB216" s="106">
        <v>46234.0</v>
      </c>
      <c r="AC216" s="106"/>
      <c r="AD216" s="56" t="s">
        <v>94</v>
      </c>
      <c r="AE216" s="102">
        <v>429840.0</v>
      </c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4"/>
      <c r="S217" s="106"/>
      <c r="T217" s="56"/>
      <c r="U217" s="4"/>
      <c r="V217" s="4"/>
      <c r="W217" s="56"/>
      <c r="X217" s="102"/>
      <c r="Y217" s="4"/>
      <c r="Z217" s="82">
        <v>46295.0</v>
      </c>
      <c r="AA217" s="56" t="s">
        <v>92</v>
      </c>
      <c r="AB217" s="106">
        <v>46234.0</v>
      </c>
      <c r="AC217" s="106"/>
      <c r="AD217" s="56" t="s">
        <v>95</v>
      </c>
      <c r="AE217" s="56">
        <v>0.0</v>
      </c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4"/>
      <c r="S218" s="106"/>
      <c r="T218" s="56"/>
      <c r="U218" s="4"/>
      <c r="V218" s="4"/>
      <c r="W218" s="56"/>
      <c r="X218" s="102"/>
      <c r="Y218" s="4"/>
      <c r="Z218" s="82">
        <v>46295.0</v>
      </c>
      <c r="AA218" s="56" t="s">
        <v>92</v>
      </c>
      <c r="AB218" s="106">
        <v>46234.0</v>
      </c>
      <c r="AC218" s="106"/>
      <c r="AD218" s="56" t="s">
        <v>96</v>
      </c>
      <c r="AE218" s="56">
        <v>0.0</v>
      </c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4"/>
      <c r="S219" s="106"/>
      <c r="T219" s="56"/>
      <c r="U219" s="4"/>
      <c r="V219" s="4"/>
      <c r="W219" s="56"/>
      <c r="X219" s="56"/>
      <c r="Y219" s="4"/>
      <c r="Z219" s="82">
        <v>46295.0</v>
      </c>
      <c r="AA219" s="56" t="s">
        <v>92</v>
      </c>
      <c r="AB219" s="106">
        <v>46234.0</v>
      </c>
      <c r="AC219" s="106"/>
      <c r="AD219" s="56" t="s">
        <v>97</v>
      </c>
      <c r="AE219" s="56">
        <v>0.0</v>
      </c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4"/>
      <c r="S220" s="106"/>
      <c r="T220" s="56"/>
      <c r="U220" s="4"/>
      <c r="V220" s="4"/>
      <c r="W220" s="56"/>
      <c r="X220" s="102"/>
      <c r="Y220" s="4"/>
      <c r="Z220" s="82">
        <v>46295.0</v>
      </c>
      <c r="AA220" s="56" t="s">
        <v>92</v>
      </c>
      <c r="AB220" s="106">
        <v>46234.0</v>
      </c>
      <c r="AC220" s="106"/>
      <c r="AD220" s="56" t="s">
        <v>98</v>
      </c>
      <c r="AE220" s="56">
        <v>0.0</v>
      </c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4"/>
      <c r="S221" s="106"/>
      <c r="T221" s="56"/>
      <c r="U221" s="4"/>
      <c r="V221" s="4"/>
      <c r="W221" s="56"/>
      <c r="X221" s="102"/>
      <c r="Y221" s="4"/>
      <c r="Z221" s="82">
        <v>46295.0</v>
      </c>
      <c r="AA221" s="56" t="s">
        <v>92</v>
      </c>
      <c r="AB221" s="106">
        <v>46234.0</v>
      </c>
      <c r="AC221" s="106"/>
      <c r="AD221" s="56" t="s">
        <v>99</v>
      </c>
      <c r="AE221" s="56">
        <v>0.0</v>
      </c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4"/>
      <c r="S222" s="106"/>
      <c r="T222" s="56"/>
      <c r="U222" s="4"/>
      <c r="V222" s="4"/>
      <c r="W222" s="56"/>
      <c r="X222" s="102"/>
      <c r="Y222" s="4"/>
      <c r="Z222" s="82">
        <v>46295.0</v>
      </c>
      <c r="AA222" s="56" t="s">
        <v>92</v>
      </c>
      <c r="AB222" s="106">
        <v>46234.0</v>
      </c>
      <c r="AC222" s="106"/>
      <c r="AD222" s="56" t="s">
        <v>100</v>
      </c>
      <c r="AE222" s="56">
        <v>0.0</v>
      </c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4"/>
      <c r="S223" s="106"/>
      <c r="T223" s="56"/>
      <c r="U223" s="4"/>
      <c r="V223" s="4"/>
      <c r="W223" s="56"/>
      <c r="X223" s="102"/>
      <c r="Y223" s="4"/>
      <c r="Z223" s="82">
        <v>46295.0</v>
      </c>
      <c r="AA223" s="56" t="s">
        <v>92</v>
      </c>
      <c r="AB223" s="106">
        <v>46234.0</v>
      </c>
      <c r="AC223" s="106"/>
      <c r="AD223" s="56" t="s">
        <v>101</v>
      </c>
      <c r="AE223" s="102">
        <v>0.0</v>
      </c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4"/>
      <c r="S224" s="106"/>
      <c r="T224" s="56"/>
      <c r="U224" s="4"/>
      <c r="V224" s="4"/>
      <c r="W224" s="56"/>
      <c r="X224" s="102"/>
      <c r="Y224" s="4"/>
      <c r="Z224" s="82">
        <v>46295.0</v>
      </c>
      <c r="AA224" s="56" t="s">
        <v>92</v>
      </c>
      <c r="AB224" s="106">
        <v>46234.0</v>
      </c>
      <c r="AC224" s="106"/>
      <c r="AD224" s="56" t="s">
        <v>102</v>
      </c>
      <c r="AE224" s="102">
        <v>0.0</v>
      </c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4"/>
      <c r="S225" s="106"/>
      <c r="T225" s="56"/>
      <c r="U225" s="4"/>
      <c r="V225" s="4"/>
      <c r="W225" s="56"/>
      <c r="X225" s="56"/>
      <c r="Y225" s="4"/>
      <c r="Z225" s="82">
        <v>46295.0</v>
      </c>
      <c r="AA225" s="56" t="s">
        <v>92</v>
      </c>
      <c r="AB225" s="106">
        <v>46234.0</v>
      </c>
      <c r="AC225" s="106"/>
      <c r="AD225" s="56" t="s">
        <v>103</v>
      </c>
      <c r="AE225" s="102">
        <v>210000.0</v>
      </c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82">
        <v>46295.0</v>
      </c>
      <c r="AA226" s="56" t="s">
        <v>92</v>
      </c>
      <c r="AB226" s="106">
        <v>46234.0</v>
      </c>
      <c r="AC226" s="106"/>
      <c r="AD226" s="56" t="s">
        <v>105</v>
      </c>
      <c r="AE226" s="102">
        <v>0.0</v>
      </c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82">
        <v>46295.0</v>
      </c>
      <c r="AA227" s="56" t="s">
        <v>92</v>
      </c>
      <c r="AB227" s="106">
        <v>46234.0</v>
      </c>
      <c r="AC227" s="106"/>
      <c r="AD227" s="56" t="s">
        <v>107</v>
      </c>
      <c r="AE227" s="102">
        <v>0.0</v>
      </c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82">
        <v>46295.0</v>
      </c>
      <c r="AA228" s="56" t="s">
        <v>92</v>
      </c>
      <c r="AB228" s="106">
        <v>46234.0</v>
      </c>
      <c r="AC228" s="106"/>
      <c r="AD228" s="56" t="s">
        <v>109</v>
      </c>
      <c r="AE228" s="56">
        <v>0.0</v>
      </c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82">
        <v>46295.0</v>
      </c>
      <c r="AA229" s="56" t="s">
        <v>92</v>
      </c>
      <c r="AB229" s="106">
        <v>46234.0</v>
      </c>
      <c r="AC229" s="106"/>
      <c r="AD229" s="56" t="s">
        <v>111</v>
      </c>
      <c r="AE229" s="102">
        <v>20000.0</v>
      </c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82">
        <v>46295.0</v>
      </c>
      <c r="AA230" s="56" t="s">
        <v>92</v>
      </c>
      <c r="AB230" s="106">
        <v>46234.0</v>
      </c>
      <c r="AC230" s="106"/>
      <c r="AD230" s="56" t="s">
        <v>112</v>
      </c>
      <c r="AE230" s="56">
        <v>0.0</v>
      </c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82">
        <v>46295.0</v>
      </c>
      <c r="AA231" s="56" t="s">
        <v>92</v>
      </c>
      <c r="AB231" s="106">
        <v>46234.0</v>
      </c>
      <c r="AC231" s="106"/>
      <c r="AD231" s="56" t="s">
        <v>46</v>
      </c>
      <c r="AE231" s="56">
        <v>0.0</v>
      </c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82">
        <v>46295.0</v>
      </c>
      <c r="AA232" s="56" t="s">
        <v>92</v>
      </c>
      <c r="AB232" s="106">
        <v>46234.0</v>
      </c>
      <c r="AC232" s="106"/>
      <c r="AD232" s="56" t="s">
        <v>114</v>
      </c>
      <c r="AE232" s="56">
        <v>0.0</v>
      </c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82">
        <v>46295.0</v>
      </c>
      <c r="AA233" s="56" t="s">
        <v>92</v>
      </c>
      <c r="AB233" s="106">
        <v>46234.0</v>
      </c>
      <c r="AC233" s="106"/>
      <c r="AD233" s="56" t="s">
        <v>23</v>
      </c>
      <c r="AE233" s="56">
        <v>0.0</v>
      </c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82">
        <v>46295.0</v>
      </c>
      <c r="AA234" s="56" t="s">
        <v>92</v>
      </c>
      <c r="AB234" s="106">
        <v>46234.0</v>
      </c>
      <c r="AC234" s="106"/>
      <c r="AD234" s="56" t="s">
        <v>117</v>
      </c>
      <c r="AE234" s="56">
        <v>0.0</v>
      </c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82">
        <v>46295.0</v>
      </c>
      <c r="AA235" s="56" t="s">
        <v>92</v>
      </c>
      <c r="AB235" s="106">
        <v>46234.0</v>
      </c>
      <c r="AC235" s="106"/>
      <c r="AD235" s="56" t="s">
        <v>14</v>
      </c>
      <c r="AE235" s="102">
        <v>50000.0</v>
      </c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82">
        <v>46295.0</v>
      </c>
      <c r="AA236" s="56" t="s">
        <v>92</v>
      </c>
      <c r="AB236" s="106">
        <v>46265.0</v>
      </c>
      <c r="AC236" s="106"/>
      <c r="AD236" s="56" t="s">
        <v>93</v>
      </c>
      <c r="AE236" s="102">
        <v>0.0</v>
      </c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82">
        <v>46295.0</v>
      </c>
      <c r="AA237" s="56" t="s">
        <v>92</v>
      </c>
      <c r="AB237" s="106">
        <v>46265.0</v>
      </c>
      <c r="AC237" s="106"/>
      <c r="AD237" s="56" t="s">
        <v>94</v>
      </c>
      <c r="AE237" s="56">
        <v>0.0</v>
      </c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82">
        <v>46295.0</v>
      </c>
      <c r="AA238" s="56" t="s">
        <v>92</v>
      </c>
      <c r="AB238" s="106">
        <v>46265.0</v>
      </c>
      <c r="AC238" s="106"/>
      <c r="AD238" s="56" t="s">
        <v>95</v>
      </c>
      <c r="AE238" s="56">
        <v>0.0</v>
      </c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82">
        <v>46295.0</v>
      </c>
      <c r="AA239" s="56" t="s">
        <v>92</v>
      </c>
      <c r="AB239" s="106">
        <v>46265.0</v>
      </c>
      <c r="AC239" s="106"/>
      <c r="AD239" s="56" t="s">
        <v>96</v>
      </c>
      <c r="AE239" s="102">
        <v>2640.0</v>
      </c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82">
        <v>46295.0</v>
      </c>
      <c r="AA240" s="56" t="s">
        <v>92</v>
      </c>
      <c r="AB240" s="106">
        <v>46265.0</v>
      </c>
      <c r="AC240" s="106"/>
      <c r="AD240" s="56" t="s">
        <v>97</v>
      </c>
      <c r="AE240" s="102">
        <v>7128.0</v>
      </c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82">
        <v>46295.0</v>
      </c>
      <c r="AA241" s="56" t="s">
        <v>92</v>
      </c>
      <c r="AB241" s="106">
        <v>46265.0</v>
      </c>
      <c r="AC241" s="106"/>
      <c r="AD241" s="56" t="s">
        <v>98</v>
      </c>
      <c r="AE241" s="56">
        <v>0.0</v>
      </c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82">
        <v>46295.0</v>
      </c>
      <c r="AA242" s="56" t="s">
        <v>124</v>
      </c>
      <c r="AB242" s="106">
        <v>46265.0</v>
      </c>
      <c r="AC242" s="106"/>
      <c r="AD242" s="56" t="s">
        <v>99</v>
      </c>
      <c r="AE242" s="56">
        <v>2500000.0</v>
      </c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82">
        <v>46295.0</v>
      </c>
      <c r="AA243" s="56" t="s">
        <v>92</v>
      </c>
      <c r="AB243" s="106">
        <v>46265.0</v>
      </c>
      <c r="AC243" s="106"/>
      <c r="AD243" s="56" t="s">
        <v>100</v>
      </c>
      <c r="AE243" s="102">
        <v>100000.0</v>
      </c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82">
        <v>46295.0</v>
      </c>
      <c r="AA244" s="56" t="s">
        <v>92</v>
      </c>
      <c r="AB244" s="106">
        <v>46265.0</v>
      </c>
      <c r="AC244" s="106"/>
      <c r="AD244" s="56" t="s">
        <v>101</v>
      </c>
      <c r="AE244" s="102">
        <v>110000.0</v>
      </c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82">
        <v>46295.0</v>
      </c>
      <c r="AA245" s="56" t="s">
        <v>92</v>
      </c>
      <c r="AB245" s="106">
        <v>46265.0</v>
      </c>
      <c r="AC245" s="106"/>
      <c r="AD245" s="56" t="s">
        <v>102</v>
      </c>
      <c r="AE245" s="102">
        <v>700000.0</v>
      </c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82">
        <v>46295.0</v>
      </c>
      <c r="AA246" s="56" t="s">
        <v>92</v>
      </c>
      <c r="AB246" s="106">
        <v>46265.0</v>
      </c>
      <c r="AC246" s="106"/>
      <c r="AD246" s="56" t="s">
        <v>103</v>
      </c>
      <c r="AE246" s="102">
        <v>2000000.0</v>
      </c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82">
        <v>46295.0</v>
      </c>
      <c r="AA247" s="56" t="s">
        <v>92</v>
      </c>
      <c r="AB247" s="106">
        <v>46265.0</v>
      </c>
      <c r="AC247" s="106"/>
      <c r="AD247" s="56" t="s">
        <v>105</v>
      </c>
      <c r="AE247" s="102">
        <v>450000.0</v>
      </c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82">
        <v>46295.0</v>
      </c>
      <c r="AA248" s="56" t="s">
        <v>92</v>
      </c>
      <c r="AB248" s="106">
        <v>46265.0</v>
      </c>
      <c r="AC248" s="106"/>
      <c r="AD248" s="56" t="s">
        <v>107</v>
      </c>
      <c r="AE248" s="56">
        <v>0.0</v>
      </c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82">
        <v>46295.0</v>
      </c>
      <c r="AA249" s="56" t="s">
        <v>92</v>
      </c>
      <c r="AB249" s="106">
        <v>46265.0</v>
      </c>
      <c r="AC249" s="106"/>
      <c r="AD249" s="56" t="s">
        <v>109</v>
      </c>
      <c r="AE249" s="102">
        <v>4000000.0</v>
      </c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82">
        <v>46295.0</v>
      </c>
      <c r="AA250" s="56" t="s">
        <v>92</v>
      </c>
      <c r="AB250" s="106">
        <v>46265.0</v>
      </c>
      <c r="AC250" s="106"/>
      <c r="AD250" s="56" t="s">
        <v>111</v>
      </c>
      <c r="AE250" s="102">
        <v>130000.0</v>
      </c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82">
        <v>46295.0</v>
      </c>
      <c r="AA251" s="56" t="s">
        <v>92</v>
      </c>
      <c r="AB251" s="106">
        <v>46265.0</v>
      </c>
      <c r="AC251" s="106"/>
      <c r="AD251" s="56" t="s">
        <v>112</v>
      </c>
      <c r="AE251" s="102">
        <v>0.0</v>
      </c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82">
        <v>46295.0</v>
      </c>
      <c r="AA252" s="56" t="s">
        <v>92</v>
      </c>
      <c r="AB252" s="106">
        <v>46265.0</v>
      </c>
      <c r="AC252" s="106"/>
      <c r="AD252" s="56" t="s">
        <v>46</v>
      </c>
      <c r="AE252" s="102">
        <v>600000.0</v>
      </c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82">
        <v>46295.0</v>
      </c>
      <c r="AA253" s="56" t="s">
        <v>92</v>
      </c>
      <c r="AB253" s="106">
        <v>46265.0</v>
      </c>
      <c r="AC253" s="106"/>
      <c r="AD253" s="56" t="s">
        <v>114</v>
      </c>
      <c r="AE253" s="102">
        <v>60000.0</v>
      </c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82">
        <v>46295.0</v>
      </c>
      <c r="AA254" s="56" t="s">
        <v>92</v>
      </c>
      <c r="AB254" s="106">
        <v>46265.0</v>
      </c>
      <c r="AC254" s="106"/>
      <c r="AD254" s="56" t="s">
        <v>23</v>
      </c>
      <c r="AE254" s="102">
        <v>0.0</v>
      </c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82">
        <v>46295.0</v>
      </c>
      <c r="AA255" s="56" t="s">
        <v>92</v>
      </c>
      <c r="AB255" s="106">
        <v>46265.0</v>
      </c>
      <c r="AC255" s="106"/>
      <c r="AD255" s="56" t="s">
        <v>117</v>
      </c>
      <c r="AE255" s="102">
        <v>0.0</v>
      </c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82">
        <v>46295.0</v>
      </c>
      <c r="AA256" s="56" t="s">
        <v>92</v>
      </c>
      <c r="AB256" s="106">
        <v>46265.0</v>
      </c>
      <c r="AC256" s="106"/>
      <c r="AD256" s="56" t="s">
        <v>14</v>
      </c>
      <c r="AE256" s="102">
        <v>300000.0</v>
      </c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106">
        <v>46265.0</v>
      </c>
      <c r="AA257" s="56" t="s">
        <v>124</v>
      </c>
      <c r="AB257" s="106">
        <v>45930.0</v>
      </c>
      <c r="AC257" s="106"/>
      <c r="AD257" s="56" t="s">
        <v>93</v>
      </c>
      <c r="AE257" s="102">
        <v>0.0</v>
      </c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106">
        <v>46265.0</v>
      </c>
      <c r="AA258" s="56" t="s">
        <v>124</v>
      </c>
      <c r="AB258" s="106">
        <v>45930.0</v>
      </c>
      <c r="AC258" s="106"/>
      <c r="AD258" s="56" t="s">
        <v>94</v>
      </c>
      <c r="AE258" s="102">
        <v>18000.0</v>
      </c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106">
        <v>46265.0</v>
      </c>
      <c r="AA259" s="56" t="s">
        <v>124</v>
      </c>
      <c r="AB259" s="106">
        <v>45930.0</v>
      </c>
      <c r="AC259" s="106"/>
      <c r="AD259" s="56" t="s">
        <v>95</v>
      </c>
      <c r="AE259" s="102">
        <v>0.0</v>
      </c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106">
        <v>46265.0</v>
      </c>
      <c r="AA260" s="56" t="s">
        <v>124</v>
      </c>
      <c r="AB260" s="106">
        <v>45930.0</v>
      </c>
      <c r="AC260" s="106"/>
      <c r="AD260" s="56" t="s">
        <v>96</v>
      </c>
      <c r="AE260" s="102">
        <v>0.0</v>
      </c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106">
        <v>46265.0</v>
      </c>
      <c r="AA261" s="56" t="s">
        <v>124</v>
      </c>
      <c r="AB261" s="106">
        <v>45930.0</v>
      </c>
      <c r="AC261" s="106"/>
      <c r="AD261" s="56" t="s">
        <v>97</v>
      </c>
      <c r="AE261" s="102">
        <v>0.0</v>
      </c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106">
        <v>46265.0</v>
      </c>
      <c r="AA262" s="56" t="s">
        <v>124</v>
      </c>
      <c r="AB262" s="106">
        <v>45930.0</v>
      </c>
      <c r="AC262" s="106"/>
      <c r="AD262" s="56" t="s">
        <v>98</v>
      </c>
      <c r="AE262" s="102">
        <v>0.0</v>
      </c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106">
        <v>46265.0</v>
      </c>
      <c r="AA263" s="56" t="s">
        <v>124</v>
      </c>
      <c r="AB263" s="106">
        <v>45930.0</v>
      </c>
      <c r="AC263" s="106"/>
      <c r="AD263" s="56" t="s">
        <v>99</v>
      </c>
      <c r="AE263" s="102">
        <v>0.0</v>
      </c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106">
        <v>46265.0</v>
      </c>
      <c r="AA264" s="56" t="s">
        <v>124</v>
      </c>
      <c r="AB264" s="106">
        <v>45930.0</v>
      </c>
      <c r="AC264" s="106"/>
      <c r="AD264" s="56" t="s">
        <v>100</v>
      </c>
      <c r="AE264" s="102">
        <v>0.0</v>
      </c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106">
        <v>46265.0</v>
      </c>
      <c r="AA265" s="56" t="s">
        <v>124</v>
      </c>
      <c r="AB265" s="106">
        <v>45930.0</v>
      </c>
      <c r="AC265" s="106"/>
      <c r="AD265" s="56" t="s">
        <v>101</v>
      </c>
      <c r="AE265" s="102">
        <v>0.0</v>
      </c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106">
        <v>46265.0</v>
      </c>
      <c r="AA266" s="56" t="s">
        <v>124</v>
      </c>
      <c r="AB266" s="106">
        <v>45930.0</v>
      </c>
      <c r="AC266" s="106"/>
      <c r="AD266" s="56" t="s">
        <v>102</v>
      </c>
      <c r="AE266" s="56">
        <v>0.0</v>
      </c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106">
        <v>46265.0</v>
      </c>
      <c r="AA267" s="56" t="s">
        <v>124</v>
      </c>
      <c r="AB267" s="106">
        <v>45930.0</v>
      </c>
      <c r="AC267" s="106"/>
      <c r="AD267" s="56" t="s">
        <v>103</v>
      </c>
      <c r="AE267" s="102">
        <v>0.0</v>
      </c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106">
        <v>46265.0</v>
      </c>
      <c r="AA268" s="56" t="s">
        <v>124</v>
      </c>
      <c r="AB268" s="106">
        <v>45930.0</v>
      </c>
      <c r="AC268" s="106"/>
      <c r="AD268" s="56" t="s">
        <v>105</v>
      </c>
      <c r="AE268" s="102">
        <v>0.0</v>
      </c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106">
        <v>46265.0</v>
      </c>
      <c r="AA269" s="56" t="s">
        <v>124</v>
      </c>
      <c r="AB269" s="106">
        <v>45930.0</v>
      </c>
      <c r="AC269" s="106"/>
      <c r="AD269" s="56" t="s">
        <v>107</v>
      </c>
      <c r="AE269" s="56">
        <v>0.0</v>
      </c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106">
        <v>46265.0</v>
      </c>
      <c r="AA270" s="56" t="s">
        <v>124</v>
      </c>
      <c r="AB270" s="106">
        <v>45930.0</v>
      </c>
      <c r="AC270" s="106"/>
      <c r="AD270" s="56" t="s">
        <v>109</v>
      </c>
      <c r="AE270" s="102">
        <v>1113100.0</v>
      </c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106">
        <v>46265.0</v>
      </c>
      <c r="AA271" s="56" t="s">
        <v>124</v>
      </c>
      <c r="AB271" s="106">
        <v>45930.0</v>
      </c>
      <c r="AC271" s="106"/>
      <c r="AD271" s="56" t="s">
        <v>111</v>
      </c>
      <c r="AE271" s="102">
        <v>0.0</v>
      </c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106">
        <v>46265.0</v>
      </c>
      <c r="AA272" s="56" t="s">
        <v>124</v>
      </c>
      <c r="AB272" s="106">
        <v>45930.0</v>
      </c>
      <c r="AC272" s="106"/>
      <c r="AD272" s="56" t="s">
        <v>112</v>
      </c>
      <c r="AE272" s="56">
        <v>0.0</v>
      </c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106">
        <v>46265.0</v>
      </c>
      <c r="AA273" s="56" t="s">
        <v>124</v>
      </c>
      <c r="AB273" s="106">
        <v>45930.0</v>
      </c>
      <c r="AC273" s="106"/>
      <c r="AD273" s="56" t="s">
        <v>46</v>
      </c>
      <c r="AE273" s="56">
        <v>0.0</v>
      </c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106">
        <v>46265.0</v>
      </c>
      <c r="AA274" s="56" t="s">
        <v>124</v>
      </c>
      <c r="AB274" s="106">
        <v>45930.0</v>
      </c>
      <c r="AC274" s="106"/>
      <c r="AD274" s="56" t="s">
        <v>114</v>
      </c>
      <c r="AE274" s="56">
        <v>0.0</v>
      </c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106">
        <v>46265.0</v>
      </c>
      <c r="AA275" s="56" t="s">
        <v>124</v>
      </c>
      <c r="AB275" s="106">
        <v>45930.0</v>
      </c>
      <c r="AC275" s="106"/>
      <c r="AD275" s="56" t="s">
        <v>23</v>
      </c>
      <c r="AE275" s="56">
        <v>0.0</v>
      </c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106">
        <v>46265.0</v>
      </c>
      <c r="AA276" s="56" t="s">
        <v>124</v>
      </c>
      <c r="AB276" s="106">
        <v>45930.0</v>
      </c>
      <c r="AC276" s="106"/>
      <c r="AD276" s="56" t="s">
        <v>117</v>
      </c>
      <c r="AE276" s="56">
        <v>0.0</v>
      </c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106">
        <v>46265.0</v>
      </c>
      <c r="AA277" s="56" t="s">
        <v>124</v>
      </c>
      <c r="AB277" s="106">
        <v>45930.0</v>
      </c>
      <c r="AC277" s="106"/>
      <c r="AD277" s="56" t="s">
        <v>14</v>
      </c>
      <c r="AE277" s="56">
        <v>0.0</v>
      </c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106">
        <v>46265.0</v>
      </c>
      <c r="AA278" s="56" t="s">
        <v>124</v>
      </c>
      <c r="AB278" s="106">
        <v>46022.0</v>
      </c>
      <c r="AC278" s="106"/>
      <c r="AD278" s="56" t="s">
        <v>93</v>
      </c>
      <c r="AE278" s="56">
        <v>0.0</v>
      </c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106">
        <v>46265.0</v>
      </c>
      <c r="AA279" s="56" t="s">
        <v>124</v>
      </c>
      <c r="AB279" s="106">
        <v>46022.0</v>
      </c>
      <c r="AC279" s="106"/>
      <c r="AD279" s="56" t="s">
        <v>94</v>
      </c>
      <c r="AE279" s="56">
        <v>0.0</v>
      </c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106">
        <v>46265.0</v>
      </c>
      <c r="AA280" s="56" t="s">
        <v>124</v>
      </c>
      <c r="AB280" s="106">
        <v>46022.0</v>
      </c>
      <c r="AC280" s="106"/>
      <c r="AD280" s="56" t="s">
        <v>95</v>
      </c>
      <c r="AE280" s="56">
        <v>0.0</v>
      </c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106">
        <v>46265.0</v>
      </c>
      <c r="AA281" s="56" t="s">
        <v>124</v>
      </c>
      <c r="AB281" s="106">
        <v>46022.0</v>
      </c>
      <c r="AC281" s="106"/>
      <c r="AD281" s="56" t="s">
        <v>96</v>
      </c>
      <c r="AE281" s="56">
        <v>0.0</v>
      </c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106">
        <v>46265.0</v>
      </c>
      <c r="AA282" s="56" t="s">
        <v>124</v>
      </c>
      <c r="AB282" s="106">
        <v>46022.0</v>
      </c>
      <c r="AC282" s="106"/>
      <c r="AD282" s="56" t="s">
        <v>97</v>
      </c>
      <c r="AE282" s="102">
        <v>0.0</v>
      </c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106">
        <v>46265.0</v>
      </c>
      <c r="AA283" s="56" t="s">
        <v>124</v>
      </c>
      <c r="AB283" s="106">
        <v>46022.0</v>
      </c>
      <c r="AC283" s="106"/>
      <c r="AD283" s="56" t="s">
        <v>98</v>
      </c>
      <c r="AE283" s="102">
        <v>0.0</v>
      </c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106">
        <v>46265.0</v>
      </c>
      <c r="AA284" s="56" t="s">
        <v>124</v>
      </c>
      <c r="AB284" s="106">
        <v>46022.0</v>
      </c>
      <c r="AC284" s="106"/>
      <c r="AD284" s="56" t="s">
        <v>99</v>
      </c>
      <c r="AE284" s="56">
        <v>0.0</v>
      </c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106">
        <v>46265.0</v>
      </c>
      <c r="AA285" s="56" t="s">
        <v>124</v>
      </c>
      <c r="AB285" s="106">
        <v>46022.0</v>
      </c>
      <c r="AC285" s="106"/>
      <c r="AD285" s="56" t="s">
        <v>100</v>
      </c>
      <c r="AE285" s="56">
        <v>0.0</v>
      </c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106">
        <v>46265.0</v>
      </c>
      <c r="AA286" s="56" t="s">
        <v>124</v>
      </c>
      <c r="AB286" s="106">
        <v>46022.0</v>
      </c>
      <c r="AC286" s="106"/>
      <c r="AD286" s="56" t="s">
        <v>101</v>
      </c>
      <c r="AE286" s="56">
        <v>0.0</v>
      </c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106">
        <v>46265.0</v>
      </c>
      <c r="AA287" s="56" t="s">
        <v>124</v>
      </c>
      <c r="AB287" s="106">
        <v>46022.0</v>
      </c>
      <c r="AC287" s="106"/>
      <c r="AD287" s="56" t="s">
        <v>102</v>
      </c>
      <c r="AE287" s="56">
        <v>0.0</v>
      </c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106">
        <v>46265.0</v>
      </c>
      <c r="AA288" s="56" t="s">
        <v>124</v>
      </c>
      <c r="AB288" s="106">
        <v>46022.0</v>
      </c>
      <c r="AC288" s="106"/>
      <c r="AD288" s="56" t="s">
        <v>103</v>
      </c>
      <c r="AE288" s="56">
        <v>0.0</v>
      </c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106">
        <v>46265.0</v>
      </c>
      <c r="AA289" s="56" t="s">
        <v>124</v>
      </c>
      <c r="AB289" s="106">
        <v>46022.0</v>
      </c>
      <c r="AC289" s="106"/>
      <c r="AD289" s="56" t="s">
        <v>105</v>
      </c>
      <c r="AE289" s="56">
        <v>0.0</v>
      </c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106">
        <v>46265.0</v>
      </c>
      <c r="AA290" s="56" t="s">
        <v>124</v>
      </c>
      <c r="AB290" s="106">
        <v>46022.0</v>
      </c>
      <c r="AC290" s="106"/>
      <c r="AD290" s="56" t="s">
        <v>107</v>
      </c>
      <c r="AE290" s="56">
        <v>0.0</v>
      </c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106">
        <v>46265.0</v>
      </c>
      <c r="AA291" s="56" t="s">
        <v>124</v>
      </c>
      <c r="AB291" s="101">
        <v>46022.0</v>
      </c>
      <c r="AC291" s="101"/>
      <c r="AD291" s="56" t="s">
        <v>109</v>
      </c>
      <c r="AE291" s="56">
        <v>0.0</v>
      </c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106">
        <v>46265.0</v>
      </c>
      <c r="AA292" s="56" t="s">
        <v>124</v>
      </c>
      <c r="AB292" s="101">
        <v>46022.0</v>
      </c>
      <c r="AC292" s="101"/>
      <c r="AD292" s="56" t="s">
        <v>111</v>
      </c>
      <c r="AE292" s="56">
        <v>0.0</v>
      </c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106">
        <v>46265.0</v>
      </c>
      <c r="AA293" s="56" t="s">
        <v>124</v>
      </c>
      <c r="AB293" s="101">
        <v>46022.0</v>
      </c>
      <c r="AC293" s="101"/>
      <c r="AD293" s="56" t="s">
        <v>112</v>
      </c>
      <c r="AE293" s="56">
        <v>0.0</v>
      </c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106">
        <v>46265.0</v>
      </c>
      <c r="AA294" s="56" t="s">
        <v>124</v>
      </c>
      <c r="AB294" s="101">
        <v>46022.0</v>
      </c>
      <c r="AC294" s="101"/>
      <c r="AD294" s="56" t="s">
        <v>46</v>
      </c>
      <c r="AE294" s="56">
        <v>0.0</v>
      </c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106">
        <v>46265.0</v>
      </c>
      <c r="AA295" s="56" t="s">
        <v>124</v>
      </c>
      <c r="AB295" s="101">
        <v>46022.0</v>
      </c>
      <c r="AC295" s="101"/>
      <c r="AD295" s="56" t="s">
        <v>114</v>
      </c>
      <c r="AE295" s="56">
        <v>0.0</v>
      </c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106">
        <v>46265.0</v>
      </c>
      <c r="AA296" s="56" t="s">
        <v>124</v>
      </c>
      <c r="AB296" s="101">
        <v>46022.0</v>
      </c>
      <c r="AC296" s="101"/>
      <c r="AD296" s="56" t="s">
        <v>23</v>
      </c>
      <c r="AE296" s="56">
        <v>0.0</v>
      </c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106">
        <v>46265.0</v>
      </c>
      <c r="AA297" s="56" t="s">
        <v>124</v>
      </c>
      <c r="AB297" s="101">
        <v>46022.0</v>
      </c>
      <c r="AC297" s="101"/>
      <c r="AD297" s="56" t="s">
        <v>117</v>
      </c>
      <c r="AE297" s="56">
        <v>0.0</v>
      </c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106">
        <v>46265.0</v>
      </c>
      <c r="AA298" s="56" t="s">
        <v>124</v>
      </c>
      <c r="AB298" s="101">
        <v>46022.0</v>
      </c>
      <c r="AC298" s="101"/>
      <c r="AD298" s="56" t="s">
        <v>14</v>
      </c>
      <c r="AE298" s="56">
        <v>0.0</v>
      </c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106">
        <v>46265.0</v>
      </c>
      <c r="AA299" s="56" t="s">
        <v>124</v>
      </c>
      <c r="AB299" s="101">
        <v>46053.0</v>
      </c>
      <c r="AC299" s="101"/>
      <c r="AD299" s="56" t="s">
        <v>93</v>
      </c>
      <c r="AE299" s="56">
        <v>0.0</v>
      </c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106">
        <v>46265.0</v>
      </c>
      <c r="AA300" s="56" t="s">
        <v>124</v>
      </c>
      <c r="AB300" s="101">
        <v>46053.0</v>
      </c>
      <c r="AC300" s="101"/>
      <c r="AD300" s="56" t="s">
        <v>94</v>
      </c>
      <c r="AE300" s="56">
        <v>0.0</v>
      </c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106">
        <v>46265.0</v>
      </c>
      <c r="AA301" s="56" t="s">
        <v>124</v>
      </c>
      <c r="AB301" s="101">
        <v>46053.0</v>
      </c>
      <c r="AC301" s="101"/>
      <c r="AD301" s="56" t="s">
        <v>95</v>
      </c>
      <c r="AE301" s="56">
        <v>0.0</v>
      </c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106">
        <v>46265.0</v>
      </c>
      <c r="AA302" s="56" t="s">
        <v>124</v>
      </c>
      <c r="AB302" s="101">
        <v>46053.0</v>
      </c>
      <c r="AC302" s="101"/>
      <c r="AD302" s="56" t="s">
        <v>96</v>
      </c>
      <c r="AE302" s="56">
        <v>0.0</v>
      </c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106">
        <v>46265.0</v>
      </c>
      <c r="AA303" s="56" t="s">
        <v>124</v>
      </c>
      <c r="AB303" s="101">
        <v>46053.0</v>
      </c>
      <c r="AC303" s="101"/>
      <c r="AD303" s="56" t="s">
        <v>97</v>
      </c>
      <c r="AE303" s="56">
        <v>0.0</v>
      </c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106">
        <v>46265.0</v>
      </c>
      <c r="AA304" s="56" t="s">
        <v>124</v>
      </c>
      <c r="AB304" s="101">
        <v>46053.0</v>
      </c>
      <c r="AC304" s="101"/>
      <c r="AD304" s="56" t="s">
        <v>98</v>
      </c>
      <c r="AE304" s="56">
        <v>0.0</v>
      </c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106">
        <v>46265.0</v>
      </c>
      <c r="AA305" s="56" t="s">
        <v>124</v>
      </c>
      <c r="AB305" s="101">
        <v>46053.0</v>
      </c>
      <c r="AC305" s="101"/>
      <c r="AD305" s="56" t="s">
        <v>99</v>
      </c>
      <c r="AE305" s="56">
        <v>0.0</v>
      </c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106">
        <v>46265.0</v>
      </c>
      <c r="AA306" s="56" t="s">
        <v>124</v>
      </c>
      <c r="AB306" s="101">
        <v>46053.0</v>
      </c>
      <c r="AC306" s="101"/>
      <c r="AD306" s="56" t="s">
        <v>100</v>
      </c>
      <c r="AE306" s="56">
        <v>0.0</v>
      </c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106">
        <v>46265.0</v>
      </c>
      <c r="AA307" s="56" t="s">
        <v>124</v>
      </c>
      <c r="AB307" s="101">
        <v>46053.0</v>
      </c>
      <c r="AC307" s="101"/>
      <c r="AD307" s="56" t="s">
        <v>101</v>
      </c>
      <c r="AE307" s="56">
        <v>0.0</v>
      </c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106">
        <v>46265.0</v>
      </c>
      <c r="AA308" s="56" t="s">
        <v>124</v>
      </c>
      <c r="AB308" s="101">
        <v>46053.0</v>
      </c>
      <c r="AC308" s="101"/>
      <c r="AD308" s="56" t="s">
        <v>102</v>
      </c>
      <c r="AE308" s="56">
        <v>0.0</v>
      </c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106">
        <v>46265.0</v>
      </c>
      <c r="AA309" s="56" t="s">
        <v>124</v>
      </c>
      <c r="AB309" s="101">
        <v>46053.0</v>
      </c>
      <c r="AC309" s="101"/>
      <c r="AD309" s="56" t="s">
        <v>103</v>
      </c>
      <c r="AE309" s="56">
        <v>0.0</v>
      </c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106">
        <v>46265.0</v>
      </c>
      <c r="AA310" s="56" t="s">
        <v>124</v>
      </c>
      <c r="AB310" s="101">
        <v>46053.0</v>
      </c>
      <c r="AC310" s="101"/>
      <c r="AD310" s="56" t="s">
        <v>105</v>
      </c>
      <c r="AE310" s="56">
        <v>0.0</v>
      </c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106">
        <v>46265.0</v>
      </c>
      <c r="AA311" s="56" t="s">
        <v>124</v>
      </c>
      <c r="AB311" s="101">
        <v>46053.0</v>
      </c>
      <c r="AC311" s="101"/>
      <c r="AD311" s="56" t="s">
        <v>107</v>
      </c>
      <c r="AE311" s="56">
        <v>0.0</v>
      </c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106">
        <v>46265.0</v>
      </c>
      <c r="AA312" s="56" t="s">
        <v>124</v>
      </c>
      <c r="AB312" s="101">
        <v>46053.0</v>
      </c>
      <c r="AC312" s="101"/>
      <c r="AD312" s="56" t="s">
        <v>109</v>
      </c>
      <c r="AE312" s="56">
        <v>0.0</v>
      </c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106">
        <v>46265.0</v>
      </c>
      <c r="AA313" s="56" t="s">
        <v>124</v>
      </c>
      <c r="AB313" s="106">
        <v>46053.0</v>
      </c>
      <c r="AC313" s="106"/>
      <c r="AD313" s="56" t="s">
        <v>111</v>
      </c>
      <c r="AE313" s="56">
        <v>0.0</v>
      </c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106">
        <v>46265.0</v>
      </c>
      <c r="AA314" s="56" t="s">
        <v>124</v>
      </c>
      <c r="AB314" s="106">
        <v>46053.0</v>
      </c>
      <c r="AC314" s="106"/>
      <c r="AD314" s="56" t="s">
        <v>112</v>
      </c>
      <c r="AE314" s="56">
        <v>0.0</v>
      </c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106">
        <v>46265.0</v>
      </c>
      <c r="AA315" s="56" t="s">
        <v>124</v>
      </c>
      <c r="AB315" s="106">
        <v>46053.0</v>
      </c>
      <c r="AC315" s="106"/>
      <c r="AD315" s="56" t="s">
        <v>46</v>
      </c>
      <c r="AE315" s="56">
        <v>0.0</v>
      </c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106">
        <v>46265.0</v>
      </c>
      <c r="AA316" s="56" t="s">
        <v>124</v>
      </c>
      <c r="AB316" s="106">
        <v>46053.0</v>
      </c>
      <c r="AC316" s="106"/>
      <c r="AD316" s="56" t="s">
        <v>114</v>
      </c>
      <c r="AE316" s="56">
        <v>0.0</v>
      </c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106">
        <v>46265.0</v>
      </c>
      <c r="AA317" s="56" t="s">
        <v>124</v>
      </c>
      <c r="AB317" s="106">
        <v>46053.0</v>
      </c>
      <c r="AC317" s="106"/>
      <c r="AD317" s="56" t="s">
        <v>23</v>
      </c>
      <c r="AE317" s="56">
        <v>0.0</v>
      </c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106">
        <v>46265.0</v>
      </c>
      <c r="AA318" s="56" t="s">
        <v>124</v>
      </c>
      <c r="AB318" s="106">
        <v>46053.0</v>
      </c>
      <c r="AC318" s="106"/>
      <c r="AD318" s="56" t="s">
        <v>117</v>
      </c>
      <c r="AE318" s="56">
        <v>0.0</v>
      </c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106">
        <v>46265.0</v>
      </c>
      <c r="AA319" s="56" t="s">
        <v>124</v>
      </c>
      <c r="AB319" s="106">
        <v>46053.0</v>
      </c>
      <c r="AC319" s="106"/>
      <c r="AD319" s="56" t="s">
        <v>14</v>
      </c>
      <c r="AE319" s="102">
        <v>100000.0</v>
      </c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106">
        <v>46265.0</v>
      </c>
      <c r="AA320" s="56" t="s">
        <v>124</v>
      </c>
      <c r="AB320" s="106">
        <v>46081.0</v>
      </c>
      <c r="AC320" s="106"/>
      <c r="AD320" s="56" t="s">
        <v>93</v>
      </c>
      <c r="AE320" s="56">
        <v>0.0</v>
      </c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106">
        <v>46265.0</v>
      </c>
      <c r="AA321" s="56" t="s">
        <v>124</v>
      </c>
      <c r="AB321" s="106">
        <v>46081.0</v>
      </c>
      <c r="AC321" s="106"/>
      <c r="AD321" s="56" t="s">
        <v>94</v>
      </c>
      <c r="AE321" s="56">
        <v>0.0</v>
      </c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106">
        <v>46265.0</v>
      </c>
      <c r="AA322" s="56" t="s">
        <v>124</v>
      </c>
      <c r="AB322" s="106">
        <v>46081.0</v>
      </c>
      <c r="AC322" s="106"/>
      <c r="AD322" s="56" t="s">
        <v>95</v>
      </c>
      <c r="AE322" s="56">
        <v>0.0</v>
      </c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106">
        <v>46265.0</v>
      </c>
      <c r="AA323" s="56" t="s">
        <v>124</v>
      </c>
      <c r="AB323" s="106">
        <v>46081.0</v>
      </c>
      <c r="AC323" s="106"/>
      <c r="AD323" s="56" t="s">
        <v>96</v>
      </c>
      <c r="AE323" s="56">
        <v>0.0</v>
      </c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106">
        <v>46265.0</v>
      </c>
      <c r="AA324" s="56" t="s">
        <v>124</v>
      </c>
      <c r="AB324" s="106">
        <v>46081.0</v>
      </c>
      <c r="AC324" s="106"/>
      <c r="AD324" s="56" t="s">
        <v>97</v>
      </c>
      <c r="AE324" s="56">
        <v>0.0</v>
      </c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106">
        <v>46265.0</v>
      </c>
      <c r="AA325" s="56" t="s">
        <v>124</v>
      </c>
      <c r="AB325" s="106">
        <v>46081.0</v>
      </c>
      <c r="AC325" s="106"/>
      <c r="AD325" s="56" t="s">
        <v>98</v>
      </c>
      <c r="AE325" s="56">
        <v>0.0</v>
      </c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106">
        <v>46265.0</v>
      </c>
      <c r="AA326" s="56" t="s">
        <v>124</v>
      </c>
      <c r="AB326" s="106">
        <v>46081.0</v>
      </c>
      <c r="AC326" s="106"/>
      <c r="AD326" s="56" t="s">
        <v>99</v>
      </c>
      <c r="AE326" s="56">
        <v>0.0</v>
      </c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106">
        <v>46265.0</v>
      </c>
      <c r="AA327" s="56" t="s">
        <v>124</v>
      </c>
      <c r="AB327" s="106">
        <v>46081.0</v>
      </c>
      <c r="AC327" s="106"/>
      <c r="AD327" s="56" t="s">
        <v>100</v>
      </c>
      <c r="AE327" s="56">
        <v>0.0</v>
      </c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106">
        <v>46265.0</v>
      </c>
      <c r="AA328" s="56" t="s">
        <v>124</v>
      </c>
      <c r="AB328" s="106">
        <v>46081.0</v>
      </c>
      <c r="AC328" s="106"/>
      <c r="AD328" s="56" t="s">
        <v>101</v>
      </c>
      <c r="AE328" s="56">
        <v>0.0</v>
      </c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106">
        <v>46265.0</v>
      </c>
      <c r="AA329" s="56" t="s">
        <v>124</v>
      </c>
      <c r="AB329" s="106">
        <v>46081.0</v>
      </c>
      <c r="AC329" s="106"/>
      <c r="AD329" s="56" t="s">
        <v>102</v>
      </c>
      <c r="AE329" s="56">
        <v>0.0</v>
      </c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106">
        <v>46265.0</v>
      </c>
      <c r="AA330" s="56" t="s">
        <v>124</v>
      </c>
      <c r="AB330" s="106">
        <v>46081.0</v>
      </c>
      <c r="AC330" s="106"/>
      <c r="AD330" s="56" t="s">
        <v>103</v>
      </c>
      <c r="AE330" s="56">
        <v>0.0</v>
      </c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106">
        <v>46265.0</v>
      </c>
      <c r="AA331" s="56" t="s">
        <v>124</v>
      </c>
      <c r="AB331" s="106">
        <v>46081.0</v>
      </c>
      <c r="AC331" s="106"/>
      <c r="AD331" s="56" t="s">
        <v>105</v>
      </c>
      <c r="AE331" s="56">
        <v>0.0</v>
      </c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106">
        <v>46265.0</v>
      </c>
      <c r="AA332" s="56" t="s">
        <v>124</v>
      </c>
      <c r="AB332" s="106">
        <v>46081.0</v>
      </c>
      <c r="AC332" s="106"/>
      <c r="AD332" s="56" t="s">
        <v>107</v>
      </c>
      <c r="AE332" s="56">
        <v>0.0</v>
      </c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106">
        <v>46265.0</v>
      </c>
      <c r="AA333" s="56" t="s">
        <v>124</v>
      </c>
      <c r="AB333" s="106">
        <v>46081.0</v>
      </c>
      <c r="AC333" s="106"/>
      <c r="AD333" s="56" t="s">
        <v>109</v>
      </c>
      <c r="AE333" s="102">
        <v>0.0</v>
      </c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106">
        <v>46265.0</v>
      </c>
      <c r="AA334" s="56" t="s">
        <v>124</v>
      </c>
      <c r="AB334" s="106">
        <v>46081.0</v>
      </c>
      <c r="AC334" s="106"/>
      <c r="AD334" s="56" t="s">
        <v>111</v>
      </c>
      <c r="AE334" s="102">
        <v>0.0</v>
      </c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106">
        <v>46265.0</v>
      </c>
      <c r="AA335" s="56" t="s">
        <v>124</v>
      </c>
      <c r="AB335" s="106">
        <v>46081.0</v>
      </c>
      <c r="AC335" s="106"/>
      <c r="AD335" s="56" t="s">
        <v>112</v>
      </c>
      <c r="AE335" s="56">
        <v>0.0</v>
      </c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106">
        <v>46265.0</v>
      </c>
      <c r="AA336" s="56" t="s">
        <v>124</v>
      </c>
      <c r="AB336" s="106">
        <v>46081.0</v>
      </c>
      <c r="AC336" s="106"/>
      <c r="AD336" s="56" t="s">
        <v>46</v>
      </c>
      <c r="AE336" s="56">
        <v>0.0</v>
      </c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106">
        <v>46265.0</v>
      </c>
      <c r="AA337" s="56" t="s">
        <v>124</v>
      </c>
      <c r="AB337" s="106">
        <v>46081.0</v>
      </c>
      <c r="AC337" s="106"/>
      <c r="AD337" s="56" t="s">
        <v>114</v>
      </c>
      <c r="AE337" s="56">
        <v>0.0</v>
      </c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106">
        <v>46265.0</v>
      </c>
      <c r="AA338" s="56" t="s">
        <v>124</v>
      </c>
      <c r="AB338" s="106">
        <v>46081.0</v>
      </c>
      <c r="AC338" s="106"/>
      <c r="AD338" s="56" t="s">
        <v>23</v>
      </c>
      <c r="AE338" s="56">
        <v>0.0</v>
      </c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106">
        <v>46265.0</v>
      </c>
      <c r="AA339" s="56" t="s">
        <v>124</v>
      </c>
      <c r="AB339" s="106">
        <v>46081.0</v>
      </c>
      <c r="AC339" s="106"/>
      <c r="AD339" s="56" t="s">
        <v>117</v>
      </c>
      <c r="AE339" s="56">
        <v>0.0</v>
      </c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106">
        <v>46265.0</v>
      </c>
      <c r="AA340" s="56" t="s">
        <v>124</v>
      </c>
      <c r="AB340" s="106">
        <v>46081.0</v>
      </c>
      <c r="AC340" s="106"/>
      <c r="AD340" s="56" t="s">
        <v>14</v>
      </c>
      <c r="AE340" s="102">
        <v>15000.0</v>
      </c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106">
        <v>46265.0</v>
      </c>
      <c r="AA341" s="56" t="s">
        <v>124</v>
      </c>
      <c r="AB341" s="106">
        <v>46112.0</v>
      </c>
      <c r="AC341" s="106"/>
      <c r="AD341" s="56" t="s">
        <v>93</v>
      </c>
      <c r="AE341" s="102">
        <v>181188.0</v>
      </c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106">
        <v>46265.0</v>
      </c>
      <c r="AA342" s="56" t="s">
        <v>124</v>
      </c>
      <c r="AB342" s="106">
        <v>46112.0</v>
      </c>
      <c r="AC342" s="106"/>
      <c r="AD342" s="56" t="s">
        <v>94</v>
      </c>
      <c r="AE342" s="56">
        <v>0.0</v>
      </c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106">
        <v>46265.0</v>
      </c>
      <c r="AA343" s="56" t="s">
        <v>124</v>
      </c>
      <c r="AB343" s="106">
        <v>46112.0</v>
      </c>
      <c r="AC343" s="106"/>
      <c r="AD343" s="56" t="s">
        <v>95</v>
      </c>
      <c r="AE343" s="102">
        <v>39204.0</v>
      </c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106">
        <v>46265.0</v>
      </c>
      <c r="AA344" s="56" t="s">
        <v>124</v>
      </c>
      <c r="AB344" s="106">
        <v>46112.0</v>
      </c>
      <c r="AC344" s="106"/>
      <c r="AD344" s="56" t="s">
        <v>96</v>
      </c>
      <c r="AE344" s="56">
        <v>0.0</v>
      </c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106">
        <v>46265.0</v>
      </c>
      <c r="AA345" s="56" t="s">
        <v>124</v>
      </c>
      <c r="AB345" s="106">
        <v>46112.0</v>
      </c>
      <c r="AC345" s="106"/>
      <c r="AD345" s="56" t="s">
        <v>97</v>
      </c>
      <c r="AE345" s="56">
        <v>0.0</v>
      </c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106">
        <v>46265.0</v>
      </c>
      <c r="AA346" s="56" t="s">
        <v>124</v>
      </c>
      <c r="AB346" s="106">
        <v>46112.0</v>
      </c>
      <c r="AC346" s="106"/>
      <c r="AD346" s="56" t="s">
        <v>98</v>
      </c>
      <c r="AE346" s="102">
        <v>1050000.0</v>
      </c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106">
        <v>46265.0</v>
      </c>
      <c r="AA347" s="56" t="s">
        <v>124</v>
      </c>
      <c r="AB347" s="106">
        <v>46112.0</v>
      </c>
      <c r="AC347" s="106"/>
      <c r="AD347" s="56" t="s">
        <v>99</v>
      </c>
      <c r="AE347" s="56">
        <v>0.0</v>
      </c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106">
        <v>46265.0</v>
      </c>
      <c r="AA348" s="56" t="s">
        <v>124</v>
      </c>
      <c r="AB348" s="106">
        <v>46112.0</v>
      </c>
      <c r="AC348" s="106"/>
      <c r="AD348" s="56" t="s">
        <v>100</v>
      </c>
      <c r="AE348" s="56">
        <v>0.0</v>
      </c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106">
        <v>46265.0</v>
      </c>
      <c r="AA349" s="56" t="s">
        <v>124</v>
      </c>
      <c r="AB349" s="106">
        <v>46112.0</v>
      </c>
      <c r="AC349" s="106"/>
      <c r="AD349" s="56" t="s">
        <v>101</v>
      </c>
      <c r="AE349" s="56">
        <v>0.0</v>
      </c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106">
        <v>46265.0</v>
      </c>
      <c r="AA350" s="56" t="s">
        <v>124</v>
      </c>
      <c r="AB350" s="106">
        <v>46112.0</v>
      </c>
      <c r="AC350" s="106"/>
      <c r="AD350" s="56" t="s">
        <v>102</v>
      </c>
      <c r="AE350" s="56">
        <v>0.0</v>
      </c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106">
        <v>46265.0</v>
      </c>
      <c r="AA351" s="56" t="s">
        <v>124</v>
      </c>
      <c r="AB351" s="106">
        <v>46112.0</v>
      </c>
      <c r="AC351" s="106"/>
      <c r="AD351" s="56" t="s">
        <v>103</v>
      </c>
      <c r="AE351" s="56">
        <v>0.0</v>
      </c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106">
        <v>46265.0</v>
      </c>
      <c r="AA352" s="56" t="s">
        <v>124</v>
      </c>
      <c r="AB352" s="106">
        <v>46112.0</v>
      </c>
      <c r="AC352" s="106"/>
      <c r="AD352" s="56" t="s">
        <v>105</v>
      </c>
      <c r="AE352" s="56">
        <v>0.0</v>
      </c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106">
        <v>46265.0</v>
      </c>
      <c r="AA353" s="56" t="s">
        <v>124</v>
      </c>
      <c r="AB353" s="106">
        <v>46112.0</v>
      </c>
      <c r="AC353" s="106"/>
      <c r="AD353" s="56" t="s">
        <v>107</v>
      </c>
      <c r="AE353" s="56">
        <v>0.0</v>
      </c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106">
        <v>46265.0</v>
      </c>
      <c r="AA354" s="56" t="s">
        <v>124</v>
      </c>
      <c r="AB354" s="106">
        <v>46112.0</v>
      </c>
      <c r="AC354" s="106"/>
      <c r="AD354" s="56" t="s">
        <v>109</v>
      </c>
      <c r="AE354" s="56">
        <v>0.0</v>
      </c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106">
        <v>46265.0</v>
      </c>
      <c r="AA355" s="56" t="s">
        <v>124</v>
      </c>
      <c r="AB355" s="106">
        <v>46112.0</v>
      </c>
      <c r="AC355" s="106"/>
      <c r="AD355" s="56" t="s">
        <v>111</v>
      </c>
      <c r="AE355" s="102">
        <v>310000.0</v>
      </c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106">
        <v>46265.0</v>
      </c>
      <c r="AA356" s="56" t="s">
        <v>124</v>
      </c>
      <c r="AB356" s="106">
        <v>46112.0</v>
      </c>
      <c r="AC356" s="106"/>
      <c r="AD356" s="56" t="s">
        <v>112</v>
      </c>
      <c r="AE356" s="102">
        <v>0.0</v>
      </c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106">
        <v>46265.0</v>
      </c>
      <c r="AA357" s="56" t="s">
        <v>124</v>
      </c>
      <c r="AB357" s="106">
        <v>46112.0</v>
      </c>
      <c r="AC357" s="106"/>
      <c r="AD357" s="56" t="s">
        <v>46</v>
      </c>
      <c r="AE357" s="102">
        <v>0.0</v>
      </c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106">
        <v>46265.0</v>
      </c>
      <c r="AA358" s="56" t="s">
        <v>124</v>
      </c>
      <c r="AB358" s="106">
        <v>46112.0</v>
      </c>
      <c r="AC358" s="106"/>
      <c r="AD358" s="56" t="s">
        <v>114</v>
      </c>
      <c r="AE358" s="102">
        <v>0.0</v>
      </c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106">
        <v>46265.0</v>
      </c>
      <c r="AA359" s="56" t="s">
        <v>124</v>
      </c>
      <c r="AB359" s="106">
        <v>46112.0</v>
      </c>
      <c r="AC359" s="106"/>
      <c r="AD359" s="56" t="s">
        <v>23</v>
      </c>
      <c r="AE359" s="102">
        <v>0.0</v>
      </c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106">
        <v>46265.0</v>
      </c>
      <c r="AA360" s="56" t="s">
        <v>124</v>
      </c>
      <c r="AB360" s="106">
        <v>46112.0</v>
      </c>
      <c r="AC360" s="106"/>
      <c r="AD360" s="56" t="s">
        <v>117</v>
      </c>
      <c r="AE360" s="102">
        <v>0.0</v>
      </c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106">
        <v>46265.0</v>
      </c>
      <c r="AA361" s="56" t="s">
        <v>124</v>
      </c>
      <c r="AB361" s="106">
        <v>46112.0</v>
      </c>
      <c r="AC361" s="106"/>
      <c r="AD361" s="56" t="s">
        <v>14</v>
      </c>
      <c r="AE361" s="56">
        <v>0.0</v>
      </c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106">
        <v>46265.0</v>
      </c>
      <c r="AA362" s="56" t="s">
        <v>124</v>
      </c>
      <c r="AB362" s="106">
        <v>46142.0</v>
      </c>
      <c r="AC362" s="106"/>
      <c r="AD362" s="56" t="s">
        <v>93</v>
      </c>
      <c r="AE362" s="102">
        <v>0.0</v>
      </c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106">
        <v>46265.0</v>
      </c>
      <c r="AA363" s="56" t="s">
        <v>124</v>
      </c>
      <c r="AB363" s="106">
        <v>46142.0</v>
      </c>
      <c r="AC363" s="106"/>
      <c r="AD363" s="56" t="s">
        <v>94</v>
      </c>
      <c r="AE363" s="102">
        <v>0.0</v>
      </c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106">
        <v>46265.0</v>
      </c>
      <c r="AA364" s="56" t="s">
        <v>124</v>
      </c>
      <c r="AB364" s="106">
        <v>46142.0</v>
      </c>
      <c r="AC364" s="106"/>
      <c r="AD364" s="56" t="s">
        <v>95</v>
      </c>
      <c r="AE364" s="56">
        <v>0.0</v>
      </c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106">
        <v>46265.0</v>
      </c>
      <c r="AA365" s="56" t="s">
        <v>124</v>
      </c>
      <c r="AB365" s="106">
        <v>46142.0</v>
      </c>
      <c r="AC365" s="106"/>
      <c r="AD365" s="56" t="s">
        <v>96</v>
      </c>
      <c r="AE365" s="56">
        <v>0.0</v>
      </c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106">
        <v>46265.0</v>
      </c>
      <c r="AA366" s="56" t="s">
        <v>124</v>
      </c>
      <c r="AB366" s="106">
        <v>46142.0</v>
      </c>
      <c r="AC366" s="106"/>
      <c r="AD366" s="56" t="s">
        <v>97</v>
      </c>
      <c r="AE366" s="56">
        <v>0.0</v>
      </c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106">
        <v>46265.0</v>
      </c>
      <c r="AA367" s="56" t="s">
        <v>124</v>
      </c>
      <c r="AB367" s="106">
        <v>46142.0</v>
      </c>
      <c r="AC367" s="106"/>
      <c r="AD367" s="56" t="s">
        <v>98</v>
      </c>
      <c r="AE367" s="56">
        <v>0.0</v>
      </c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106">
        <v>46265.0</v>
      </c>
      <c r="AA368" s="56" t="s">
        <v>124</v>
      </c>
      <c r="AB368" s="106">
        <v>46142.0</v>
      </c>
      <c r="AC368" s="106"/>
      <c r="AD368" s="56" t="s">
        <v>99</v>
      </c>
      <c r="AE368" s="56">
        <v>0.0</v>
      </c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106">
        <v>46265.0</v>
      </c>
      <c r="AA369" s="56" t="s">
        <v>124</v>
      </c>
      <c r="AB369" s="106">
        <v>46142.0</v>
      </c>
      <c r="AC369" s="106"/>
      <c r="AD369" s="56" t="s">
        <v>100</v>
      </c>
      <c r="AE369" s="56">
        <v>0.0</v>
      </c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106">
        <v>46265.0</v>
      </c>
      <c r="AA370" s="56" t="s">
        <v>124</v>
      </c>
      <c r="AB370" s="106">
        <v>46142.0</v>
      </c>
      <c r="AC370" s="106"/>
      <c r="AD370" s="56" t="s">
        <v>101</v>
      </c>
      <c r="AE370" s="56">
        <v>0.0</v>
      </c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106">
        <v>46265.0</v>
      </c>
      <c r="AA371" s="56" t="s">
        <v>124</v>
      </c>
      <c r="AB371" s="106">
        <v>46142.0</v>
      </c>
      <c r="AC371" s="106"/>
      <c r="AD371" s="56" t="s">
        <v>102</v>
      </c>
      <c r="AE371" s="102">
        <v>0.0</v>
      </c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106">
        <v>46265.0</v>
      </c>
      <c r="AA372" s="56" t="s">
        <v>124</v>
      </c>
      <c r="AB372" s="106">
        <v>46142.0</v>
      </c>
      <c r="AC372" s="106"/>
      <c r="AD372" s="56" t="s">
        <v>103</v>
      </c>
      <c r="AE372" s="102">
        <v>0.0</v>
      </c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106">
        <v>46265.0</v>
      </c>
      <c r="AA373" s="56" t="s">
        <v>124</v>
      </c>
      <c r="AB373" s="106">
        <v>46142.0</v>
      </c>
      <c r="AC373" s="106"/>
      <c r="AD373" s="56" t="s">
        <v>105</v>
      </c>
      <c r="AE373" s="56">
        <v>0.0</v>
      </c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106">
        <v>46265.0</v>
      </c>
      <c r="AA374" s="56" t="s">
        <v>124</v>
      </c>
      <c r="AB374" s="106">
        <v>46142.0</v>
      </c>
      <c r="AC374" s="106"/>
      <c r="AD374" s="56" t="s">
        <v>107</v>
      </c>
      <c r="AE374" s="56">
        <v>0.0</v>
      </c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106">
        <v>46265.0</v>
      </c>
      <c r="AA375" s="56" t="s">
        <v>124</v>
      </c>
      <c r="AB375" s="106">
        <v>46142.0</v>
      </c>
      <c r="AC375" s="106"/>
      <c r="AD375" s="56" t="s">
        <v>109</v>
      </c>
      <c r="AE375" s="56">
        <v>0.0</v>
      </c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106">
        <v>46265.0</v>
      </c>
      <c r="AA376" s="56" t="s">
        <v>124</v>
      </c>
      <c r="AB376" s="106">
        <v>46142.0</v>
      </c>
      <c r="AC376" s="106"/>
      <c r="AD376" s="56" t="s">
        <v>111</v>
      </c>
      <c r="AE376" s="102">
        <v>250000.0</v>
      </c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106">
        <v>46265.0</v>
      </c>
      <c r="AA377" s="56" t="s">
        <v>124</v>
      </c>
      <c r="AB377" s="106">
        <v>46142.0</v>
      </c>
      <c r="AC377" s="106"/>
      <c r="AD377" s="56" t="s">
        <v>112</v>
      </c>
      <c r="AE377" s="56">
        <v>0.0</v>
      </c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106">
        <v>46265.0</v>
      </c>
      <c r="AA378" s="56" t="s">
        <v>124</v>
      </c>
      <c r="AB378" s="106">
        <v>46142.0</v>
      </c>
      <c r="AC378" s="106"/>
      <c r="AD378" s="56" t="s">
        <v>46</v>
      </c>
      <c r="AE378" s="56">
        <v>0.0</v>
      </c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106">
        <v>46265.0</v>
      </c>
      <c r="AA379" s="56" t="s">
        <v>124</v>
      </c>
      <c r="AB379" s="106">
        <v>46142.0</v>
      </c>
      <c r="AC379" s="106"/>
      <c r="AD379" s="56" t="s">
        <v>114</v>
      </c>
      <c r="AE379" s="56">
        <v>0.0</v>
      </c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106">
        <v>46265.0</v>
      </c>
      <c r="AA380" s="56" t="s">
        <v>124</v>
      </c>
      <c r="AB380" s="106">
        <v>46142.0</v>
      </c>
      <c r="AC380" s="106"/>
      <c r="AD380" s="56" t="s">
        <v>23</v>
      </c>
      <c r="AE380" s="56">
        <v>0.0</v>
      </c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106">
        <v>46265.0</v>
      </c>
      <c r="AA381" s="56" t="s">
        <v>124</v>
      </c>
      <c r="AB381" s="106">
        <v>46142.0</v>
      </c>
      <c r="AC381" s="106"/>
      <c r="AD381" s="56" t="s">
        <v>117</v>
      </c>
      <c r="AE381" s="56">
        <v>0.0</v>
      </c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106">
        <v>46265.0</v>
      </c>
      <c r="AA382" s="56" t="s">
        <v>124</v>
      </c>
      <c r="AB382" s="106">
        <v>46142.0</v>
      </c>
      <c r="AC382" s="106"/>
      <c r="AD382" s="56" t="s">
        <v>14</v>
      </c>
      <c r="AE382" s="56">
        <v>0.0</v>
      </c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106">
        <v>46265.0</v>
      </c>
      <c r="AA383" s="56" t="s">
        <v>124</v>
      </c>
      <c r="AB383" s="106">
        <v>46173.0</v>
      </c>
      <c r="AC383" s="106"/>
      <c r="AD383" s="56" t="s">
        <v>93</v>
      </c>
      <c r="AE383" s="56">
        <v>0.0</v>
      </c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106">
        <v>46265.0</v>
      </c>
      <c r="AA384" s="56" t="s">
        <v>124</v>
      </c>
      <c r="AB384" s="106">
        <v>46173.0</v>
      </c>
      <c r="AC384" s="106"/>
      <c r="AD384" s="56" t="s">
        <v>94</v>
      </c>
      <c r="AE384" s="56">
        <v>0.0</v>
      </c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106">
        <v>46265.0</v>
      </c>
      <c r="AA385" s="56" t="s">
        <v>124</v>
      </c>
      <c r="AB385" s="106">
        <v>46173.0</v>
      </c>
      <c r="AC385" s="106"/>
      <c r="AD385" s="56" t="s">
        <v>95</v>
      </c>
      <c r="AE385" s="56">
        <v>0.0</v>
      </c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106">
        <v>46265.0</v>
      </c>
      <c r="AA386" s="56" t="s">
        <v>124</v>
      </c>
      <c r="AB386" s="106">
        <v>46173.0</v>
      </c>
      <c r="AC386" s="106"/>
      <c r="AD386" s="56" t="s">
        <v>96</v>
      </c>
      <c r="AE386" s="56">
        <v>0.0</v>
      </c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106">
        <v>46265.0</v>
      </c>
      <c r="AA387" s="56" t="s">
        <v>124</v>
      </c>
      <c r="AB387" s="106">
        <v>46173.0</v>
      </c>
      <c r="AC387" s="106"/>
      <c r="AD387" s="56" t="s">
        <v>97</v>
      </c>
      <c r="AE387" s="56">
        <v>0.0</v>
      </c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106">
        <v>46265.0</v>
      </c>
      <c r="AA388" s="56" t="s">
        <v>124</v>
      </c>
      <c r="AB388" s="106">
        <v>46173.0</v>
      </c>
      <c r="AC388" s="106"/>
      <c r="AD388" s="56" t="s">
        <v>98</v>
      </c>
      <c r="AE388" s="56">
        <v>0.0</v>
      </c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106">
        <v>46265.0</v>
      </c>
      <c r="AA389" s="56" t="s">
        <v>124</v>
      </c>
      <c r="AB389" s="106">
        <v>46173.0</v>
      </c>
      <c r="AC389" s="106"/>
      <c r="AD389" s="56" t="s">
        <v>99</v>
      </c>
      <c r="AE389" s="56">
        <v>0.0</v>
      </c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106">
        <v>46265.0</v>
      </c>
      <c r="AA390" s="56" t="s">
        <v>124</v>
      </c>
      <c r="AB390" s="106">
        <v>46173.0</v>
      </c>
      <c r="AC390" s="106"/>
      <c r="AD390" s="56" t="s">
        <v>100</v>
      </c>
      <c r="AE390" s="56">
        <v>0.0</v>
      </c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106">
        <v>46265.0</v>
      </c>
      <c r="AA391" s="56" t="s">
        <v>124</v>
      </c>
      <c r="AB391" s="106">
        <v>46173.0</v>
      </c>
      <c r="AC391" s="106"/>
      <c r="AD391" s="56" t="s">
        <v>101</v>
      </c>
      <c r="AE391" s="56">
        <v>0.0</v>
      </c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106">
        <v>46265.0</v>
      </c>
      <c r="AA392" s="56" t="s">
        <v>124</v>
      </c>
      <c r="AB392" s="106">
        <v>46173.0</v>
      </c>
      <c r="AC392" s="106"/>
      <c r="AD392" s="56" t="s">
        <v>102</v>
      </c>
      <c r="AE392" s="56">
        <v>0.0</v>
      </c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106">
        <v>46265.0</v>
      </c>
      <c r="AA393" s="56" t="s">
        <v>124</v>
      </c>
      <c r="AB393" s="106">
        <v>46173.0</v>
      </c>
      <c r="AC393" s="106"/>
      <c r="AD393" s="56" t="s">
        <v>103</v>
      </c>
      <c r="AE393" s="102">
        <v>0.0</v>
      </c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106">
        <v>46265.0</v>
      </c>
      <c r="AA394" s="56" t="s">
        <v>124</v>
      </c>
      <c r="AB394" s="106">
        <v>46173.0</v>
      </c>
      <c r="AC394" s="106"/>
      <c r="AD394" s="56" t="s">
        <v>105</v>
      </c>
      <c r="AE394" s="102">
        <v>0.0</v>
      </c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106">
        <v>46265.0</v>
      </c>
      <c r="AA395" s="56" t="s">
        <v>124</v>
      </c>
      <c r="AB395" s="106">
        <v>46173.0</v>
      </c>
      <c r="AC395" s="106"/>
      <c r="AD395" s="56" t="s">
        <v>107</v>
      </c>
      <c r="AE395" s="56">
        <v>0.0</v>
      </c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106">
        <v>46265.0</v>
      </c>
      <c r="AA396" s="56" t="s">
        <v>124</v>
      </c>
      <c r="AB396" s="106">
        <v>46173.0</v>
      </c>
      <c r="AC396" s="106"/>
      <c r="AD396" s="56" t="s">
        <v>109</v>
      </c>
      <c r="AE396" s="56">
        <v>0.0</v>
      </c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106">
        <v>46265.0</v>
      </c>
      <c r="AA397" s="56" t="s">
        <v>124</v>
      </c>
      <c r="AB397" s="106">
        <v>46173.0</v>
      </c>
      <c r="AC397" s="106"/>
      <c r="AD397" s="56" t="s">
        <v>111</v>
      </c>
      <c r="AE397" s="102">
        <v>200000.0</v>
      </c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106">
        <v>46265.0</v>
      </c>
      <c r="AA398" s="56" t="s">
        <v>124</v>
      </c>
      <c r="AB398" s="106">
        <v>46173.0</v>
      </c>
      <c r="AC398" s="106"/>
      <c r="AD398" s="56" t="s">
        <v>112</v>
      </c>
      <c r="AE398" s="56">
        <v>0.0</v>
      </c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106">
        <v>46265.0</v>
      </c>
      <c r="AA399" s="56" t="s">
        <v>124</v>
      </c>
      <c r="AB399" s="106">
        <v>46173.0</v>
      </c>
      <c r="AC399" s="106"/>
      <c r="AD399" s="56" t="s">
        <v>46</v>
      </c>
      <c r="AE399" s="56">
        <v>0.0</v>
      </c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106">
        <v>46265.0</v>
      </c>
      <c r="AA400" s="56" t="s">
        <v>124</v>
      </c>
      <c r="AB400" s="106">
        <v>46173.0</v>
      </c>
      <c r="AC400" s="106"/>
      <c r="AD400" s="56" t="s">
        <v>114</v>
      </c>
      <c r="AE400" s="56">
        <v>0.0</v>
      </c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106">
        <v>46265.0</v>
      </c>
      <c r="AA401" s="56" t="s">
        <v>124</v>
      </c>
      <c r="AB401" s="106">
        <v>46173.0</v>
      </c>
      <c r="AC401" s="106"/>
      <c r="AD401" s="56" t="s">
        <v>23</v>
      </c>
      <c r="AE401" s="56">
        <v>0.0</v>
      </c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106">
        <v>46265.0</v>
      </c>
      <c r="AA402" s="56" t="s">
        <v>124</v>
      </c>
      <c r="AB402" s="106">
        <v>46173.0</v>
      </c>
      <c r="AC402" s="106"/>
      <c r="AD402" s="56" t="s">
        <v>117</v>
      </c>
      <c r="AE402" s="56">
        <v>0.0</v>
      </c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106">
        <v>46265.0</v>
      </c>
      <c r="AA403" s="56" t="s">
        <v>124</v>
      </c>
      <c r="AB403" s="106">
        <v>46173.0</v>
      </c>
      <c r="AC403" s="106"/>
      <c r="AD403" s="56" t="s">
        <v>14</v>
      </c>
      <c r="AE403" s="56">
        <v>0.0</v>
      </c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106">
        <v>46265.0</v>
      </c>
      <c r="AA404" s="56" t="s">
        <v>124</v>
      </c>
      <c r="AB404" s="106">
        <v>46203.0</v>
      </c>
      <c r="AC404" s="106"/>
      <c r="AD404" s="56" t="s">
        <v>93</v>
      </c>
      <c r="AE404" s="56">
        <v>0.0</v>
      </c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106">
        <v>46265.0</v>
      </c>
      <c r="AA405" s="56" t="s">
        <v>124</v>
      </c>
      <c r="AB405" s="106">
        <v>46203.0</v>
      </c>
      <c r="AC405" s="106"/>
      <c r="AD405" s="56" t="s">
        <v>94</v>
      </c>
      <c r="AE405" s="56">
        <v>0.0</v>
      </c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106">
        <v>46265.0</v>
      </c>
      <c r="AA406" s="56" t="s">
        <v>124</v>
      </c>
      <c r="AB406" s="106">
        <v>46203.0</v>
      </c>
      <c r="AC406" s="106"/>
      <c r="AD406" s="56" t="s">
        <v>95</v>
      </c>
      <c r="AE406" s="56">
        <v>0.0</v>
      </c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106">
        <v>46265.0</v>
      </c>
      <c r="AA407" s="56" t="s">
        <v>124</v>
      </c>
      <c r="AB407" s="106">
        <v>46203.0</v>
      </c>
      <c r="AC407" s="106"/>
      <c r="AD407" s="56" t="s">
        <v>96</v>
      </c>
      <c r="AE407" s="56">
        <v>0.0</v>
      </c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106">
        <v>46265.0</v>
      </c>
      <c r="AA408" s="56" t="s">
        <v>124</v>
      </c>
      <c r="AB408" s="106">
        <v>46203.0</v>
      </c>
      <c r="AC408" s="106"/>
      <c r="AD408" s="56" t="s">
        <v>97</v>
      </c>
      <c r="AE408" s="56">
        <v>0.0</v>
      </c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106">
        <v>46265.0</v>
      </c>
      <c r="AA409" s="56" t="s">
        <v>124</v>
      </c>
      <c r="AB409" s="106">
        <v>46203.0</v>
      </c>
      <c r="AC409" s="106"/>
      <c r="AD409" s="56" t="s">
        <v>98</v>
      </c>
      <c r="AE409" s="56">
        <v>0.0</v>
      </c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106">
        <v>46265.0</v>
      </c>
      <c r="AA410" s="56" t="s">
        <v>124</v>
      </c>
      <c r="AB410" s="106">
        <v>46203.0</v>
      </c>
      <c r="AC410" s="106"/>
      <c r="AD410" s="56" t="s">
        <v>99</v>
      </c>
      <c r="AE410" s="56">
        <v>0.0</v>
      </c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106">
        <v>46265.0</v>
      </c>
      <c r="AA411" s="56" t="s">
        <v>124</v>
      </c>
      <c r="AB411" s="106">
        <v>46203.0</v>
      </c>
      <c r="AC411" s="106"/>
      <c r="AD411" s="56" t="s">
        <v>100</v>
      </c>
      <c r="AE411" s="56">
        <v>0.0</v>
      </c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106">
        <v>46265.0</v>
      </c>
      <c r="AA412" s="56" t="s">
        <v>124</v>
      </c>
      <c r="AB412" s="106">
        <v>46203.0</v>
      </c>
      <c r="AC412" s="106"/>
      <c r="AD412" s="56" t="s">
        <v>101</v>
      </c>
      <c r="AE412" s="56">
        <v>0.0</v>
      </c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106">
        <v>46265.0</v>
      </c>
      <c r="AA413" s="56" t="s">
        <v>124</v>
      </c>
      <c r="AB413" s="106">
        <v>46203.0</v>
      </c>
      <c r="AC413" s="106"/>
      <c r="AD413" s="56" t="s">
        <v>102</v>
      </c>
      <c r="AE413" s="56">
        <v>0.0</v>
      </c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106">
        <v>46265.0</v>
      </c>
      <c r="AA414" s="56" t="s">
        <v>124</v>
      </c>
      <c r="AB414" s="106">
        <v>46203.0</v>
      </c>
      <c r="AC414" s="106"/>
      <c r="AD414" s="56" t="s">
        <v>103</v>
      </c>
      <c r="AE414" s="56">
        <v>0.0</v>
      </c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106">
        <v>46265.0</v>
      </c>
      <c r="AA415" s="56" t="s">
        <v>124</v>
      </c>
      <c r="AB415" s="106">
        <v>46203.0</v>
      </c>
      <c r="AC415" s="106"/>
      <c r="AD415" s="56" t="s">
        <v>105</v>
      </c>
      <c r="AE415" s="102">
        <v>0.0</v>
      </c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106">
        <v>46265.0</v>
      </c>
      <c r="AA416" s="56" t="s">
        <v>124</v>
      </c>
      <c r="AB416" s="106">
        <v>46203.0</v>
      </c>
      <c r="AC416" s="106"/>
      <c r="AD416" s="56" t="s">
        <v>107</v>
      </c>
      <c r="AE416" s="102">
        <v>0.0</v>
      </c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106">
        <v>46265.0</v>
      </c>
      <c r="AA417" s="56" t="s">
        <v>124</v>
      </c>
      <c r="AB417" s="106">
        <v>46203.0</v>
      </c>
      <c r="AC417" s="106"/>
      <c r="AD417" s="56" t="s">
        <v>109</v>
      </c>
      <c r="AE417" s="56">
        <v>0.0</v>
      </c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106">
        <v>46265.0</v>
      </c>
      <c r="AA418" s="56" t="s">
        <v>124</v>
      </c>
      <c r="AB418" s="106">
        <v>46203.0</v>
      </c>
      <c r="AC418" s="106"/>
      <c r="AD418" s="56" t="s">
        <v>111</v>
      </c>
      <c r="AE418" s="56">
        <v>0.0</v>
      </c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106">
        <v>46265.0</v>
      </c>
      <c r="AA419" s="56" t="s">
        <v>124</v>
      </c>
      <c r="AB419" s="106">
        <v>46203.0</v>
      </c>
      <c r="AC419" s="106"/>
      <c r="AD419" s="56" t="s">
        <v>112</v>
      </c>
      <c r="AE419" s="56">
        <v>0.0</v>
      </c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106">
        <v>46265.0</v>
      </c>
      <c r="AA420" s="56" t="s">
        <v>124</v>
      </c>
      <c r="AB420" s="106">
        <v>46203.0</v>
      </c>
      <c r="AC420" s="106"/>
      <c r="AD420" s="56" t="s">
        <v>46</v>
      </c>
      <c r="AE420" s="56">
        <v>0.0</v>
      </c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106">
        <v>46265.0</v>
      </c>
      <c r="AA421" s="56" t="s">
        <v>124</v>
      </c>
      <c r="AB421" s="106">
        <v>46203.0</v>
      </c>
      <c r="AC421" s="106"/>
      <c r="AD421" s="56" t="s">
        <v>114</v>
      </c>
      <c r="AE421" s="56">
        <v>0.0</v>
      </c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106">
        <v>46265.0</v>
      </c>
      <c r="AA422" s="56" t="s">
        <v>124</v>
      </c>
      <c r="AB422" s="106">
        <v>46203.0</v>
      </c>
      <c r="AC422" s="106"/>
      <c r="AD422" s="56" t="s">
        <v>23</v>
      </c>
      <c r="AE422" s="56">
        <v>0.0</v>
      </c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106">
        <v>46265.0</v>
      </c>
      <c r="AA423" s="56" t="s">
        <v>124</v>
      </c>
      <c r="AB423" s="106">
        <v>46203.0</v>
      </c>
      <c r="AC423" s="106"/>
      <c r="AD423" s="56" t="s">
        <v>117</v>
      </c>
      <c r="AE423" s="56">
        <v>0.0</v>
      </c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106">
        <v>46265.0</v>
      </c>
      <c r="AA424" s="56" t="s">
        <v>124</v>
      </c>
      <c r="AB424" s="106">
        <v>46203.0</v>
      </c>
      <c r="AC424" s="106"/>
      <c r="AD424" s="56" t="s">
        <v>14</v>
      </c>
      <c r="AE424" s="102">
        <v>300000.0</v>
      </c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106">
        <v>46265.0</v>
      </c>
      <c r="AA425" s="56" t="s">
        <v>124</v>
      </c>
      <c r="AB425" s="106">
        <v>46265.0</v>
      </c>
      <c r="AC425" s="106"/>
      <c r="AD425" s="56" t="s">
        <v>93</v>
      </c>
      <c r="AE425" s="56">
        <v>0.0</v>
      </c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106">
        <v>46265.0</v>
      </c>
      <c r="AA426" s="56" t="s">
        <v>124</v>
      </c>
      <c r="AB426" s="106">
        <v>46265.0</v>
      </c>
      <c r="AC426" s="106"/>
      <c r="AD426" s="56" t="s">
        <v>94</v>
      </c>
      <c r="AE426" s="56">
        <v>0.0</v>
      </c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106">
        <v>46265.0</v>
      </c>
      <c r="AA427" s="56" t="s">
        <v>124</v>
      </c>
      <c r="AB427" s="106">
        <v>46265.0</v>
      </c>
      <c r="AC427" s="106"/>
      <c r="AD427" s="56" t="s">
        <v>95</v>
      </c>
      <c r="AE427" s="56">
        <v>0.0</v>
      </c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106">
        <v>46265.0</v>
      </c>
      <c r="AA428" s="56" t="s">
        <v>124</v>
      </c>
      <c r="AB428" s="106">
        <v>46265.0</v>
      </c>
      <c r="AC428" s="106"/>
      <c r="AD428" s="56" t="s">
        <v>96</v>
      </c>
      <c r="AE428" s="56">
        <v>0.0</v>
      </c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106">
        <v>46265.0</v>
      </c>
      <c r="AA429" s="56" t="s">
        <v>124</v>
      </c>
      <c r="AB429" s="106">
        <v>46265.0</v>
      </c>
      <c r="AC429" s="106"/>
      <c r="AD429" s="56" t="s">
        <v>97</v>
      </c>
      <c r="AE429" s="56">
        <v>0.0</v>
      </c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106">
        <v>46265.0</v>
      </c>
      <c r="AA430" s="56" t="s">
        <v>124</v>
      </c>
      <c r="AB430" s="106">
        <v>46265.0</v>
      </c>
      <c r="AC430" s="106"/>
      <c r="AD430" s="56" t="s">
        <v>98</v>
      </c>
      <c r="AE430" s="56">
        <v>0.0</v>
      </c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106">
        <v>46265.0</v>
      </c>
      <c r="AA431" s="56" t="s">
        <v>124</v>
      </c>
      <c r="AB431" s="106">
        <v>46265.0</v>
      </c>
      <c r="AC431" s="106"/>
      <c r="AD431" s="56" t="s">
        <v>99</v>
      </c>
      <c r="AE431" s="56">
        <v>2500000.0</v>
      </c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106">
        <v>46265.0</v>
      </c>
      <c r="AA432" s="56" t="s">
        <v>124</v>
      </c>
      <c r="AB432" s="106">
        <v>46265.0</v>
      </c>
      <c r="AC432" s="106"/>
      <c r="AD432" s="56" t="s">
        <v>100</v>
      </c>
      <c r="AE432" s="56">
        <v>0.0</v>
      </c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106">
        <v>46265.0</v>
      </c>
      <c r="AA433" s="56" t="s">
        <v>124</v>
      </c>
      <c r="AB433" s="106">
        <v>46265.0</v>
      </c>
      <c r="AC433" s="106"/>
      <c r="AD433" s="56" t="s">
        <v>101</v>
      </c>
      <c r="AE433" s="56">
        <v>0.0</v>
      </c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106">
        <v>46265.0</v>
      </c>
      <c r="AA434" s="56" t="s">
        <v>124</v>
      </c>
      <c r="AB434" s="106">
        <v>46265.0</v>
      </c>
      <c r="AC434" s="106"/>
      <c r="AD434" s="56" t="s">
        <v>102</v>
      </c>
      <c r="AE434" s="56">
        <v>0.0</v>
      </c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106">
        <v>46265.0</v>
      </c>
      <c r="AA435" s="56" t="s">
        <v>124</v>
      </c>
      <c r="AB435" s="106">
        <v>46265.0</v>
      </c>
      <c r="AC435" s="106"/>
      <c r="AD435" s="56" t="s">
        <v>103</v>
      </c>
      <c r="AE435" s="56">
        <v>0.0</v>
      </c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106">
        <v>46265.0</v>
      </c>
      <c r="AA436" s="56" t="s">
        <v>124</v>
      </c>
      <c r="AB436" s="106">
        <v>46265.0</v>
      </c>
      <c r="AC436" s="106"/>
      <c r="AD436" s="56" t="s">
        <v>105</v>
      </c>
      <c r="AE436" s="56">
        <v>0.0</v>
      </c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106">
        <v>46265.0</v>
      </c>
      <c r="AA437" s="56" t="s">
        <v>124</v>
      </c>
      <c r="AB437" s="106">
        <v>46265.0</v>
      </c>
      <c r="AC437" s="106"/>
      <c r="AD437" s="56" t="s">
        <v>107</v>
      </c>
      <c r="AE437" s="56">
        <v>0.0</v>
      </c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106">
        <v>46265.0</v>
      </c>
      <c r="AA438" s="56" t="s">
        <v>124</v>
      </c>
      <c r="AB438" s="106">
        <v>46265.0</v>
      </c>
      <c r="AC438" s="106"/>
      <c r="AD438" s="56" t="s">
        <v>109</v>
      </c>
      <c r="AE438" s="56">
        <v>0.0</v>
      </c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106">
        <v>46265.0</v>
      </c>
      <c r="AA439" s="56" t="s">
        <v>124</v>
      </c>
      <c r="AB439" s="106">
        <v>46265.0</v>
      </c>
      <c r="AC439" s="106"/>
      <c r="AD439" s="56" t="s">
        <v>111</v>
      </c>
      <c r="AE439" s="102">
        <v>20000.0</v>
      </c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106">
        <v>46265.0</v>
      </c>
      <c r="AA440" s="56" t="s">
        <v>124</v>
      </c>
      <c r="AB440" s="106">
        <v>46265.0</v>
      </c>
      <c r="AC440" s="106"/>
      <c r="AD440" s="56" t="s">
        <v>112</v>
      </c>
      <c r="AE440" s="56">
        <v>0.0</v>
      </c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106">
        <v>46265.0</v>
      </c>
      <c r="AA441" s="56" t="s">
        <v>124</v>
      </c>
      <c r="AB441" s="106">
        <v>46265.0</v>
      </c>
      <c r="AC441" s="106"/>
      <c r="AD441" s="56" t="s">
        <v>46</v>
      </c>
      <c r="AE441" s="56">
        <v>0.0</v>
      </c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106">
        <v>46265.0</v>
      </c>
      <c r="AA442" s="56" t="s">
        <v>124</v>
      </c>
      <c r="AB442" s="106">
        <v>46265.0</v>
      </c>
      <c r="AC442" s="106"/>
      <c r="AD442" s="56" t="s">
        <v>114</v>
      </c>
      <c r="AE442" s="56">
        <v>0.0</v>
      </c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106">
        <v>46265.0</v>
      </c>
      <c r="AA443" s="56" t="s">
        <v>124</v>
      </c>
      <c r="AB443" s="106">
        <v>46265.0</v>
      </c>
      <c r="AC443" s="106"/>
      <c r="AD443" s="56" t="s">
        <v>23</v>
      </c>
      <c r="AE443" s="102">
        <v>0.0</v>
      </c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106">
        <v>46265.0</v>
      </c>
      <c r="AA444" s="56" t="s">
        <v>124</v>
      </c>
      <c r="AB444" s="106">
        <v>46265.0</v>
      </c>
      <c r="AC444" s="106"/>
      <c r="AD444" s="56" t="s">
        <v>117</v>
      </c>
      <c r="AE444" s="102">
        <v>0.0</v>
      </c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106">
        <v>46265.0</v>
      </c>
      <c r="AA445" s="56" t="s">
        <v>124</v>
      </c>
      <c r="AB445" s="106">
        <v>46265.0</v>
      </c>
      <c r="AC445" s="106"/>
      <c r="AD445" s="56" t="s">
        <v>14</v>
      </c>
      <c r="AE445" s="102">
        <v>50000.0</v>
      </c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106">
        <v>46265.0</v>
      </c>
      <c r="AA446" s="56" t="s">
        <v>124</v>
      </c>
      <c r="AB446" s="106">
        <v>46295.0</v>
      </c>
      <c r="AC446" s="106"/>
      <c r="AD446" s="56" t="s">
        <v>93</v>
      </c>
      <c r="AE446" s="56">
        <v>0.0</v>
      </c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106">
        <v>46265.0</v>
      </c>
      <c r="AA447" s="56" t="s">
        <v>124</v>
      </c>
      <c r="AB447" s="106">
        <v>46295.0</v>
      </c>
      <c r="AC447" s="106"/>
      <c r="AD447" s="56" t="s">
        <v>94</v>
      </c>
      <c r="AE447" s="102">
        <v>429840.0</v>
      </c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106">
        <v>46265.0</v>
      </c>
      <c r="AA448" s="56" t="s">
        <v>124</v>
      </c>
      <c r="AB448" s="106">
        <v>46295.0</v>
      </c>
      <c r="AC448" s="106"/>
      <c r="AD448" s="56" t="s">
        <v>95</v>
      </c>
      <c r="AE448" s="56">
        <v>0.0</v>
      </c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106">
        <v>46265.0</v>
      </c>
      <c r="AA449" s="56" t="s">
        <v>124</v>
      </c>
      <c r="AB449" s="106">
        <v>46295.0</v>
      </c>
      <c r="AC449" s="106"/>
      <c r="AD449" s="56" t="s">
        <v>96</v>
      </c>
      <c r="AE449" s="102">
        <v>2640.0</v>
      </c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106">
        <v>46265.0</v>
      </c>
      <c r="AA450" s="56" t="s">
        <v>124</v>
      </c>
      <c r="AB450" s="106">
        <v>46295.0</v>
      </c>
      <c r="AC450" s="106"/>
      <c r="AD450" s="56" t="s">
        <v>97</v>
      </c>
      <c r="AE450" s="102">
        <v>7128.0</v>
      </c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106">
        <v>46265.0</v>
      </c>
      <c r="AA451" s="56" t="s">
        <v>124</v>
      </c>
      <c r="AB451" s="106">
        <v>46295.0</v>
      </c>
      <c r="AC451" s="106"/>
      <c r="AD451" s="56" t="s">
        <v>98</v>
      </c>
      <c r="AE451" s="56">
        <v>0.0</v>
      </c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106">
        <v>46265.0</v>
      </c>
      <c r="AA452" s="56" t="s">
        <v>124</v>
      </c>
      <c r="AB452" s="106">
        <v>46295.0</v>
      </c>
      <c r="AC452" s="106"/>
      <c r="AD452" s="56" t="s">
        <v>99</v>
      </c>
      <c r="AE452" s="56">
        <v>0.0</v>
      </c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106">
        <v>46265.0</v>
      </c>
      <c r="AA453" s="56" t="s">
        <v>124</v>
      </c>
      <c r="AB453" s="106">
        <v>46295.0</v>
      </c>
      <c r="AC453" s="106"/>
      <c r="AD453" s="56" t="s">
        <v>100</v>
      </c>
      <c r="AE453" s="102">
        <v>100000.0</v>
      </c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106">
        <v>46265.0</v>
      </c>
      <c r="AA454" s="56" t="s">
        <v>124</v>
      </c>
      <c r="AB454" s="106">
        <v>46295.0</v>
      </c>
      <c r="AC454" s="106"/>
      <c r="AD454" s="56" t="s">
        <v>101</v>
      </c>
      <c r="AE454" s="102">
        <v>110000.0</v>
      </c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106">
        <v>46265.0</v>
      </c>
      <c r="AA455" s="56" t="s">
        <v>124</v>
      </c>
      <c r="AB455" s="106">
        <v>46295.0</v>
      </c>
      <c r="AC455" s="106"/>
      <c r="AD455" s="56" t="s">
        <v>102</v>
      </c>
      <c r="AE455" s="102">
        <v>700000.0</v>
      </c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106">
        <v>46265.0</v>
      </c>
      <c r="AA456" s="56" t="s">
        <v>124</v>
      </c>
      <c r="AB456" s="106">
        <v>46295.0</v>
      </c>
      <c r="AC456" s="106"/>
      <c r="AD456" s="56" t="s">
        <v>103</v>
      </c>
      <c r="AE456" s="102">
        <v>2000000.0</v>
      </c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106">
        <v>46265.0</v>
      </c>
      <c r="AA457" s="56" t="s">
        <v>124</v>
      </c>
      <c r="AB457" s="106">
        <v>46295.0</v>
      </c>
      <c r="AC457" s="106"/>
      <c r="AD457" s="56" t="s">
        <v>105</v>
      </c>
      <c r="AE457" s="102">
        <v>450000.0</v>
      </c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106">
        <v>46265.0</v>
      </c>
      <c r="AA458" s="56" t="s">
        <v>124</v>
      </c>
      <c r="AB458" s="106">
        <v>46295.0</v>
      </c>
      <c r="AC458" s="106"/>
      <c r="AD458" s="56" t="s">
        <v>107</v>
      </c>
      <c r="AE458" s="56">
        <v>0.0</v>
      </c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106">
        <v>46265.0</v>
      </c>
      <c r="AA459" s="56" t="s">
        <v>124</v>
      </c>
      <c r="AB459" s="106">
        <v>46295.0</v>
      </c>
      <c r="AC459" s="106"/>
      <c r="AD459" s="56" t="s">
        <v>109</v>
      </c>
      <c r="AE459" s="102">
        <v>2000000.0</v>
      </c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106">
        <v>46265.0</v>
      </c>
      <c r="AA460" s="56" t="s">
        <v>124</v>
      </c>
      <c r="AB460" s="106">
        <v>46295.0</v>
      </c>
      <c r="AC460" s="106"/>
      <c r="AD460" s="56" t="s">
        <v>111</v>
      </c>
      <c r="AE460" s="102">
        <v>130000.0</v>
      </c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106">
        <v>46265.0</v>
      </c>
      <c r="AA461" s="56" t="s">
        <v>124</v>
      </c>
      <c r="AB461" s="106">
        <v>46295.0</v>
      </c>
      <c r="AC461" s="106"/>
      <c r="AD461" s="56" t="s">
        <v>112</v>
      </c>
      <c r="AE461" s="56">
        <v>0.0</v>
      </c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106">
        <v>46265.0</v>
      </c>
      <c r="AA462" s="56" t="s">
        <v>124</v>
      </c>
      <c r="AB462" s="106">
        <v>46295.0</v>
      </c>
      <c r="AC462" s="106"/>
      <c r="AD462" s="56" t="s">
        <v>46</v>
      </c>
      <c r="AE462" s="102">
        <v>150000.0</v>
      </c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106">
        <v>46265.0</v>
      </c>
      <c r="AA463" s="56" t="s">
        <v>124</v>
      </c>
      <c r="AB463" s="106">
        <v>46295.0</v>
      </c>
      <c r="AC463" s="106"/>
      <c r="AD463" s="56" t="s">
        <v>114</v>
      </c>
      <c r="AE463" s="102">
        <v>60000.0</v>
      </c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106">
        <v>46265.0</v>
      </c>
      <c r="AA464" s="56" t="s">
        <v>124</v>
      </c>
      <c r="AB464" s="106">
        <v>46295.0</v>
      </c>
      <c r="AC464" s="106"/>
      <c r="AD464" s="56" t="s">
        <v>23</v>
      </c>
      <c r="AE464" s="56">
        <v>0.0</v>
      </c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106">
        <v>46265.0</v>
      </c>
      <c r="AA465" s="56" t="s">
        <v>124</v>
      </c>
      <c r="AB465" s="106">
        <v>46295.0</v>
      </c>
      <c r="AC465" s="106"/>
      <c r="AD465" s="56" t="s">
        <v>117</v>
      </c>
      <c r="AE465" s="102">
        <v>0.0</v>
      </c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106">
        <v>46265.0</v>
      </c>
      <c r="AA466" s="56" t="s">
        <v>124</v>
      </c>
      <c r="AB466" s="106">
        <v>46295.0</v>
      </c>
      <c r="AC466" s="106"/>
      <c r="AD466" s="56" t="s">
        <v>14</v>
      </c>
      <c r="AE466" s="102">
        <v>300000.0</v>
      </c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106"/>
      <c r="AA467" s="56"/>
      <c r="AB467" s="4"/>
      <c r="AC467" s="4"/>
      <c r="AD467" s="56"/>
      <c r="AE467" s="56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106"/>
      <c r="AA468" s="56"/>
      <c r="AB468" s="4"/>
      <c r="AC468" s="4"/>
      <c r="AD468" s="56"/>
      <c r="AE468" s="102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106"/>
      <c r="AA469" s="56"/>
      <c r="AB469" s="4"/>
      <c r="AC469" s="4"/>
      <c r="AD469" s="56"/>
      <c r="AE469" s="102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106"/>
      <c r="AA470" s="56"/>
      <c r="AB470" s="4"/>
      <c r="AC470" s="4"/>
      <c r="AD470" s="56"/>
      <c r="AE470" s="102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106"/>
      <c r="AA471" s="56"/>
      <c r="AB471" s="4"/>
      <c r="AC471" s="4"/>
      <c r="AD471" s="56"/>
      <c r="AE471" s="102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106"/>
      <c r="AA472" s="56"/>
      <c r="AB472" s="4"/>
      <c r="AC472" s="4"/>
      <c r="AD472" s="56"/>
      <c r="AE472" s="102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106"/>
      <c r="AA473" s="56"/>
      <c r="AB473" s="4"/>
      <c r="AC473" s="4"/>
      <c r="AD473" s="56"/>
      <c r="AE473" s="56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106"/>
      <c r="AA474" s="56"/>
      <c r="AB474" s="4"/>
      <c r="AC474" s="4"/>
      <c r="AD474" s="56"/>
      <c r="AE474" s="102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106"/>
      <c r="AA475" s="56"/>
      <c r="AB475" s="4"/>
      <c r="AC475" s="4"/>
      <c r="AD475" s="56"/>
      <c r="AE475" s="102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106"/>
      <c r="AA476" s="56"/>
      <c r="AB476" s="4"/>
      <c r="AC476" s="4"/>
      <c r="AD476" s="56"/>
      <c r="AE476" s="102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106"/>
      <c r="AA477" s="56"/>
      <c r="AB477" s="4"/>
      <c r="AC477" s="4"/>
      <c r="AD477" s="56"/>
      <c r="AE477" s="102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106"/>
      <c r="AA478" s="56"/>
      <c r="AB478" s="4"/>
      <c r="AC478" s="4"/>
      <c r="AD478" s="56"/>
      <c r="AE478" s="102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106"/>
      <c r="AA479" s="56"/>
      <c r="AB479" s="4"/>
      <c r="AC479" s="4"/>
      <c r="AD479" s="56"/>
      <c r="AE479" s="102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106"/>
      <c r="AA480" s="56"/>
      <c r="AB480" s="4"/>
      <c r="AC480" s="4"/>
      <c r="AD480" s="56"/>
      <c r="AE480" s="102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106"/>
      <c r="AA481" s="56"/>
      <c r="AB481" s="4"/>
      <c r="AC481" s="4"/>
      <c r="AD481" s="56"/>
      <c r="AE481" s="102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106"/>
      <c r="AA482" s="56"/>
      <c r="AB482" s="4"/>
      <c r="AC482" s="4"/>
      <c r="AD482" s="56"/>
      <c r="AE482" s="102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106"/>
      <c r="AA483" s="56"/>
      <c r="AB483" s="4"/>
      <c r="AC483" s="4"/>
      <c r="AD483" s="56"/>
      <c r="AE483" s="102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106"/>
      <c r="AA484" s="56"/>
      <c r="AB484" s="4"/>
      <c r="AC484" s="4"/>
      <c r="AD484" s="56"/>
      <c r="AE484" s="102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106"/>
      <c r="AA485" s="56"/>
      <c r="AB485" s="4"/>
      <c r="AC485" s="4"/>
      <c r="AD485" s="56"/>
      <c r="AE485" s="102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106"/>
      <c r="AA486" s="56"/>
      <c r="AB486" s="4"/>
      <c r="AC486" s="4"/>
      <c r="AD486" s="56"/>
      <c r="AE486" s="56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106"/>
      <c r="AA487" s="56"/>
      <c r="AB487" s="4"/>
      <c r="AC487" s="4"/>
      <c r="AD487" s="56"/>
      <c r="AE487" s="102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106"/>
      <c r="AA488" s="56"/>
      <c r="AB488" s="4"/>
      <c r="AC488" s="4"/>
      <c r="AD488" s="56"/>
      <c r="AE488" s="102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</sheetData>
  <autoFilter ref="$Z$3:$AE$466"/>
  <mergeCells count="4">
    <mergeCell ref="B3:C3"/>
    <mergeCell ref="B4:C4"/>
    <mergeCell ref="B38:P38"/>
    <mergeCell ref="B39:C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sheetData>
    <row r="1" ht="33.0" customHeight="1" collapsed="1">
      <c r="A1" s="3"/>
      <c r="B1" s="2" t="s">
        <v>77</v>
      </c>
      <c r="C1" s="3"/>
      <c r="D1" s="3"/>
      <c r="E1" s="3"/>
      <c r="F1" s="64" t="s">
        <v>78</v>
      </c>
      <c r="G1" s="65"/>
      <c r="H1" s="66"/>
      <c r="I1" s="2" t="s">
        <v>79</v>
      </c>
      <c r="J1" s="65"/>
      <c r="K1" s="65"/>
      <c r="L1" s="65"/>
      <c r="M1" s="64" t="s">
        <v>80</v>
      </c>
      <c r="N1" s="3"/>
      <c r="O1" s="3"/>
    </row>
    <row r="2" hidden="1" outlineLevel="1">
      <c r="A2" s="4"/>
      <c r="O2" s="4"/>
    </row>
    <row r="3" ht="18.0" customHeight="1">
      <c r="A3" s="2"/>
      <c r="B3" s="67" t="s">
        <v>82</v>
      </c>
      <c r="C3" s="68" t="s">
        <v>83</v>
      </c>
      <c r="D3" s="69" t="s">
        <v>84</v>
      </c>
      <c r="E3" s="69" t="s">
        <v>85</v>
      </c>
      <c r="F3" s="69" t="s">
        <v>86</v>
      </c>
      <c r="G3" s="70" t="s">
        <v>87</v>
      </c>
      <c r="H3" s="3"/>
      <c r="I3" s="71" t="s">
        <v>82</v>
      </c>
      <c r="J3" s="72" t="s">
        <v>83</v>
      </c>
      <c r="K3" s="73" t="s">
        <v>88</v>
      </c>
      <c r="L3" s="73" t="s">
        <v>85</v>
      </c>
      <c r="M3" s="73" t="s">
        <v>86</v>
      </c>
      <c r="N3" s="74" t="s">
        <v>87</v>
      </c>
    </row>
    <row r="4" ht="24.0" customHeight="1">
      <c r="A4" s="75" t="s">
        <v>89</v>
      </c>
      <c r="B4" s="76"/>
      <c r="C4" s="77" t="s">
        <v>90</v>
      </c>
      <c r="D4" s="78">
        <v>46082.0</v>
      </c>
      <c r="E4" s="79" t="s">
        <v>90</v>
      </c>
      <c r="F4" s="79" t="s">
        <v>6</v>
      </c>
      <c r="G4" s="80">
        <v>3000000.0</v>
      </c>
      <c r="H4" s="75" t="s">
        <v>89</v>
      </c>
      <c r="I4" s="76">
        <v>46265.0</v>
      </c>
      <c r="J4" s="77" t="s">
        <v>90</v>
      </c>
      <c r="K4" s="78">
        <v>46082.0</v>
      </c>
      <c r="L4" s="79" t="s">
        <v>90</v>
      </c>
      <c r="M4" s="81" t="s">
        <v>91</v>
      </c>
      <c r="N4" s="80">
        <v>0.0</v>
      </c>
      <c r="O4" s="3"/>
    </row>
    <row r="5">
      <c r="A5" s="4"/>
      <c r="B5" s="82">
        <v>46295.0</v>
      </c>
      <c r="C5" s="83" t="s">
        <v>92</v>
      </c>
      <c r="D5" s="78">
        <v>45930.0</v>
      </c>
      <c r="E5" s="84"/>
      <c r="F5" s="79" t="s">
        <v>6</v>
      </c>
      <c r="G5" s="85">
        <v>0.0</v>
      </c>
      <c r="H5" s="4"/>
      <c r="I5" s="82">
        <v>46295.0</v>
      </c>
      <c r="J5" s="83" t="s">
        <v>92</v>
      </c>
      <c r="K5" s="86">
        <v>45930.0</v>
      </c>
      <c r="L5" s="86"/>
      <c r="M5" s="87" t="s">
        <v>93</v>
      </c>
      <c r="N5" s="85">
        <v>0.0</v>
      </c>
      <c r="O5" s="4"/>
    </row>
    <row r="6">
      <c r="A6" s="4"/>
      <c r="B6" s="82">
        <v>46295.0</v>
      </c>
      <c r="C6" s="83" t="s">
        <v>92</v>
      </c>
      <c r="D6" s="86">
        <v>45930.0</v>
      </c>
      <c r="E6" s="86"/>
      <c r="F6" s="88" t="s">
        <v>7</v>
      </c>
      <c r="G6" s="85">
        <v>0.0</v>
      </c>
      <c r="H6" s="4"/>
      <c r="I6" s="82">
        <v>46295.0</v>
      </c>
      <c r="J6" s="83" t="s">
        <v>92</v>
      </c>
      <c r="K6" s="86">
        <v>45930.0</v>
      </c>
      <c r="L6" s="86"/>
      <c r="M6" s="87" t="s">
        <v>94</v>
      </c>
      <c r="N6" s="85">
        <v>0.0</v>
      </c>
      <c r="O6" s="4"/>
    </row>
    <row r="7">
      <c r="A7" s="4"/>
      <c r="B7" s="82">
        <v>46295.0</v>
      </c>
      <c r="C7" s="83" t="s">
        <v>92</v>
      </c>
      <c r="D7" s="86">
        <v>45930.0</v>
      </c>
      <c r="E7" s="86"/>
      <c r="F7" s="88" t="s">
        <v>8</v>
      </c>
      <c r="G7" s="85">
        <v>0.0</v>
      </c>
      <c r="H7" s="4"/>
      <c r="I7" s="82">
        <v>46295.0</v>
      </c>
      <c r="J7" s="83" t="s">
        <v>92</v>
      </c>
      <c r="K7" s="86">
        <v>45930.0</v>
      </c>
      <c r="L7" s="86"/>
      <c r="M7" s="87" t="s">
        <v>95</v>
      </c>
      <c r="N7" s="85">
        <v>0.0</v>
      </c>
      <c r="O7" s="4"/>
    </row>
    <row r="8">
      <c r="A8" s="4"/>
      <c r="B8" s="82">
        <v>46295.0</v>
      </c>
      <c r="C8" s="83" t="s">
        <v>92</v>
      </c>
      <c r="D8" s="86">
        <v>45930.0</v>
      </c>
      <c r="E8" s="86"/>
      <c r="F8" s="88" t="s">
        <v>9</v>
      </c>
      <c r="G8" s="85">
        <v>0.0</v>
      </c>
      <c r="H8" s="4"/>
      <c r="I8" s="82">
        <v>46295.0</v>
      </c>
      <c r="J8" s="83" t="s">
        <v>92</v>
      </c>
      <c r="K8" s="86">
        <v>45930.0</v>
      </c>
      <c r="L8" s="86"/>
      <c r="M8" s="87" t="s">
        <v>96</v>
      </c>
      <c r="N8" s="85">
        <v>0.0</v>
      </c>
      <c r="O8" s="4"/>
    </row>
    <row r="9">
      <c r="A9" s="4"/>
      <c r="B9" s="82">
        <v>46295.0</v>
      </c>
      <c r="C9" s="83" t="s">
        <v>92</v>
      </c>
      <c r="D9" s="86">
        <v>45930.0</v>
      </c>
      <c r="E9" s="86"/>
      <c r="F9" s="88" t="s">
        <v>10</v>
      </c>
      <c r="G9" s="85">
        <v>0.0</v>
      </c>
      <c r="H9" s="4"/>
      <c r="I9" s="82">
        <v>46295.0</v>
      </c>
      <c r="J9" s="83" t="s">
        <v>92</v>
      </c>
      <c r="K9" s="86">
        <v>45930.0</v>
      </c>
      <c r="L9" s="86"/>
      <c r="M9" s="87" t="s">
        <v>97</v>
      </c>
      <c r="N9" s="85">
        <v>0.0</v>
      </c>
      <c r="O9" s="4"/>
    </row>
    <row r="10">
      <c r="A10" s="4"/>
      <c r="B10" s="82">
        <v>46295.0</v>
      </c>
      <c r="C10" s="83" t="s">
        <v>92</v>
      </c>
      <c r="D10" s="86">
        <v>45930.0</v>
      </c>
      <c r="E10" s="86"/>
      <c r="F10" s="88" t="s">
        <v>11</v>
      </c>
      <c r="G10" s="85">
        <v>0.0</v>
      </c>
      <c r="H10" s="4"/>
      <c r="I10" s="82">
        <v>46295.0</v>
      </c>
      <c r="J10" s="83" t="s">
        <v>92</v>
      </c>
      <c r="K10" s="86">
        <v>45930.0</v>
      </c>
      <c r="L10" s="86"/>
      <c r="M10" s="87" t="s">
        <v>98</v>
      </c>
      <c r="N10" s="85">
        <v>0.0</v>
      </c>
      <c r="O10" s="4"/>
    </row>
    <row r="11">
      <c r="A11" s="4"/>
      <c r="B11" s="82">
        <v>46295.0</v>
      </c>
      <c r="C11" s="83" t="s">
        <v>92</v>
      </c>
      <c r="D11" s="86">
        <v>45930.0</v>
      </c>
      <c r="E11" s="86"/>
      <c r="F11" s="88" t="s">
        <v>12</v>
      </c>
      <c r="G11" s="85">
        <v>0.0</v>
      </c>
      <c r="H11" s="4"/>
      <c r="I11" s="82">
        <v>46295.0</v>
      </c>
      <c r="J11" s="83" t="s">
        <v>92</v>
      </c>
      <c r="K11" s="86">
        <v>45930.0</v>
      </c>
      <c r="L11" s="86"/>
      <c r="M11" s="87" t="s">
        <v>99</v>
      </c>
      <c r="N11" s="85">
        <v>0.0</v>
      </c>
      <c r="O11" s="4"/>
    </row>
    <row r="12">
      <c r="A12" s="4"/>
      <c r="B12" s="82">
        <v>46295.0</v>
      </c>
      <c r="C12" s="83" t="s">
        <v>92</v>
      </c>
      <c r="D12" s="86">
        <v>45930.0</v>
      </c>
      <c r="E12" s="86"/>
      <c r="F12" s="88" t="s">
        <v>13</v>
      </c>
      <c r="G12" s="85">
        <v>0.0</v>
      </c>
      <c r="H12" s="4"/>
      <c r="I12" s="82">
        <v>46295.0</v>
      </c>
      <c r="J12" s="83" t="s">
        <v>92</v>
      </c>
      <c r="K12" s="86">
        <v>45930.0</v>
      </c>
      <c r="L12" s="86"/>
      <c r="M12" s="87" t="s">
        <v>100</v>
      </c>
      <c r="N12" s="85">
        <v>0.0</v>
      </c>
      <c r="O12" s="4"/>
    </row>
    <row r="13">
      <c r="A13" s="4"/>
      <c r="B13" s="82">
        <v>46295.0</v>
      </c>
      <c r="C13" s="83" t="s">
        <v>92</v>
      </c>
      <c r="D13" s="86">
        <v>45930.0</v>
      </c>
      <c r="E13" s="86"/>
      <c r="F13" s="88" t="s">
        <v>14</v>
      </c>
      <c r="G13" s="85">
        <v>0.0</v>
      </c>
      <c r="H13" s="4"/>
      <c r="I13" s="82">
        <v>46295.0</v>
      </c>
      <c r="J13" s="83" t="s">
        <v>92</v>
      </c>
      <c r="K13" s="86">
        <v>45930.0</v>
      </c>
      <c r="L13" s="86"/>
      <c r="M13" s="87" t="s">
        <v>101</v>
      </c>
      <c r="N13" s="85">
        <v>0.0</v>
      </c>
      <c r="O13" s="4"/>
    </row>
    <row r="14">
      <c r="A14" s="4"/>
      <c r="B14" s="82">
        <v>46295.0</v>
      </c>
      <c r="C14" s="83" t="s">
        <v>92</v>
      </c>
      <c r="D14" s="86">
        <v>45961.0</v>
      </c>
      <c r="E14" s="86"/>
      <c r="F14" s="88" t="s">
        <v>6</v>
      </c>
      <c r="G14" s="85">
        <v>0.0</v>
      </c>
      <c r="H14" s="4"/>
      <c r="I14" s="82">
        <v>46295.0</v>
      </c>
      <c r="J14" s="83" t="s">
        <v>92</v>
      </c>
      <c r="K14" s="86">
        <v>45930.0</v>
      </c>
      <c r="L14" s="86"/>
      <c r="M14" s="87" t="s">
        <v>102</v>
      </c>
      <c r="N14" s="85">
        <v>0.0</v>
      </c>
      <c r="O14" s="4"/>
    </row>
    <row r="15">
      <c r="A15" s="4"/>
      <c r="B15" s="82">
        <v>46295.0</v>
      </c>
      <c r="C15" s="83" t="s">
        <v>92</v>
      </c>
      <c r="D15" s="86">
        <v>45961.0</v>
      </c>
      <c r="E15" s="86"/>
      <c r="F15" s="88" t="s">
        <v>7</v>
      </c>
      <c r="G15" s="85">
        <v>0.0</v>
      </c>
      <c r="H15" s="4"/>
      <c r="I15" s="82">
        <v>46295.0</v>
      </c>
      <c r="J15" s="83" t="s">
        <v>92</v>
      </c>
      <c r="K15" s="86">
        <v>45930.0</v>
      </c>
      <c r="L15" s="86"/>
      <c r="M15" s="87" t="s">
        <v>103</v>
      </c>
      <c r="N15" s="85">
        <v>210000.0</v>
      </c>
      <c r="O15" s="4"/>
    </row>
    <row r="16">
      <c r="A16" s="4"/>
      <c r="B16" s="82">
        <v>46295.0</v>
      </c>
      <c r="C16" s="83" t="s">
        <v>92</v>
      </c>
      <c r="D16" s="89">
        <v>45961.0</v>
      </c>
      <c r="E16" s="89"/>
      <c r="F16" s="88" t="s">
        <v>8</v>
      </c>
      <c r="G16" s="85">
        <v>0.0</v>
      </c>
      <c r="H16" s="4"/>
      <c r="I16" s="82">
        <v>46295.0</v>
      </c>
      <c r="J16" s="83" t="s">
        <v>92</v>
      </c>
      <c r="K16" s="86">
        <v>45930.0</v>
      </c>
      <c r="L16" s="86"/>
      <c r="M16" s="87" t="s">
        <v>105</v>
      </c>
      <c r="N16" s="85">
        <v>0.0</v>
      </c>
      <c r="O16" s="4"/>
    </row>
    <row r="17">
      <c r="A17" s="4"/>
      <c r="B17" s="82">
        <v>46295.0</v>
      </c>
      <c r="C17" s="83" t="s">
        <v>92</v>
      </c>
      <c r="D17" s="89">
        <v>45961.0</v>
      </c>
      <c r="E17" s="89"/>
      <c r="F17" s="88" t="s">
        <v>9</v>
      </c>
      <c r="G17" s="85">
        <v>0.0</v>
      </c>
      <c r="H17" s="4"/>
      <c r="I17" s="82">
        <v>46295.0</v>
      </c>
      <c r="J17" s="83" t="s">
        <v>92</v>
      </c>
      <c r="K17" s="86">
        <v>45930.0</v>
      </c>
      <c r="L17" s="86"/>
      <c r="M17" s="87" t="s">
        <v>107</v>
      </c>
      <c r="N17" s="85">
        <v>0.0</v>
      </c>
      <c r="O17" s="4"/>
    </row>
    <row r="18">
      <c r="A18" s="4"/>
      <c r="B18" s="82">
        <v>46295.0</v>
      </c>
      <c r="C18" s="83" t="s">
        <v>92</v>
      </c>
      <c r="D18" s="89">
        <v>45961.0</v>
      </c>
      <c r="E18" s="89"/>
      <c r="F18" s="88" t="s">
        <v>10</v>
      </c>
      <c r="G18" s="85">
        <v>0.0</v>
      </c>
      <c r="H18" s="4"/>
      <c r="I18" s="82">
        <v>46295.0</v>
      </c>
      <c r="J18" s="83" t="s">
        <v>92</v>
      </c>
      <c r="K18" s="86">
        <v>45930.0</v>
      </c>
      <c r="L18" s="86"/>
      <c r="M18" s="87" t="s">
        <v>109</v>
      </c>
      <c r="N18" s="85">
        <v>795160.0</v>
      </c>
      <c r="O18" s="4"/>
    </row>
    <row r="19">
      <c r="A19" s="4"/>
      <c r="B19" s="82">
        <v>46295.0</v>
      </c>
      <c r="C19" s="83" t="s">
        <v>92</v>
      </c>
      <c r="D19" s="89">
        <v>45961.0</v>
      </c>
      <c r="E19" s="89"/>
      <c r="F19" s="88" t="s">
        <v>11</v>
      </c>
      <c r="G19" s="85">
        <v>0.0</v>
      </c>
      <c r="H19" s="4"/>
      <c r="I19" s="82">
        <v>46295.0</v>
      </c>
      <c r="J19" s="83" t="s">
        <v>92</v>
      </c>
      <c r="K19" s="86">
        <v>45930.0</v>
      </c>
      <c r="L19" s="86"/>
      <c r="M19" s="87" t="s">
        <v>111</v>
      </c>
      <c r="N19" s="85">
        <v>0.0</v>
      </c>
      <c r="O19" s="4"/>
    </row>
    <row r="20">
      <c r="A20" s="4"/>
      <c r="B20" s="82">
        <v>46295.0</v>
      </c>
      <c r="C20" s="83" t="s">
        <v>92</v>
      </c>
      <c r="D20" s="89">
        <v>45961.0</v>
      </c>
      <c r="E20" s="89"/>
      <c r="F20" s="88" t="s">
        <v>12</v>
      </c>
      <c r="G20" s="85">
        <v>0.0</v>
      </c>
      <c r="H20" s="4"/>
      <c r="I20" s="82">
        <v>46295.0</v>
      </c>
      <c r="J20" s="83" t="s">
        <v>92</v>
      </c>
      <c r="K20" s="86">
        <v>45930.0</v>
      </c>
      <c r="L20" s="86"/>
      <c r="M20" s="87" t="s">
        <v>112</v>
      </c>
      <c r="N20" s="85">
        <v>0.0</v>
      </c>
      <c r="O20" s="4"/>
    </row>
    <row r="21">
      <c r="A21" s="4"/>
      <c r="B21" s="82">
        <v>46295.0</v>
      </c>
      <c r="C21" s="83" t="s">
        <v>92</v>
      </c>
      <c r="D21" s="89">
        <v>45961.0</v>
      </c>
      <c r="E21" s="89"/>
      <c r="F21" s="88" t="s">
        <v>13</v>
      </c>
      <c r="G21" s="85">
        <v>0.0</v>
      </c>
      <c r="H21" s="4"/>
      <c r="I21" s="82">
        <v>46295.0</v>
      </c>
      <c r="J21" s="83" t="s">
        <v>92</v>
      </c>
      <c r="K21" s="86">
        <v>45930.0</v>
      </c>
      <c r="L21" s="86"/>
      <c r="M21" s="87" t="s">
        <v>46</v>
      </c>
      <c r="N21" s="85">
        <v>0.0</v>
      </c>
      <c r="O21" s="4"/>
    </row>
    <row r="22">
      <c r="A22" s="4"/>
      <c r="B22" s="82">
        <v>46295.0</v>
      </c>
      <c r="C22" s="83" t="s">
        <v>92</v>
      </c>
      <c r="D22" s="89">
        <v>45961.0</v>
      </c>
      <c r="E22" s="89"/>
      <c r="F22" s="88" t="s">
        <v>14</v>
      </c>
      <c r="G22" s="85">
        <v>0.0</v>
      </c>
      <c r="H22" s="4"/>
      <c r="I22" s="82">
        <v>46295.0</v>
      </c>
      <c r="J22" s="83" t="s">
        <v>92</v>
      </c>
      <c r="K22" s="86">
        <v>45930.0</v>
      </c>
      <c r="L22" s="86"/>
      <c r="M22" s="87" t="s">
        <v>114</v>
      </c>
      <c r="N22" s="85">
        <v>0.0</v>
      </c>
      <c r="O22" s="4"/>
    </row>
    <row r="23">
      <c r="A23" s="4"/>
      <c r="B23" s="82">
        <v>46295.0</v>
      </c>
      <c r="C23" s="83" t="s">
        <v>92</v>
      </c>
      <c r="D23" s="89">
        <v>45991.0</v>
      </c>
      <c r="E23" s="89"/>
      <c r="F23" s="88" t="s">
        <v>6</v>
      </c>
      <c r="G23" s="85">
        <v>0.0</v>
      </c>
      <c r="H23" s="4"/>
      <c r="I23" s="82">
        <v>46295.0</v>
      </c>
      <c r="J23" s="83" t="s">
        <v>92</v>
      </c>
      <c r="K23" s="86">
        <v>45930.0</v>
      </c>
      <c r="L23" s="86"/>
      <c r="M23" s="87" t="s">
        <v>23</v>
      </c>
      <c r="N23" s="85">
        <v>0.0</v>
      </c>
      <c r="O23" s="4"/>
    </row>
    <row r="24">
      <c r="A24" s="4"/>
      <c r="B24" s="82">
        <v>46295.0</v>
      </c>
      <c r="C24" s="83" t="s">
        <v>92</v>
      </c>
      <c r="D24" s="89">
        <v>45991.0</v>
      </c>
      <c r="E24" s="89"/>
      <c r="F24" s="88" t="s">
        <v>7</v>
      </c>
      <c r="G24" s="85">
        <v>0.0</v>
      </c>
      <c r="H24" s="4"/>
      <c r="I24" s="82">
        <v>46295.0</v>
      </c>
      <c r="J24" s="83" t="s">
        <v>92</v>
      </c>
      <c r="K24" s="86">
        <v>45930.0</v>
      </c>
      <c r="L24" s="86"/>
      <c r="M24" s="87" t="s">
        <v>117</v>
      </c>
      <c r="N24" s="85">
        <v>0.0</v>
      </c>
      <c r="O24" s="4"/>
    </row>
    <row r="25">
      <c r="A25" s="4"/>
      <c r="B25" s="82">
        <v>46295.0</v>
      </c>
      <c r="C25" s="83" t="s">
        <v>92</v>
      </c>
      <c r="D25" s="89">
        <v>45991.0</v>
      </c>
      <c r="E25" s="89"/>
      <c r="F25" s="88" t="s">
        <v>8</v>
      </c>
      <c r="G25" s="85">
        <v>0.0</v>
      </c>
      <c r="H25" s="4"/>
      <c r="I25" s="82">
        <v>46295.0</v>
      </c>
      <c r="J25" s="83" t="s">
        <v>92</v>
      </c>
      <c r="K25" s="86">
        <v>45930.0</v>
      </c>
      <c r="L25" s="86"/>
      <c r="M25" s="87" t="s">
        <v>14</v>
      </c>
      <c r="N25" s="85">
        <v>0.0</v>
      </c>
      <c r="O25" s="4"/>
    </row>
    <row r="26">
      <c r="A26" s="4"/>
      <c r="B26" s="82">
        <v>46295.0</v>
      </c>
      <c r="C26" s="83" t="s">
        <v>92</v>
      </c>
      <c r="D26" s="89">
        <v>45991.0</v>
      </c>
      <c r="E26" s="89"/>
      <c r="F26" s="88" t="s">
        <v>9</v>
      </c>
      <c r="G26" s="85">
        <v>0.0</v>
      </c>
      <c r="H26" s="4"/>
      <c r="I26" s="82">
        <v>46295.0</v>
      </c>
      <c r="J26" s="83" t="s">
        <v>92</v>
      </c>
      <c r="K26" s="86">
        <v>45961.0</v>
      </c>
      <c r="L26" s="86"/>
      <c r="M26" s="87" t="s">
        <v>93</v>
      </c>
      <c r="N26" s="85">
        <v>0.0</v>
      </c>
      <c r="O26" s="4"/>
    </row>
    <row r="27">
      <c r="A27" s="4"/>
      <c r="B27" s="82">
        <v>46295.0</v>
      </c>
      <c r="C27" s="83" t="s">
        <v>92</v>
      </c>
      <c r="D27" s="89">
        <v>45991.0</v>
      </c>
      <c r="E27" s="89"/>
      <c r="F27" s="88" t="s">
        <v>10</v>
      </c>
      <c r="G27" s="85">
        <v>0.0</v>
      </c>
      <c r="H27" s="4"/>
      <c r="I27" s="82">
        <v>46295.0</v>
      </c>
      <c r="J27" s="83" t="s">
        <v>92</v>
      </c>
      <c r="K27" s="89">
        <v>45961.0</v>
      </c>
      <c r="L27" s="89"/>
      <c r="M27" s="87" t="s">
        <v>94</v>
      </c>
      <c r="N27" s="85">
        <v>0.0</v>
      </c>
      <c r="O27" s="4"/>
    </row>
    <row r="28">
      <c r="A28" s="4"/>
      <c r="B28" s="82">
        <v>46295.0</v>
      </c>
      <c r="C28" s="83" t="s">
        <v>92</v>
      </c>
      <c r="D28" s="89">
        <v>45991.0</v>
      </c>
      <c r="E28" s="89"/>
      <c r="F28" s="88" t="s">
        <v>11</v>
      </c>
      <c r="G28" s="85">
        <v>0.0</v>
      </c>
      <c r="H28" s="4"/>
      <c r="I28" s="82">
        <v>46295.0</v>
      </c>
      <c r="J28" s="83" t="s">
        <v>92</v>
      </c>
      <c r="K28" s="89">
        <v>45961.0</v>
      </c>
      <c r="L28" s="89"/>
      <c r="M28" s="87" t="s">
        <v>95</v>
      </c>
      <c r="N28" s="85">
        <v>0.0</v>
      </c>
      <c r="O28" s="4"/>
    </row>
    <row r="29">
      <c r="A29" s="4"/>
      <c r="B29" s="82">
        <v>46295.0</v>
      </c>
      <c r="C29" s="83" t="s">
        <v>92</v>
      </c>
      <c r="D29" s="89">
        <v>45991.0</v>
      </c>
      <c r="E29" s="89"/>
      <c r="F29" s="88" t="s">
        <v>12</v>
      </c>
      <c r="G29" s="85">
        <v>0.0</v>
      </c>
      <c r="H29" s="4"/>
      <c r="I29" s="82">
        <v>46295.0</v>
      </c>
      <c r="J29" s="83" t="s">
        <v>92</v>
      </c>
      <c r="K29" s="89">
        <v>45961.0</v>
      </c>
      <c r="L29" s="89"/>
      <c r="M29" s="87" t="s">
        <v>96</v>
      </c>
      <c r="N29" s="85">
        <v>0.0</v>
      </c>
      <c r="O29" s="4"/>
    </row>
    <row r="30">
      <c r="A30" s="4"/>
      <c r="B30" s="82">
        <v>46295.0</v>
      </c>
      <c r="C30" s="83" t="s">
        <v>92</v>
      </c>
      <c r="D30" s="89">
        <v>45991.0</v>
      </c>
      <c r="E30" s="89"/>
      <c r="F30" s="88" t="s">
        <v>13</v>
      </c>
      <c r="G30" s="85">
        <v>0.0</v>
      </c>
      <c r="H30" s="4"/>
      <c r="I30" s="82">
        <v>46295.0</v>
      </c>
      <c r="J30" s="83" t="s">
        <v>92</v>
      </c>
      <c r="K30" s="89">
        <v>45961.0</v>
      </c>
      <c r="L30" s="89"/>
      <c r="M30" s="87" t="s">
        <v>97</v>
      </c>
      <c r="N30" s="85">
        <v>0.0</v>
      </c>
      <c r="O30" s="4"/>
    </row>
    <row r="31">
      <c r="A31" s="4"/>
      <c r="B31" s="82">
        <v>46295.0</v>
      </c>
      <c r="C31" s="83" t="s">
        <v>92</v>
      </c>
      <c r="D31" s="89">
        <v>45991.0</v>
      </c>
      <c r="E31" s="89"/>
      <c r="F31" s="88" t="s">
        <v>14</v>
      </c>
      <c r="G31" s="85">
        <v>0.0</v>
      </c>
      <c r="H31" s="4"/>
      <c r="I31" s="82">
        <v>46295.0</v>
      </c>
      <c r="J31" s="83" t="s">
        <v>92</v>
      </c>
      <c r="K31" s="89">
        <v>45961.0</v>
      </c>
      <c r="L31" s="89"/>
      <c r="M31" s="87" t="s">
        <v>98</v>
      </c>
      <c r="N31" s="85">
        <v>0.0</v>
      </c>
      <c r="O31" s="4"/>
    </row>
    <row r="32">
      <c r="A32" s="4"/>
      <c r="B32" s="82">
        <v>46295.0</v>
      </c>
      <c r="C32" s="83" t="s">
        <v>92</v>
      </c>
      <c r="D32" s="89">
        <v>46022.0</v>
      </c>
      <c r="E32" s="89"/>
      <c r="F32" s="88" t="s">
        <v>6</v>
      </c>
      <c r="G32" s="85">
        <v>0.0</v>
      </c>
      <c r="H32" s="4"/>
      <c r="I32" s="82">
        <v>46295.0</v>
      </c>
      <c r="J32" s="83" t="s">
        <v>92</v>
      </c>
      <c r="K32" s="89">
        <v>45961.0</v>
      </c>
      <c r="L32" s="89"/>
      <c r="M32" s="87" t="s">
        <v>99</v>
      </c>
      <c r="N32" s="85">
        <v>0.0</v>
      </c>
      <c r="O32" s="4"/>
    </row>
    <row r="33">
      <c r="A33" s="4"/>
      <c r="B33" s="82">
        <v>46295.0</v>
      </c>
      <c r="C33" s="83" t="s">
        <v>92</v>
      </c>
      <c r="D33" s="89">
        <v>46022.0</v>
      </c>
      <c r="E33" s="89"/>
      <c r="F33" s="88" t="s">
        <v>7</v>
      </c>
      <c r="G33" s="85">
        <v>0.0</v>
      </c>
      <c r="H33" s="4"/>
      <c r="I33" s="82">
        <v>46295.0</v>
      </c>
      <c r="J33" s="83" t="s">
        <v>92</v>
      </c>
      <c r="K33" s="89">
        <v>45961.0</v>
      </c>
      <c r="L33" s="89"/>
      <c r="M33" s="87" t="s">
        <v>100</v>
      </c>
      <c r="N33" s="85">
        <v>0.0</v>
      </c>
      <c r="O33" s="4"/>
    </row>
    <row r="34">
      <c r="A34" s="4"/>
      <c r="B34" s="82">
        <v>46295.0</v>
      </c>
      <c r="C34" s="83" t="s">
        <v>92</v>
      </c>
      <c r="D34" s="89">
        <v>46022.0</v>
      </c>
      <c r="E34" s="89"/>
      <c r="F34" s="88" t="s">
        <v>8</v>
      </c>
      <c r="G34" s="85">
        <v>0.0</v>
      </c>
      <c r="H34" s="4"/>
      <c r="I34" s="82">
        <v>46295.0</v>
      </c>
      <c r="J34" s="83" t="s">
        <v>92</v>
      </c>
      <c r="K34" s="89">
        <v>45961.0</v>
      </c>
      <c r="L34" s="89"/>
      <c r="M34" s="87" t="s">
        <v>101</v>
      </c>
      <c r="N34" s="85">
        <v>0.0</v>
      </c>
      <c r="O34" s="4"/>
    </row>
    <row r="35">
      <c r="A35" s="4"/>
      <c r="B35" s="82">
        <v>46295.0</v>
      </c>
      <c r="C35" s="93" t="s">
        <v>92</v>
      </c>
      <c r="D35" s="94">
        <v>46022.0</v>
      </c>
      <c r="E35" s="94"/>
      <c r="F35" s="95" t="s">
        <v>9</v>
      </c>
      <c r="G35" s="96">
        <v>0.0</v>
      </c>
      <c r="H35" s="4"/>
      <c r="I35" s="82">
        <v>46295.0</v>
      </c>
      <c r="J35" s="93" t="s">
        <v>92</v>
      </c>
      <c r="K35" s="94">
        <v>45961.0</v>
      </c>
      <c r="L35" s="94"/>
      <c r="M35" s="97" t="s">
        <v>102</v>
      </c>
      <c r="N35" s="96">
        <v>0.0</v>
      </c>
      <c r="O35" s="4"/>
    </row>
    <row r="36">
      <c r="A36" s="4"/>
      <c r="B36" s="82">
        <v>46295.0</v>
      </c>
      <c r="C36" s="98" t="s">
        <v>92</v>
      </c>
      <c r="D36" s="99">
        <v>46022.0</v>
      </c>
      <c r="E36" s="99"/>
      <c r="F36" s="98" t="s">
        <v>10</v>
      </c>
      <c r="G36" s="100">
        <v>0.0</v>
      </c>
      <c r="I36" s="82">
        <v>46295.0</v>
      </c>
      <c r="J36" s="98" t="s">
        <v>92</v>
      </c>
      <c r="K36" s="99">
        <v>45961.0</v>
      </c>
      <c r="L36" s="99"/>
      <c r="M36" s="100" t="s">
        <v>103</v>
      </c>
      <c r="N36" s="100">
        <v>210000.0</v>
      </c>
      <c r="O36" s="4"/>
    </row>
    <row r="37">
      <c r="A37" s="4"/>
      <c r="B37" s="82">
        <v>46295.0</v>
      </c>
      <c r="C37" s="56" t="s">
        <v>92</v>
      </c>
      <c r="D37" s="101">
        <v>46022.0</v>
      </c>
      <c r="E37" s="101"/>
      <c r="F37" s="56" t="s">
        <v>11</v>
      </c>
      <c r="G37" s="102">
        <v>0.0</v>
      </c>
      <c r="H37" s="4"/>
      <c r="I37" s="82">
        <v>46295.0</v>
      </c>
      <c r="J37" s="56" t="s">
        <v>92</v>
      </c>
      <c r="K37" s="101">
        <v>45961.0</v>
      </c>
      <c r="L37" s="101"/>
      <c r="M37" s="102" t="s">
        <v>105</v>
      </c>
      <c r="N37" s="102">
        <v>0.0</v>
      </c>
      <c r="O37" s="4"/>
    </row>
    <row r="38" ht="8.25" customHeight="1">
      <c r="A38" s="3"/>
      <c r="B38" s="82">
        <v>46295.0</v>
      </c>
      <c r="C38" s="2" t="s">
        <v>92</v>
      </c>
      <c r="D38" s="103">
        <v>46022.0</v>
      </c>
      <c r="E38" s="103"/>
      <c r="F38" s="2" t="s">
        <v>12</v>
      </c>
      <c r="G38" s="104">
        <v>0.0</v>
      </c>
      <c r="H38" s="3"/>
      <c r="I38" s="82">
        <v>46295.0</v>
      </c>
      <c r="J38" s="2" t="s">
        <v>92</v>
      </c>
      <c r="K38" s="103">
        <v>45961.0</v>
      </c>
      <c r="L38" s="103"/>
      <c r="M38" s="104" t="s">
        <v>107</v>
      </c>
      <c r="N38" s="104">
        <v>0.0</v>
      </c>
      <c r="O38" s="3"/>
    </row>
    <row r="39" ht="24.0" customHeight="1">
      <c r="A39" s="3"/>
      <c r="B39" s="82">
        <v>46295.0</v>
      </c>
      <c r="C39" s="2" t="s">
        <v>92</v>
      </c>
      <c r="D39" s="103">
        <v>46022.0</v>
      </c>
      <c r="E39" s="103"/>
      <c r="F39" s="2" t="s">
        <v>13</v>
      </c>
      <c r="G39" s="104">
        <v>0.0</v>
      </c>
      <c r="H39" s="3"/>
      <c r="I39" s="82">
        <v>46295.0</v>
      </c>
      <c r="J39" s="2" t="s">
        <v>92</v>
      </c>
      <c r="K39" s="103">
        <v>45961.0</v>
      </c>
      <c r="L39" s="103"/>
      <c r="M39" s="104" t="s">
        <v>109</v>
      </c>
      <c r="N39" s="104">
        <v>0.0</v>
      </c>
      <c r="O39" s="3"/>
    </row>
    <row r="40">
      <c r="A40" s="4"/>
      <c r="B40" s="82">
        <v>46295.0</v>
      </c>
      <c r="C40" s="56" t="s">
        <v>92</v>
      </c>
      <c r="D40" s="101">
        <v>46022.0</v>
      </c>
      <c r="E40" s="101"/>
      <c r="F40" s="56" t="s">
        <v>14</v>
      </c>
      <c r="G40" s="102">
        <v>0.0</v>
      </c>
      <c r="H40" s="4"/>
      <c r="I40" s="82">
        <v>46295.0</v>
      </c>
      <c r="J40" s="56" t="s">
        <v>92</v>
      </c>
      <c r="K40" s="101">
        <v>45961.0</v>
      </c>
      <c r="L40" s="101"/>
      <c r="M40" s="102" t="s">
        <v>111</v>
      </c>
      <c r="N40" s="102">
        <v>0.0</v>
      </c>
      <c r="O40" s="4"/>
    </row>
    <row r="41">
      <c r="A41" s="4"/>
      <c r="B41" s="82">
        <v>46295.0</v>
      </c>
      <c r="C41" s="56" t="s">
        <v>92</v>
      </c>
      <c r="D41" s="101">
        <v>46053.0</v>
      </c>
      <c r="E41" s="101"/>
      <c r="F41" s="56" t="s">
        <v>6</v>
      </c>
      <c r="G41" s="102">
        <v>0.0</v>
      </c>
      <c r="H41" s="4"/>
      <c r="I41" s="82">
        <v>46295.0</v>
      </c>
      <c r="J41" s="56" t="s">
        <v>92</v>
      </c>
      <c r="K41" s="101">
        <v>45961.0</v>
      </c>
      <c r="L41" s="101"/>
      <c r="M41" s="102" t="s">
        <v>112</v>
      </c>
      <c r="N41" s="102">
        <v>0.0</v>
      </c>
      <c r="O41" s="4"/>
    </row>
    <row r="42">
      <c r="A42" s="4"/>
      <c r="B42" s="82">
        <v>46295.0</v>
      </c>
      <c r="C42" s="56" t="s">
        <v>92</v>
      </c>
      <c r="D42" s="101">
        <v>46053.0</v>
      </c>
      <c r="E42" s="101"/>
      <c r="F42" s="56" t="s">
        <v>7</v>
      </c>
      <c r="G42" s="56">
        <v>0.0</v>
      </c>
      <c r="H42" s="4"/>
      <c r="I42" s="82">
        <v>46295.0</v>
      </c>
      <c r="J42" s="56" t="s">
        <v>92</v>
      </c>
      <c r="K42" s="101">
        <v>45961.0</v>
      </c>
      <c r="L42" s="101"/>
      <c r="M42" s="102" t="s">
        <v>46</v>
      </c>
      <c r="N42" s="102">
        <v>0.0</v>
      </c>
      <c r="O42" s="4"/>
    </row>
    <row r="43">
      <c r="A43" s="4"/>
      <c r="B43" s="82">
        <v>46295.0</v>
      </c>
      <c r="C43" s="56" t="s">
        <v>92</v>
      </c>
      <c r="D43" s="101">
        <v>46053.0</v>
      </c>
      <c r="E43" s="101"/>
      <c r="F43" s="56" t="s">
        <v>8</v>
      </c>
      <c r="G43" s="56">
        <v>0.0</v>
      </c>
      <c r="H43" s="4"/>
      <c r="I43" s="82">
        <v>46295.0</v>
      </c>
      <c r="J43" s="56" t="s">
        <v>92</v>
      </c>
      <c r="K43" s="101">
        <v>45961.0</v>
      </c>
      <c r="L43" s="101"/>
      <c r="M43" s="56" t="s">
        <v>114</v>
      </c>
      <c r="N43" s="56">
        <v>0.0</v>
      </c>
      <c r="O43" s="4"/>
    </row>
    <row r="44">
      <c r="A44" s="4"/>
      <c r="B44" s="82">
        <v>46295.0</v>
      </c>
      <c r="C44" s="56" t="s">
        <v>92</v>
      </c>
      <c r="D44" s="101">
        <v>46053.0</v>
      </c>
      <c r="E44" s="101"/>
      <c r="F44" s="56" t="s">
        <v>9</v>
      </c>
      <c r="G44" s="56">
        <v>0.0</v>
      </c>
      <c r="H44" s="4"/>
      <c r="I44" s="82">
        <v>46295.0</v>
      </c>
      <c r="J44" s="56" t="s">
        <v>92</v>
      </c>
      <c r="K44" s="101">
        <v>45961.0</v>
      </c>
      <c r="L44" s="101"/>
      <c r="M44" s="56" t="s">
        <v>23</v>
      </c>
      <c r="N44" s="56">
        <v>0.0</v>
      </c>
      <c r="O44" s="4"/>
    </row>
    <row r="45">
      <c r="A45" s="4"/>
      <c r="B45" s="82">
        <v>46295.0</v>
      </c>
      <c r="C45" s="56" t="s">
        <v>92</v>
      </c>
      <c r="D45" s="101">
        <v>46053.0</v>
      </c>
      <c r="E45" s="101"/>
      <c r="F45" s="56" t="s">
        <v>10</v>
      </c>
      <c r="G45" s="56">
        <v>0.0</v>
      </c>
      <c r="H45" s="4"/>
      <c r="I45" s="82">
        <v>46295.0</v>
      </c>
      <c r="J45" s="56" t="s">
        <v>92</v>
      </c>
      <c r="K45" s="101">
        <v>45961.0</v>
      </c>
      <c r="L45" s="101"/>
      <c r="M45" s="56" t="s">
        <v>117</v>
      </c>
      <c r="N45" s="56">
        <v>0.0</v>
      </c>
      <c r="O45" s="4"/>
    </row>
    <row r="46">
      <c r="A46" s="4"/>
      <c r="B46" s="82">
        <v>46295.0</v>
      </c>
      <c r="C46" s="56" t="s">
        <v>92</v>
      </c>
      <c r="D46" s="106">
        <v>46053.0</v>
      </c>
      <c r="E46" s="106"/>
      <c r="F46" s="56" t="s">
        <v>11</v>
      </c>
      <c r="G46" s="102">
        <v>0.0</v>
      </c>
      <c r="H46" s="4"/>
      <c r="I46" s="82">
        <v>46295.0</v>
      </c>
      <c r="J46" s="56" t="s">
        <v>92</v>
      </c>
      <c r="K46" s="101">
        <v>45961.0</v>
      </c>
      <c r="L46" s="101"/>
      <c r="M46" s="56" t="s">
        <v>14</v>
      </c>
      <c r="N46" s="56">
        <v>0.0</v>
      </c>
      <c r="O46" s="4"/>
    </row>
    <row r="47">
      <c r="A47" s="4"/>
      <c r="B47" s="82">
        <v>46295.0</v>
      </c>
      <c r="C47" s="56" t="s">
        <v>92</v>
      </c>
      <c r="D47" s="106">
        <v>46053.0</v>
      </c>
      <c r="E47" s="106"/>
      <c r="F47" s="56" t="s">
        <v>12</v>
      </c>
      <c r="G47" s="102">
        <v>0.0</v>
      </c>
      <c r="H47" s="4"/>
      <c r="I47" s="82">
        <v>46295.0</v>
      </c>
      <c r="J47" s="56" t="s">
        <v>92</v>
      </c>
      <c r="K47" s="101">
        <v>45991.0</v>
      </c>
      <c r="L47" s="101"/>
      <c r="M47" s="56" t="s">
        <v>93</v>
      </c>
      <c r="N47" s="56">
        <v>0.0</v>
      </c>
      <c r="O47" s="4"/>
    </row>
    <row r="48">
      <c r="A48" s="4"/>
      <c r="B48" s="82">
        <v>46295.0</v>
      </c>
      <c r="C48" s="56" t="s">
        <v>92</v>
      </c>
      <c r="D48" s="106">
        <v>46053.0</v>
      </c>
      <c r="E48" s="106"/>
      <c r="F48" s="56" t="s">
        <v>13</v>
      </c>
      <c r="G48" s="56">
        <v>0.0</v>
      </c>
      <c r="H48" s="4"/>
      <c r="I48" s="82">
        <v>46295.0</v>
      </c>
      <c r="J48" s="56" t="s">
        <v>92</v>
      </c>
      <c r="K48" s="101">
        <v>45991.0</v>
      </c>
      <c r="L48" s="101"/>
      <c r="M48" s="56" t="s">
        <v>94</v>
      </c>
      <c r="N48" s="56">
        <v>0.0</v>
      </c>
      <c r="O48" s="4"/>
    </row>
    <row r="49">
      <c r="A49" s="4"/>
      <c r="B49" s="82">
        <v>46295.0</v>
      </c>
      <c r="C49" s="56" t="s">
        <v>92</v>
      </c>
      <c r="D49" s="106">
        <v>46053.0</v>
      </c>
      <c r="E49" s="106"/>
      <c r="F49" s="56" t="s">
        <v>14</v>
      </c>
      <c r="G49" s="56">
        <v>0.0</v>
      </c>
      <c r="H49" s="4"/>
      <c r="I49" s="82">
        <v>46295.0</v>
      </c>
      <c r="J49" s="56" t="s">
        <v>92</v>
      </c>
      <c r="K49" s="101">
        <v>45991.0</v>
      </c>
      <c r="L49" s="101"/>
      <c r="M49" s="56" t="s">
        <v>95</v>
      </c>
      <c r="N49" s="56">
        <v>0.0</v>
      </c>
      <c r="O49" s="4"/>
    </row>
    <row r="50">
      <c r="A50" s="4"/>
      <c r="B50" s="82">
        <v>46295.0</v>
      </c>
      <c r="C50" s="56" t="s">
        <v>92</v>
      </c>
      <c r="D50" s="106">
        <v>46081.0</v>
      </c>
      <c r="E50" s="106"/>
      <c r="F50" s="56" t="s">
        <v>6</v>
      </c>
      <c r="G50" s="56">
        <v>0.0</v>
      </c>
      <c r="H50" s="4"/>
      <c r="I50" s="82">
        <v>46295.0</v>
      </c>
      <c r="J50" s="56" t="s">
        <v>92</v>
      </c>
      <c r="K50" s="101">
        <v>45991.0</v>
      </c>
      <c r="L50" s="101"/>
      <c r="M50" s="56" t="s">
        <v>96</v>
      </c>
      <c r="N50" s="56">
        <v>0.0</v>
      </c>
      <c r="O50" s="4"/>
    </row>
    <row r="51">
      <c r="A51" s="4"/>
      <c r="B51" s="82">
        <v>46295.0</v>
      </c>
      <c r="C51" s="56" t="s">
        <v>92</v>
      </c>
      <c r="D51" s="106">
        <v>46081.0</v>
      </c>
      <c r="E51" s="106"/>
      <c r="F51" s="56" t="s">
        <v>7</v>
      </c>
      <c r="G51" s="56">
        <v>0.0</v>
      </c>
      <c r="H51" s="4"/>
      <c r="I51" s="82">
        <v>46295.0</v>
      </c>
      <c r="J51" s="56" t="s">
        <v>92</v>
      </c>
      <c r="K51" s="101">
        <v>45991.0</v>
      </c>
      <c r="L51" s="101"/>
      <c r="M51" s="56" t="s">
        <v>97</v>
      </c>
      <c r="N51" s="56">
        <v>0.0</v>
      </c>
      <c r="O51" s="4"/>
    </row>
    <row r="52">
      <c r="A52" s="4"/>
      <c r="B52" s="82">
        <v>46295.0</v>
      </c>
      <c r="C52" s="56" t="s">
        <v>92</v>
      </c>
      <c r="D52" s="106">
        <v>46081.0</v>
      </c>
      <c r="E52" s="106"/>
      <c r="F52" s="56" t="s">
        <v>8</v>
      </c>
      <c r="G52" s="56">
        <v>0.0</v>
      </c>
      <c r="H52" s="4"/>
      <c r="I52" s="82">
        <v>46295.0</v>
      </c>
      <c r="J52" s="56" t="s">
        <v>92</v>
      </c>
      <c r="K52" s="101">
        <v>45991.0</v>
      </c>
      <c r="L52" s="101"/>
      <c r="M52" s="56" t="s">
        <v>98</v>
      </c>
      <c r="N52" s="56">
        <v>0.0</v>
      </c>
      <c r="O52" s="4"/>
    </row>
    <row r="53">
      <c r="A53" s="4"/>
      <c r="B53" s="82">
        <v>46295.0</v>
      </c>
      <c r="C53" s="56" t="s">
        <v>92</v>
      </c>
      <c r="D53" s="106">
        <v>46081.0</v>
      </c>
      <c r="E53" s="106"/>
      <c r="F53" s="56" t="s">
        <v>9</v>
      </c>
      <c r="G53" s="56">
        <v>0.0</v>
      </c>
      <c r="H53" s="4"/>
      <c r="I53" s="82">
        <v>46295.0</v>
      </c>
      <c r="J53" s="56" t="s">
        <v>92</v>
      </c>
      <c r="K53" s="101">
        <v>45991.0</v>
      </c>
      <c r="L53" s="101"/>
      <c r="M53" s="56" t="s">
        <v>99</v>
      </c>
      <c r="N53" s="56">
        <v>0.0</v>
      </c>
      <c r="O53" s="4"/>
    </row>
    <row r="54">
      <c r="A54" s="4"/>
      <c r="B54" s="82">
        <v>46295.0</v>
      </c>
      <c r="C54" s="56" t="s">
        <v>92</v>
      </c>
      <c r="D54" s="106">
        <v>46081.0</v>
      </c>
      <c r="E54" s="106"/>
      <c r="F54" s="56" t="s">
        <v>10</v>
      </c>
      <c r="G54" s="56">
        <v>0.0</v>
      </c>
      <c r="H54" s="4"/>
      <c r="I54" s="82">
        <v>46295.0</v>
      </c>
      <c r="J54" s="56" t="s">
        <v>92</v>
      </c>
      <c r="K54" s="101">
        <v>45991.0</v>
      </c>
      <c r="L54" s="101"/>
      <c r="M54" s="56" t="s">
        <v>100</v>
      </c>
      <c r="N54" s="56">
        <v>0.0</v>
      </c>
      <c r="O54" s="4"/>
    </row>
    <row r="55">
      <c r="A55" s="4"/>
      <c r="B55" s="82">
        <v>46295.0</v>
      </c>
      <c r="C55" s="56" t="s">
        <v>92</v>
      </c>
      <c r="D55" s="106">
        <v>46081.0</v>
      </c>
      <c r="E55" s="106"/>
      <c r="F55" s="56" t="s">
        <v>11</v>
      </c>
      <c r="G55" s="56">
        <v>0.0</v>
      </c>
      <c r="H55" s="4"/>
      <c r="I55" s="82">
        <v>46295.0</v>
      </c>
      <c r="J55" s="56" t="s">
        <v>92</v>
      </c>
      <c r="K55" s="101">
        <v>45991.0</v>
      </c>
      <c r="L55" s="101"/>
      <c r="M55" s="56" t="s">
        <v>101</v>
      </c>
      <c r="N55" s="56">
        <v>0.0</v>
      </c>
      <c r="O55" s="4"/>
    </row>
    <row r="56">
      <c r="A56" s="4"/>
      <c r="B56" s="82">
        <v>46295.0</v>
      </c>
      <c r="C56" s="56" t="s">
        <v>92</v>
      </c>
      <c r="D56" s="106">
        <v>46081.0</v>
      </c>
      <c r="E56" s="106"/>
      <c r="F56" s="56" t="s">
        <v>12</v>
      </c>
      <c r="G56" s="102">
        <v>0.0</v>
      </c>
      <c r="H56" s="4"/>
      <c r="I56" s="82">
        <v>46295.0</v>
      </c>
      <c r="J56" s="56" t="s">
        <v>92</v>
      </c>
      <c r="K56" s="101">
        <v>45991.0</v>
      </c>
      <c r="L56" s="101"/>
      <c r="M56" s="56" t="s">
        <v>102</v>
      </c>
      <c r="N56" s="56">
        <v>0.0</v>
      </c>
      <c r="O56" s="4"/>
    </row>
    <row r="57">
      <c r="A57" s="4"/>
      <c r="B57" s="82">
        <v>46295.0</v>
      </c>
      <c r="C57" s="56" t="s">
        <v>92</v>
      </c>
      <c r="D57" s="106">
        <v>46081.0</v>
      </c>
      <c r="E57" s="106"/>
      <c r="F57" s="56" t="s">
        <v>13</v>
      </c>
      <c r="G57" s="102">
        <v>0.0</v>
      </c>
      <c r="H57" s="4"/>
      <c r="I57" s="82">
        <v>46295.0</v>
      </c>
      <c r="J57" s="56" t="s">
        <v>92</v>
      </c>
      <c r="K57" s="101">
        <v>45991.0</v>
      </c>
      <c r="L57" s="101"/>
      <c r="M57" s="56" t="s">
        <v>103</v>
      </c>
      <c r="N57" s="102">
        <v>210000.0</v>
      </c>
      <c r="O57" s="4"/>
    </row>
    <row r="58">
      <c r="A58" s="4"/>
      <c r="B58" s="82">
        <v>46295.0</v>
      </c>
      <c r="C58" s="56" t="s">
        <v>92</v>
      </c>
      <c r="D58" s="106">
        <v>46081.0</v>
      </c>
      <c r="E58" s="106"/>
      <c r="F58" s="56" t="s">
        <v>14</v>
      </c>
      <c r="G58" s="56">
        <v>0.0</v>
      </c>
      <c r="H58" s="4"/>
      <c r="I58" s="82">
        <v>46295.0</v>
      </c>
      <c r="J58" s="56" t="s">
        <v>92</v>
      </c>
      <c r="K58" s="101">
        <v>45991.0</v>
      </c>
      <c r="L58" s="101"/>
      <c r="M58" s="56" t="s">
        <v>105</v>
      </c>
      <c r="N58" s="56">
        <v>0.0</v>
      </c>
      <c r="O58" s="4"/>
    </row>
    <row r="59">
      <c r="A59" s="4"/>
      <c r="B59" s="82">
        <v>46295.0</v>
      </c>
      <c r="C59" s="56" t="s">
        <v>92</v>
      </c>
      <c r="D59" s="106">
        <v>46112.0</v>
      </c>
      <c r="E59" s="106"/>
      <c r="F59" s="56" t="s">
        <v>6</v>
      </c>
      <c r="G59" s="56">
        <v>0.0</v>
      </c>
      <c r="H59" s="4"/>
      <c r="I59" s="82">
        <v>46295.0</v>
      </c>
      <c r="J59" s="56" t="s">
        <v>92</v>
      </c>
      <c r="K59" s="101">
        <v>45991.0</v>
      </c>
      <c r="L59" s="101"/>
      <c r="M59" s="56" t="s">
        <v>107</v>
      </c>
      <c r="N59" s="102">
        <v>0.0</v>
      </c>
      <c r="O59" s="4"/>
    </row>
    <row r="60">
      <c r="A60" s="4"/>
      <c r="B60" s="82">
        <v>46295.0</v>
      </c>
      <c r="C60" s="56" t="s">
        <v>92</v>
      </c>
      <c r="D60" s="106">
        <v>46112.0</v>
      </c>
      <c r="E60" s="106"/>
      <c r="F60" s="56" t="s">
        <v>7</v>
      </c>
      <c r="G60" s="56">
        <v>0.0</v>
      </c>
      <c r="H60" s="4"/>
      <c r="I60" s="82">
        <v>46295.0</v>
      </c>
      <c r="J60" s="56" t="s">
        <v>92</v>
      </c>
      <c r="K60" s="101">
        <v>45991.0</v>
      </c>
      <c r="L60" s="101"/>
      <c r="M60" s="56" t="s">
        <v>109</v>
      </c>
      <c r="N60" s="102">
        <v>0.0</v>
      </c>
      <c r="O60" s="4"/>
    </row>
    <row r="61">
      <c r="A61" s="4"/>
      <c r="B61" s="82">
        <v>46295.0</v>
      </c>
      <c r="C61" s="56" t="s">
        <v>92</v>
      </c>
      <c r="D61" s="106">
        <v>46112.0</v>
      </c>
      <c r="E61" s="106"/>
      <c r="F61" s="56" t="s">
        <v>8</v>
      </c>
      <c r="G61" s="102">
        <v>5033000.0</v>
      </c>
      <c r="H61" s="4"/>
      <c r="I61" s="82">
        <v>46295.0</v>
      </c>
      <c r="J61" s="56" t="s">
        <v>92</v>
      </c>
      <c r="K61" s="101">
        <v>45991.0</v>
      </c>
      <c r="L61" s="101"/>
      <c r="M61" s="56" t="s">
        <v>111</v>
      </c>
      <c r="N61" s="56">
        <v>0.0</v>
      </c>
      <c r="O61" s="4"/>
    </row>
    <row r="62">
      <c r="A62" s="4"/>
      <c r="B62" s="82">
        <v>46295.0</v>
      </c>
      <c r="C62" s="56" t="s">
        <v>92</v>
      </c>
      <c r="D62" s="106">
        <v>46112.0</v>
      </c>
      <c r="E62" s="106"/>
      <c r="F62" s="56" t="s">
        <v>9</v>
      </c>
      <c r="G62" s="102">
        <v>1089000.0</v>
      </c>
      <c r="H62" s="4"/>
      <c r="I62" s="82">
        <v>46295.0</v>
      </c>
      <c r="J62" s="56" t="s">
        <v>92</v>
      </c>
      <c r="K62" s="101">
        <v>45991.0</v>
      </c>
      <c r="L62" s="101"/>
      <c r="M62" s="56" t="s">
        <v>112</v>
      </c>
      <c r="N62" s="56">
        <v>0.0</v>
      </c>
      <c r="O62" s="4"/>
    </row>
    <row r="63">
      <c r="A63" s="4"/>
      <c r="B63" s="82">
        <v>46295.0</v>
      </c>
      <c r="C63" s="56" t="s">
        <v>92</v>
      </c>
      <c r="D63" s="106">
        <v>46112.0</v>
      </c>
      <c r="E63" s="106"/>
      <c r="F63" s="56" t="s">
        <v>10</v>
      </c>
      <c r="G63" s="56">
        <v>0.0</v>
      </c>
      <c r="H63" s="4"/>
      <c r="I63" s="82">
        <v>46295.0</v>
      </c>
      <c r="J63" s="56" t="s">
        <v>92</v>
      </c>
      <c r="K63" s="101">
        <v>45991.0</v>
      </c>
      <c r="L63" s="101"/>
      <c r="M63" s="56" t="s">
        <v>46</v>
      </c>
      <c r="N63" s="56">
        <v>0.0</v>
      </c>
      <c r="O63" s="4"/>
    </row>
    <row r="64">
      <c r="A64" s="4"/>
      <c r="B64" s="82">
        <v>46295.0</v>
      </c>
      <c r="C64" s="56" t="s">
        <v>92</v>
      </c>
      <c r="D64" s="106">
        <v>46112.0</v>
      </c>
      <c r="E64" s="106"/>
      <c r="F64" s="56" t="s">
        <v>11</v>
      </c>
      <c r="G64" s="56">
        <v>0.0</v>
      </c>
      <c r="H64" s="4"/>
      <c r="I64" s="82">
        <v>46295.0</v>
      </c>
      <c r="J64" s="56" t="s">
        <v>92</v>
      </c>
      <c r="K64" s="101">
        <v>45991.0</v>
      </c>
      <c r="L64" s="101"/>
      <c r="M64" s="56" t="s">
        <v>114</v>
      </c>
      <c r="N64" s="56">
        <v>0.0</v>
      </c>
      <c r="O64" s="4"/>
    </row>
    <row r="65">
      <c r="A65" s="4"/>
      <c r="B65" s="82">
        <v>46295.0</v>
      </c>
      <c r="C65" s="56" t="s">
        <v>92</v>
      </c>
      <c r="D65" s="106">
        <v>46112.0</v>
      </c>
      <c r="E65" s="106"/>
      <c r="F65" s="56" t="s">
        <v>12</v>
      </c>
      <c r="G65" s="56">
        <v>0.0</v>
      </c>
      <c r="H65" s="4"/>
      <c r="I65" s="82">
        <v>46295.0</v>
      </c>
      <c r="J65" s="56" t="s">
        <v>92</v>
      </c>
      <c r="K65" s="101">
        <v>45991.0</v>
      </c>
      <c r="L65" s="101"/>
      <c r="M65" s="56" t="s">
        <v>23</v>
      </c>
      <c r="N65" s="56">
        <v>0.0</v>
      </c>
      <c r="O65" s="4"/>
    </row>
    <row r="66">
      <c r="A66" s="4"/>
      <c r="B66" s="82">
        <v>46295.0</v>
      </c>
      <c r="C66" s="56" t="s">
        <v>92</v>
      </c>
      <c r="D66" s="106">
        <v>46112.0</v>
      </c>
      <c r="E66" s="106"/>
      <c r="F66" s="56" t="s">
        <v>13</v>
      </c>
      <c r="G66" s="102">
        <v>0.0</v>
      </c>
      <c r="H66" s="4"/>
      <c r="I66" s="82">
        <v>46295.0</v>
      </c>
      <c r="J66" s="56" t="s">
        <v>92</v>
      </c>
      <c r="K66" s="101">
        <v>45991.0</v>
      </c>
      <c r="L66" s="101"/>
      <c r="M66" s="56" t="s">
        <v>117</v>
      </c>
      <c r="N66" s="56">
        <v>0.0</v>
      </c>
      <c r="O66" s="4"/>
    </row>
    <row r="67">
      <c r="A67" s="4"/>
      <c r="B67" s="82">
        <v>46295.0</v>
      </c>
      <c r="C67" s="56" t="s">
        <v>92</v>
      </c>
      <c r="D67" s="106">
        <v>46112.0</v>
      </c>
      <c r="E67" s="106"/>
      <c r="F67" s="56" t="s">
        <v>14</v>
      </c>
      <c r="G67" s="102">
        <v>0.0</v>
      </c>
      <c r="H67" s="4"/>
      <c r="I67" s="82">
        <v>46295.0</v>
      </c>
      <c r="J67" s="56" t="s">
        <v>92</v>
      </c>
      <c r="K67" s="101">
        <v>45991.0</v>
      </c>
      <c r="L67" s="101"/>
      <c r="M67" s="56" t="s">
        <v>14</v>
      </c>
      <c r="N67" s="56">
        <v>0.0</v>
      </c>
      <c r="O67" s="4"/>
    </row>
    <row r="68">
      <c r="A68" s="4"/>
      <c r="B68" s="82">
        <v>46295.0</v>
      </c>
      <c r="C68" s="56" t="s">
        <v>92</v>
      </c>
      <c r="D68" s="106">
        <v>46142.0</v>
      </c>
      <c r="E68" s="106"/>
      <c r="F68" s="56" t="s">
        <v>6</v>
      </c>
      <c r="G68" s="102">
        <v>6100000.0</v>
      </c>
      <c r="H68" s="4"/>
      <c r="I68" s="82">
        <v>46295.0</v>
      </c>
      <c r="J68" s="56" t="s">
        <v>92</v>
      </c>
      <c r="K68" s="101">
        <v>46022.0</v>
      </c>
      <c r="L68" s="101"/>
      <c r="M68" s="56" t="s">
        <v>93</v>
      </c>
      <c r="N68" s="56">
        <v>0.0</v>
      </c>
      <c r="O68" s="4"/>
    </row>
    <row r="69">
      <c r="A69" s="4"/>
      <c r="B69" s="82">
        <v>46295.0</v>
      </c>
      <c r="C69" s="56" t="s">
        <v>92</v>
      </c>
      <c r="D69" s="106">
        <v>46142.0</v>
      </c>
      <c r="E69" s="106"/>
      <c r="F69" s="56" t="s">
        <v>7</v>
      </c>
      <c r="G69" s="102">
        <v>0.0</v>
      </c>
      <c r="H69" s="4"/>
      <c r="I69" s="82">
        <v>46295.0</v>
      </c>
      <c r="J69" s="56" t="s">
        <v>92</v>
      </c>
      <c r="K69" s="101">
        <v>46022.0</v>
      </c>
      <c r="L69" s="101"/>
      <c r="M69" s="56" t="s">
        <v>94</v>
      </c>
      <c r="N69" s="56">
        <v>0.0</v>
      </c>
      <c r="O69" s="4"/>
    </row>
    <row r="70">
      <c r="A70" s="4"/>
      <c r="B70" s="82">
        <v>46295.0</v>
      </c>
      <c r="C70" s="56" t="s">
        <v>92</v>
      </c>
      <c r="D70" s="106">
        <v>46142.0</v>
      </c>
      <c r="E70" s="106"/>
      <c r="F70" s="56" t="s">
        <v>8</v>
      </c>
      <c r="G70" s="102">
        <v>0.0</v>
      </c>
      <c r="H70" s="4"/>
      <c r="I70" s="82">
        <v>46295.0</v>
      </c>
      <c r="J70" s="56" t="s">
        <v>92</v>
      </c>
      <c r="K70" s="101">
        <v>46022.0</v>
      </c>
      <c r="L70" s="101"/>
      <c r="M70" s="56" t="s">
        <v>95</v>
      </c>
      <c r="N70" s="56">
        <v>0.0</v>
      </c>
      <c r="O70" s="4"/>
    </row>
    <row r="71">
      <c r="A71" s="4"/>
      <c r="B71" s="82">
        <v>46295.0</v>
      </c>
      <c r="C71" s="56" t="s">
        <v>92</v>
      </c>
      <c r="D71" s="106">
        <v>46142.0</v>
      </c>
      <c r="E71" s="106"/>
      <c r="F71" s="56" t="s">
        <v>9</v>
      </c>
      <c r="G71" s="56">
        <v>0.0</v>
      </c>
      <c r="H71" s="4"/>
      <c r="I71" s="82">
        <v>46295.0</v>
      </c>
      <c r="J71" s="56" t="s">
        <v>92</v>
      </c>
      <c r="K71" s="101">
        <v>46022.0</v>
      </c>
      <c r="L71" s="101"/>
      <c r="M71" s="56" t="s">
        <v>96</v>
      </c>
      <c r="N71" s="56">
        <v>0.0</v>
      </c>
      <c r="O71" s="4"/>
    </row>
    <row r="72">
      <c r="A72" s="4"/>
      <c r="B72" s="82">
        <v>46295.0</v>
      </c>
      <c r="C72" s="56" t="s">
        <v>92</v>
      </c>
      <c r="D72" s="106">
        <v>46142.0</v>
      </c>
      <c r="E72" s="106"/>
      <c r="F72" s="56" t="s">
        <v>10</v>
      </c>
      <c r="G72" s="56">
        <v>0.0</v>
      </c>
      <c r="H72" s="4"/>
      <c r="I72" s="82">
        <v>46295.0</v>
      </c>
      <c r="J72" s="56" t="s">
        <v>92</v>
      </c>
      <c r="K72" s="101">
        <v>46022.0</v>
      </c>
      <c r="L72" s="101"/>
      <c r="M72" s="56" t="s">
        <v>97</v>
      </c>
      <c r="N72" s="56">
        <v>0.0</v>
      </c>
      <c r="O72" s="4"/>
    </row>
    <row r="73">
      <c r="A73" s="4"/>
      <c r="B73" s="82">
        <v>46295.0</v>
      </c>
      <c r="C73" s="56" t="s">
        <v>92</v>
      </c>
      <c r="D73" s="106">
        <v>46142.0</v>
      </c>
      <c r="E73" s="106"/>
      <c r="F73" s="56" t="s">
        <v>11</v>
      </c>
      <c r="G73" s="56">
        <v>0.0</v>
      </c>
      <c r="H73" s="4"/>
      <c r="I73" s="82">
        <v>46295.0</v>
      </c>
      <c r="J73" s="56" t="s">
        <v>92</v>
      </c>
      <c r="K73" s="101">
        <v>46022.0</v>
      </c>
      <c r="L73" s="101"/>
      <c r="M73" s="56" t="s">
        <v>98</v>
      </c>
      <c r="N73" s="56">
        <v>0.0</v>
      </c>
      <c r="O73" s="4"/>
    </row>
    <row r="74">
      <c r="A74" s="4"/>
      <c r="B74" s="82">
        <v>46295.0</v>
      </c>
      <c r="C74" s="56" t="s">
        <v>92</v>
      </c>
      <c r="D74" s="106">
        <v>46142.0</v>
      </c>
      <c r="E74" s="106"/>
      <c r="F74" s="56" t="s">
        <v>12</v>
      </c>
      <c r="G74" s="56">
        <v>0.0</v>
      </c>
      <c r="H74" s="4"/>
      <c r="I74" s="82">
        <v>46295.0</v>
      </c>
      <c r="J74" s="56" t="s">
        <v>92</v>
      </c>
      <c r="K74" s="101">
        <v>46022.0</v>
      </c>
      <c r="L74" s="101"/>
      <c r="M74" s="56" t="s">
        <v>99</v>
      </c>
      <c r="N74" s="56">
        <v>0.0</v>
      </c>
      <c r="O74" s="4"/>
    </row>
    <row r="75">
      <c r="A75" s="4"/>
      <c r="B75" s="82">
        <v>46295.0</v>
      </c>
      <c r="C75" s="56" t="s">
        <v>92</v>
      </c>
      <c r="D75" s="106">
        <v>46142.0</v>
      </c>
      <c r="E75" s="106"/>
      <c r="F75" s="56" t="s">
        <v>13</v>
      </c>
      <c r="G75" s="56">
        <v>0.0</v>
      </c>
      <c r="H75" s="4"/>
      <c r="I75" s="82">
        <v>46295.0</v>
      </c>
      <c r="J75" s="56" t="s">
        <v>92</v>
      </c>
      <c r="K75" s="101">
        <v>46022.0</v>
      </c>
      <c r="L75" s="101"/>
      <c r="M75" s="56" t="s">
        <v>100</v>
      </c>
      <c r="N75" s="56">
        <v>0.0</v>
      </c>
      <c r="O75" s="4"/>
    </row>
    <row r="76">
      <c r="A76" s="4"/>
      <c r="B76" s="82">
        <v>46295.0</v>
      </c>
      <c r="C76" s="56" t="s">
        <v>92</v>
      </c>
      <c r="D76" s="106">
        <v>46142.0</v>
      </c>
      <c r="E76" s="106"/>
      <c r="F76" s="56" t="s">
        <v>14</v>
      </c>
      <c r="G76" s="102">
        <v>0.0</v>
      </c>
      <c r="H76" s="4"/>
      <c r="I76" s="82">
        <v>46295.0</v>
      </c>
      <c r="J76" s="56" t="s">
        <v>92</v>
      </c>
      <c r="K76" s="101">
        <v>46022.0</v>
      </c>
      <c r="L76" s="101"/>
      <c r="M76" s="56" t="s">
        <v>101</v>
      </c>
      <c r="N76" s="56">
        <v>0.0</v>
      </c>
      <c r="O76" s="4"/>
    </row>
    <row r="77">
      <c r="A77" s="4"/>
      <c r="B77" s="82">
        <v>46295.0</v>
      </c>
      <c r="C77" s="56" t="s">
        <v>92</v>
      </c>
      <c r="D77" s="106">
        <v>46173.0</v>
      </c>
      <c r="E77" s="106"/>
      <c r="F77" s="56" t="s">
        <v>6</v>
      </c>
      <c r="G77" s="102">
        <v>6100000.0</v>
      </c>
      <c r="H77" s="4"/>
      <c r="I77" s="82">
        <v>46295.0</v>
      </c>
      <c r="J77" s="56" t="s">
        <v>92</v>
      </c>
      <c r="K77" s="101">
        <v>46022.0</v>
      </c>
      <c r="L77" s="101"/>
      <c r="M77" s="56" t="s">
        <v>102</v>
      </c>
      <c r="N77" s="56">
        <v>0.0</v>
      </c>
      <c r="O77" s="4"/>
    </row>
    <row r="78">
      <c r="A78" s="4"/>
      <c r="B78" s="82">
        <v>46295.0</v>
      </c>
      <c r="C78" s="56" t="s">
        <v>92</v>
      </c>
      <c r="D78" s="106">
        <v>46173.0</v>
      </c>
      <c r="E78" s="106"/>
      <c r="F78" s="56" t="s">
        <v>7</v>
      </c>
      <c r="G78" s="56">
        <v>0.0</v>
      </c>
      <c r="H78" s="4"/>
      <c r="I78" s="82">
        <v>46295.0</v>
      </c>
      <c r="J78" s="56" t="s">
        <v>92</v>
      </c>
      <c r="K78" s="101">
        <v>46022.0</v>
      </c>
      <c r="L78" s="101"/>
      <c r="M78" s="56" t="s">
        <v>103</v>
      </c>
      <c r="N78" s="102">
        <v>210000.0</v>
      </c>
      <c r="O78" s="4"/>
    </row>
    <row r="79">
      <c r="A79" s="4"/>
      <c r="B79" s="82">
        <v>46295.0</v>
      </c>
      <c r="C79" s="56" t="s">
        <v>92</v>
      </c>
      <c r="D79" s="106">
        <v>46173.0</v>
      </c>
      <c r="E79" s="106"/>
      <c r="F79" s="56" t="s">
        <v>8</v>
      </c>
      <c r="G79" s="56">
        <v>0.0</v>
      </c>
      <c r="H79" s="4"/>
      <c r="I79" s="82">
        <v>46295.0</v>
      </c>
      <c r="J79" s="56" t="s">
        <v>92</v>
      </c>
      <c r="K79" s="101">
        <v>46022.0</v>
      </c>
      <c r="L79" s="101"/>
      <c r="M79" s="56" t="s">
        <v>105</v>
      </c>
      <c r="N79" s="56">
        <v>0.0</v>
      </c>
      <c r="O79" s="4"/>
    </row>
    <row r="80">
      <c r="A80" s="4"/>
      <c r="B80" s="82">
        <v>46295.0</v>
      </c>
      <c r="C80" s="56" t="s">
        <v>92</v>
      </c>
      <c r="D80" s="106">
        <v>46173.0</v>
      </c>
      <c r="E80" s="106"/>
      <c r="F80" s="56" t="s">
        <v>9</v>
      </c>
      <c r="G80" s="56">
        <v>0.0</v>
      </c>
      <c r="H80" s="4"/>
      <c r="I80" s="82">
        <v>46295.0</v>
      </c>
      <c r="J80" s="56" t="s">
        <v>92</v>
      </c>
      <c r="K80" s="101">
        <v>46022.0</v>
      </c>
      <c r="L80" s="101"/>
      <c r="M80" s="56" t="s">
        <v>107</v>
      </c>
      <c r="N80" s="56">
        <v>0.0</v>
      </c>
      <c r="O80" s="4"/>
    </row>
    <row r="81">
      <c r="A81" s="4"/>
      <c r="B81" s="82">
        <v>46295.0</v>
      </c>
      <c r="C81" s="56" t="s">
        <v>92</v>
      </c>
      <c r="D81" s="106">
        <v>46173.0</v>
      </c>
      <c r="E81" s="106"/>
      <c r="F81" s="56" t="s">
        <v>10</v>
      </c>
      <c r="G81" s="56">
        <v>0.0</v>
      </c>
      <c r="H81" s="4"/>
      <c r="I81" s="82">
        <v>46295.0</v>
      </c>
      <c r="J81" s="56" t="s">
        <v>92</v>
      </c>
      <c r="K81" s="101">
        <v>46022.0</v>
      </c>
      <c r="L81" s="101"/>
      <c r="M81" s="56" t="s">
        <v>109</v>
      </c>
      <c r="N81" s="102">
        <v>0.0</v>
      </c>
      <c r="O81" s="4"/>
    </row>
    <row r="82">
      <c r="A82" s="4"/>
      <c r="B82" s="82">
        <v>46295.0</v>
      </c>
      <c r="C82" s="56" t="s">
        <v>92</v>
      </c>
      <c r="D82" s="106">
        <v>46173.0</v>
      </c>
      <c r="E82" s="106"/>
      <c r="F82" s="56" t="s">
        <v>11</v>
      </c>
      <c r="G82" s="56">
        <v>0.0</v>
      </c>
      <c r="H82" s="4"/>
      <c r="I82" s="82">
        <v>46295.0</v>
      </c>
      <c r="J82" s="56" t="s">
        <v>92</v>
      </c>
      <c r="K82" s="101">
        <v>46022.0</v>
      </c>
      <c r="L82" s="101"/>
      <c r="M82" s="56" t="s">
        <v>111</v>
      </c>
      <c r="N82" s="102">
        <v>0.0</v>
      </c>
      <c r="O82" s="4"/>
    </row>
    <row r="83">
      <c r="A83" s="4"/>
      <c r="B83" s="82">
        <v>46295.0</v>
      </c>
      <c r="C83" s="56" t="s">
        <v>92</v>
      </c>
      <c r="D83" s="106">
        <v>46173.0</v>
      </c>
      <c r="E83" s="106"/>
      <c r="F83" s="56" t="s">
        <v>12</v>
      </c>
      <c r="G83" s="56">
        <v>0.0</v>
      </c>
      <c r="H83" s="4"/>
      <c r="I83" s="82">
        <v>46295.0</v>
      </c>
      <c r="J83" s="56" t="s">
        <v>92</v>
      </c>
      <c r="K83" s="101">
        <v>46022.0</v>
      </c>
      <c r="L83" s="101"/>
      <c r="M83" s="56" t="s">
        <v>112</v>
      </c>
      <c r="N83" s="56">
        <v>0.0</v>
      </c>
      <c r="O83" s="4"/>
    </row>
    <row r="84">
      <c r="A84" s="4"/>
      <c r="B84" s="82">
        <v>46295.0</v>
      </c>
      <c r="C84" s="56" t="s">
        <v>92</v>
      </c>
      <c r="D84" s="106">
        <v>46173.0</v>
      </c>
      <c r="E84" s="106"/>
      <c r="F84" s="56" t="s">
        <v>13</v>
      </c>
      <c r="G84" s="56">
        <v>0.0</v>
      </c>
      <c r="H84" s="4"/>
      <c r="I84" s="82">
        <v>46295.0</v>
      </c>
      <c r="J84" s="56" t="s">
        <v>92</v>
      </c>
      <c r="K84" s="101">
        <v>46022.0</v>
      </c>
      <c r="L84" s="101"/>
      <c r="M84" s="56" t="s">
        <v>46</v>
      </c>
      <c r="N84" s="56">
        <v>0.0</v>
      </c>
      <c r="O84" s="4"/>
    </row>
    <row r="85">
      <c r="A85" s="4"/>
      <c r="B85" s="82">
        <v>46295.0</v>
      </c>
      <c r="C85" s="56" t="s">
        <v>92</v>
      </c>
      <c r="D85" s="106">
        <v>46173.0</v>
      </c>
      <c r="E85" s="106"/>
      <c r="F85" s="56" t="s">
        <v>14</v>
      </c>
      <c r="G85" s="56">
        <v>0.0</v>
      </c>
      <c r="H85" s="4"/>
      <c r="I85" s="82">
        <v>46295.0</v>
      </c>
      <c r="J85" s="56" t="s">
        <v>92</v>
      </c>
      <c r="K85" s="101">
        <v>46022.0</v>
      </c>
      <c r="L85" s="101"/>
      <c r="M85" s="56" t="s">
        <v>114</v>
      </c>
      <c r="N85" s="56">
        <v>0.0</v>
      </c>
      <c r="O85" s="4"/>
    </row>
    <row r="86">
      <c r="A86" s="4"/>
      <c r="B86" s="82">
        <v>46295.0</v>
      </c>
      <c r="C86" s="56" t="s">
        <v>92</v>
      </c>
      <c r="D86" s="106">
        <v>46203.0</v>
      </c>
      <c r="E86" s="106"/>
      <c r="F86" s="56" t="s">
        <v>6</v>
      </c>
      <c r="G86" s="56">
        <v>0.0</v>
      </c>
      <c r="H86" s="4"/>
      <c r="I86" s="82">
        <v>46295.0</v>
      </c>
      <c r="J86" s="56" t="s">
        <v>92</v>
      </c>
      <c r="K86" s="101">
        <v>46022.0</v>
      </c>
      <c r="L86" s="101"/>
      <c r="M86" s="56" t="s">
        <v>23</v>
      </c>
      <c r="N86" s="56">
        <v>0.0</v>
      </c>
      <c r="O86" s="4"/>
    </row>
    <row r="87">
      <c r="A87" s="4"/>
      <c r="B87" s="82">
        <v>46295.0</v>
      </c>
      <c r="C87" s="56" t="s">
        <v>92</v>
      </c>
      <c r="D87" s="106">
        <v>46203.0</v>
      </c>
      <c r="E87" s="106"/>
      <c r="F87" s="56" t="s">
        <v>7</v>
      </c>
      <c r="G87" s="56">
        <v>0.0</v>
      </c>
      <c r="H87" s="4"/>
      <c r="I87" s="82">
        <v>46295.0</v>
      </c>
      <c r="J87" s="56" t="s">
        <v>92</v>
      </c>
      <c r="K87" s="101">
        <v>46022.0</v>
      </c>
      <c r="L87" s="101"/>
      <c r="M87" s="56" t="s">
        <v>117</v>
      </c>
      <c r="N87" s="56">
        <v>0.0</v>
      </c>
      <c r="O87" s="4"/>
    </row>
    <row r="88">
      <c r="A88" s="4"/>
      <c r="B88" s="82">
        <v>46295.0</v>
      </c>
      <c r="C88" s="56" t="s">
        <v>92</v>
      </c>
      <c r="D88" s="106">
        <v>46203.0</v>
      </c>
      <c r="E88" s="106"/>
      <c r="F88" s="56" t="s">
        <v>8</v>
      </c>
      <c r="G88" s="56">
        <v>0.0</v>
      </c>
      <c r="H88" s="4"/>
      <c r="I88" s="82">
        <v>46295.0</v>
      </c>
      <c r="J88" s="56" t="s">
        <v>92</v>
      </c>
      <c r="K88" s="101">
        <v>46022.0</v>
      </c>
      <c r="L88" s="101"/>
      <c r="M88" s="56" t="s">
        <v>14</v>
      </c>
      <c r="N88" s="56">
        <v>0.0</v>
      </c>
      <c r="O88" s="4"/>
    </row>
    <row r="89">
      <c r="A89" s="4"/>
      <c r="B89" s="82">
        <v>46295.0</v>
      </c>
      <c r="C89" s="56" t="s">
        <v>92</v>
      </c>
      <c r="D89" s="106">
        <v>46203.0</v>
      </c>
      <c r="E89" s="106"/>
      <c r="F89" s="56" t="s">
        <v>9</v>
      </c>
      <c r="G89" s="56">
        <v>0.0</v>
      </c>
      <c r="H89" s="4"/>
      <c r="I89" s="82">
        <v>46295.0</v>
      </c>
      <c r="J89" s="56" t="s">
        <v>92</v>
      </c>
      <c r="K89" s="101">
        <v>46053.0</v>
      </c>
      <c r="L89" s="101"/>
      <c r="M89" s="56" t="s">
        <v>93</v>
      </c>
      <c r="N89" s="56">
        <v>0.0</v>
      </c>
      <c r="O89" s="4"/>
    </row>
    <row r="90">
      <c r="A90" s="4"/>
      <c r="B90" s="82">
        <v>46295.0</v>
      </c>
      <c r="C90" s="56" t="s">
        <v>92</v>
      </c>
      <c r="D90" s="106">
        <v>46203.0</v>
      </c>
      <c r="E90" s="106"/>
      <c r="F90" s="56" t="s">
        <v>10</v>
      </c>
      <c r="G90" s="56">
        <v>0.0</v>
      </c>
      <c r="H90" s="4"/>
      <c r="I90" s="82">
        <v>46295.0</v>
      </c>
      <c r="J90" s="56" t="s">
        <v>92</v>
      </c>
      <c r="K90" s="101">
        <v>46053.0</v>
      </c>
      <c r="L90" s="101"/>
      <c r="M90" s="56" t="s">
        <v>94</v>
      </c>
      <c r="N90" s="56">
        <v>0.0</v>
      </c>
      <c r="O90" s="4"/>
    </row>
    <row r="91">
      <c r="A91" s="4"/>
      <c r="B91" s="82">
        <v>46295.0</v>
      </c>
      <c r="C91" s="56" t="s">
        <v>92</v>
      </c>
      <c r="D91" s="106">
        <v>46203.0</v>
      </c>
      <c r="E91" s="106"/>
      <c r="F91" s="56" t="s">
        <v>11</v>
      </c>
      <c r="G91" s="56">
        <v>0.0</v>
      </c>
      <c r="H91" s="4"/>
      <c r="I91" s="82">
        <v>46295.0</v>
      </c>
      <c r="J91" s="56" t="s">
        <v>92</v>
      </c>
      <c r="K91" s="101">
        <v>46053.0</v>
      </c>
      <c r="L91" s="101"/>
      <c r="M91" s="56" t="s">
        <v>95</v>
      </c>
      <c r="N91" s="56">
        <v>0.0</v>
      </c>
      <c r="O91" s="4"/>
    </row>
    <row r="92">
      <c r="A92" s="4"/>
      <c r="B92" s="82">
        <v>46295.0</v>
      </c>
      <c r="C92" s="56" t="s">
        <v>92</v>
      </c>
      <c r="D92" s="106">
        <v>46203.0</v>
      </c>
      <c r="E92" s="106"/>
      <c r="F92" s="56" t="s">
        <v>12</v>
      </c>
      <c r="G92" s="56">
        <v>0.0</v>
      </c>
      <c r="H92" s="4"/>
      <c r="I92" s="82">
        <v>46295.0</v>
      </c>
      <c r="J92" s="56" t="s">
        <v>92</v>
      </c>
      <c r="K92" s="101">
        <v>46053.0</v>
      </c>
      <c r="L92" s="101"/>
      <c r="M92" s="56" t="s">
        <v>96</v>
      </c>
      <c r="N92" s="56">
        <v>0.0</v>
      </c>
      <c r="O92" s="4"/>
    </row>
    <row r="93">
      <c r="A93" s="4"/>
      <c r="B93" s="82">
        <v>46295.0</v>
      </c>
      <c r="C93" s="56" t="s">
        <v>92</v>
      </c>
      <c r="D93" s="106">
        <v>46203.0</v>
      </c>
      <c r="E93" s="106"/>
      <c r="F93" s="56" t="s">
        <v>13</v>
      </c>
      <c r="G93" s="56">
        <v>0.0</v>
      </c>
      <c r="H93" s="4"/>
      <c r="I93" s="82">
        <v>46295.0</v>
      </c>
      <c r="J93" s="56" t="s">
        <v>92</v>
      </c>
      <c r="K93" s="106">
        <v>46053.0</v>
      </c>
      <c r="L93" s="106"/>
      <c r="M93" s="56" t="s">
        <v>97</v>
      </c>
      <c r="N93" s="56">
        <v>0.0</v>
      </c>
      <c r="O93" s="4"/>
    </row>
    <row r="94">
      <c r="A94" s="4"/>
      <c r="B94" s="82">
        <v>46295.0</v>
      </c>
      <c r="C94" s="56" t="s">
        <v>92</v>
      </c>
      <c r="D94" s="106">
        <v>46203.0</v>
      </c>
      <c r="E94" s="106"/>
      <c r="F94" s="56" t="s">
        <v>14</v>
      </c>
      <c r="G94" s="56">
        <v>0.0</v>
      </c>
      <c r="H94" s="4"/>
      <c r="I94" s="82">
        <v>46295.0</v>
      </c>
      <c r="J94" s="56" t="s">
        <v>92</v>
      </c>
      <c r="K94" s="106">
        <v>46053.0</v>
      </c>
      <c r="L94" s="106"/>
      <c r="M94" s="56" t="s">
        <v>98</v>
      </c>
      <c r="N94" s="102">
        <v>200000.0</v>
      </c>
      <c r="O94" s="4"/>
    </row>
    <row r="95">
      <c r="A95" s="4"/>
      <c r="B95" s="82">
        <v>46295.0</v>
      </c>
      <c r="C95" s="56" t="s">
        <v>92</v>
      </c>
      <c r="D95" s="106">
        <v>46234.0</v>
      </c>
      <c r="E95" s="106"/>
      <c r="F95" s="56" t="s">
        <v>6</v>
      </c>
      <c r="G95" s="56">
        <v>0.0</v>
      </c>
      <c r="H95" s="4"/>
      <c r="I95" s="82">
        <v>46295.0</v>
      </c>
      <c r="J95" s="56" t="s">
        <v>92</v>
      </c>
      <c r="K95" s="106">
        <v>46053.0</v>
      </c>
      <c r="L95" s="106"/>
      <c r="M95" s="56" t="s">
        <v>99</v>
      </c>
      <c r="N95" s="56">
        <v>0.0</v>
      </c>
      <c r="O95" s="4"/>
    </row>
    <row r="96">
      <c r="A96" s="4"/>
      <c r="B96" s="82">
        <v>46295.0</v>
      </c>
      <c r="C96" s="56" t="s">
        <v>92</v>
      </c>
      <c r="D96" s="106">
        <v>46234.0</v>
      </c>
      <c r="E96" s="106"/>
      <c r="F96" s="56" t="s">
        <v>7</v>
      </c>
      <c r="G96" s="102">
        <v>0.0</v>
      </c>
      <c r="H96" s="4"/>
      <c r="I96" s="82">
        <v>46295.0</v>
      </c>
      <c r="J96" s="56" t="s">
        <v>92</v>
      </c>
      <c r="K96" s="106">
        <v>46053.0</v>
      </c>
      <c r="L96" s="106"/>
      <c r="M96" s="56" t="s">
        <v>100</v>
      </c>
      <c r="N96" s="56">
        <v>0.0</v>
      </c>
      <c r="O96" s="4"/>
    </row>
    <row r="97">
      <c r="A97" s="4"/>
      <c r="B97" s="82">
        <v>46295.0</v>
      </c>
      <c r="C97" s="56" t="s">
        <v>92</v>
      </c>
      <c r="D97" s="106">
        <v>46234.0</v>
      </c>
      <c r="E97" s="106"/>
      <c r="F97" s="56" t="s">
        <v>8</v>
      </c>
      <c r="G97" s="56">
        <v>0.0</v>
      </c>
      <c r="H97" s="4"/>
      <c r="I97" s="82">
        <v>46295.0</v>
      </c>
      <c r="J97" s="56" t="s">
        <v>92</v>
      </c>
      <c r="K97" s="106">
        <v>46053.0</v>
      </c>
      <c r="L97" s="106"/>
      <c r="M97" s="56" t="s">
        <v>101</v>
      </c>
      <c r="N97" s="56">
        <v>0.0</v>
      </c>
      <c r="O97" s="4"/>
    </row>
    <row r="98">
      <c r="A98" s="4"/>
      <c r="B98" s="82">
        <v>46295.0</v>
      </c>
      <c r="C98" s="56" t="s">
        <v>92</v>
      </c>
      <c r="D98" s="106">
        <v>46234.0</v>
      </c>
      <c r="E98" s="106"/>
      <c r="F98" s="56" t="s">
        <v>9</v>
      </c>
      <c r="G98" s="56">
        <v>0.0</v>
      </c>
      <c r="H98" s="4"/>
      <c r="I98" s="82">
        <v>46295.0</v>
      </c>
      <c r="J98" s="56" t="s">
        <v>92</v>
      </c>
      <c r="K98" s="106">
        <v>46053.0</v>
      </c>
      <c r="L98" s="106"/>
      <c r="M98" s="56" t="s">
        <v>102</v>
      </c>
      <c r="N98" s="102">
        <v>0.0</v>
      </c>
      <c r="O98" s="4"/>
    </row>
    <row r="99">
      <c r="A99" s="4"/>
      <c r="B99" s="82">
        <v>46295.0</v>
      </c>
      <c r="C99" s="56" t="s">
        <v>92</v>
      </c>
      <c r="D99" s="106">
        <v>46234.0</v>
      </c>
      <c r="E99" s="106"/>
      <c r="F99" s="56" t="s">
        <v>10</v>
      </c>
      <c r="G99" s="56">
        <v>0.0</v>
      </c>
      <c r="H99" s="4"/>
      <c r="I99" s="82">
        <v>46295.0</v>
      </c>
      <c r="J99" s="56" t="s">
        <v>92</v>
      </c>
      <c r="K99" s="106">
        <v>46053.0</v>
      </c>
      <c r="L99" s="106"/>
      <c r="M99" s="56" t="s">
        <v>103</v>
      </c>
      <c r="N99" s="102">
        <v>710000.0</v>
      </c>
      <c r="O99" s="4"/>
    </row>
    <row r="100">
      <c r="A100" s="4"/>
      <c r="B100" s="82">
        <v>46295.0</v>
      </c>
      <c r="C100" s="56" t="s">
        <v>92</v>
      </c>
      <c r="D100" s="106">
        <v>46234.0</v>
      </c>
      <c r="E100" s="106"/>
      <c r="F100" s="56" t="s">
        <v>11</v>
      </c>
      <c r="G100" s="56">
        <v>0.0</v>
      </c>
      <c r="H100" s="4"/>
      <c r="I100" s="82">
        <v>46295.0</v>
      </c>
      <c r="J100" s="56" t="s">
        <v>92</v>
      </c>
      <c r="K100" s="106">
        <v>46053.0</v>
      </c>
      <c r="L100" s="106"/>
      <c r="M100" s="56" t="s">
        <v>105</v>
      </c>
      <c r="N100" s="56">
        <v>0.0</v>
      </c>
      <c r="O100" s="4"/>
    </row>
    <row r="101">
      <c r="A101" s="4"/>
      <c r="B101" s="82">
        <v>46295.0</v>
      </c>
      <c r="C101" s="56" t="s">
        <v>92</v>
      </c>
      <c r="D101" s="106">
        <v>46234.0</v>
      </c>
      <c r="E101" s="106"/>
      <c r="F101" s="56" t="s">
        <v>12</v>
      </c>
      <c r="G101" s="56">
        <v>0.0</v>
      </c>
      <c r="H101" s="4"/>
      <c r="I101" s="82">
        <v>46295.0</v>
      </c>
      <c r="J101" s="56" t="s">
        <v>92</v>
      </c>
      <c r="K101" s="106">
        <v>46053.0</v>
      </c>
      <c r="L101" s="106"/>
      <c r="M101" s="56" t="s">
        <v>107</v>
      </c>
      <c r="N101" s="56">
        <v>0.0</v>
      </c>
      <c r="O101" s="4"/>
    </row>
    <row r="102">
      <c r="A102" s="4"/>
      <c r="B102" s="82">
        <v>46295.0</v>
      </c>
      <c r="C102" s="56" t="s">
        <v>92</v>
      </c>
      <c r="D102" s="106">
        <v>46234.0</v>
      </c>
      <c r="E102" s="106"/>
      <c r="F102" s="56" t="s">
        <v>13</v>
      </c>
      <c r="G102" s="56">
        <v>0.0</v>
      </c>
      <c r="H102" s="4"/>
      <c r="I102" s="82">
        <v>46295.0</v>
      </c>
      <c r="J102" s="56" t="s">
        <v>92</v>
      </c>
      <c r="K102" s="106">
        <v>46053.0</v>
      </c>
      <c r="L102" s="106"/>
      <c r="M102" s="56" t="s">
        <v>109</v>
      </c>
      <c r="N102" s="56">
        <v>0.0</v>
      </c>
      <c r="O102" s="4"/>
    </row>
    <row r="103">
      <c r="A103" s="4"/>
      <c r="B103" s="82">
        <v>46295.0</v>
      </c>
      <c r="C103" s="56" t="s">
        <v>92</v>
      </c>
      <c r="D103" s="106">
        <v>46234.0</v>
      </c>
      <c r="E103" s="106"/>
      <c r="F103" s="56" t="s">
        <v>14</v>
      </c>
      <c r="G103" s="56">
        <v>0.0</v>
      </c>
      <c r="H103" s="4"/>
      <c r="I103" s="82">
        <v>46295.0</v>
      </c>
      <c r="J103" s="56" t="s">
        <v>92</v>
      </c>
      <c r="K103" s="106">
        <v>46053.0</v>
      </c>
      <c r="L103" s="106"/>
      <c r="M103" s="56" t="s">
        <v>111</v>
      </c>
      <c r="N103" s="102">
        <v>0.0</v>
      </c>
      <c r="O103" s="4"/>
    </row>
    <row r="104">
      <c r="A104" s="4"/>
      <c r="B104" s="82">
        <v>46295.0</v>
      </c>
      <c r="C104" s="56" t="s">
        <v>92</v>
      </c>
      <c r="D104" s="106">
        <v>46265.0</v>
      </c>
      <c r="E104" s="106"/>
      <c r="F104" s="56" t="s">
        <v>6</v>
      </c>
      <c r="G104" s="56">
        <v>0.0</v>
      </c>
      <c r="H104" s="4"/>
      <c r="I104" s="82">
        <v>46295.0</v>
      </c>
      <c r="J104" s="56" t="s">
        <v>92</v>
      </c>
      <c r="K104" s="106">
        <v>46053.0</v>
      </c>
      <c r="L104" s="106"/>
      <c r="M104" s="56" t="s">
        <v>112</v>
      </c>
      <c r="N104" s="102">
        <v>0.0</v>
      </c>
      <c r="O104" s="4"/>
    </row>
    <row r="105">
      <c r="A105" s="4"/>
      <c r="B105" s="82">
        <v>46295.0</v>
      </c>
      <c r="C105" s="56" t="s">
        <v>92</v>
      </c>
      <c r="D105" s="106">
        <v>46265.0</v>
      </c>
      <c r="E105" s="106"/>
      <c r="F105" s="56" t="s">
        <v>7</v>
      </c>
      <c r="G105" s="102">
        <v>1.194E7</v>
      </c>
      <c r="H105" s="4"/>
      <c r="I105" s="82">
        <v>46295.0</v>
      </c>
      <c r="J105" s="56" t="s">
        <v>92</v>
      </c>
      <c r="K105" s="106">
        <v>46053.0</v>
      </c>
      <c r="L105" s="106"/>
      <c r="M105" s="56" t="s">
        <v>46</v>
      </c>
      <c r="N105" s="56">
        <v>0.0</v>
      </c>
      <c r="O105" s="4"/>
    </row>
    <row r="106">
      <c r="A106" s="4"/>
      <c r="B106" s="82">
        <v>46295.0</v>
      </c>
      <c r="C106" s="56" t="s">
        <v>92</v>
      </c>
      <c r="D106" s="106">
        <v>46265.0</v>
      </c>
      <c r="E106" s="106"/>
      <c r="F106" s="56" t="s">
        <v>8</v>
      </c>
      <c r="G106" s="56">
        <v>0.0</v>
      </c>
      <c r="H106" s="4"/>
      <c r="I106" s="82">
        <v>46295.0</v>
      </c>
      <c r="J106" s="56" t="s">
        <v>92</v>
      </c>
      <c r="K106" s="106">
        <v>46053.0</v>
      </c>
      <c r="L106" s="106"/>
      <c r="M106" s="56" t="s">
        <v>114</v>
      </c>
      <c r="N106" s="56">
        <v>0.0</v>
      </c>
      <c r="O106" s="4"/>
    </row>
    <row r="107">
      <c r="A107" s="4"/>
      <c r="B107" s="82">
        <v>46295.0</v>
      </c>
      <c r="C107" s="56" t="s">
        <v>92</v>
      </c>
      <c r="D107" s="106">
        <v>46265.0</v>
      </c>
      <c r="E107" s="106"/>
      <c r="F107" s="56" t="s">
        <v>9</v>
      </c>
      <c r="G107" s="102">
        <v>0.0</v>
      </c>
      <c r="H107" s="4"/>
      <c r="I107" s="82">
        <v>46295.0</v>
      </c>
      <c r="J107" s="56" t="s">
        <v>92</v>
      </c>
      <c r="K107" s="106">
        <v>46053.0</v>
      </c>
      <c r="L107" s="106"/>
      <c r="M107" s="56" t="s">
        <v>23</v>
      </c>
      <c r="N107" s="56">
        <v>0.0</v>
      </c>
      <c r="O107" s="4"/>
    </row>
    <row r="108">
      <c r="A108" s="4"/>
      <c r="B108" s="82">
        <v>46295.0</v>
      </c>
      <c r="C108" s="56" t="s">
        <v>92</v>
      </c>
      <c r="D108" s="106">
        <v>46265.0</v>
      </c>
      <c r="E108" s="106"/>
      <c r="F108" s="56" t="s">
        <v>10</v>
      </c>
      <c r="G108" s="102">
        <v>400000.0</v>
      </c>
      <c r="H108" s="4"/>
      <c r="I108" s="82">
        <v>46295.0</v>
      </c>
      <c r="J108" s="56" t="s">
        <v>92</v>
      </c>
      <c r="K108" s="106">
        <v>46053.0</v>
      </c>
      <c r="L108" s="106"/>
      <c r="M108" s="56" t="s">
        <v>117</v>
      </c>
      <c r="N108" s="56">
        <v>0.0</v>
      </c>
      <c r="O108" s="4"/>
    </row>
    <row r="109">
      <c r="A109" s="4"/>
      <c r="B109" s="82">
        <v>46295.0</v>
      </c>
      <c r="C109" s="56" t="s">
        <v>92</v>
      </c>
      <c r="D109" s="106">
        <v>46265.0</v>
      </c>
      <c r="E109" s="106"/>
      <c r="F109" s="56" t="s">
        <v>11</v>
      </c>
      <c r="G109" s="102">
        <v>600000.0</v>
      </c>
      <c r="H109" s="4"/>
      <c r="I109" s="82">
        <v>46295.0</v>
      </c>
      <c r="J109" s="56" t="s">
        <v>92</v>
      </c>
      <c r="K109" s="106">
        <v>46053.0</v>
      </c>
      <c r="L109" s="106"/>
      <c r="M109" s="56" t="s">
        <v>14</v>
      </c>
      <c r="N109" s="102">
        <v>205000.0</v>
      </c>
      <c r="O109" s="4"/>
    </row>
    <row r="110">
      <c r="A110" s="4"/>
      <c r="B110" s="82">
        <v>46295.0</v>
      </c>
      <c r="C110" s="56" t="s">
        <v>92</v>
      </c>
      <c r="D110" s="106">
        <v>46265.0</v>
      </c>
      <c r="E110" s="106"/>
      <c r="F110" s="56" t="s">
        <v>12</v>
      </c>
      <c r="G110" s="102">
        <v>198000.0</v>
      </c>
      <c r="H110" s="4"/>
      <c r="I110" s="82">
        <v>46295.0</v>
      </c>
      <c r="J110" s="56" t="s">
        <v>92</v>
      </c>
      <c r="K110" s="106">
        <v>46081.0</v>
      </c>
      <c r="L110" s="106"/>
      <c r="M110" s="56" t="s">
        <v>93</v>
      </c>
      <c r="N110" s="56">
        <v>0.0</v>
      </c>
      <c r="O110" s="4"/>
    </row>
    <row r="111">
      <c r="A111" s="4"/>
      <c r="B111" s="82">
        <v>46295.0</v>
      </c>
      <c r="C111" s="56" t="s">
        <v>92</v>
      </c>
      <c r="D111" s="106">
        <v>46265.0</v>
      </c>
      <c r="E111" s="106"/>
      <c r="F111" s="56" t="s">
        <v>13</v>
      </c>
      <c r="G111" s="102">
        <v>82500.0</v>
      </c>
      <c r="H111" s="4"/>
      <c r="I111" s="82">
        <v>46295.0</v>
      </c>
      <c r="J111" s="56" t="s">
        <v>92</v>
      </c>
      <c r="K111" s="106">
        <v>46081.0</v>
      </c>
      <c r="L111" s="106"/>
      <c r="M111" s="56" t="s">
        <v>94</v>
      </c>
      <c r="N111" s="56">
        <v>0.0</v>
      </c>
      <c r="O111" s="4"/>
    </row>
    <row r="112">
      <c r="A112" s="4"/>
      <c r="B112" s="82">
        <v>46295.0</v>
      </c>
      <c r="C112" s="56" t="s">
        <v>92</v>
      </c>
      <c r="D112" s="106">
        <v>46265.0</v>
      </c>
      <c r="E112" s="106"/>
      <c r="F112" s="56" t="s">
        <v>14</v>
      </c>
      <c r="G112" s="56">
        <v>0.0</v>
      </c>
      <c r="H112" s="4"/>
      <c r="I112" s="82">
        <v>46295.0</v>
      </c>
      <c r="J112" s="56" t="s">
        <v>92</v>
      </c>
      <c r="K112" s="106">
        <v>46081.0</v>
      </c>
      <c r="L112" s="106"/>
      <c r="M112" s="56" t="s">
        <v>95</v>
      </c>
      <c r="N112" s="56">
        <v>0.0</v>
      </c>
      <c r="O112" s="4"/>
    </row>
    <row r="113">
      <c r="A113" s="4"/>
      <c r="B113" s="106">
        <v>46265.0</v>
      </c>
      <c r="C113" s="56" t="s">
        <v>124</v>
      </c>
      <c r="D113" s="106">
        <v>45930.0</v>
      </c>
      <c r="E113" s="106"/>
      <c r="F113" s="56" t="s">
        <v>6</v>
      </c>
      <c r="G113" s="56">
        <v>0.0</v>
      </c>
      <c r="H113" s="4"/>
      <c r="I113" s="82">
        <v>46295.0</v>
      </c>
      <c r="J113" s="56" t="s">
        <v>92</v>
      </c>
      <c r="K113" s="106">
        <v>46081.0</v>
      </c>
      <c r="L113" s="106"/>
      <c r="M113" s="56" t="s">
        <v>96</v>
      </c>
      <c r="N113" s="102">
        <v>0.0</v>
      </c>
      <c r="O113" s="4"/>
    </row>
    <row r="114">
      <c r="A114" s="4"/>
      <c r="B114" s="106">
        <v>46265.0</v>
      </c>
      <c r="C114" s="56" t="s">
        <v>124</v>
      </c>
      <c r="D114" s="106">
        <v>45930.0</v>
      </c>
      <c r="E114" s="106"/>
      <c r="F114" s="56" t="s">
        <v>7</v>
      </c>
      <c r="G114" s="102">
        <v>0.0</v>
      </c>
      <c r="H114" s="4"/>
      <c r="I114" s="82">
        <v>46295.0</v>
      </c>
      <c r="J114" s="56" t="s">
        <v>92</v>
      </c>
      <c r="K114" s="106">
        <v>46081.0</v>
      </c>
      <c r="L114" s="106"/>
      <c r="M114" s="56" t="s">
        <v>97</v>
      </c>
      <c r="N114" s="102">
        <v>0.0</v>
      </c>
      <c r="O114" s="4"/>
    </row>
    <row r="115">
      <c r="A115" s="4"/>
      <c r="B115" s="106">
        <v>46265.0</v>
      </c>
      <c r="C115" s="56" t="s">
        <v>124</v>
      </c>
      <c r="D115" s="106">
        <v>45930.0</v>
      </c>
      <c r="E115" s="106"/>
      <c r="F115" s="56" t="s">
        <v>8</v>
      </c>
      <c r="G115" s="56">
        <v>0.0</v>
      </c>
      <c r="H115" s="4"/>
      <c r="I115" s="82">
        <v>46295.0</v>
      </c>
      <c r="J115" s="56" t="s">
        <v>92</v>
      </c>
      <c r="K115" s="106">
        <v>46081.0</v>
      </c>
      <c r="L115" s="106"/>
      <c r="M115" s="56" t="s">
        <v>98</v>
      </c>
      <c r="N115" s="56">
        <v>0.0</v>
      </c>
      <c r="O115" s="4"/>
    </row>
    <row r="116">
      <c r="A116" s="4"/>
      <c r="B116" s="106">
        <v>46265.0</v>
      </c>
      <c r="C116" s="56" t="s">
        <v>124</v>
      </c>
      <c r="D116" s="106">
        <v>45930.0</v>
      </c>
      <c r="E116" s="106"/>
      <c r="F116" s="56" t="s">
        <v>9</v>
      </c>
      <c r="G116" s="102">
        <v>0.0</v>
      </c>
      <c r="H116" s="4"/>
      <c r="I116" s="82">
        <v>46295.0</v>
      </c>
      <c r="J116" s="56" t="s">
        <v>92</v>
      </c>
      <c r="K116" s="106">
        <v>46081.0</v>
      </c>
      <c r="L116" s="106"/>
      <c r="M116" s="56" t="s">
        <v>99</v>
      </c>
      <c r="N116" s="56">
        <v>0.0</v>
      </c>
      <c r="O116" s="4"/>
    </row>
    <row r="117">
      <c r="A117" s="4"/>
      <c r="B117" s="106">
        <v>46265.0</v>
      </c>
      <c r="C117" s="56" t="s">
        <v>124</v>
      </c>
      <c r="D117" s="106">
        <v>45930.0</v>
      </c>
      <c r="E117" s="106"/>
      <c r="F117" s="56" t="s">
        <v>10</v>
      </c>
      <c r="G117" s="56">
        <v>0.0</v>
      </c>
      <c r="H117" s="4"/>
      <c r="I117" s="82">
        <v>46295.0</v>
      </c>
      <c r="J117" s="56" t="s">
        <v>92</v>
      </c>
      <c r="K117" s="106">
        <v>46081.0</v>
      </c>
      <c r="L117" s="106"/>
      <c r="M117" s="56" t="s">
        <v>100</v>
      </c>
      <c r="N117" s="56">
        <v>0.0</v>
      </c>
      <c r="O117" s="4"/>
    </row>
    <row r="118">
      <c r="A118" s="4"/>
      <c r="B118" s="106">
        <v>46265.0</v>
      </c>
      <c r="C118" s="56" t="s">
        <v>124</v>
      </c>
      <c r="D118" s="106">
        <v>45930.0</v>
      </c>
      <c r="E118" s="106"/>
      <c r="F118" s="56" t="s">
        <v>11</v>
      </c>
      <c r="G118" s="56">
        <v>0.0</v>
      </c>
      <c r="H118" s="4"/>
      <c r="I118" s="82">
        <v>46295.0</v>
      </c>
      <c r="J118" s="56" t="s">
        <v>92</v>
      </c>
      <c r="K118" s="106">
        <v>46081.0</v>
      </c>
      <c r="L118" s="106"/>
      <c r="M118" s="56" t="s">
        <v>101</v>
      </c>
      <c r="N118" s="56">
        <v>0.0</v>
      </c>
      <c r="O118" s="4"/>
    </row>
    <row r="119">
      <c r="A119" s="4"/>
      <c r="B119" s="106">
        <v>46265.0</v>
      </c>
      <c r="C119" s="56" t="s">
        <v>124</v>
      </c>
      <c r="D119" s="106">
        <v>45930.0</v>
      </c>
      <c r="E119" s="106"/>
      <c r="F119" s="56" t="s">
        <v>12</v>
      </c>
      <c r="G119" s="56">
        <v>0.0</v>
      </c>
      <c r="H119" s="4"/>
      <c r="I119" s="82">
        <v>46295.0</v>
      </c>
      <c r="J119" s="56" t="s">
        <v>92</v>
      </c>
      <c r="K119" s="106">
        <v>46081.0</v>
      </c>
      <c r="L119" s="106"/>
      <c r="M119" s="56" t="s">
        <v>102</v>
      </c>
      <c r="N119" s="56">
        <v>0.0</v>
      </c>
      <c r="O119" s="4"/>
    </row>
    <row r="120">
      <c r="A120" s="4"/>
      <c r="B120" s="106">
        <v>46265.0</v>
      </c>
      <c r="C120" s="56" t="s">
        <v>124</v>
      </c>
      <c r="D120" s="106">
        <v>45930.0</v>
      </c>
      <c r="E120" s="106"/>
      <c r="F120" s="56" t="s">
        <v>13</v>
      </c>
      <c r="G120" s="102">
        <v>0.0</v>
      </c>
      <c r="H120" s="4"/>
      <c r="I120" s="82">
        <v>46295.0</v>
      </c>
      <c r="J120" s="56" t="s">
        <v>92</v>
      </c>
      <c r="K120" s="106">
        <v>46081.0</v>
      </c>
      <c r="L120" s="106"/>
      <c r="M120" s="56" t="s">
        <v>103</v>
      </c>
      <c r="N120" s="102">
        <v>710000.0</v>
      </c>
      <c r="O120" s="4"/>
    </row>
    <row r="121">
      <c r="A121" s="4"/>
      <c r="B121" s="106">
        <v>46265.0</v>
      </c>
      <c r="C121" s="56" t="s">
        <v>124</v>
      </c>
      <c r="D121" s="106">
        <v>45930.0</v>
      </c>
      <c r="E121" s="106"/>
      <c r="F121" s="56" t="s">
        <v>14</v>
      </c>
      <c r="G121" s="102">
        <v>0.0</v>
      </c>
      <c r="H121" s="4"/>
      <c r="I121" s="82">
        <v>46295.0</v>
      </c>
      <c r="J121" s="56" t="s">
        <v>92</v>
      </c>
      <c r="K121" s="106">
        <v>46081.0</v>
      </c>
      <c r="L121" s="106"/>
      <c r="M121" s="56" t="s">
        <v>105</v>
      </c>
      <c r="N121" s="56">
        <v>0.0</v>
      </c>
      <c r="O121" s="4"/>
    </row>
    <row r="122">
      <c r="A122" s="4"/>
      <c r="B122" s="106">
        <v>46265.0</v>
      </c>
      <c r="C122" s="56" t="s">
        <v>124</v>
      </c>
      <c r="D122" s="106">
        <v>46022.0</v>
      </c>
      <c r="E122" s="106"/>
      <c r="F122" s="56" t="s">
        <v>6</v>
      </c>
      <c r="G122" s="102">
        <v>0.0</v>
      </c>
      <c r="H122" s="4"/>
      <c r="I122" s="82">
        <v>46295.0</v>
      </c>
      <c r="J122" s="56" t="s">
        <v>92</v>
      </c>
      <c r="K122" s="106">
        <v>46081.0</v>
      </c>
      <c r="L122" s="106"/>
      <c r="M122" s="56" t="s">
        <v>107</v>
      </c>
      <c r="N122" s="56">
        <v>0.0</v>
      </c>
      <c r="O122" s="4"/>
    </row>
    <row r="123">
      <c r="A123" s="4"/>
      <c r="B123" s="106">
        <v>46265.0</v>
      </c>
      <c r="C123" s="56" t="s">
        <v>124</v>
      </c>
      <c r="D123" s="106">
        <v>46022.0</v>
      </c>
      <c r="E123" s="106"/>
      <c r="F123" s="56" t="s">
        <v>7</v>
      </c>
      <c r="G123" s="102">
        <v>0.0</v>
      </c>
      <c r="H123" s="4"/>
      <c r="I123" s="82">
        <v>46295.0</v>
      </c>
      <c r="J123" s="56" t="s">
        <v>92</v>
      </c>
      <c r="K123" s="106">
        <v>46081.0</v>
      </c>
      <c r="L123" s="106"/>
      <c r="M123" s="56" t="s">
        <v>109</v>
      </c>
      <c r="N123" s="56">
        <v>0.0</v>
      </c>
      <c r="O123" s="4"/>
    </row>
    <row r="124">
      <c r="A124" s="4"/>
      <c r="B124" s="106">
        <v>46265.0</v>
      </c>
      <c r="C124" s="56" t="s">
        <v>124</v>
      </c>
      <c r="D124" s="106">
        <v>46022.0</v>
      </c>
      <c r="E124" s="106"/>
      <c r="F124" s="56" t="s">
        <v>8</v>
      </c>
      <c r="G124" s="102">
        <v>0.0</v>
      </c>
      <c r="H124" s="4"/>
      <c r="I124" s="82">
        <v>46295.0</v>
      </c>
      <c r="J124" s="56" t="s">
        <v>92</v>
      </c>
      <c r="K124" s="106">
        <v>46081.0</v>
      </c>
      <c r="L124" s="106"/>
      <c r="M124" s="56" t="s">
        <v>111</v>
      </c>
      <c r="N124" s="56">
        <v>0.0</v>
      </c>
      <c r="O124" s="4"/>
    </row>
    <row r="125">
      <c r="A125" s="4"/>
      <c r="B125" s="106">
        <v>46265.0</v>
      </c>
      <c r="C125" s="56" t="s">
        <v>124</v>
      </c>
      <c r="D125" s="106">
        <v>46022.0</v>
      </c>
      <c r="E125" s="106"/>
      <c r="F125" s="56" t="s">
        <v>9</v>
      </c>
      <c r="G125" s="56">
        <v>0.0</v>
      </c>
      <c r="H125" s="4"/>
      <c r="I125" s="82">
        <v>46295.0</v>
      </c>
      <c r="J125" s="56" t="s">
        <v>92</v>
      </c>
      <c r="K125" s="106">
        <v>46081.0</v>
      </c>
      <c r="L125" s="106"/>
      <c r="M125" s="56" t="s">
        <v>112</v>
      </c>
      <c r="N125" s="102">
        <v>0.0</v>
      </c>
      <c r="O125" s="4"/>
    </row>
    <row r="126">
      <c r="A126" s="4"/>
      <c r="B126" s="106">
        <v>46265.0</v>
      </c>
      <c r="C126" s="56" t="s">
        <v>124</v>
      </c>
      <c r="D126" s="106">
        <v>46022.0</v>
      </c>
      <c r="E126" s="106"/>
      <c r="F126" s="56" t="s">
        <v>10</v>
      </c>
      <c r="G126" s="56">
        <v>0.0</v>
      </c>
      <c r="H126" s="4"/>
      <c r="I126" s="82">
        <v>46295.0</v>
      </c>
      <c r="J126" s="56" t="s">
        <v>92</v>
      </c>
      <c r="K126" s="106">
        <v>46081.0</v>
      </c>
      <c r="L126" s="106"/>
      <c r="M126" s="56" t="s">
        <v>46</v>
      </c>
      <c r="N126" s="102">
        <v>0.0</v>
      </c>
      <c r="O126" s="4"/>
    </row>
    <row r="127">
      <c r="A127" s="4"/>
      <c r="B127" s="106">
        <v>46265.0</v>
      </c>
      <c r="C127" s="56" t="s">
        <v>124</v>
      </c>
      <c r="D127" s="106">
        <v>46022.0</v>
      </c>
      <c r="E127" s="106"/>
      <c r="F127" s="56" t="s">
        <v>11</v>
      </c>
      <c r="G127" s="102">
        <v>0.0</v>
      </c>
      <c r="H127" s="4"/>
      <c r="I127" s="82">
        <v>46295.0</v>
      </c>
      <c r="J127" s="56" t="s">
        <v>92</v>
      </c>
      <c r="K127" s="106">
        <v>46081.0</v>
      </c>
      <c r="L127" s="106"/>
      <c r="M127" s="56" t="s">
        <v>114</v>
      </c>
      <c r="N127" s="56">
        <v>0.0</v>
      </c>
      <c r="O127" s="4"/>
    </row>
    <row r="128">
      <c r="A128" s="4"/>
      <c r="B128" s="106">
        <v>46265.0</v>
      </c>
      <c r="C128" s="56" t="s">
        <v>124</v>
      </c>
      <c r="D128" s="106">
        <v>46022.0</v>
      </c>
      <c r="E128" s="106"/>
      <c r="F128" s="56" t="s">
        <v>12</v>
      </c>
      <c r="G128" s="102">
        <v>0.0</v>
      </c>
      <c r="H128" s="4"/>
      <c r="I128" s="82">
        <v>46295.0</v>
      </c>
      <c r="J128" s="56" t="s">
        <v>92</v>
      </c>
      <c r="K128" s="106">
        <v>46081.0</v>
      </c>
      <c r="L128" s="106"/>
      <c r="M128" s="56" t="s">
        <v>23</v>
      </c>
      <c r="N128" s="56">
        <v>0.0</v>
      </c>
      <c r="O128" s="4"/>
    </row>
    <row r="129">
      <c r="A129" s="4"/>
      <c r="B129" s="106">
        <v>46265.0</v>
      </c>
      <c r="C129" s="56" t="s">
        <v>124</v>
      </c>
      <c r="D129" s="106">
        <v>46022.0</v>
      </c>
      <c r="E129" s="106"/>
      <c r="F129" s="56" t="s">
        <v>13</v>
      </c>
      <c r="G129" s="56">
        <v>0.0</v>
      </c>
      <c r="H129" s="4"/>
      <c r="I129" s="82">
        <v>46295.0</v>
      </c>
      <c r="J129" s="56" t="s">
        <v>92</v>
      </c>
      <c r="K129" s="106">
        <v>46081.0</v>
      </c>
      <c r="L129" s="106"/>
      <c r="M129" s="56" t="s">
        <v>117</v>
      </c>
      <c r="N129" s="56">
        <v>0.0</v>
      </c>
      <c r="O129" s="4"/>
    </row>
    <row r="130">
      <c r="A130" s="4"/>
      <c r="B130" s="106">
        <v>46265.0</v>
      </c>
      <c r="C130" s="56" t="s">
        <v>124</v>
      </c>
      <c r="D130" s="106">
        <v>46022.0</v>
      </c>
      <c r="E130" s="106"/>
      <c r="F130" s="56" t="s">
        <v>14</v>
      </c>
      <c r="G130" s="56">
        <v>0.0</v>
      </c>
      <c r="H130" s="4"/>
      <c r="I130" s="82">
        <v>46295.0</v>
      </c>
      <c r="J130" s="56" t="s">
        <v>92</v>
      </c>
      <c r="K130" s="106">
        <v>46081.0</v>
      </c>
      <c r="L130" s="106"/>
      <c r="M130" s="56" t="s">
        <v>14</v>
      </c>
      <c r="N130" s="102">
        <v>1200000.0</v>
      </c>
      <c r="O130" s="4"/>
    </row>
    <row r="131">
      <c r="A131" s="4"/>
      <c r="B131" s="106">
        <v>46265.0</v>
      </c>
      <c r="C131" s="56" t="s">
        <v>124</v>
      </c>
      <c r="D131" s="106">
        <v>46053.0</v>
      </c>
      <c r="E131" s="106"/>
      <c r="F131" s="56" t="s">
        <v>6</v>
      </c>
      <c r="G131" s="56">
        <v>0.0</v>
      </c>
      <c r="H131" s="4"/>
      <c r="I131" s="82">
        <v>46295.0</v>
      </c>
      <c r="J131" s="56" t="s">
        <v>92</v>
      </c>
      <c r="K131" s="106">
        <v>46112.0</v>
      </c>
      <c r="L131" s="106"/>
      <c r="M131" s="56" t="s">
        <v>93</v>
      </c>
      <c r="N131" s="102">
        <v>181188.0</v>
      </c>
      <c r="O131" s="4"/>
    </row>
    <row r="132">
      <c r="A132" s="4"/>
      <c r="B132" s="106">
        <v>46265.0</v>
      </c>
      <c r="C132" s="56" t="s">
        <v>124</v>
      </c>
      <c r="D132" s="106">
        <v>46053.0</v>
      </c>
      <c r="E132" s="106"/>
      <c r="F132" s="56" t="s">
        <v>7</v>
      </c>
      <c r="G132" s="56">
        <v>0.0</v>
      </c>
      <c r="H132" s="4"/>
      <c r="I132" s="82">
        <v>46295.0</v>
      </c>
      <c r="J132" s="56" t="s">
        <v>92</v>
      </c>
      <c r="K132" s="106">
        <v>46112.0</v>
      </c>
      <c r="L132" s="106"/>
      <c r="M132" s="56" t="s">
        <v>94</v>
      </c>
      <c r="N132" s="56">
        <v>0.0</v>
      </c>
      <c r="O132" s="4"/>
    </row>
    <row r="133">
      <c r="A133" s="4"/>
      <c r="B133" s="106">
        <v>46265.0</v>
      </c>
      <c r="C133" s="56" t="s">
        <v>124</v>
      </c>
      <c r="D133" s="106">
        <v>46053.0</v>
      </c>
      <c r="E133" s="106"/>
      <c r="F133" s="56" t="s">
        <v>8</v>
      </c>
      <c r="G133" s="56">
        <v>0.0</v>
      </c>
      <c r="H133" s="4"/>
      <c r="I133" s="82">
        <v>46295.0</v>
      </c>
      <c r="J133" s="56" t="s">
        <v>92</v>
      </c>
      <c r="K133" s="106">
        <v>46112.0</v>
      </c>
      <c r="L133" s="106"/>
      <c r="M133" s="56" t="s">
        <v>95</v>
      </c>
      <c r="N133" s="102">
        <v>39204.0</v>
      </c>
      <c r="O133" s="4"/>
    </row>
    <row r="134">
      <c r="A134" s="4"/>
      <c r="B134" s="106">
        <v>46265.0</v>
      </c>
      <c r="C134" s="56" t="s">
        <v>124</v>
      </c>
      <c r="D134" s="106">
        <v>46053.0</v>
      </c>
      <c r="E134" s="106"/>
      <c r="F134" s="56" t="s">
        <v>9</v>
      </c>
      <c r="G134" s="56">
        <v>0.0</v>
      </c>
      <c r="H134" s="4"/>
      <c r="I134" s="82">
        <v>46295.0</v>
      </c>
      <c r="J134" s="56" t="s">
        <v>92</v>
      </c>
      <c r="K134" s="106">
        <v>46112.0</v>
      </c>
      <c r="L134" s="106"/>
      <c r="M134" s="56" t="s">
        <v>96</v>
      </c>
      <c r="N134" s="56">
        <v>0.0</v>
      </c>
      <c r="O134" s="4"/>
    </row>
    <row r="135">
      <c r="A135" s="4"/>
      <c r="B135" s="106">
        <v>46265.0</v>
      </c>
      <c r="C135" s="56" t="s">
        <v>124</v>
      </c>
      <c r="D135" s="106">
        <v>46053.0</v>
      </c>
      <c r="E135" s="106"/>
      <c r="F135" s="56" t="s">
        <v>10</v>
      </c>
      <c r="G135" s="56">
        <v>0.0</v>
      </c>
      <c r="H135" s="4"/>
      <c r="I135" s="82">
        <v>46295.0</v>
      </c>
      <c r="J135" s="56" t="s">
        <v>92</v>
      </c>
      <c r="K135" s="106">
        <v>46112.0</v>
      </c>
      <c r="L135" s="106"/>
      <c r="M135" s="56" t="s">
        <v>97</v>
      </c>
      <c r="N135" s="102">
        <v>0.0</v>
      </c>
      <c r="O135" s="4"/>
    </row>
    <row r="136">
      <c r="A136" s="4"/>
      <c r="B136" s="106">
        <v>46265.0</v>
      </c>
      <c r="C136" s="56" t="s">
        <v>124</v>
      </c>
      <c r="D136" s="101">
        <v>46053.0</v>
      </c>
      <c r="E136" s="101"/>
      <c r="F136" s="56" t="s">
        <v>11</v>
      </c>
      <c r="G136" s="102">
        <v>0.0</v>
      </c>
      <c r="H136" s="4"/>
      <c r="I136" s="82">
        <v>46295.0</v>
      </c>
      <c r="J136" s="56" t="s">
        <v>92</v>
      </c>
      <c r="K136" s="106">
        <v>46112.0</v>
      </c>
      <c r="L136" s="106"/>
      <c r="M136" s="56" t="s">
        <v>98</v>
      </c>
      <c r="N136" s="102">
        <v>1050000.0</v>
      </c>
      <c r="O136" s="4"/>
    </row>
    <row r="137">
      <c r="A137" s="4"/>
      <c r="B137" s="106">
        <v>46265.0</v>
      </c>
      <c r="C137" s="56" t="s">
        <v>124</v>
      </c>
      <c r="D137" s="101">
        <v>46053.0</v>
      </c>
      <c r="E137" s="101"/>
      <c r="F137" s="56" t="s">
        <v>12</v>
      </c>
      <c r="G137" s="102">
        <v>0.0</v>
      </c>
      <c r="H137" s="4"/>
      <c r="I137" s="82">
        <v>46295.0</v>
      </c>
      <c r="J137" s="56" t="s">
        <v>92</v>
      </c>
      <c r="K137" s="106">
        <v>46112.0</v>
      </c>
      <c r="L137" s="106"/>
      <c r="M137" s="56" t="s">
        <v>99</v>
      </c>
      <c r="N137" s="102">
        <v>0.0</v>
      </c>
      <c r="O137" s="4"/>
    </row>
    <row r="138">
      <c r="A138" s="4"/>
      <c r="B138" s="106">
        <v>46265.0</v>
      </c>
      <c r="C138" s="56" t="s">
        <v>124</v>
      </c>
      <c r="D138" s="101">
        <v>46053.0</v>
      </c>
      <c r="E138" s="101"/>
      <c r="F138" s="56" t="s">
        <v>13</v>
      </c>
      <c r="G138" s="56">
        <v>0.0</v>
      </c>
      <c r="H138" s="4"/>
      <c r="I138" s="82">
        <v>46295.0</v>
      </c>
      <c r="J138" s="56" t="s">
        <v>92</v>
      </c>
      <c r="K138" s="106">
        <v>46112.0</v>
      </c>
      <c r="L138" s="106"/>
      <c r="M138" s="56" t="s">
        <v>100</v>
      </c>
      <c r="N138" s="102">
        <v>0.0</v>
      </c>
      <c r="O138" s="4"/>
    </row>
    <row r="139">
      <c r="A139" s="4"/>
      <c r="B139" s="106">
        <v>46265.0</v>
      </c>
      <c r="C139" s="56" t="s">
        <v>124</v>
      </c>
      <c r="D139" s="101">
        <v>46053.0</v>
      </c>
      <c r="E139" s="101"/>
      <c r="F139" s="56" t="s">
        <v>14</v>
      </c>
      <c r="G139" s="56">
        <v>0.0</v>
      </c>
      <c r="H139" s="4"/>
      <c r="I139" s="82">
        <v>46295.0</v>
      </c>
      <c r="J139" s="56" t="s">
        <v>92</v>
      </c>
      <c r="K139" s="106">
        <v>46112.0</v>
      </c>
      <c r="L139" s="106"/>
      <c r="M139" s="56" t="s">
        <v>101</v>
      </c>
      <c r="N139" s="102">
        <v>0.0</v>
      </c>
      <c r="O139" s="4"/>
    </row>
    <row r="140">
      <c r="A140" s="4"/>
      <c r="B140" s="106">
        <v>46265.0</v>
      </c>
      <c r="C140" s="56" t="s">
        <v>124</v>
      </c>
      <c r="D140" s="101">
        <v>46081.0</v>
      </c>
      <c r="E140" s="101"/>
      <c r="F140" s="56" t="s">
        <v>6</v>
      </c>
      <c r="G140" s="56">
        <v>0.0</v>
      </c>
      <c r="H140" s="4"/>
      <c r="I140" s="82">
        <v>46295.0</v>
      </c>
      <c r="J140" s="56" t="s">
        <v>92</v>
      </c>
      <c r="K140" s="106">
        <v>46112.0</v>
      </c>
      <c r="L140" s="106"/>
      <c r="M140" s="56" t="s">
        <v>102</v>
      </c>
      <c r="N140" s="102">
        <v>0.0</v>
      </c>
      <c r="O140" s="4"/>
    </row>
    <row r="141">
      <c r="A141" s="4"/>
      <c r="B141" s="106">
        <v>46265.0</v>
      </c>
      <c r="C141" s="56" t="s">
        <v>124</v>
      </c>
      <c r="D141" s="101">
        <v>46081.0</v>
      </c>
      <c r="E141" s="101"/>
      <c r="F141" s="56" t="s">
        <v>7</v>
      </c>
      <c r="G141" s="56">
        <v>0.0</v>
      </c>
      <c r="H141" s="4"/>
      <c r="I141" s="82">
        <v>46295.0</v>
      </c>
      <c r="J141" s="56" t="s">
        <v>92</v>
      </c>
      <c r="K141" s="106">
        <v>46112.0</v>
      </c>
      <c r="L141" s="106"/>
      <c r="M141" s="56" t="s">
        <v>103</v>
      </c>
      <c r="N141" s="102">
        <v>710000.0</v>
      </c>
      <c r="O141" s="4"/>
    </row>
    <row r="142">
      <c r="A142" s="4"/>
      <c r="B142" s="106">
        <v>46265.0</v>
      </c>
      <c r="C142" s="56" t="s">
        <v>124</v>
      </c>
      <c r="D142" s="101">
        <v>46081.0</v>
      </c>
      <c r="E142" s="101"/>
      <c r="F142" s="56" t="s">
        <v>8</v>
      </c>
      <c r="G142" s="56">
        <v>0.0</v>
      </c>
      <c r="H142" s="4"/>
      <c r="I142" s="82">
        <v>46295.0</v>
      </c>
      <c r="J142" s="56" t="s">
        <v>92</v>
      </c>
      <c r="K142" s="106">
        <v>46112.0</v>
      </c>
      <c r="L142" s="106"/>
      <c r="M142" s="56" t="s">
        <v>105</v>
      </c>
      <c r="N142" s="102">
        <v>0.0</v>
      </c>
      <c r="O142" s="4"/>
    </row>
    <row r="143">
      <c r="A143" s="4"/>
      <c r="B143" s="106">
        <v>46265.0</v>
      </c>
      <c r="C143" s="56" t="s">
        <v>124</v>
      </c>
      <c r="D143" s="101">
        <v>46081.0</v>
      </c>
      <c r="E143" s="101"/>
      <c r="F143" s="56" t="s">
        <v>9</v>
      </c>
      <c r="G143" s="56">
        <v>0.0</v>
      </c>
      <c r="H143" s="4"/>
      <c r="I143" s="82">
        <v>46295.0</v>
      </c>
      <c r="J143" s="56" t="s">
        <v>92</v>
      </c>
      <c r="K143" s="106">
        <v>46112.0</v>
      </c>
      <c r="L143" s="106"/>
      <c r="M143" s="56" t="s">
        <v>107</v>
      </c>
      <c r="N143" s="102">
        <v>0.0</v>
      </c>
      <c r="O143" s="4"/>
    </row>
    <row r="144">
      <c r="A144" s="4"/>
      <c r="B144" s="106">
        <v>46265.0</v>
      </c>
      <c r="C144" s="56" t="s">
        <v>124</v>
      </c>
      <c r="D144" s="101">
        <v>46081.0</v>
      </c>
      <c r="E144" s="101"/>
      <c r="F144" s="56" t="s">
        <v>10</v>
      </c>
      <c r="G144" s="56">
        <v>0.0</v>
      </c>
      <c r="H144" s="4"/>
      <c r="I144" s="82">
        <v>46295.0</v>
      </c>
      <c r="J144" s="56" t="s">
        <v>92</v>
      </c>
      <c r="K144" s="106">
        <v>46112.0</v>
      </c>
      <c r="L144" s="106"/>
      <c r="M144" s="56" t="s">
        <v>109</v>
      </c>
      <c r="N144" s="56">
        <v>0.0</v>
      </c>
      <c r="O144" s="4"/>
    </row>
    <row r="145">
      <c r="A145" s="4"/>
      <c r="B145" s="106">
        <v>46265.0</v>
      </c>
      <c r="C145" s="56" t="s">
        <v>124</v>
      </c>
      <c r="D145" s="101">
        <v>46081.0</v>
      </c>
      <c r="E145" s="101"/>
      <c r="F145" s="56" t="s">
        <v>11</v>
      </c>
      <c r="G145" s="56">
        <v>0.0</v>
      </c>
      <c r="H145" s="4"/>
      <c r="I145" s="82">
        <v>46295.0</v>
      </c>
      <c r="J145" s="56" t="s">
        <v>92</v>
      </c>
      <c r="K145" s="106">
        <v>46112.0</v>
      </c>
      <c r="L145" s="106"/>
      <c r="M145" s="56" t="s">
        <v>111</v>
      </c>
      <c r="N145" s="102">
        <v>310000.0</v>
      </c>
      <c r="O145" s="4"/>
    </row>
    <row r="146">
      <c r="A146" s="4"/>
      <c r="B146" s="106">
        <v>46265.0</v>
      </c>
      <c r="C146" s="56" t="s">
        <v>124</v>
      </c>
      <c r="D146" s="106">
        <v>46081.0</v>
      </c>
      <c r="E146" s="106"/>
      <c r="F146" s="56" t="s">
        <v>12</v>
      </c>
      <c r="G146" s="102">
        <v>0.0</v>
      </c>
      <c r="H146" s="4"/>
      <c r="I146" s="82">
        <v>46295.0</v>
      </c>
      <c r="J146" s="56" t="s">
        <v>92</v>
      </c>
      <c r="K146" s="106">
        <v>46112.0</v>
      </c>
      <c r="L146" s="106"/>
      <c r="M146" s="56" t="s">
        <v>112</v>
      </c>
      <c r="N146" s="56">
        <v>0.0</v>
      </c>
      <c r="O146" s="4"/>
    </row>
    <row r="147">
      <c r="A147" s="4"/>
      <c r="B147" s="106">
        <v>46265.0</v>
      </c>
      <c r="C147" s="56" t="s">
        <v>124</v>
      </c>
      <c r="D147" s="106">
        <v>46081.0</v>
      </c>
      <c r="E147" s="106"/>
      <c r="F147" s="56" t="s">
        <v>13</v>
      </c>
      <c r="G147" s="102">
        <v>0.0</v>
      </c>
      <c r="H147" s="4"/>
      <c r="I147" s="82">
        <v>46295.0</v>
      </c>
      <c r="J147" s="56" t="s">
        <v>92</v>
      </c>
      <c r="K147" s="106">
        <v>46112.0</v>
      </c>
      <c r="L147" s="106"/>
      <c r="M147" s="56" t="s">
        <v>46</v>
      </c>
      <c r="N147" s="102">
        <v>0.0</v>
      </c>
      <c r="O147" s="4"/>
    </row>
    <row r="148">
      <c r="A148" s="4"/>
      <c r="B148" s="106">
        <v>46265.0</v>
      </c>
      <c r="C148" s="56" t="s">
        <v>124</v>
      </c>
      <c r="D148" s="106">
        <v>46081.0</v>
      </c>
      <c r="E148" s="106"/>
      <c r="F148" s="56" t="s">
        <v>14</v>
      </c>
      <c r="G148" s="56">
        <v>0.0</v>
      </c>
      <c r="H148" s="4"/>
      <c r="I148" s="82">
        <v>46295.0</v>
      </c>
      <c r="J148" s="56" t="s">
        <v>92</v>
      </c>
      <c r="K148" s="106">
        <v>46112.0</v>
      </c>
      <c r="L148" s="106"/>
      <c r="M148" s="56" t="s">
        <v>114</v>
      </c>
      <c r="N148" s="102">
        <v>0.0</v>
      </c>
      <c r="O148" s="4"/>
    </row>
    <row r="149">
      <c r="A149" s="4"/>
      <c r="B149" s="106">
        <v>46265.0</v>
      </c>
      <c r="C149" s="56" t="s">
        <v>124</v>
      </c>
      <c r="D149" s="106">
        <v>46112.0</v>
      </c>
      <c r="E149" s="106"/>
      <c r="F149" s="56" t="s">
        <v>6</v>
      </c>
      <c r="G149" s="56">
        <v>0.0</v>
      </c>
      <c r="H149" s="4"/>
      <c r="I149" s="82">
        <v>46295.0</v>
      </c>
      <c r="J149" s="56" t="s">
        <v>92</v>
      </c>
      <c r="K149" s="106">
        <v>46112.0</v>
      </c>
      <c r="L149" s="106"/>
      <c r="M149" s="56" t="s">
        <v>23</v>
      </c>
      <c r="N149" s="56">
        <v>0.0</v>
      </c>
      <c r="O149" s="4"/>
    </row>
    <row r="150">
      <c r="A150" s="4"/>
      <c r="B150" s="106">
        <v>46265.0</v>
      </c>
      <c r="C150" s="56" t="s">
        <v>124</v>
      </c>
      <c r="D150" s="106">
        <v>46112.0</v>
      </c>
      <c r="E150" s="106"/>
      <c r="F150" s="56" t="s">
        <v>7</v>
      </c>
      <c r="G150" s="56">
        <v>0.0</v>
      </c>
      <c r="H150" s="4"/>
      <c r="I150" s="82">
        <v>46295.0</v>
      </c>
      <c r="J150" s="56" t="s">
        <v>92</v>
      </c>
      <c r="K150" s="106">
        <v>46112.0</v>
      </c>
      <c r="L150" s="106"/>
      <c r="M150" s="56" t="s">
        <v>117</v>
      </c>
      <c r="N150" s="56">
        <v>0.0</v>
      </c>
      <c r="O150" s="4"/>
    </row>
    <row r="151">
      <c r="A151" s="4"/>
      <c r="B151" s="106">
        <v>46265.0</v>
      </c>
      <c r="C151" s="56" t="s">
        <v>124</v>
      </c>
      <c r="D151" s="106">
        <v>46112.0</v>
      </c>
      <c r="E151" s="106"/>
      <c r="F151" s="56" t="s">
        <v>8</v>
      </c>
      <c r="G151" s="102">
        <v>5033000.0</v>
      </c>
      <c r="H151" s="4"/>
      <c r="I151" s="82">
        <v>46295.0</v>
      </c>
      <c r="J151" s="56" t="s">
        <v>92</v>
      </c>
      <c r="K151" s="106">
        <v>46112.0</v>
      </c>
      <c r="L151" s="106"/>
      <c r="M151" s="56" t="s">
        <v>14</v>
      </c>
      <c r="N151" s="102">
        <v>0.0</v>
      </c>
      <c r="O151" s="4"/>
    </row>
    <row r="152">
      <c r="A152" s="4"/>
      <c r="B152" s="106">
        <v>46265.0</v>
      </c>
      <c r="C152" s="56" t="s">
        <v>124</v>
      </c>
      <c r="D152" s="106">
        <v>46112.0</v>
      </c>
      <c r="E152" s="106"/>
      <c r="F152" s="56" t="s">
        <v>9</v>
      </c>
      <c r="G152" s="102">
        <v>1089000.0</v>
      </c>
      <c r="H152" s="4"/>
      <c r="I152" s="82">
        <v>46295.0</v>
      </c>
      <c r="J152" s="56" t="s">
        <v>92</v>
      </c>
      <c r="K152" s="106">
        <v>46142.0</v>
      </c>
      <c r="L152" s="106"/>
      <c r="M152" s="56" t="s">
        <v>93</v>
      </c>
      <c r="N152" s="102">
        <v>0.0</v>
      </c>
      <c r="O152" s="4"/>
    </row>
    <row r="153">
      <c r="A153" s="4"/>
      <c r="B153" s="106">
        <v>46265.0</v>
      </c>
      <c r="C153" s="56" t="s">
        <v>124</v>
      </c>
      <c r="D153" s="106">
        <v>46112.0</v>
      </c>
      <c r="E153" s="106"/>
      <c r="F153" s="56" t="s">
        <v>10</v>
      </c>
      <c r="G153" s="56">
        <v>0.0</v>
      </c>
      <c r="H153" s="4"/>
      <c r="I153" s="82">
        <v>46295.0</v>
      </c>
      <c r="J153" s="56" t="s">
        <v>92</v>
      </c>
      <c r="K153" s="106">
        <v>46142.0</v>
      </c>
      <c r="L153" s="106"/>
      <c r="M153" s="56" t="s">
        <v>94</v>
      </c>
      <c r="N153" s="56">
        <v>0.0</v>
      </c>
      <c r="O153" s="4"/>
    </row>
    <row r="154">
      <c r="A154" s="4"/>
      <c r="B154" s="106">
        <v>46265.0</v>
      </c>
      <c r="C154" s="56" t="s">
        <v>124</v>
      </c>
      <c r="D154" s="106">
        <v>46112.0</v>
      </c>
      <c r="E154" s="106"/>
      <c r="F154" s="56" t="s">
        <v>11</v>
      </c>
      <c r="G154" s="56">
        <v>0.0</v>
      </c>
      <c r="H154" s="4"/>
      <c r="I154" s="82">
        <v>46295.0</v>
      </c>
      <c r="J154" s="56" t="s">
        <v>92</v>
      </c>
      <c r="K154" s="106">
        <v>46142.0</v>
      </c>
      <c r="L154" s="106"/>
      <c r="M154" s="56" t="s">
        <v>95</v>
      </c>
      <c r="N154" s="56">
        <v>0.0</v>
      </c>
      <c r="O154" s="4"/>
    </row>
    <row r="155">
      <c r="A155" s="4"/>
      <c r="B155" s="106">
        <v>46265.0</v>
      </c>
      <c r="C155" s="56" t="s">
        <v>124</v>
      </c>
      <c r="D155" s="106">
        <v>46112.0</v>
      </c>
      <c r="E155" s="106"/>
      <c r="F155" s="56" t="s">
        <v>12</v>
      </c>
      <c r="G155" s="56">
        <v>0.0</v>
      </c>
      <c r="H155" s="4"/>
      <c r="I155" s="82">
        <v>46295.0</v>
      </c>
      <c r="J155" s="56" t="s">
        <v>92</v>
      </c>
      <c r="K155" s="106">
        <v>46142.0</v>
      </c>
      <c r="L155" s="106"/>
      <c r="M155" s="56" t="s">
        <v>96</v>
      </c>
      <c r="N155" s="56">
        <v>0.0</v>
      </c>
      <c r="O155" s="4"/>
    </row>
    <row r="156">
      <c r="A156" s="4"/>
      <c r="B156" s="106">
        <v>46265.0</v>
      </c>
      <c r="C156" s="56" t="s">
        <v>124</v>
      </c>
      <c r="D156" s="106">
        <v>46112.0</v>
      </c>
      <c r="E156" s="106"/>
      <c r="F156" s="56" t="s">
        <v>13</v>
      </c>
      <c r="G156" s="102">
        <v>0.0</v>
      </c>
      <c r="H156" s="4"/>
      <c r="I156" s="82">
        <v>46295.0</v>
      </c>
      <c r="J156" s="56" t="s">
        <v>92</v>
      </c>
      <c r="K156" s="106">
        <v>46142.0</v>
      </c>
      <c r="L156" s="106"/>
      <c r="M156" s="56" t="s">
        <v>97</v>
      </c>
      <c r="N156" s="56">
        <v>0.0</v>
      </c>
      <c r="O156" s="4"/>
    </row>
    <row r="157">
      <c r="A157" s="4"/>
      <c r="B157" s="106">
        <v>46265.0</v>
      </c>
      <c r="C157" s="56" t="s">
        <v>124</v>
      </c>
      <c r="D157" s="106">
        <v>46112.0</v>
      </c>
      <c r="E157" s="106"/>
      <c r="F157" s="56" t="s">
        <v>14</v>
      </c>
      <c r="G157" s="102">
        <v>0.0</v>
      </c>
      <c r="H157" s="4"/>
      <c r="I157" s="82">
        <v>46295.0</v>
      </c>
      <c r="J157" s="56" t="s">
        <v>92</v>
      </c>
      <c r="K157" s="106">
        <v>46142.0</v>
      </c>
      <c r="L157" s="106"/>
      <c r="M157" s="56" t="s">
        <v>98</v>
      </c>
      <c r="N157" s="56">
        <v>0.0</v>
      </c>
      <c r="O157" s="4"/>
    </row>
    <row r="158">
      <c r="A158" s="4"/>
      <c r="B158" s="106">
        <v>46265.0</v>
      </c>
      <c r="C158" s="56" t="s">
        <v>124</v>
      </c>
      <c r="D158" s="106">
        <v>46142.0</v>
      </c>
      <c r="E158" s="106"/>
      <c r="F158" s="56" t="s">
        <v>6</v>
      </c>
      <c r="G158" s="102">
        <v>6100000.0</v>
      </c>
      <c r="H158" s="4"/>
      <c r="I158" s="82">
        <v>46295.0</v>
      </c>
      <c r="J158" s="56" t="s">
        <v>92</v>
      </c>
      <c r="K158" s="106">
        <v>46142.0</v>
      </c>
      <c r="L158" s="106"/>
      <c r="M158" s="56" t="s">
        <v>99</v>
      </c>
      <c r="N158" s="56">
        <v>0.0</v>
      </c>
      <c r="O158" s="4"/>
    </row>
    <row r="159">
      <c r="A159" s="4"/>
      <c r="B159" s="106">
        <v>46265.0</v>
      </c>
      <c r="C159" s="56" t="s">
        <v>124</v>
      </c>
      <c r="D159" s="106">
        <v>46142.0</v>
      </c>
      <c r="E159" s="106"/>
      <c r="F159" s="56" t="s">
        <v>7</v>
      </c>
      <c r="G159" s="56">
        <v>0.0</v>
      </c>
      <c r="H159" s="4"/>
      <c r="I159" s="82">
        <v>46295.0</v>
      </c>
      <c r="J159" s="56" t="s">
        <v>92</v>
      </c>
      <c r="K159" s="106">
        <v>46142.0</v>
      </c>
      <c r="L159" s="106"/>
      <c r="M159" s="56" t="s">
        <v>100</v>
      </c>
      <c r="N159" s="56">
        <v>0.0</v>
      </c>
      <c r="O159" s="4"/>
    </row>
    <row r="160">
      <c r="A160" s="4"/>
      <c r="B160" s="106">
        <v>46265.0</v>
      </c>
      <c r="C160" s="56" t="s">
        <v>124</v>
      </c>
      <c r="D160" s="106">
        <v>46142.0</v>
      </c>
      <c r="E160" s="106"/>
      <c r="F160" s="56" t="s">
        <v>8</v>
      </c>
      <c r="G160" s="56">
        <v>0.0</v>
      </c>
      <c r="H160" s="4"/>
      <c r="I160" s="82">
        <v>46295.0</v>
      </c>
      <c r="J160" s="56" t="s">
        <v>92</v>
      </c>
      <c r="K160" s="106">
        <v>46142.0</v>
      </c>
      <c r="L160" s="106"/>
      <c r="M160" s="56" t="s">
        <v>101</v>
      </c>
      <c r="N160" s="56">
        <v>0.0</v>
      </c>
      <c r="O160" s="4"/>
    </row>
    <row r="161">
      <c r="A161" s="4"/>
      <c r="B161" s="106">
        <v>46265.0</v>
      </c>
      <c r="C161" s="56" t="s">
        <v>124</v>
      </c>
      <c r="D161" s="106">
        <v>46142.0</v>
      </c>
      <c r="E161" s="106"/>
      <c r="F161" s="56" t="s">
        <v>9</v>
      </c>
      <c r="G161" s="56">
        <v>0.0</v>
      </c>
      <c r="H161" s="4"/>
      <c r="I161" s="82">
        <v>46295.0</v>
      </c>
      <c r="J161" s="56" t="s">
        <v>92</v>
      </c>
      <c r="K161" s="106">
        <v>46142.0</v>
      </c>
      <c r="L161" s="106"/>
      <c r="M161" s="56" t="s">
        <v>102</v>
      </c>
      <c r="N161" s="56">
        <v>0.0</v>
      </c>
      <c r="O161" s="4"/>
    </row>
    <row r="162">
      <c r="A162" s="4"/>
      <c r="B162" s="106">
        <v>46265.0</v>
      </c>
      <c r="C162" s="56" t="s">
        <v>124</v>
      </c>
      <c r="D162" s="106">
        <v>46142.0</v>
      </c>
      <c r="E162" s="106"/>
      <c r="F162" s="56" t="s">
        <v>10</v>
      </c>
      <c r="G162" s="56">
        <v>0.0</v>
      </c>
      <c r="H162" s="4"/>
      <c r="I162" s="82">
        <v>46295.0</v>
      </c>
      <c r="J162" s="56" t="s">
        <v>92</v>
      </c>
      <c r="K162" s="106">
        <v>46142.0</v>
      </c>
      <c r="L162" s="106"/>
      <c r="M162" s="56" t="s">
        <v>103</v>
      </c>
      <c r="N162" s="102">
        <v>710000.0</v>
      </c>
      <c r="O162" s="4"/>
    </row>
    <row r="163">
      <c r="A163" s="4"/>
      <c r="B163" s="106">
        <v>46265.0</v>
      </c>
      <c r="C163" s="56" t="s">
        <v>124</v>
      </c>
      <c r="D163" s="106">
        <v>46142.0</v>
      </c>
      <c r="E163" s="106"/>
      <c r="F163" s="56" t="s">
        <v>11</v>
      </c>
      <c r="G163" s="56">
        <v>0.0</v>
      </c>
      <c r="H163" s="4"/>
      <c r="I163" s="82">
        <v>46295.0</v>
      </c>
      <c r="J163" s="56" t="s">
        <v>92</v>
      </c>
      <c r="K163" s="106">
        <v>46142.0</v>
      </c>
      <c r="L163" s="106"/>
      <c r="M163" s="56" t="s">
        <v>105</v>
      </c>
      <c r="N163" s="56">
        <v>0.0</v>
      </c>
      <c r="O163" s="4"/>
    </row>
    <row r="164">
      <c r="A164" s="4"/>
      <c r="B164" s="106">
        <v>46265.0</v>
      </c>
      <c r="C164" s="56" t="s">
        <v>124</v>
      </c>
      <c r="D164" s="106">
        <v>46142.0</v>
      </c>
      <c r="E164" s="106"/>
      <c r="F164" s="56" t="s">
        <v>12</v>
      </c>
      <c r="G164" s="56">
        <v>0.0</v>
      </c>
      <c r="H164" s="4"/>
      <c r="I164" s="82">
        <v>46295.0</v>
      </c>
      <c r="J164" s="56" t="s">
        <v>92</v>
      </c>
      <c r="K164" s="106">
        <v>46142.0</v>
      </c>
      <c r="L164" s="106"/>
      <c r="M164" s="56" t="s">
        <v>107</v>
      </c>
      <c r="N164" s="56">
        <v>0.0</v>
      </c>
      <c r="O164" s="4"/>
    </row>
    <row r="165">
      <c r="A165" s="4"/>
      <c r="B165" s="106">
        <v>46265.0</v>
      </c>
      <c r="C165" s="56" t="s">
        <v>124</v>
      </c>
      <c r="D165" s="106">
        <v>46142.0</v>
      </c>
      <c r="E165" s="106"/>
      <c r="F165" s="56" t="s">
        <v>13</v>
      </c>
      <c r="G165" s="56">
        <v>0.0</v>
      </c>
      <c r="H165" s="4"/>
      <c r="I165" s="82">
        <v>46295.0</v>
      </c>
      <c r="J165" s="56" t="s">
        <v>92</v>
      </c>
      <c r="K165" s="106">
        <v>46142.0</v>
      </c>
      <c r="L165" s="106"/>
      <c r="M165" s="56" t="s">
        <v>109</v>
      </c>
      <c r="N165" s="56">
        <v>0.0</v>
      </c>
      <c r="O165" s="4"/>
    </row>
    <row r="166">
      <c r="A166" s="4"/>
      <c r="B166" s="106">
        <v>46265.0</v>
      </c>
      <c r="C166" s="56" t="s">
        <v>124</v>
      </c>
      <c r="D166" s="106">
        <v>46142.0</v>
      </c>
      <c r="E166" s="106"/>
      <c r="F166" s="56" t="s">
        <v>14</v>
      </c>
      <c r="G166" s="102">
        <v>0.0</v>
      </c>
      <c r="H166" s="4"/>
      <c r="I166" s="82">
        <v>46295.0</v>
      </c>
      <c r="J166" s="56" t="s">
        <v>92</v>
      </c>
      <c r="K166" s="106">
        <v>46142.0</v>
      </c>
      <c r="L166" s="106"/>
      <c r="M166" s="56" t="s">
        <v>111</v>
      </c>
      <c r="N166" s="102">
        <v>250000.0</v>
      </c>
      <c r="O166" s="4"/>
    </row>
    <row r="167">
      <c r="A167" s="4"/>
      <c r="B167" s="106">
        <v>46265.0</v>
      </c>
      <c r="C167" s="56" t="s">
        <v>124</v>
      </c>
      <c r="D167" s="106">
        <v>46173.0</v>
      </c>
      <c r="E167" s="106"/>
      <c r="F167" s="56" t="s">
        <v>6</v>
      </c>
      <c r="G167" s="102">
        <v>6100000.0</v>
      </c>
      <c r="H167" s="4"/>
      <c r="I167" s="82">
        <v>46295.0</v>
      </c>
      <c r="J167" s="56" t="s">
        <v>92</v>
      </c>
      <c r="K167" s="106">
        <v>46142.0</v>
      </c>
      <c r="L167" s="106"/>
      <c r="M167" s="56" t="s">
        <v>112</v>
      </c>
      <c r="N167" s="56">
        <v>0.0</v>
      </c>
      <c r="O167" s="4"/>
    </row>
    <row r="168">
      <c r="A168" s="4"/>
      <c r="B168" s="106">
        <v>46265.0</v>
      </c>
      <c r="C168" s="56" t="s">
        <v>124</v>
      </c>
      <c r="D168" s="106">
        <v>46173.0</v>
      </c>
      <c r="E168" s="106"/>
      <c r="F168" s="56" t="s">
        <v>7</v>
      </c>
      <c r="G168" s="102">
        <v>0.0</v>
      </c>
      <c r="H168" s="4"/>
      <c r="I168" s="82">
        <v>46295.0</v>
      </c>
      <c r="J168" s="56" t="s">
        <v>92</v>
      </c>
      <c r="K168" s="106">
        <v>46142.0</v>
      </c>
      <c r="L168" s="106"/>
      <c r="M168" s="56" t="s">
        <v>46</v>
      </c>
      <c r="N168" s="56">
        <v>0.0</v>
      </c>
      <c r="O168" s="4"/>
    </row>
    <row r="169">
      <c r="A169" s="4"/>
      <c r="B169" s="106">
        <v>46265.0</v>
      </c>
      <c r="C169" s="56" t="s">
        <v>124</v>
      </c>
      <c r="D169" s="106">
        <v>46173.0</v>
      </c>
      <c r="E169" s="106"/>
      <c r="F169" s="56" t="s">
        <v>8</v>
      </c>
      <c r="G169" s="102">
        <v>0.0</v>
      </c>
      <c r="H169" s="4"/>
      <c r="I169" s="82">
        <v>46295.0</v>
      </c>
      <c r="J169" s="56" t="s">
        <v>92</v>
      </c>
      <c r="K169" s="106">
        <v>46142.0</v>
      </c>
      <c r="L169" s="106"/>
      <c r="M169" s="56" t="s">
        <v>114</v>
      </c>
      <c r="N169" s="102">
        <v>0.0</v>
      </c>
      <c r="O169" s="4"/>
    </row>
    <row r="170">
      <c r="A170" s="4"/>
      <c r="B170" s="106">
        <v>46265.0</v>
      </c>
      <c r="C170" s="56" t="s">
        <v>124</v>
      </c>
      <c r="D170" s="106">
        <v>46173.0</v>
      </c>
      <c r="E170" s="106"/>
      <c r="F170" s="56" t="s">
        <v>9</v>
      </c>
      <c r="G170" s="102">
        <v>0.0</v>
      </c>
      <c r="H170" s="4"/>
      <c r="I170" s="82">
        <v>46295.0</v>
      </c>
      <c r="J170" s="56" t="s">
        <v>92</v>
      </c>
      <c r="K170" s="106">
        <v>46142.0</v>
      </c>
      <c r="L170" s="106"/>
      <c r="M170" s="56" t="s">
        <v>23</v>
      </c>
      <c r="N170" s="102">
        <v>0.0</v>
      </c>
      <c r="O170" s="4"/>
    </row>
    <row r="171">
      <c r="A171" s="4"/>
      <c r="B171" s="106">
        <v>46265.0</v>
      </c>
      <c r="C171" s="56" t="s">
        <v>124</v>
      </c>
      <c r="D171" s="106">
        <v>46173.0</v>
      </c>
      <c r="E171" s="106"/>
      <c r="F171" s="56" t="s">
        <v>10</v>
      </c>
      <c r="G171" s="56">
        <v>0.0</v>
      </c>
      <c r="H171" s="4"/>
      <c r="I171" s="82">
        <v>46295.0</v>
      </c>
      <c r="J171" s="56" t="s">
        <v>92</v>
      </c>
      <c r="K171" s="106">
        <v>46142.0</v>
      </c>
      <c r="L171" s="106"/>
      <c r="M171" s="56" t="s">
        <v>117</v>
      </c>
      <c r="N171" s="56">
        <v>0.0</v>
      </c>
      <c r="O171" s="4"/>
    </row>
    <row r="172">
      <c r="A172" s="4"/>
      <c r="B172" s="106">
        <v>46265.0</v>
      </c>
      <c r="C172" s="56" t="s">
        <v>124</v>
      </c>
      <c r="D172" s="106">
        <v>46173.0</v>
      </c>
      <c r="E172" s="106"/>
      <c r="F172" s="56" t="s">
        <v>11</v>
      </c>
      <c r="G172" s="56">
        <v>0.0</v>
      </c>
      <c r="H172" s="4"/>
      <c r="I172" s="82">
        <v>46295.0</v>
      </c>
      <c r="J172" s="56" t="s">
        <v>92</v>
      </c>
      <c r="K172" s="106">
        <v>46142.0</v>
      </c>
      <c r="L172" s="106"/>
      <c r="M172" s="56" t="s">
        <v>14</v>
      </c>
      <c r="N172" s="56">
        <v>0.0</v>
      </c>
      <c r="O172" s="4"/>
    </row>
    <row r="173">
      <c r="A173" s="4"/>
      <c r="B173" s="106">
        <v>46265.0</v>
      </c>
      <c r="C173" s="56" t="s">
        <v>124</v>
      </c>
      <c r="D173" s="106">
        <v>46173.0</v>
      </c>
      <c r="E173" s="106"/>
      <c r="F173" s="56" t="s">
        <v>12</v>
      </c>
      <c r="G173" s="56">
        <v>0.0</v>
      </c>
      <c r="H173" s="4"/>
      <c r="I173" s="82">
        <v>46295.0</v>
      </c>
      <c r="J173" s="56" t="s">
        <v>92</v>
      </c>
      <c r="K173" s="106">
        <v>46173.0</v>
      </c>
      <c r="L173" s="106"/>
      <c r="M173" s="56" t="s">
        <v>93</v>
      </c>
      <c r="N173" s="102">
        <v>0.0</v>
      </c>
      <c r="O173" s="4"/>
    </row>
    <row r="174">
      <c r="A174" s="4"/>
      <c r="B174" s="106">
        <v>46265.0</v>
      </c>
      <c r="C174" s="56" t="s">
        <v>124</v>
      </c>
      <c r="D174" s="106">
        <v>46173.0</v>
      </c>
      <c r="E174" s="106"/>
      <c r="F174" s="56" t="s">
        <v>13</v>
      </c>
      <c r="G174" s="56">
        <v>0.0</v>
      </c>
      <c r="H174" s="4"/>
      <c r="I174" s="82">
        <v>46295.0</v>
      </c>
      <c r="J174" s="56" t="s">
        <v>92</v>
      </c>
      <c r="K174" s="106">
        <v>46173.0</v>
      </c>
      <c r="L174" s="106"/>
      <c r="M174" s="56" t="s">
        <v>94</v>
      </c>
      <c r="N174" s="102">
        <v>0.0</v>
      </c>
      <c r="O174" s="4"/>
    </row>
    <row r="175">
      <c r="A175" s="4"/>
      <c r="B175" s="106">
        <v>46265.0</v>
      </c>
      <c r="C175" s="56" t="s">
        <v>124</v>
      </c>
      <c r="D175" s="106">
        <v>46173.0</v>
      </c>
      <c r="E175" s="106"/>
      <c r="F175" s="56" t="s">
        <v>14</v>
      </c>
      <c r="G175" s="56">
        <v>0.0</v>
      </c>
      <c r="H175" s="4"/>
      <c r="I175" s="82">
        <v>46295.0</v>
      </c>
      <c r="J175" s="56" t="s">
        <v>92</v>
      </c>
      <c r="K175" s="106">
        <v>46173.0</v>
      </c>
      <c r="L175" s="106"/>
      <c r="M175" s="56" t="s">
        <v>95</v>
      </c>
      <c r="N175" s="56">
        <v>0.0</v>
      </c>
      <c r="O175" s="4"/>
    </row>
    <row r="176">
      <c r="A176" s="4"/>
      <c r="B176" s="106">
        <v>46265.0</v>
      </c>
      <c r="C176" s="56" t="s">
        <v>124</v>
      </c>
      <c r="D176" s="106">
        <v>46203.0</v>
      </c>
      <c r="E176" s="106"/>
      <c r="F176" s="56" t="s">
        <v>6</v>
      </c>
      <c r="G176" s="102">
        <v>0.0</v>
      </c>
      <c r="H176" s="4"/>
      <c r="I176" s="82">
        <v>46295.0</v>
      </c>
      <c r="J176" s="56" t="s">
        <v>92</v>
      </c>
      <c r="K176" s="106">
        <v>46173.0</v>
      </c>
      <c r="L176" s="106"/>
      <c r="M176" s="56" t="s">
        <v>96</v>
      </c>
      <c r="N176" s="56">
        <v>0.0</v>
      </c>
      <c r="O176" s="4"/>
    </row>
    <row r="177">
      <c r="A177" s="4"/>
      <c r="B177" s="106">
        <v>46265.0</v>
      </c>
      <c r="C177" s="56" t="s">
        <v>124</v>
      </c>
      <c r="D177" s="106">
        <v>46203.0</v>
      </c>
      <c r="E177" s="106"/>
      <c r="F177" s="56" t="s">
        <v>7</v>
      </c>
      <c r="G177" s="102">
        <v>0.0</v>
      </c>
      <c r="H177" s="4"/>
      <c r="I177" s="82">
        <v>46295.0</v>
      </c>
      <c r="J177" s="56" t="s">
        <v>92</v>
      </c>
      <c r="K177" s="106">
        <v>46173.0</v>
      </c>
      <c r="L177" s="106"/>
      <c r="M177" s="56" t="s">
        <v>97</v>
      </c>
      <c r="N177" s="56">
        <v>0.0</v>
      </c>
      <c r="O177" s="4"/>
    </row>
    <row r="178">
      <c r="A178" s="4"/>
      <c r="B178" s="106">
        <v>46265.0</v>
      </c>
      <c r="C178" s="56" t="s">
        <v>124</v>
      </c>
      <c r="D178" s="106">
        <v>46203.0</v>
      </c>
      <c r="E178" s="106"/>
      <c r="F178" s="56" t="s">
        <v>8</v>
      </c>
      <c r="G178" s="56">
        <v>0.0</v>
      </c>
      <c r="H178" s="4"/>
      <c r="I178" s="82">
        <v>46295.0</v>
      </c>
      <c r="J178" s="56" t="s">
        <v>92</v>
      </c>
      <c r="K178" s="106">
        <v>46173.0</v>
      </c>
      <c r="L178" s="106"/>
      <c r="M178" s="56" t="s">
        <v>98</v>
      </c>
      <c r="N178" s="56">
        <v>0.0</v>
      </c>
      <c r="O178" s="4"/>
    </row>
    <row r="179">
      <c r="A179" s="4"/>
      <c r="B179" s="106">
        <v>46265.0</v>
      </c>
      <c r="C179" s="56" t="s">
        <v>124</v>
      </c>
      <c r="D179" s="106">
        <v>46203.0</v>
      </c>
      <c r="E179" s="106"/>
      <c r="F179" s="56" t="s">
        <v>9</v>
      </c>
      <c r="G179" s="56">
        <v>0.0</v>
      </c>
      <c r="H179" s="4"/>
      <c r="I179" s="82">
        <v>46295.0</v>
      </c>
      <c r="J179" s="56" t="s">
        <v>92</v>
      </c>
      <c r="K179" s="106">
        <v>46173.0</v>
      </c>
      <c r="L179" s="106"/>
      <c r="M179" s="56" t="s">
        <v>99</v>
      </c>
      <c r="N179" s="56">
        <v>0.0</v>
      </c>
      <c r="O179" s="4"/>
    </row>
    <row r="180">
      <c r="A180" s="4"/>
      <c r="B180" s="106">
        <v>46265.0</v>
      </c>
      <c r="C180" s="56" t="s">
        <v>124</v>
      </c>
      <c r="D180" s="106">
        <v>46203.0</v>
      </c>
      <c r="E180" s="106"/>
      <c r="F180" s="56" t="s">
        <v>10</v>
      </c>
      <c r="G180" s="56">
        <v>0.0</v>
      </c>
      <c r="H180" s="4"/>
      <c r="I180" s="82">
        <v>46295.0</v>
      </c>
      <c r="J180" s="56" t="s">
        <v>92</v>
      </c>
      <c r="K180" s="106">
        <v>46173.0</v>
      </c>
      <c r="L180" s="106"/>
      <c r="M180" s="56" t="s">
        <v>100</v>
      </c>
      <c r="N180" s="56">
        <v>0.0</v>
      </c>
      <c r="O180" s="4"/>
    </row>
    <row r="181">
      <c r="A181" s="4"/>
      <c r="B181" s="106">
        <v>46265.0</v>
      </c>
      <c r="C181" s="56" t="s">
        <v>124</v>
      </c>
      <c r="D181" s="106">
        <v>46203.0</v>
      </c>
      <c r="E181" s="106"/>
      <c r="F181" s="56" t="s">
        <v>11</v>
      </c>
      <c r="G181" s="56">
        <v>0.0</v>
      </c>
      <c r="H181" s="4"/>
      <c r="I181" s="82">
        <v>46295.0</v>
      </c>
      <c r="J181" s="56" t="s">
        <v>92</v>
      </c>
      <c r="K181" s="106">
        <v>46173.0</v>
      </c>
      <c r="L181" s="106"/>
      <c r="M181" s="56" t="s">
        <v>101</v>
      </c>
      <c r="N181" s="56">
        <v>0.0</v>
      </c>
      <c r="O181" s="4"/>
    </row>
    <row r="182">
      <c r="A182" s="4"/>
      <c r="B182" s="106">
        <v>46265.0</v>
      </c>
      <c r="C182" s="56" t="s">
        <v>124</v>
      </c>
      <c r="D182" s="106">
        <v>46203.0</v>
      </c>
      <c r="E182" s="106"/>
      <c r="F182" s="56" t="s">
        <v>12</v>
      </c>
      <c r="G182" s="56">
        <v>0.0</v>
      </c>
      <c r="H182" s="4"/>
      <c r="I182" s="82">
        <v>46295.0</v>
      </c>
      <c r="J182" s="56" t="s">
        <v>92</v>
      </c>
      <c r="K182" s="106">
        <v>46173.0</v>
      </c>
      <c r="L182" s="106"/>
      <c r="M182" s="56" t="s">
        <v>102</v>
      </c>
      <c r="N182" s="56">
        <v>0.0</v>
      </c>
      <c r="O182" s="4"/>
    </row>
    <row r="183">
      <c r="A183" s="4"/>
      <c r="B183" s="106">
        <v>46265.0</v>
      </c>
      <c r="C183" s="56" t="s">
        <v>124</v>
      </c>
      <c r="D183" s="106">
        <v>46203.0</v>
      </c>
      <c r="E183" s="106"/>
      <c r="F183" s="56" t="s">
        <v>13</v>
      </c>
      <c r="G183" s="56">
        <v>0.0</v>
      </c>
      <c r="H183" s="4"/>
      <c r="I183" s="82">
        <v>46295.0</v>
      </c>
      <c r="J183" s="56" t="s">
        <v>92</v>
      </c>
      <c r="K183" s="106">
        <v>46173.0</v>
      </c>
      <c r="L183" s="106"/>
      <c r="M183" s="56" t="s">
        <v>103</v>
      </c>
      <c r="N183" s="102">
        <v>710000.0</v>
      </c>
      <c r="O183" s="4"/>
    </row>
    <row r="184">
      <c r="A184" s="4"/>
      <c r="B184" s="106">
        <v>46265.0</v>
      </c>
      <c r="C184" s="56" t="s">
        <v>124</v>
      </c>
      <c r="D184" s="106">
        <v>46203.0</v>
      </c>
      <c r="E184" s="106"/>
      <c r="F184" s="56" t="s">
        <v>14</v>
      </c>
      <c r="G184" s="56">
        <v>0.0</v>
      </c>
      <c r="H184" s="4"/>
      <c r="I184" s="82">
        <v>46295.0</v>
      </c>
      <c r="J184" s="56" t="s">
        <v>92</v>
      </c>
      <c r="K184" s="106">
        <v>46173.0</v>
      </c>
      <c r="L184" s="106"/>
      <c r="M184" s="56" t="s">
        <v>105</v>
      </c>
      <c r="N184" s="56">
        <v>0.0</v>
      </c>
      <c r="O184" s="4"/>
    </row>
    <row r="185">
      <c r="A185" s="4"/>
      <c r="B185" s="106">
        <v>46265.0</v>
      </c>
      <c r="C185" s="56" t="s">
        <v>124</v>
      </c>
      <c r="D185" s="106">
        <v>46265.0</v>
      </c>
      <c r="E185" s="106"/>
      <c r="F185" s="56" t="s">
        <v>6</v>
      </c>
      <c r="G185" s="56">
        <v>0.0</v>
      </c>
      <c r="H185" s="4"/>
      <c r="I185" s="82">
        <v>46295.0</v>
      </c>
      <c r="J185" s="56" t="s">
        <v>92</v>
      </c>
      <c r="K185" s="106">
        <v>46173.0</v>
      </c>
      <c r="L185" s="106"/>
      <c r="M185" s="56" t="s">
        <v>107</v>
      </c>
      <c r="N185" s="56">
        <v>0.0</v>
      </c>
      <c r="O185" s="4"/>
    </row>
    <row r="186">
      <c r="A186" s="4"/>
      <c r="B186" s="106">
        <v>46265.0</v>
      </c>
      <c r="C186" s="56" t="s">
        <v>124</v>
      </c>
      <c r="D186" s="106">
        <v>46265.0</v>
      </c>
      <c r="E186" s="106"/>
      <c r="F186" s="56" t="s">
        <v>7</v>
      </c>
      <c r="G186" s="56">
        <v>0.0</v>
      </c>
      <c r="H186" s="4"/>
      <c r="I186" s="82">
        <v>46295.0</v>
      </c>
      <c r="J186" s="56" t="s">
        <v>92</v>
      </c>
      <c r="K186" s="106">
        <v>46173.0</v>
      </c>
      <c r="L186" s="106"/>
      <c r="M186" s="56" t="s">
        <v>109</v>
      </c>
      <c r="N186" s="56">
        <v>0.0</v>
      </c>
      <c r="O186" s="4"/>
    </row>
    <row r="187">
      <c r="A187" s="4"/>
      <c r="B187" s="106">
        <v>46265.0</v>
      </c>
      <c r="C187" s="56" t="s">
        <v>124</v>
      </c>
      <c r="D187" s="106">
        <v>46265.0</v>
      </c>
      <c r="E187" s="106"/>
      <c r="F187" s="56" t="s">
        <v>8</v>
      </c>
      <c r="G187" s="56">
        <v>0.0</v>
      </c>
      <c r="H187" s="4"/>
      <c r="I187" s="82">
        <v>46295.0</v>
      </c>
      <c r="J187" s="56" t="s">
        <v>92</v>
      </c>
      <c r="K187" s="106">
        <v>46173.0</v>
      </c>
      <c r="L187" s="106"/>
      <c r="M187" s="56" t="s">
        <v>111</v>
      </c>
      <c r="N187" s="102">
        <v>200000.0</v>
      </c>
      <c r="O187" s="4"/>
    </row>
    <row r="188">
      <c r="A188" s="4"/>
      <c r="B188" s="106">
        <v>46265.0</v>
      </c>
      <c r="C188" s="56" t="s">
        <v>124</v>
      </c>
      <c r="D188" s="106">
        <v>46265.0</v>
      </c>
      <c r="E188" s="106"/>
      <c r="F188" s="56" t="s">
        <v>9</v>
      </c>
      <c r="G188" s="56">
        <v>0.0</v>
      </c>
      <c r="H188" s="4"/>
      <c r="I188" s="82">
        <v>46295.0</v>
      </c>
      <c r="J188" s="56" t="s">
        <v>92</v>
      </c>
      <c r="K188" s="106">
        <v>46173.0</v>
      </c>
      <c r="L188" s="106"/>
      <c r="M188" s="56" t="s">
        <v>112</v>
      </c>
      <c r="N188" s="56">
        <v>0.0</v>
      </c>
      <c r="O188" s="4"/>
    </row>
    <row r="189">
      <c r="A189" s="4"/>
      <c r="B189" s="106">
        <v>46265.0</v>
      </c>
      <c r="C189" s="56" t="s">
        <v>124</v>
      </c>
      <c r="D189" s="106">
        <v>46265.0</v>
      </c>
      <c r="E189" s="106"/>
      <c r="F189" s="56" t="s">
        <v>10</v>
      </c>
      <c r="G189" s="56">
        <v>0.0</v>
      </c>
      <c r="H189" s="4"/>
      <c r="I189" s="82">
        <v>46295.0</v>
      </c>
      <c r="J189" s="56" t="s">
        <v>92</v>
      </c>
      <c r="K189" s="106">
        <v>46173.0</v>
      </c>
      <c r="L189" s="106"/>
      <c r="M189" s="56" t="s">
        <v>46</v>
      </c>
      <c r="N189" s="56">
        <v>0.0</v>
      </c>
      <c r="O189" s="4"/>
    </row>
    <row r="190">
      <c r="A190" s="4"/>
      <c r="B190" s="106">
        <v>46265.0</v>
      </c>
      <c r="C190" s="56" t="s">
        <v>124</v>
      </c>
      <c r="D190" s="106">
        <v>46265.0</v>
      </c>
      <c r="E190" s="106"/>
      <c r="F190" s="56" t="s">
        <v>11</v>
      </c>
      <c r="G190" s="56">
        <v>0.0</v>
      </c>
      <c r="H190" s="4"/>
      <c r="I190" s="82">
        <v>46295.0</v>
      </c>
      <c r="J190" s="56" t="s">
        <v>92</v>
      </c>
      <c r="K190" s="106">
        <v>46173.0</v>
      </c>
      <c r="L190" s="106"/>
      <c r="M190" s="56" t="s">
        <v>114</v>
      </c>
      <c r="N190" s="56">
        <v>0.0</v>
      </c>
      <c r="O190" s="4"/>
    </row>
    <row r="191">
      <c r="A191" s="4"/>
      <c r="B191" s="106">
        <v>46265.0</v>
      </c>
      <c r="C191" s="56" t="s">
        <v>124</v>
      </c>
      <c r="D191" s="106">
        <v>46265.0</v>
      </c>
      <c r="E191" s="106"/>
      <c r="F191" s="56" t="s">
        <v>12</v>
      </c>
      <c r="G191" s="56">
        <v>0.0</v>
      </c>
      <c r="H191" s="4"/>
      <c r="I191" s="82">
        <v>46295.0</v>
      </c>
      <c r="J191" s="56" t="s">
        <v>92</v>
      </c>
      <c r="K191" s="106">
        <v>46173.0</v>
      </c>
      <c r="L191" s="106"/>
      <c r="M191" s="56" t="s">
        <v>23</v>
      </c>
      <c r="N191" s="102">
        <v>0.0</v>
      </c>
      <c r="O191" s="4"/>
    </row>
    <row r="192">
      <c r="A192" s="4"/>
      <c r="B192" s="106">
        <v>46265.0</v>
      </c>
      <c r="C192" s="56" t="s">
        <v>124</v>
      </c>
      <c r="D192" s="106">
        <v>46265.0</v>
      </c>
      <c r="E192" s="106"/>
      <c r="F192" s="56" t="s">
        <v>13</v>
      </c>
      <c r="G192" s="56">
        <v>0.0</v>
      </c>
      <c r="H192" s="4"/>
      <c r="I192" s="82">
        <v>46295.0</v>
      </c>
      <c r="J192" s="56" t="s">
        <v>92</v>
      </c>
      <c r="K192" s="106">
        <v>46173.0</v>
      </c>
      <c r="L192" s="106"/>
      <c r="M192" s="56" t="s">
        <v>117</v>
      </c>
      <c r="N192" s="102">
        <v>0.0</v>
      </c>
      <c r="O192" s="4"/>
    </row>
    <row r="193">
      <c r="A193" s="4"/>
      <c r="B193" s="106">
        <v>46265.0</v>
      </c>
      <c r="C193" s="56" t="s">
        <v>124</v>
      </c>
      <c r="D193" s="106">
        <v>46265.0</v>
      </c>
      <c r="E193" s="106"/>
      <c r="F193" s="56" t="s">
        <v>14</v>
      </c>
      <c r="G193" s="56">
        <v>0.0</v>
      </c>
      <c r="H193" s="4"/>
      <c r="I193" s="82">
        <v>46295.0</v>
      </c>
      <c r="J193" s="56" t="s">
        <v>92</v>
      </c>
      <c r="K193" s="106">
        <v>46173.0</v>
      </c>
      <c r="L193" s="106"/>
      <c r="M193" s="56" t="s">
        <v>14</v>
      </c>
      <c r="N193" s="102">
        <v>300000.0</v>
      </c>
      <c r="O193" s="4"/>
    </row>
    <row r="194">
      <c r="A194" s="4"/>
      <c r="B194" s="106">
        <v>46265.0</v>
      </c>
      <c r="C194" s="56" t="s">
        <v>124</v>
      </c>
      <c r="D194" s="106">
        <v>46295.0</v>
      </c>
      <c r="E194" s="106"/>
      <c r="F194" s="56" t="s">
        <v>6</v>
      </c>
      <c r="G194" s="56">
        <v>0.0</v>
      </c>
      <c r="H194" s="4"/>
      <c r="I194" s="82">
        <v>46295.0</v>
      </c>
      <c r="J194" s="56" t="s">
        <v>92</v>
      </c>
      <c r="K194" s="106">
        <v>46203.0</v>
      </c>
      <c r="L194" s="106"/>
      <c r="M194" s="56" t="s">
        <v>93</v>
      </c>
      <c r="N194" s="56">
        <v>0.0</v>
      </c>
      <c r="O194" s="4"/>
    </row>
    <row r="195">
      <c r="A195" s="4"/>
      <c r="B195" s="106">
        <v>46265.0</v>
      </c>
      <c r="C195" s="56" t="s">
        <v>124</v>
      </c>
      <c r="D195" s="106">
        <v>46295.0</v>
      </c>
      <c r="E195" s="106"/>
      <c r="F195" s="56" t="s">
        <v>7</v>
      </c>
      <c r="G195" s="102">
        <v>1.194E7</v>
      </c>
      <c r="H195" s="4"/>
      <c r="I195" s="82">
        <v>46295.0</v>
      </c>
      <c r="J195" s="56" t="s">
        <v>92</v>
      </c>
      <c r="K195" s="106">
        <v>46203.0</v>
      </c>
      <c r="L195" s="106"/>
      <c r="M195" s="56" t="s">
        <v>94</v>
      </c>
      <c r="N195" s="102">
        <v>0.0</v>
      </c>
      <c r="O195" s="4"/>
    </row>
    <row r="196">
      <c r="A196" s="4"/>
      <c r="B196" s="106">
        <v>46265.0</v>
      </c>
      <c r="C196" s="56" t="s">
        <v>124</v>
      </c>
      <c r="D196" s="106">
        <v>46295.0</v>
      </c>
      <c r="E196" s="106"/>
      <c r="F196" s="56" t="s">
        <v>8</v>
      </c>
      <c r="G196" s="56">
        <v>0.0</v>
      </c>
      <c r="H196" s="4"/>
      <c r="I196" s="82">
        <v>46295.0</v>
      </c>
      <c r="J196" s="56" t="s">
        <v>92</v>
      </c>
      <c r="K196" s="106">
        <v>46203.0</v>
      </c>
      <c r="L196" s="106"/>
      <c r="M196" s="56" t="s">
        <v>95</v>
      </c>
      <c r="N196" s="102">
        <v>0.0</v>
      </c>
      <c r="O196" s="4"/>
    </row>
    <row r="197">
      <c r="A197" s="4"/>
      <c r="B197" s="106">
        <v>46265.0</v>
      </c>
      <c r="C197" s="56" t="s">
        <v>124</v>
      </c>
      <c r="D197" s="106">
        <v>46295.0</v>
      </c>
      <c r="E197" s="106"/>
      <c r="F197" s="56" t="s">
        <v>9</v>
      </c>
      <c r="G197" s="56">
        <v>0.0</v>
      </c>
      <c r="H197" s="4"/>
      <c r="I197" s="82">
        <v>46295.0</v>
      </c>
      <c r="J197" s="56" t="s">
        <v>92</v>
      </c>
      <c r="K197" s="106">
        <v>46203.0</v>
      </c>
      <c r="L197" s="106"/>
      <c r="M197" s="56" t="s">
        <v>96</v>
      </c>
      <c r="N197" s="56">
        <v>0.0</v>
      </c>
      <c r="O197" s="4"/>
    </row>
    <row r="198">
      <c r="A198" s="4"/>
      <c r="B198" s="106">
        <v>46265.0</v>
      </c>
      <c r="C198" s="56" t="s">
        <v>124</v>
      </c>
      <c r="D198" s="106">
        <v>46295.0</v>
      </c>
      <c r="E198" s="106"/>
      <c r="F198" s="56" t="s">
        <v>10</v>
      </c>
      <c r="G198" s="102">
        <v>400000.0</v>
      </c>
      <c r="H198" s="4"/>
      <c r="I198" s="82">
        <v>46295.0</v>
      </c>
      <c r="J198" s="56" t="s">
        <v>92</v>
      </c>
      <c r="K198" s="106">
        <v>46203.0</v>
      </c>
      <c r="L198" s="106"/>
      <c r="M198" s="56" t="s">
        <v>97</v>
      </c>
      <c r="N198" s="56">
        <v>0.0</v>
      </c>
      <c r="O198" s="4"/>
    </row>
    <row r="199">
      <c r="A199" s="4"/>
      <c r="B199" s="106">
        <v>46265.0</v>
      </c>
      <c r="C199" s="56" t="s">
        <v>124</v>
      </c>
      <c r="D199" s="106">
        <v>46295.0</v>
      </c>
      <c r="E199" s="106"/>
      <c r="F199" s="56" t="s">
        <v>11</v>
      </c>
      <c r="G199" s="102">
        <v>600000.0</v>
      </c>
      <c r="H199" s="4"/>
      <c r="I199" s="82">
        <v>46295.0</v>
      </c>
      <c r="J199" s="56" t="s">
        <v>92</v>
      </c>
      <c r="K199" s="106">
        <v>46203.0</v>
      </c>
      <c r="L199" s="106"/>
      <c r="M199" s="56" t="s">
        <v>98</v>
      </c>
      <c r="N199" s="102">
        <v>100000.0</v>
      </c>
      <c r="O199" s="4"/>
    </row>
    <row r="200">
      <c r="A200" s="4"/>
      <c r="B200" s="106">
        <v>46265.0</v>
      </c>
      <c r="C200" s="56" t="s">
        <v>124</v>
      </c>
      <c r="D200" s="106">
        <v>46295.0</v>
      </c>
      <c r="E200" s="106"/>
      <c r="F200" s="56" t="s">
        <v>12</v>
      </c>
      <c r="G200" s="102">
        <v>198000.0</v>
      </c>
      <c r="H200" s="4"/>
      <c r="I200" s="82">
        <v>46295.0</v>
      </c>
      <c r="J200" s="56" t="s">
        <v>92</v>
      </c>
      <c r="K200" s="106">
        <v>46203.0</v>
      </c>
      <c r="L200" s="106"/>
      <c r="M200" s="56" t="s">
        <v>99</v>
      </c>
      <c r="N200" s="56">
        <v>0.0</v>
      </c>
      <c r="O200" s="4"/>
    </row>
    <row r="201">
      <c r="A201" s="4"/>
      <c r="B201" s="106">
        <v>46265.0</v>
      </c>
      <c r="C201" s="56" t="s">
        <v>124</v>
      </c>
      <c r="D201" s="106">
        <v>46295.0</v>
      </c>
      <c r="E201" s="106"/>
      <c r="F201" s="56" t="s">
        <v>13</v>
      </c>
      <c r="G201" s="102">
        <v>82500.0</v>
      </c>
      <c r="H201" s="4"/>
      <c r="I201" s="82">
        <v>46295.0</v>
      </c>
      <c r="J201" s="56" t="s">
        <v>92</v>
      </c>
      <c r="K201" s="106">
        <v>46203.0</v>
      </c>
      <c r="L201" s="106"/>
      <c r="M201" s="56" t="s">
        <v>100</v>
      </c>
      <c r="N201" s="102">
        <v>0.0</v>
      </c>
      <c r="O201" s="4"/>
    </row>
    <row r="202">
      <c r="A202" s="4"/>
      <c r="B202" s="106">
        <v>46265.0</v>
      </c>
      <c r="C202" s="56" t="s">
        <v>124</v>
      </c>
      <c r="D202" s="106">
        <v>46295.0</v>
      </c>
      <c r="E202" s="106"/>
      <c r="F202" s="56" t="s">
        <v>14</v>
      </c>
      <c r="G202" s="56">
        <v>0.0</v>
      </c>
      <c r="H202" s="4"/>
      <c r="I202" s="82">
        <v>46295.0</v>
      </c>
      <c r="J202" s="56" t="s">
        <v>92</v>
      </c>
      <c r="K202" s="106">
        <v>46203.0</v>
      </c>
      <c r="L202" s="106"/>
      <c r="M202" s="56" t="s">
        <v>101</v>
      </c>
      <c r="N202" s="102">
        <v>0.0</v>
      </c>
      <c r="O202" s="4"/>
    </row>
    <row r="203">
      <c r="A203" s="4"/>
      <c r="B203" s="106"/>
      <c r="C203" s="56"/>
      <c r="D203" s="4"/>
      <c r="E203" s="4"/>
      <c r="F203" s="56"/>
      <c r="G203" s="56"/>
      <c r="H203" s="4"/>
      <c r="I203" s="82">
        <v>46295.0</v>
      </c>
      <c r="J203" s="56" t="s">
        <v>92</v>
      </c>
      <c r="K203" s="106">
        <v>46203.0</v>
      </c>
      <c r="L203" s="106"/>
      <c r="M203" s="56" t="s">
        <v>102</v>
      </c>
      <c r="N203" s="56">
        <v>0.0</v>
      </c>
      <c r="O203" s="4"/>
    </row>
    <row r="204">
      <c r="A204" s="4"/>
      <c r="B204" s="106"/>
      <c r="C204" s="56"/>
      <c r="D204" s="4"/>
      <c r="E204" s="4"/>
      <c r="F204" s="56"/>
      <c r="G204" s="56"/>
      <c r="H204" s="4"/>
      <c r="I204" s="82">
        <v>46295.0</v>
      </c>
      <c r="J204" s="56" t="s">
        <v>92</v>
      </c>
      <c r="K204" s="106">
        <v>46203.0</v>
      </c>
      <c r="L204" s="106"/>
      <c r="M204" s="56" t="s">
        <v>103</v>
      </c>
      <c r="N204" s="102">
        <v>710000.0</v>
      </c>
      <c r="O204" s="4"/>
    </row>
    <row r="205">
      <c r="A205" s="4"/>
      <c r="B205" s="106"/>
      <c r="C205" s="56"/>
      <c r="D205" s="4"/>
      <c r="E205" s="4"/>
      <c r="F205" s="56"/>
      <c r="G205" s="56"/>
      <c r="H205" s="4"/>
      <c r="I205" s="82">
        <v>46295.0</v>
      </c>
      <c r="J205" s="56" t="s">
        <v>92</v>
      </c>
      <c r="K205" s="106">
        <v>46203.0</v>
      </c>
      <c r="L205" s="106"/>
      <c r="M205" s="56" t="s">
        <v>105</v>
      </c>
      <c r="N205" s="56">
        <v>0.0</v>
      </c>
      <c r="O205" s="4"/>
    </row>
    <row r="206">
      <c r="A206" s="4"/>
      <c r="B206" s="106"/>
      <c r="C206" s="56"/>
      <c r="D206" s="4"/>
      <c r="E206" s="4"/>
      <c r="F206" s="56"/>
      <c r="G206" s="56"/>
      <c r="H206" s="4"/>
      <c r="I206" s="82">
        <v>46295.0</v>
      </c>
      <c r="J206" s="56" t="s">
        <v>92</v>
      </c>
      <c r="K206" s="106">
        <v>46203.0</v>
      </c>
      <c r="L206" s="106"/>
      <c r="M206" s="56" t="s">
        <v>107</v>
      </c>
      <c r="N206" s="56">
        <v>0.0</v>
      </c>
      <c r="O206" s="4"/>
    </row>
    <row r="207">
      <c r="A207" s="4"/>
      <c r="B207" s="106"/>
      <c r="C207" s="56"/>
      <c r="D207" s="4"/>
      <c r="E207" s="4"/>
      <c r="F207" s="56"/>
      <c r="G207" s="56"/>
      <c r="H207" s="4"/>
      <c r="I207" s="82">
        <v>46295.0</v>
      </c>
      <c r="J207" s="56" t="s">
        <v>92</v>
      </c>
      <c r="K207" s="106">
        <v>46203.0</v>
      </c>
      <c r="L207" s="106"/>
      <c r="M207" s="56" t="s">
        <v>109</v>
      </c>
      <c r="N207" s="56">
        <v>0.0</v>
      </c>
      <c r="O207" s="4"/>
    </row>
    <row r="208">
      <c r="A208" s="4"/>
      <c r="B208" s="106"/>
      <c r="C208" s="56"/>
      <c r="D208" s="4"/>
      <c r="E208" s="4"/>
      <c r="F208" s="56"/>
      <c r="G208" s="56"/>
      <c r="H208" s="4"/>
      <c r="I208" s="82">
        <v>46295.0</v>
      </c>
      <c r="J208" s="56" t="s">
        <v>92</v>
      </c>
      <c r="K208" s="106">
        <v>46203.0</v>
      </c>
      <c r="L208" s="106"/>
      <c r="M208" s="56" t="s">
        <v>111</v>
      </c>
      <c r="N208" s="102">
        <v>0.0</v>
      </c>
      <c r="O208" s="4"/>
    </row>
    <row r="209">
      <c r="A209" s="4"/>
      <c r="B209" s="106"/>
      <c r="C209" s="56"/>
      <c r="D209" s="4"/>
      <c r="E209" s="4"/>
      <c r="F209" s="56"/>
      <c r="G209" s="56"/>
      <c r="H209" s="4"/>
      <c r="I209" s="82">
        <v>46295.0</v>
      </c>
      <c r="J209" s="56" t="s">
        <v>92</v>
      </c>
      <c r="K209" s="106">
        <v>46203.0</v>
      </c>
      <c r="L209" s="106"/>
      <c r="M209" s="56" t="s">
        <v>112</v>
      </c>
      <c r="N209" s="102">
        <v>0.0</v>
      </c>
      <c r="O209" s="4"/>
    </row>
    <row r="210">
      <c r="A210" s="4"/>
      <c r="B210" s="106"/>
      <c r="C210" s="56"/>
      <c r="D210" s="4"/>
      <c r="E210" s="4"/>
      <c r="F210" s="56"/>
      <c r="G210" s="56"/>
      <c r="H210" s="4"/>
      <c r="I210" s="82">
        <v>46295.0</v>
      </c>
      <c r="J210" s="56" t="s">
        <v>92</v>
      </c>
      <c r="K210" s="106">
        <v>46203.0</v>
      </c>
      <c r="L210" s="106"/>
      <c r="M210" s="56" t="s">
        <v>46</v>
      </c>
      <c r="N210" s="56">
        <v>0.0</v>
      </c>
      <c r="O210" s="4"/>
    </row>
    <row r="211">
      <c r="A211" s="4"/>
      <c r="B211" s="106"/>
      <c r="C211" s="56"/>
      <c r="D211" s="4"/>
      <c r="E211" s="4"/>
      <c r="F211" s="56"/>
      <c r="G211" s="56"/>
      <c r="H211" s="4"/>
      <c r="I211" s="82">
        <v>46295.0</v>
      </c>
      <c r="J211" s="56" t="s">
        <v>92</v>
      </c>
      <c r="K211" s="106">
        <v>46203.0</v>
      </c>
      <c r="L211" s="106"/>
      <c r="M211" s="56" t="s">
        <v>114</v>
      </c>
      <c r="N211" s="56">
        <v>0.0</v>
      </c>
      <c r="O211" s="4"/>
    </row>
    <row r="212">
      <c r="A212" s="4"/>
      <c r="B212" s="106"/>
      <c r="C212" s="56"/>
      <c r="D212" s="4"/>
      <c r="E212" s="4"/>
      <c r="F212" s="56"/>
      <c r="G212" s="56"/>
      <c r="H212" s="4"/>
      <c r="I212" s="82">
        <v>46295.0</v>
      </c>
      <c r="J212" s="56" t="s">
        <v>92</v>
      </c>
      <c r="K212" s="106">
        <v>46203.0</v>
      </c>
      <c r="L212" s="106"/>
      <c r="M212" s="56" t="s">
        <v>23</v>
      </c>
      <c r="N212" s="56">
        <v>0.0</v>
      </c>
      <c r="O212" s="4"/>
    </row>
    <row r="213">
      <c r="A213" s="4"/>
      <c r="B213" s="106"/>
      <c r="C213" s="56"/>
      <c r="D213" s="4"/>
      <c r="E213" s="4"/>
      <c r="F213" s="56"/>
      <c r="G213" s="56"/>
      <c r="H213" s="4"/>
      <c r="I213" s="82">
        <v>46295.0</v>
      </c>
      <c r="J213" s="56" t="s">
        <v>92</v>
      </c>
      <c r="K213" s="106">
        <v>46203.0</v>
      </c>
      <c r="L213" s="106"/>
      <c r="M213" s="56" t="s">
        <v>117</v>
      </c>
      <c r="N213" s="102">
        <v>0.0</v>
      </c>
      <c r="O213" s="4"/>
    </row>
    <row r="214">
      <c r="A214" s="4"/>
      <c r="B214" s="106"/>
      <c r="C214" s="56"/>
      <c r="D214" s="4"/>
      <c r="E214" s="4"/>
      <c r="F214" s="56"/>
      <c r="G214" s="56"/>
      <c r="H214" s="4"/>
      <c r="I214" s="82">
        <v>46295.0</v>
      </c>
      <c r="J214" s="56" t="s">
        <v>92</v>
      </c>
      <c r="K214" s="106">
        <v>46203.0</v>
      </c>
      <c r="L214" s="106"/>
      <c r="M214" s="56" t="s">
        <v>14</v>
      </c>
      <c r="N214" s="102">
        <v>50000.0</v>
      </c>
      <c r="O214" s="4"/>
    </row>
    <row r="215">
      <c r="A215" s="4"/>
      <c r="B215" s="106"/>
      <c r="C215" s="56"/>
      <c r="D215" s="4"/>
      <c r="E215" s="4"/>
      <c r="F215" s="56"/>
      <c r="G215" s="56"/>
      <c r="H215" s="4"/>
      <c r="I215" s="82">
        <v>46295.0</v>
      </c>
      <c r="J215" s="56" t="s">
        <v>92</v>
      </c>
      <c r="K215" s="106">
        <v>46234.0</v>
      </c>
      <c r="L215" s="106"/>
      <c r="M215" s="56" t="s">
        <v>93</v>
      </c>
      <c r="N215" s="56">
        <v>0.0</v>
      </c>
      <c r="O215" s="4"/>
    </row>
    <row r="216">
      <c r="A216" s="4"/>
      <c r="B216" s="106"/>
      <c r="C216" s="56"/>
      <c r="D216" s="4"/>
      <c r="E216" s="4"/>
      <c r="F216" s="56"/>
      <c r="G216" s="102"/>
      <c r="H216" s="4"/>
      <c r="I216" s="82">
        <v>46295.0</v>
      </c>
      <c r="J216" s="56" t="s">
        <v>92</v>
      </c>
      <c r="K216" s="106">
        <v>46234.0</v>
      </c>
      <c r="L216" s="106"/>
      <c r="M216" s="56" t="s">
        <v>94</v>
      </c>
      <c r="N216" s="102">
        <v>429840.0</v>
      </c>
      <c r="O216" s="4"/>
    </row>
    <row r="217">
      <c r="A217" s="4"/>
      <c r="B217" s="106"/>
      <c r="C217" s="56"/>
      <c r="D217" s="4"/>
      <c r="E217" s="4"/>
      <c r="F217" s="56"/>
      <c r="G217" s="102"/>
      <c r="H217" s="4"/>
      <c r="I217" s="82">
        <v>46295.0</v>
      </c>
      <c r="J217" s="56" t="s">
        <v>92</v>
      </c>
      <c r="K217" s="106">
        <v>46234.0</v>
      </c>
      <c r="L217" s="106"/>
      <c r="M217" s="56" t="s">
        <v>95</v>
      </c>
      <c r="N217" s="56">
        <v>0.0</v>
      </c>
      <c r="O217" s="4"/>
    </row>
    <row r="218">
      <c r="A218" s="4"/>
      <c r="B218" s="106"/>
      <c r="C218" s="56"/>
      <c r="D218" s="4"/>
      <c r="E218" s="4"/>
      <c r="F218" s="56"/>
      <c r="G218" s="102"/>
      <c r="H218" s="4"/>
      <c r="I218" s="82">
        <v>46295.0</v>
      </c>
      <c r="J218" s="56" t="s">
        <v>92</v>
      </c>
      <c r="K218" s="106">
        <v>46234.0</v>
      </c>
      <c r="L218" s="106"/>
      <c r="M218" s="56" t="s">
        <v>96</v>
      </c>
      <c r="N218" s="56">
        <v>0.0</v>
      </c>
      <c r="O218" s="4"/>
    </row>
    <row r="219">
      <c r="A219" s="4"/>
      <c r="B219" s="106"/>
      <c r="C219" s="56"/>
      <c r="D219" s="4"/>
      <c r="E219" s="4"/>
      <c r="F219" s="56"/>
      <c r="G219" s="56"/>
      <c r="H219" s="4"/>
      <c r="I219" s="82">
        <v>46295.0</v>
      </c>
      <c r="J219" s="56" t="s">
        <v>92</v>
      </c>
      <c r="K219" s="106">
        <v>46234.0</v>
      </c>
      <c r="L219" s="106"/>
      <c r="M219" s="56" t="s">
        <v>97</v>
      </c>
      <c r="N219" s="56">
        <v>0.0</v>
      </c>
      <c r="O219" s="4"/>
    </row>
    <row r="220">
      <c r="A220" s="4"/>
      <c r="B220" s="106"/>
      <c r="C220" s="56"/>
      <c r="D220" s="4"/>
      <c r="E220" s="4"/>
      <c r="F220" s="56"/>
      <c r="G220" s="102"/>
      <c r="H220" s="4"/>
      <c r="I220" s="82">
        <v>46295.0</v>
      </c>
      <c r="J220" s="56" t="s">
        <v>92</v>
      </c>
      <c r="K220" s="106">
        <v>46234.0</v>
      </c>
      <c r="L220" s="106"/>
      <c r="M220" s="56" t="s">
        <v>98</v>
      </c>
      <c r="N220" s="56">
        <v>0.0</v>
      </c>
      <c r="O220" s="4"/>
    </row>
    <row r="221">
      <c r="A221" s="4"/>
      <c r="B221" s="106"/>
      <c r="C221" s="56"/>
      <c r="D221" s="4"/>
      <c r="E221" s="4"/>
      <c r="F221" s="56"/>
      <c r="G221" s="102"/>
      <c r="H221" s="4"/>
      <c r="I221" s="82">
        <v>46295.0</v>
      </c>
      <c r="J221" s="56" t="s">
        <v>92</v>
      </c>
      <c r="K221" s="106">
        <v>46234.0</v>
      </c>
      <c r="L221" s="106"/>
      <c r="M221" s="56" t="s">
        <v>99</v>
      </c>
      <c r="N221" s="56">
        <v>0.0</v>
      </c>
      <c r="O221" s="4"/>
    </row>
    <row r="222">
      <c r="A222" s="4"/>
      <c r="B222" s="106"/>
      <c r="C222" s="56"/>
      <c r="D222" s="4"/>
      <c r="E222" s="4"/>
      <c r="F222" s="56"/>
      <c r="G222" s="102"/>
      <c r="H222" s="4"/>
      <c r="I222" s="82">
        <v>46295.0</v>
      </c>
      <c r="J222" s="56" t="s">
        <v>92</v>
      </c>
      <c r="K222" s="106">
        <v>46234.0</v>
      </c>
      <c r="L222" s="106"/>
      <c r="M222" s="56" t="s">
        <v>100</v>
      </c>
      <c r="N222" s="56">
        <v>0.0</v>
      </c>
      <c r="O222" s="4"/>
    </row>
    <row r="223">
      <c r="A223" s="4"/>
      <c r="B223" s="106"/>
      <c r="C223" s="56"/>
      <c r="D223" s="4"/>
      <c r="E223" s="4"/>
      <c r="F223" s="56"/>
      <c r="G223" s="102"/>
      <c r="H223" s="4"/>
      <c r="I223" s="82">
        <v>46295.0</v>
      </c>
      <c r="J223" s="56" t="s">
        <v>92</v>
      </c>
      <c r="K223" s="106">
        <v>46234.0</v>
      </c>
      <c r="L223" s="106"/>
      <c r="M223" s="56" t="s">
        <v>101</v>
      </c>
      <c r="N223" s="102">
        <v>0.0</v>
      </c>
      <c r="O223" s="4"/>
    </row>
    <row r="224">
      <c r="A224" s="4"/>
      <c r="B224" s="106"/>
      <c r="C224" s="56"/>
      <c r="D224" s="4"/>
      <c r="E224" s="4"/>
      <c r="F224" s="56"/>
      <c r="G224" s="102"/>
      <c r="H224" s="4"/>
      <c r="I224" s="82">
        <v>46295.0</v>
      </c>
      <c r="J224" s="56" t="s">
        <v>92</v>
      </c>
      <c r="K224" s="106">
        <v>46234.0</v>
      </c>
      <c r="L224" s="106"/>
      <c r="M224" s="56" t="s">
        <v>102</v>
      </c>
      <c r="N224" s="102">
        <v>0.0</v>
      </c>
      <c r="O224" s="4"/>
    </row>
    <row r="225">
      <c r="A225" s="4"/>
      <c r="B225" s="106"/>
      <c r="C225" s="56"/>
      <c r="D225" s="4"/>
      <c r="E225" s="4"/>
      <c r="F225" s="56"/>
      <c r="G225" s="56"/>
      <c r="H225" s="4"/>
      <c r="I225" s="82">
        <v>46295.0</v>
      </c>
      <c r="J225" s="56" t="s">
        <v>92</v>
      </c>
      <c r="K225" s="106">
        <v>46234.0</v>
      </c>
      <c r="L225" s="106"/>
      <c r="M225" s="56" t="s">
        <v>103</v>
      </c>
      <c r="N225" s="102">
        <v>210000.0</v>
      </c>
      <c r="O225" s="4"/>
    </row>
    <row r="226">
      <c r="A226" s="4"/>
      <c r="B226" s="4"/>
      <c r="C226" s="4"/>
      <c r="D226" s="4"/>
      <c r="E226" s="4"/>
      <c r="F226" s="4"/>
      <c r="G226" s="4"/>
      <c r="H226" s="4"/>
      <c r="I226" s="82">
        <v>46295.0</v>
      </c>
      <c r="J226" s="56" t="s">
        <v>92</v>
      </c>
      <c r="K226" s="106">
        <v>46234.0</v>
      </c>
      <c r="L226" s="106"/>
      <c r="M226" s="56" t="s">
        <v>105</v>
      </c>
      <c r="N226" s="102">
        <v>0.0</v>
      </c>
      <c r="O226" s="4"/>
    </row>
    <row r="227">
      <c r="A227" s="4"/>
      <c r="B227" s="4"/>
      <c r="C227" s="4"/>
      <c r="D227" s="4"/>
      <c r="E227" s="4"/>
      <c r="F227" s="4"/>
      <c r="G227" s="4"/>
      <c r="H227" s="4"/>
      <c r="I227" s="82">
        <v>46295.0</v>
      </c>
      <c r="J227" s="56" t="s">
        <v>92</v>
      </c>
      <c r="K227" s="106">
        <v>46234.0</v>
      </c>
      <c r="L227" s="106"/>
      <c r="M227" s="56" t="s">
        <v>107</v>
      </c>
      <c r="N227" s="102">
        <v>0.0</v>
      </c>
      <c r="O227" s="4"/>
    </row>
    <row r="228">
      <c r="A228" s="4"/>
      <c r="B228" s="4"/>
      <c r="C228" s="4"/>
      <c r="D228" s="4"/>
      <c r="E228" s="4"/>
      <c r="F228" s="4"/>
      <c r="G228" s="4"/>
      <c r="H228" s="4"/>
      <c r="I228" s="82">
        <v>46295.0</v>
      </c>
      <c r="J228" s="56" t="s">
        <v>92</v>
      </c>
      <c r="K228" s="106">
        <v>46234.0</v>
      </c>
      <c r="L228" s="106"/>
      <c r="M228" s="56" t="s">
        <v>109</v>
      </c>
      <c r="N228" s="56">
        <v>0.0</v>
      </c>
      <c r="O228" s="4"/>
    </row>
    <row r="229">
      <c r="A229" s="4"/>
      <c r="B229" s="4"/>
      <c r="C229" s="4"/>
      <c r="D229" s="4"/>
      <c r="E229" s="4"/>
      <c r="F229" s="4"/>
      <c r="G229" s="4"/>
      <c r="H229" s="4"/>
      <c r="I229" s="82">
        <v>46295.0</v>
      </c>
      <c r="J229" s="56" t="s">
        <v>92</v>
      </c>
      <c r="K229" s="106">
        <v>46234.0</v>
      </c>
      <c r="L229" s="106"/>
      <c r="M229" s="56" t="s">
        <v>111</v>
      </c>
      <c r="N229" s="102">
        <v>20000.0</v>
      </c>
      <c r="O229" s="4"/>
    </row>
    <row r="230">
      <c r="A230" s="4"/>
      <c r="B230" s="4"/>
      <c r="C230" s="4"/>
      <c r="D230" s="4"/>
      <c r="E230" s="4"/>
      <c r="F230" s="4"/>
      <c r="G230" s="4"/>
      <c r="H230" s="4"/>
      <c r="I230" s="82">
        <v>46295.0</v>
      </c>
      <c r="J230" s="56" t="s">
        <v>92</v>
      </c>
      <c r="K230" s="106">
        <v>46234.0</v>
      </c>
      <c r="L230" s="106"/>
      <c r="M230" s="56" t="s">
        <v>112</v>
      </c>
      <c r="N230" s="56">
        <v>0.0</v>
      </c>
      <c r="O230" s="4"/>
    </row>
    <row r="231">
      <c r="A231" s="4"/>
      <c r="B231" s="4"/>
      <c r="C231" s="4"/>
      <c r="D231" s="4"/>
      <c r="E231" s="4"/>
      <c r="F231" s="4"/>
      <c r="G231" s="4"/>
      <c r="H231" s="4"/>
      <c r="I231" s="82">
        <v>46295.0</v>
      </c>
      <c r="J231" s="56" t="s">
        <v>92</v>
      </c>
      <c r="K231" s="106">
        <v>46234.0</v>
      </c>
      <c r="L231" s="106"/>
      <c r="M231" s="56" t="s">
        <v>46</v>
      </c>
      <c r="N231" s="56">
        <v>0.0</v>
      </c>
      <c r="O231" s="4"/>
    </row>
    <row r="232">
      <c r="A232" s="4"/>
      <c r="B232" s="4"/>
      <c r="C232" s="4"/>
      <c r="D232" s="4"/>
      <c r="E232" s="4"/>
      <c r="F232" s="4"/>
      <c r="G232" s="4"/>
      <c r="H232" s="4"/>
      <c r="I232" s="82">
        <v>46295.0</v>
      </c>
      <c r="J232" s="56" t="s">
        <v>92</v>
      </c>
      <c r="K232" s="106">
        <v>46234.0</v>
      </c>
      <c r="L232" s="106"/>
      <c r="M232" s="56" t="s">
        <v>114</v>
      </c>
      <c r="N232" s="56">
        <v>0.0</v>
      </c>
      <c r="O232" s="4"/>
    </row>
    <row r="233">
      <c r="A233" s="4"/>
      <c r="B233" s="4"/>
      <c r="C233" s="4"/>
      <c r="D233" s="4"/>
      <c r="E233" s="4"/>
      <c r="F233" s="4"/>
      <c r="G233" s="4"/>
      <c r="H233" s="4"/>
      <c r="I233" s="82">
        <v>46295.0</v>
      </c>
      <c r="J233" s="56" t="s">
        <v>92</v>
      </c>
      <c r="K233" s="106">
        <v>46234.0</v>
      </c>
      <c r="L233" s="106"/>
      <c r="M233" s="56" t="s">
        <v>23</v>
      </c>
      <c r="N233" s="56">
        <v>0.0</v>
      </c>
      <c r="O233" s="4"/>
    </row>
    <row r="234">
      <c r="A234" s="4"/>
      <c r="B234" s="4"/>
      <c r="C234" s="4"/>
      <c r="D234" s="4"/>
      <c r="E234" s="4"/>
      <c r="F234" s="4"/>
      <c r="G234" s="4"/>
      <c r="H234" s="4"/>
      <c r="I234" s="82">
        <v>46295.0</v>
      </c>
      <c r="J234" s="56" t="s">
        <v>92</v>
      </c>
      <c r="K234" s="106">
        <v>46234.0</v>
      </c>
      <c r="L234" s="106"/>
      <c r="M234" s="56" t="s">
        <v>117</v>
      </c>
      <c r="N234" s="56">
        <v>0.0</v>
      </c>
      <c r="O234" s="4"/>
    </row>
    <row r="235">
      <c r="A235" s="4"/>
      <c r="B235" s="4"/>
      <c r="C235" s="4"/>
      <c r="D235" s="4"/>
      <c r="E235" s="4"/>
      <c r="F235" s="4"/>
      <c r="G235" s="4"/>
      <c r="H235" s="4"/>
      <c r="I235" s="82">
        <v>46295.0</v>
      </c>
      <c r="J235" s="56" t="s">
        <v>92</v>
      </c>
      <c r="K235" s="106">
        <v>46234.0</v>
      </c>
      <c r="L235" s="106"/>
      <c r="M235" s="56" t="s">
        <v>14</v>
      </c>
      <c r="N235" s="102">
        <v>50000.0</v>
      </c>
      <c r="O235" s="4"/>
    </row>
    <row r="236">
      <c r="A236" s="4"/>
      <c r="B236" s="4"/>
      <c r="C236" s="4"/>
      <c r="D236" s="4"/>
      <c r="E236" s="4"/>
      <c r="F236" s="4"/>
      <c r="G236" s="4"/>
      <c r="H236" s="4"/>
      <c r="I236" s="82">
        <v>46295.0</v>
      </c>
      <c r="J236" s="56" t="s">
        <v>92</v>
      </c>
      <c r="K236" s="106">
        <v>46265.0</v>
      </c>
      <c r="L236" s="106"/>
      <c r="M236" s="56" t="s">
        <v>93</v>
      </c>
      <c r="N236" s="102">
        <v>0.0</v>
      </c>
      <c r="O236" s="4"/>
    </row>
    <row r="237">
      <c r="A237" s="4"/>
      <c r="B237" s="4"/>
      <c r="C237" s="4"/>
      <c r="D237" s="4"/>
      <c r="E237" s="4"/>
      <c r="F237" s="4"/>
      <c r="G237" s="4"/>
      <c r="H237" s="4"/>
      <c r="I237" s="82">
        <v>46295.0</v>
      </c>
      <c r="J237" s="56" t="s">
        <v>92</v>
      </c>
      <c r="K237" s="106">
        <v>46265.0</v>
      </c>
      <c r="L237" s="106"/>
      <c r="M237" s="56" t="s">
        <v>94</v>
      </c>
      <c r="N237" s="56">
        <v>0.0</v>
      </c>
      <c r="O237" s="4"/>
    </row>
    <row r="238">
      <c r="A238" s="4"/>
      <c r="B238" s="4"/>
      <c r="C238" s="4"/>
      <c r="D238" s="4"/>
      <c r="E238" s="4"/>
      <c r="F238" s="4"/>
      <c r="G238" s="4"/>
      <c r="H238" s="4"/>
      <c r="I238" s="82">
        <v>46295.0</v>
      </c>
      <c r="J238" s="56" t="s">
        <v>92</v>
      </c>
      <c r="K238" s="106">
        <v>46265.0</v>
      </c>
      <c r="L238" s="106"/>
      <c r="M238" s="56" t="s">
        <v>95</v>
      </c>
      <c r="N238" s="56">
        <v>0.0</v>
      </c>
      <c r="O238" s="4"/>
    </row>
    <row r="239">
      <c r="A239" s="4"/>
      <c r="B239" s="4"/>
      <c r="C239" s="4"/>
      <c r="D239" s="4"/>
      <c r="E239" s="4"/>
      <c r="F239" s="4"/>
      <c r="G239" s="4"/>
      <c r="H239" s="4"/>
      <c r="I239" s="82">
        <v>46295.0</v>
      </c>
      <c r="J239" s="56" t="s">
        <v>92</v>
      </c>
      <c r="K239" s="106">
        <v>46265.0</v>
      </c>
      <c r="L239" s="106"/>
      <c r="M239" s="56" t="s">
        <v>96</v>
      </c>
      <c r="N239" s="102">
        <v>2640.0</v>
      </c>
      <c r="O239" s="4"/>
    </row>
    <row r="240">
      <c r="A240" s="4"/>
      <c r="B240" s="4"/>
      <c r="C240" s="4"/>
      <c r="D240" s="4"/>
      <c r="E240" s="4"/>
      <c r="F240" s="4"/>
      <c r="G240" s="4"/>
      <c r="H240" s="4"/>
      <c r="I240" s="82">
        <v>46295.0</v>
      </c>
      <c r="J240" s="56" t="s">
        <v>92</v>
      </c>
      <c r="K240" s="106">
        <v>46265.0</v>
      </c>
      <c r="L240" s="106"/>
      <c r="M240" s="56" t="s">
        <v>97</v>
      </c>
      <c r="N240" s="102">
        <v>7128.0</v>
      </c>
      <c r="O240" s="4"/>
    </row>
    <row r="241">
      <c r="A241" s="4"/>
      <c r="B241" s="4"/>
      <c r="C241" s="4"/>
      <c r="D241" s="4"/>
      <c r="E241" s="4"/>
      <c r="F241" s="4"/>
      <c r="G241" s="4"/>
      <c r="H241" s="4"/>
      <c r="I241" s="82">
        <v>46295.0</v>
      </c>
      <c r="J241" s="56" t="s">
        <v>92</v>
      </c>
      <c r="K241" s="106">
        <v>46265.0</v>
      </c>
      <c r="L241" s="106"/>
      <c r="M241" s="56" t="s">
        <v>98</v>
      </c>
      <c r="N241" s="56">
        <v>0.0</v>
      </c>
      <c r="O241" s="4"/>
    </row>
    <row r="242">
      <c r="A242" s="4"/>
      <c r="B242" s="4"/>
      <c r="C242" s="4"/>
      <c r="D242" s="4"/>
      <c r="E242" s="4"/>
      <c r="F242" s="4"/>
      <c r="G242" s="4"/>
      <c r="H242" s="4"/>
      <c r="I242" s="82">
        <v>46295.0</v>
      </c>
      <c r="J242" s="56" t="s">
        <v>124</v>
      </c>
      <c r="K242" s="106">
        <v>46265.0</v>
      </c>
      <c r="L242" s="106"/>
      <c r="M242" s="56" t="s">
        <v>99</v>
      </c>
      <c r="N242" s="56">
        <v>2500000.0</v>
      </c>
      <c r="O242" s="4"/>
    </row>
    <row r="243">
      <c r="A243" s="4"/>
      <c r="B243" s="4"/>
      <c r="C243" s="4"/>
      <c r="D243" s="4"/>
      <c r="E243" s="4"/>
      <c r="F243" s="4"/>
      <c r="G243" s="4"/>
      <c r="H243" s="4"/>
      <c r="I243" s="82">
        <v>46295.0</v>
      </c>
      <c r="J243" s="56" t="s">
        <v>92</v>
      </c>
      <c r="K243" s="106">
        <v>46265.0</v>
      </c>
      <c r="L243" s="106"/>
      <c r="M243" s="56" t="s">
        <v>100</v>
      </c>
      <c r="N243" s="102">
        <v>100000.0</v>
      </c>
      <c r="O243" s="4"/>
    </row>
    <row r="244">
      <c r="A244" s="4"/>
      <c r="B244" s="4"/>
      <c r="C244" s="4"/>
      <c r="D244" s="4"/>
      <c r="E244" s="4"/>
      <c r="F244" s="4"/>
      <c r="G244" s="4"/>
      <c r="H244" s="4"/>
      <c r="I244" s="82">
        <v>46295.0</v>
      </c>
      <c r="J244" s="56" t="s">
        <v>92</v>
      </c>
      <c r="K244" s="106">
        <v>46265.0</v>
      </c>
      <c r="L244" s="106"/>
      <c r="M244" s="56" t="s">
        <v>101</v>
      </c>
      <c r="N244" s="102">
        <v>110000.0</v>
      </c>
      <c r="O244" s="4"/>
    </row>
    <row r="245">
      <c r="A245" s="4"/>
      <c r="B245" s="4"/>
      <c r="C245" s="4"/>
      <c r="D245" s="4"/>
      <c r="E245" s="4"/>
      <c r="F245" s="4"/>
      <c r="G245" s="4"/>
      <c r="H245" s="4"/>
      <c r="I245" s="82">
        <v>46295.0</v>
      </c>
      <c r="J245" s="56" t="s">
        <v>92</v>
      </c>
      <c r="K245" s="106">
        <v>46265.0</v>
      </c>
      <c r="L245" s="106"/>
      <c r="M245" s="56" t="s">
        <v>102</v>
      </c>
      <c r="N245" s="102">
        <v>700000.0</v>
      </c>
      <c r="O245" s="4"/>
    </row>
    <row r="246">
      <c r="A246" s="4"/>
      <c r="B246" s="4"/>
      <c r="C246" s="4"/>
      <c r="D246" s="4"/>
      <c r="E246" s="4"/>
      <c r="F246" s="4"/>
      <c r="G246" s="4"/>
      <c r="H246" s="4"/>
      <c r="I246" s="82">
        <v>46295.0</v>
      </c>
      <c r="J246" s="56" t="s">
        <v>92</v>
      </c>
      <c r="K246" s="106">
        <v>46265.0</v>
      </c>
      <c r="L246" s="106"/>
      <c r="M246" s="56" t="s">
        <v>103</v>
      </c>
      <c r="N246" s="102">
        <v>2000000.0</v>
      </c>
      <c r="O246" s="4"/>
    </row>
    <row r="247">
      <c r="A247" s="4"/>
      <c r="B247" s="4"/>
      <c r="C247" s="4"/>
      <c r="D247" s="4"/>
      <c r="E247" s="4"/>
      <c r="F247" s="4"/>
      <c r="G247" s="4"/>
      <c r="H247" s="4"/>
      <c r="I247" s="82">
        <v>46295.0</v>
      </c>
      <c r="J247" s="56" t="s">
        <v>92</v>
      </c>
      <c r="K247" s="106">
        <v>46265.0</v>
      </c>
      <c r="L247" s="106"/>
      <c r="M247" s="56" t="s">
        <v>105</v>
      </c>
      <c r="N247" s="102">
        <v>450000.0</v>
      </c>
      <c r="O247" s="4"/>
    </row>
    <row r="248">
      <c r="A248" s="4"/>
      <c r="B248" s="4"/>
      <c r="C248" s="4"/>
      <c r="D248" s="4"/>
      <c r="E248" s="4"/>
      <c r="F248" s="4"/>
      <c r="G248" s="4"/>
      <c r="H248" s="4"/>
      <c r="I248" s="82">
        <v>46295.0</v>
      </c>
      <c r="J248" s="56" t="s">
        <v>92</v>
      </c>
      <c r="K248" s="106">
        <v>46265.0</v>
      </c>
      <c r="L248" s="106"/>
      <c r="M248" s="56" t="s">
        <v>107</v>
      </c>
      <c r="N248" s="56">
        <v>0.0</v>
      </c>
      <c r="O248" s="4"/>
    </row>
    <row r="249">
      <c r="A249" s="4"/>
      <c r="B249" s="4"/>
      <c r="C249" s="4"/>
      <c r="D249" s="4"/>
      <c r="E249" s="4"/>
      <c r="F249" s="4"/>
      <c r="G249" s="4"/>
      <c r="H249" s="4"/>
      <c r="I249" s="82">
        <v>46295.0</v>
      </c>
      <c r="J249" s="56" t="s">
        <v>92</v>
      </c>
      <c r="K249" s="106">
        <v>46265.0</v>
      </c>
      <c r="L249" s="106"/>
      <c r="M249" s="56" t="s">
        <v>109</v>
      </c>
      <c r="N249" s="102">
        <v>4000000.0</v>
      </c>
      <c r="O249" s="4"/>
    </row>
    <row r="250">
      <c r="A250" s="4"/>
      <c r="B250" s="4"/>
      <c r="C250" s="4"/>
      <c r="D250" s="4"/>
      <c r="E250" s="4"/>
      <c r="F250" s="4"/>
      <c r="G250" s="4"/>
      <c r="H250" s="4"/>
      <c r="I250" s="82">
        <v>46295.0</v>
      </c>
      <c r="J250" s="56" t="s">
        <v>92</v>
      </c>
      <c r="K250" s="106">
        <v>46265.0</v>
      </c>
      <c r="L250" s="106"/>
      <c r="M250" s="56" t="s">
        <v>111</v>
      </c>
      <c r="N250" s="102">
        <v>130000.0</v>
      </c>
      <c r="O250" s="4"/>
    </row>
    <row r="251">
      <c r="A251" s="4"/>
      <c r="B251" s="4"/>
      <c r="C251" s="4"/>
      <c r="D251" s="4"/>
      <c r="E251" s="4"/>
      <c r="F251" s="4"/>
      <c r="G251" s="4"/>
      <c r="H251" s="4"/>
      <c r="I251" s="82">
        <v>46295.0</v>
      </c>
      <c r="J251" s="56" t="s">
        <v>92</v>
      </c>
      <c r="K251" s="106">
        <v>46265.0</v>
      </c>
      <c r="L251" s="106"/>
      <c r="M251" s="56" t="s">
        <v>112</v>
      </c>
      <c r="N251" s="102">
        <v>0.0</v>
      </c>
      <c r="O251" s="4"/>
    </row>
    <row r="252">
      <c r="A252" s="4"/>
      <c r="B252" s="4"/>
      <c r="C252" s="4"/>
      <c r="D252" s="4"/>
      <c r="E252" s="4"/>
      <c r="F252" s="4"/>
      <c r="G252" s="4"/>
      <c r="H252" s="4"/>
      <c r="I252" s="82">
        <v>46295.0</v>
      </c>
      <c r="J252" s="56" t="s">
        <v>92</v>
      </c>
      <c r="K252" s="106">
        <v>46265.0</v>
      </c>
      <c r="L252" s="106"/>
      <c r="M252" s="56" t="s">
        <v>46</v>
      </c>
      <c r="N252" s="102">
        <v>600000.0</v>
      </c>
      <c r="O252" s="4"/>
    </row>
    <row r="253">
      <c r="A253" s="4"/>
      <c r="B253" s="4"/>
      <c r="C253" s="4"/>
      <c r="D253" s="4"/>
      <c r="E253" s="4"/>
      <c r="F253" s="4"/>
      <c r="G253" s="4"/>
      <c r="H253" s="4"/>
      <c r="I253" s="82">
        <v>46295.0</v>
      </c>
      <c r="J253" s="56" t="s">
        <v>92</v>
      </c>
      <c r="K253" s="106">
        <v>46265.0</v>
      </c>
      <c r="L253" s="106"/>
      <c r="M253" s="56" t="s">
        <v>114</v>
      </c>
      <c r="N253" s="102">
        <v>60000.0</v>
      </c>
      <c r="O253" s="4"/>
    </row>
    <row r="254">
      <c r="A254" s="4"/>
      <c r="B254" s="4"/>
      <c r="C254" s="4"/>
      <c r="D254" s="4"/>
      <c r="E254" s="4"/>
      <c r="F254" s="4"/>
      <c r="G254" s="4"/>
      <c r="H254" s="4"/>
      <c r="I254" s="82">
        <v>46295.0</v>
      </c>
      <c r="J254" s="56" t="s">
        <v>92</v>
      </c>
      <c r="K254" s="106">
        <v>46265.0</v>
      </c>
      <c r="L254" s="106"/>
      <c r="M254" s="56" t="s">
        <v>23</v>
      </c>
      <c r="N254" s="102">
        <v>0.0</v>
      </c>
      <c r="O254" s="4"/>
    </row>
    <row r="255">
      <c r="A255" s="4"/>
      <c r="B255" s="4"/>
      <c r="C255" s="4"/>
      <c r="D255" s="4"/>
      <c r="E255" s="4"/>
      <c r="F255" s="4"/>
      <c r="G255" s="4"/>
      <c r="H255" s="4"/>
      <c r="I255" s="82">
        <v>46295.0</v>
      </c>
      <c r="J255" s="56" t="s">
        <v>92</v>
      </c>
      <c r="K255" s="106">
        <v>46265.0</v>
      </c>
      <c r="L255" s="106"/>
      <c r="M255" s="56" t="s">
        <v>117</v>
      </c>
      <c r="N255" s="102">
        <v>0.0</v>
      </c>
      <c r="O255" s="4"/>
    </row>
    <row r="256">
      <c r="A256" s="4"/>
      <c r="B256" s="4"/>
      <c r="C256" s="4"/>
      <c r="D256" s="4"/>
      <c r="E256" s="4"/>
      <c r="F256" s="4"/>
      <c r="G256" s="4"/>
      <c r="H256" s="4"/>
      <c r="I256" s="82">
        <v>46295.0</v>
      </c>
      <c r="J256" s="56" t="s">
        <v>92</v>
      </c>
      <c r="K256" s="106">
        <v>46265.0</v>
      </c>
      <c r="L256" s="106"/>
      <c r="M256" s="56" t="s">
        <v>14</v>
      </c>
      <c r="N256" s="102">
        <v>300000.0</v>
      </c>
      <c r="O256" s="4"/>
    </row>
    <row r="257">
      <c r="A257" s="4"/>
      <c r="B257" s="4"/>
      <c r="C257" s="4"/>
      <c r="D257" s="4"/>
      <c r="E257" s="4"/>
      <c r="F257" s="4"/>
      <c r="G257" s="4"/>
      <c r="H257" s="4"/>
      <c r="I257" s="106">
        <v>46265.0</v>
      </c>
      <c r="J257" s="56" t="s">
        <v>124</v>
      </c>
      <c r="K257" s="106">
        <v>45930.0</v>
      </c>
      <c r="L257" s="106"/>
      <c r="M257" s="56" t="s">
        <v>93</v>
      </c>
      <c r="N257" s="102">
        <v>0.0</v>
      </c>
      <c r="O257" s="4"/>
    </row>
    <row r="258">
      <c r="A258" s="4"/>
      <c r="B258" s="4"/>
      <c r="C258" s="4"/>
      <c r="D258" s="4"/>
      <c r="E258" s="4"/>
      <c r="F258" s="4"/>
      <c r="G258" s="4"/>
      <c r="H258" s="4"/>
      <c r="I258" s="106">
        <v>46265.0</v>
      </c>
      <c r="J258" s="56" t="s">
        <v>124</v>
      </c>
      <c r="K258" s="106">
        <v>45930.0</v>
      </c>
      <c r="L258" s="106"/>
      <c r="M258" s="56" t="s">
        <v>94</v>
      </c>
      <c r="N258" s="102">
        <v>18000.0</v>
      </c>
      <c r="O258" s="4"/>
    </row>
    <row r="259">
      <c r="A259" s="4"/>
      <c r="B259" s="4"/>
      <c r="C259" s="4"/>
      <c r="D259" s="4"/>
      <c r="E259" s="4"/>
      <c r="F259" s="4"/>
      <c r="G259" s="4"/>
      <c r="H259" s="4"/>
      <c r="I259" s="106">
        <v>46265.0</v>
      </c>
      <c r="J259" s="56" t="s">
        <v>124</v>
      </c>
      <c r="K259" s="106">
        <v>45930.0</v>
      </c>
      <c r="L259" s="106"/>
      <c r="M259" s="56" t="s">
        <v>95</v>
      </c>
      <c r="N259" s="102">
        <v>0.0</v>
      </c>
      <c r="O259" s="4"/>
    </row>
    <row r="260">
      <c r="A260" s="4"/>
      <c r="B260" s="4"/>
      <c r="C260" s="4"/>
      <c r="D260" s="4"/>
      <c r="E260" s="4"/>
      <c r="F260" s="4"/>
      <c r="G260" s="4"/>
      <c r="H260" s="4"/>
      <c r="I260" s="106">
        <v>46265.0</v>
      </c>
      <c r="J260" s="56" t="s">
        <v>124</v>
      </c>
      <c r="K260" s="106">
        <v>45930.0</v>
      </c>
      <c r="L260" s="106"/>
      <c r="M260" s="56" t="s">
        <v>96</v>
      </c>
      <c r="N260" s="102">
        <v>0.0</v>
      </c>
      <c r="O260" s="4"/>
    </row>
    <row r="261">
      <c r="A261" s="4"/>
      <c r="B261" s="4"/>
      <c r="C261" s="4"/>
      <c r="D261" s="4"/>
      <c r="E261" s="4"/>
      <c r="F261" s="4"/>
      <c r="G261" s="4"/>
      <c r="H261" s="4"/>
      <c r="I261" s="106">
        <v>46265.0</v>
      </c>
      <c r="J261" s="56" t="s">
        <v>124</v>
      </c>
      <c r="K261" s="106">
        <v>45930.0</v>
      </c>
      <c r="L261" s="106"/>
      <c r="M261" s="56" t="s">
        <v>97</v>
      </c>
      <c r="N261" s="102">
        <v>0.0</v>
      </c>
      <c r="O261" s="4"/>
    </row>
    <row r="262">
      <c r="A262" s="4"/>
      <c r="B262" s="4"/>
      <c r="C262" s="4"/>
      <c r="D262" s="4"/>
      <c r="E262" s="4"/>
      <c r="F262" s="4"/>
      <c r="G262" s="4"/>
      <c r="H262" s="4"/>
      <c r="I262" s="106">
        <v>46265.0</v>
      </c>
      <c r="J262" s="56" t="s">
        <v>124</v>
      </c>
      <c r="K262" s="106">
        <v>45930.0</v>
      </c>
      <c r="L262" s="106"/>
      <c r="M262" s="56" t="s">
        <v>98</v>
      </c>
      <c r="N262" s="102">
        <v>0.0</v>
      </c>
      <c r="O262" s="4"/>
    </row>
    <row r="263">
      <c r="A263" s="4"/>
      <c r="B263" s="4"/>
      <c r="C263" s="4"/>
      <c r="D263" s="4"/>
      <c r="E263" s="4"/>
      <c r="F263" s="4"/>
      <c r="G263" s="4"/>
      <c r="H263" s="4"/>
      <c r="I263" s="106">
        <v>46265.0</v>
      </c>
      <c r="J263" s="56" t="s">
        <v>124</v>
      </c>
      <c r="K263" s="106">
        <v>45930.0</v>
      </c>
      <c r="L263" s="106"/>
      <c r="M263" s="56" t="s">
        <v>99</v>
      </c>
      <c r="N263" s="102">
        <v>0.0</v>
      </c>
      <c r="O263" s="4"/>
    </row>
    <row r="264">
      <c r="A264" s="4"/>
      <c r="B264" s="4"/>
      <c r="C264" s="4"/>
      <c r="D264" s="4"/>
      <c r="E264" s="4"/>
      <c r="F264" s="4"/>
      <c r="G264" s="4"/>
      <c r="H264" s="4"/>
      <c r="I264" s="106">
        <v>46265.0</v>
      </c>
      <c r="J264" s="56" t="s">
        <v>124</v>
      </c>
      <c r="K264" s="106">
        <v>45930.0</v>
      </c>
      <c r="L264" s="106"/>
      <c r="M264" s="56" t="s">
        <v>100</v>
      </c>
      <c r="N264" s="102">
        <v>0.0</v>
      </c>
      <c r="O264" s="4"/>
    </row>
    <row r="265">
      <c r="A265" s="4"/>
      <c r="B265" s="4"/>
      <c r="C265" s="4"/>
      <c r="D265" s="4"/>
      <c r="E265" s="4"/>
      <c r="F265" s="4"/>
      <c r="G265" s="4"/>
      <c r="H265" s="4"/>
      <c r="I265" s="106">
        <v>46265.0</v>
      </c>
      <c r="J265" s="56" t="s">
        <v>124</v>
      </c>
      <c r="K265" s="106">
        <v>45930.0</v>
      </c>
      <c r="L265" s="106"/>
      <c r="M265" s="56" t="s">
        <v>101</v>
      </c>
      <c r="N265" s="102">
        <v>0.0</v>
      </c>
      <c r="O265" s="4"/>
    </row>
    <row r="266">
      <c r="A266" s="4"/>
      <c r="B266" s="4"/>
      <c r="C266" s="4"/>
      <c r="D266" s="4"/>
      <c r="E266" s="4"/>
      <c r="F266" s="4"/>
      <c r="G266" s="4"/>
      <c r="H266" s="4"/>
      <c r="I266" s="106">
        <v>46265.0</v>
      </c>
      <c r="J266" s="56" t="s">
        <v>124</v>
      </c>
      <c r="K266" s="106">
        <v>45930.0</v>
      </c>
      <c r="L266" s="106"/>
      <c r="M266" s="56" t="s">
        <v>102</v>
      </c>
      <c r="N266" s="56">
        <v>0.0</v>
      </c>
      <c r="O266" s="4"/>
    </row>
    <row r="267">
      <c r="A267" s="4"/>
      <c r="B267" s="4"/>
      <c r="C267" s="4"/>
      <c r="D267" s="4"/>
      <c r="E267" s="4"/>
      <c r="F267" s="4"/>
      <c r="G267" s="4"/>
      <c r="H267" s="4"/>
      <c r="I267" s="106">
        <v>46265.0</v>
      </c>
      <c r="J267" s="56" t="s">
        <v>124</v>
      </c>
      <c r="K267" s="106">
        <v>45930.0</v>
      </c>
      <c r="L267" s="106"/>
      <c r="M267" s="56" t="s">
        <v>103</v>
      </c>
      <c r="N267" s="102">
        <v>0.0</v>
      </c>
      <c r="O267" s="4"/>
    </row>
    <row r="268">
      <c r="A268" s="4"/>
      <c r="B268" s="4"/>
      <c r="C268" s="4"/>
      <c r="D268" s="4"/>
      <c r="E268" s="4"/>
      <c r="F268" s="4"/>
      <c r="G268" s="4"/>
      <c r="H268" s="4"/>
      <c r="I268" s="106">
        <v>46265.0</v>
      </c>
      <c r="J268" s="56" t="s">
        <v>124</v>
      </c>
      <c r="K268" s="106">
        <v>45930.0</v>
      </c>
      <c r="L268" s="106"/>
      <c r="M268" s="56" t="s">
        <v>105</v>
      </c>
      <c r="N268" s="102">
        <v>0.0</v>
      </c>
      <c r="O268" s="4"/>
    </row>
    <row r="269">
      <c r="A269" s="4"/>
      <c r="B269" s="4"/>
      <c r="C269" s="4"/>
      <c r="D269" s="4"/>
      <c r="E269" s="4"/>
      <c r="F269" s="4"/>
      <c r="G269" s="4"/>
      <c r="H269" s="4"/>
      <c r="I269" s="106">
        <v>46265.0</v>
      </c>
      <c r="J269" s="56" t="s">
        <v>124</v>
      </c>
      <c r="K269" s="106">
        <v>45930.0</v>
      </c>
      <c r="L269" s="106"/>
      <c r="M269" s="56" t="s">
        <v>107</v>
      </c>
      <c r="N269" s="56">
        <v>0.0</v>
      </c>
      <c r="O269" s="4"/>
    </row>
    <row r="270">
      <c r="A270" s="4"/>
      <c r="B270" s="4"/>
      <c r="C270" s="4"/>
      <c r="D270" s="4"/>
      <c r="E270" s="4"/>
      <c r="F270" s="4"/>
      <c r="G270" s="4"/>
      <c r="H270" s="4"/>
      <c r="I270" s="106">
        <v>46265.0</v>
      </c>
      <c r="J270" s="56" t="s">
        <v>124</v>
      </c>
      <c r="K270" s="106">
        <v>45930.0</v>
      </c>
      <c r="L270" s="106"/>
      <c r="M270" s="56" t="s">
        <v>109</v>
      </c>
      <c r="N270" s="102">
        <v>1113100.0</v>
      </c>
      <c r="O270" s="4"/>
    </row>
    <row r="271">
      <c r="A271" s="4"/>
      <c r="B271" s="4"/>
      <c r="C271" s="4"/>
      <c r="D271" s="4"/>
      <c r="E271" s="4"/>
      <c r="F271" s="4"/>
      <c r="G271" s="4"/>
      <c r="H271" s="4"/>
      <c r="I271" s="106">
        <v>46265.0</v>
      </c>
      <c r="J271" s="56" t="s">
        <v>124</v>
      </c>
      <c r="K271" s="106">
        <v>45930.0</v>
      </c>
      <c r="L271" s="106"/>
      <c r="M271" s="56" t="s">
        <v>111</v>
      </c>
      <c r="N271" s="102">
        <v>0.0</v>
      </c>
      <c r="O271" s="4"/>
    </row>
    <row r="272">
      <c r="A272" s="4"/>
      <c r="B272" s="4"/>
      <c r="C272" s="4"/>
      <c r="D272" s="4"/>
      <c r="E272" s="4"/>
      <c r="F272" s="4"/>
      <c r="G272" s="4"/>
      <c r="H272" s="4"/>
      <c r="I272" s="106">
        <v>46265.0</v>
      </c>
      <c r="J272" s="56" t="s">
        <v>124</v>
      </c>
      <c r="K272" s="106">
        <v>45930.0</v>
      </c>
      <c r="L272" s="106"/>
      <c r="M272" s="56" t="s">
        <v>112</v>
      </c>
      <c r="N272" s="56">
        <v>0.0</v>
      </c>
      <c r="O272" s="4"/>
    </row>
    <row r="273">
      <c r="A273" s="4"/>
      <c r="B273" s="4"/>
      <c r="C273" s="4"/>
      <c r="D273" s="4"/>
      <c r="E273" s="4"/>
      <c r="F273" s="4"/>
      <c r="G273" s="4"/>
      <c r="H273" s="4"/>
      <c r="I273" s="106">
        <v>46265.0</v>
      </c>
      <c r="J273" s="56" t="s">
        <v>124</v>
      </c>
      <c r="K273" s="106">
        <v>45930.0</v>
      </c>
      <c r="L273" s="106"/>
      <c r="M273" s="56" t="s">
        <v>46</v>
      </c>
      <c r="N273" s="56">
        <v>0.0</v>
      </c>
      <c r="O273" s="4"/>
    </row>
    <row r="274">
      <c r="A274" s="4"/>
      <c r="B274" s="4"/>
      <c r="C274" s="4"/>
      <c r="D274" s="4"/>
      <c r="E274" s="4"/>
      <c r="F274" s="4"/>
      <c r="G274" s="4"/>
      <c r="H274" s="4"/>
      <c r="I274" s="106">
        <v>46265.0</v>
      </c>
      <c r="J274" s="56" t="s">
        <v>124</v>
      </c>
      <c r="K274" s="106">
        <v>45930.0</v>
      </c>
      <c r="L274" s="106"/>
      <c r="M274" s="56" t="s">
        <v>114</v>
      </c>
      <c r="N274" s="56">
        <v>0.0</v>
      </c>
      <c r="O274" s="4"/>
    </row>
    <row r="275">
      <c r="A275" s="4"/>
      <c r="B275" s="4"/>
      <c r="C275" s="4"/>
      <c r="D275" s="4"/>
      <c r="E275" s="4"/>
      <c r="F275" s="4"/>
      <c r="G275" s="4"/>
      <c r="H275" s="4"/>
      <c r="I275" s="106">
        <v>46265.0</v>
      </c>
      <c r="J275" s="56" t="s">
        <v>124</v>
      </c>
      <c r="K275" s="106">
        <v>45930.0</v>
      </c>
      <c r="L275" s="106"/>
      <c r="M275" s="56" t="s">
        <v>23</v>
      </c>
      <c r="N275" s="56">
        <v>0.0</v>
      </c>
      <c r="O275" s="4"/>
    </row>
    <row r="276">
      <c r="A276" s="4"/>
      <c r="B276" s="4"/>
      <c r="C276" s="4"/>
      <c r="D276" s="4"/>
      <c r="E276" s="4"/>
      <c r="F276" s="4"/>
      <c r="G276" s="4"/>
      <c r="H276" s="4"/>
      <c r="I276" s="106">
        <v>46265.0</v>
      </c>
      <c r="J276" s="56" t="s">
        <v>124</v>
      </c>
      <c r="K276" s="106">
        <v>45930.0</v>
      </c>
      <c r="L276" s="106"/>
      <c r="M276" s="56" t="s">
        <v>117</v>
      </c>
      <c r="N276" s="56">
        <v>0.0</v>
      </c>
      <c r="O276" s="4"/>
    </row>
    <row r="277">
      <c r="A277" s="4"/>
      <c r="B277" s="4"/>
      <c r="C277" s="4"/>
      <c r="D277" s="4"/>
      <c r="E277" s="4"/>
      <c r="F277" s="4"/>
      <c r="G277" s="4"/>
      <c r="H277" s="4"/>
      <c r="I277" s="106">
        <v>46265.0</v>
      </c>
      <c r="J277" s="56" t="s">
        <v>124</v>
      </c>
      <c r="K277" s="106">
        <v>45930.0</v>
      </c>
      <c r="L277" s="106"/>
      <c r="M277" s="56" t="s">
        <v>14</v>
      </c>
      <c r="N277" s="56">
        <v>0.0</v>
      </c>
      <c r="O277" s="4"/>
    </row>
    <row r="278">
      <c r="A278" s="4"/>
      <c r="B278" s="4"/>
      <c r="C278" s="4"/>
      <c r="D278" s="4"/>
      <c r="E278" s="4"/>
      <c r="F278" s="4"/>
      <c r="G278" s="4"/>
      <c r="H278" s="4"/>
      <c r="I278" s="106">
        <v>46265.0</v>
      </c>
      <c r="J278" s="56" t="s">
        <v>124</v>
      </c>
      <c r="K278" s="106">
        <v>46022.0</v>
      </c>
      <c r="L278" s="106"/>
      <c r="M278" s="56" t="s">
        <v>93</v>
      </c>
      <c r="N278" s="56">
        <v>0.0</v>
      </c>
      <c r="O278" s="4"/>
    </row>
    <row r="279">
      <c r="A279" s="4"/>
      <c r="B279" s="4"/>
      <c r="C279" s="4"/>
      <c r="D279" s="4"/>
      <c r="E279" s="4"/>
      <c r="F279" s="4"/>
      <c r="G279" s="4"/>
      <c r="H279" s="4"/>
      <c r="I279" s="106">
        <v>46265.0</v>
      </c>
      <c r="J279" s="56" t="s">
        <v>124</v>
      </c>
      <c r="K279" s="106">
        <v>46022.0</v>
      </c>
      <c r="L279" s="106"/>
      <c r="M279" s="56" t="s">
        <v>94</v>
      </c>
      <c r="N279" s="56">
        <v>0.0</v>
      </c>
      <c r="O279" s="4"/>
    </row>
    <row r="280">
      <c r="A280" s="4"/>
      <c r="B280" s="4"/>
      <c r="C280" s="4"/>
      <c r="D280" s="4"/>
      <c r="E280" s="4"/>
      <c r="F280" s="4"/>
      <c r="G280" s="4"/>
      <c r="H280" s="4"/>
      <c r="I280" s="106">
        <v>46265.0</v>
      </c>
      <c r="J280" s="56" t="s">
        <v>124</v>
      </c>
      <c r="K280" s="106">
        <v>46022.0</v>
      </c>
      <c r="L280" s="106"/>
      <c r="M280" s="56" t="s">
        <v>95</v>
      </c>
      <c r="N280" s="56">
        <v>0.0</v>
      </c>
      <c r="O280" s="4"/>
    </row>
    <row r="281">
      <c r="A281" s="4"/>
      <c r="B281" s="4"/>
      <c r="C281" s="4"/>
      <c r="D281" s="4"/>
      <c r="E281" s="4"/>
      <c r="F281" s="4"/>
      <c r="G281" s="4"/>
      <c r="H281" s="4"/>
      <c r="I281" s="106">
        <v>46265.0</v>
      </c>
      <c r="J281" s="56" t="s">
        <v>124</v>
      </c>
      <c r="K281" s="106">
        <v>46022.0</v>
      </c>
      <c r="L281" s="106"/>
      <c r="M281" s="56" t="s">
        <v>96</v>
      </c>
      <c r="N281" s="56">
        <v>0.0</v>
      </c>
      <c r="O281" s="4"/>
    </row>
    <row r="282">
      <c r="A282" s="4"/>
      <c r="B282" s="4"/>
      <c r="C282" s="4"/>
      <c r="D282" s="4"/>
      <c r="E282" s="4"/>
      <c r="F282" s="4"/>
      <c r="G282" s="4"/>
      <c r="H282" s="4"/>
      <c r="I282" s="106">
        <v>46265.0</v>
      </c>
      <c r="J282" s="56" t="s">
        <v>124</v>
      </c>
      <c r="K282" s="106">
        <v>46022.0</v>
      </c>
      <c r="L282" s="106"/>
      <c r="M282" s="56" t="s">
        <v>97</v>
      </c>
      <c r="N282" s="102">
        <v>0.0</v>
      </c>
      <c r="O282" s="4"/>
    </row>
    <row r="283">
      <c r="A283" s="4"/>
      <c r="B283" s="4"/>
      <c r="C283" s="4"/>
      <c r="D283" s="4"/>
      <c r="E283" s="4"/>
      <c r="F283" s="4"/>
      <c r="G283" s="4"/>
      <c r="H283" s="4"/>
      <c r="I283" s="106">
        <v>46265.0</v>
      </c>
      <c r="J283" s="56" t="s">
        <v>124</v>
      </c>
      <c r="K283" s="106">
        <v>46022.0</v>
      </c>
      <c r="L283" s="106"/>
      <c r="M283" s="56" t="s">
        <v>98</v>
      </c>
      <c r="N283" s="102">
        <v>0.0</v>
      </c>
      <c r="O283" s="4"/>
    </row>
    <row r="284">
      <c r="A284" s="4"/>
      <c r="B284" s="4"/>
      <c r="C284" s="4"/>
      <c r="D284" s="4"/>
      <c r="E284" s="4"/>
      <c r="F284" s="4"/>
      <c r="G284" s="4"/>
      <c r="H284" s="4"/>
      <c r="I284" s="106">
        <v>46265.0</v>
      </c>
      <c r="J284" s="56" t="s">
        <v>124</v>
      </c>
      <c r="K284" s="106">
        <v>46022.0</v>
      </c>
      <c r="L284" s="106"/>
      <c r="M284" s="56" t="s">
        <v>99</v>
      </c>
      <c r="N284" s="56">
        <v>0.0</v>
      </c>
      <c r="O284" s="4"/>
    </row>
    <row r="285">
      <c r="A285" s="4"/>
      <c r="B285" s="4"/>
      <c r="C285" s="4"/>
      <c r="D285" s="4"/>
      <c r="E285" s="4"/>
      <c r="F285" s="4"/>
      <c r="G285" s="4"/>
      <c r="H285" s="4"/>
      <c r="I285" s="106">
        <v>46265.0</v>
      </c>
      <c r="J285" s="56" t="s">
        <v>124</v>
      </c>
      <c r="K285" s="106">
        <v>46022.0</v>
      </c>
      <c r="L285" s="106"/>
      <c r="M285" s="56" t="s">
        <v>100</v>
      </c>
      <c r="N285" s="56">
        <v>0.0</v>
      </c>
      <c r="O285" s="4"/>
    </row>
    <row r="286">
      <c r="A286" s="4"/>
      <c r="B286" s="4"/>
      <c r="C286" s="4"/>
      <c r="D286" s="4"/>
      <c r="E286" s="4"/>
      <c r="F286" s="4"/>
      <c r="G286" s="4"/>
      <c r="H286" s="4"/>
      <c r="I286" s="106">
        <v>46265.0</v>
      </c>
      <c r="J286" s="56" t="s">
        <v>124</v>
      </c>
      <c r="K286" s="106">
        <v>46022.0</v>
      </c>
      <c r="L286" s="106"/>
      <c r="M286" s="56" t="s">
        <v>101</v>
      </c>
      <c r="N286" s="56">
        <v>0.0</v>
      </c>
      <c r="O286" s="4"/>
    </row>
    <row r="287">
      <c r="A287" s="4"/>
      <c r="B287" s="4"/>
      <c r="C287" s="4"/>
      <c r="D287" s="4"/>
      <c r="E287" s="4"/>
      <c r="F287" s="4"/>
      <c r="G287" s="4"/>
      <c r="H287" s="4"/>
      <c r="I287" s="106">
        <v>46265.0</v>
      </c>
      <c r="J287" s="56" t="s">
        <v>124</v>
      </c>
      <c r="K287" s="106">
        <v>46022.0</v>
      </c>
      <c r="L287" s="106"/>
      <c r="M287" s="56" t="s">
        <v>102</v>
      </c>
      <c r="N287" s="56">
        <v>0.0</v>
      </c>
      <c r="O287" s="4"/>
    </row>
    <row r="288">
      <c r="A288" s="4"/>
      <c r="B288" s="4"/>
      <c r="C288" s="4"/>
      <c r="D288" s="4"/>
      <c r="E288" s="4"/>
      <c r="F288" s="4"/>
      <c r="G288" s="4"/>
      <c r="H288" s="4"/>
      <c r="I288" s="106">
        <v>46265.0</v>
      </c>
      <c r="J288" s="56" t="s">
        <v>124</v>
      </c>
      <c r="K288" s="106">
        <v>46022.0</v>
      </c>
      <c r="L288" s="106"/>
      <c r="M288" s="56" t="s">
        <v>103</v>
      </c>
      <c r="N288" s="56">
        <v>0.0</v>
      </c>
      <c r="O288" s="4"/>
    </row>
    <row r="289">
      <c r="A289" s="4"/>
      <c r="B289" s="4"/>
      <c r="C289" s="4"/>
      <c r="D289" s="4"/>
      <c r="E289" s="4"/>
      <c r="F289" s="4"/>
      <c r="G289" s="4"/>
      <c r="H289" s="4"/>
      <c r="I289" s="106">
        <v>46265.0</v>
      </c>
      <c r="J289" s="56" t="s">
        <v>124</v>
      </c>
      <c r="K289" s="106">
        <v>46022.0</v>
      </c>
      <c r="L289" s="106"/>
      <c r="M289" s="56" t="s">
        <v>105</v>
      </c>
      <c r="N289" s="56">
        <v>0.0</v>
      </c>
      <c r="O289" s="4"/>
    </row>
    <row r="290">
      <c r="A290" s="4"/>
      <c r="B290" s="4"/>
      <c r="C290" s="4"/>
      <c r="D290" s="4"/>
      <c r="E290" s="4"/>
      <c r="F290" s="4"/>
      <c r="G290" s="4"/>
      <c r="H290" s="4"/>
      <c r="I290" s="106">
        <v>46265.0</v>
      </c>
      <c r="J290" s="56" t="s">
        <v>124</v>
      </c>
      <c r="K290" s="106">
        <v>46022.0</v>
      </c>
      <c r="L290" s="106"/>
      <c r="M290" s="56" t="s">
        <v>107</v>
      </c>
      <c r="N290" s="56">
        <v>0.0</v>
      </c>
      <c r="O290" s="4"/>
    </row>
    <row r="291">
      <c r="A291" s="4"/>
      <c r="B291" s="4"/>
      <c r="C291" s="4"/>
      <c r="D291" s="4"/>
      <c r="E291" s="4"/>
      <c r="F291" s="4"/>
      <c r="G291" s="4"/>
      <c r="H291" s="4"/>
      <c r="I291" s="106">
        <v>46265.0</v>
      </c>
      <c r="J291" s="56" t="s">
        <v>124</v>
      </c>
      <c r="K291" s="101">
        <v>46022.0</v>
      </c>
      <c r="L291" s="101"/>
      <c r="M291" s="56" t="s">
        <v>109</v>
      </c>
      <c r="N291" s="56">
        <v>0.0</v>
      </c>
      <c r="O291" s="4"/>
    </row>
    <row r="292">
      <c r="A292" s="4"/>
      <c r="B292" s="4"/>
      <c r="C292" s="4"/>
      <c r="D292" s="4"/>
      <c r="E292" s="4"/>
      <c r="F292" s="4"/>
      <c r="G292" s="4"/>
      <c r="H292" s="4"/>
      <c r="I292" s="106">
        <v>46265.0</v>
      </c>
      <c r="J292" s="56" t="s">
        <v>124</v>
      </c>
      <c r="K292" s="101">
        <v>46022.0</v>
      </c>
      <c r="L292" s="101"/>
      <c r="M292" s="56" t="s">
        <v>111</v>
      </c>
      <c r="N292" s="56">
        <v>0.0</v>
      </c>
      <c r="O292" s="4"/>
    </row>
    <row r="293">
      <c r="A293" s="4"/>
      <c r="B293" s="4"/>
      <c r="C293" s="4"/>
      <c r="D293" s="4"/>
      <c r="E293" s="4"/>
      <c r="F293" s="4"/>
      <c r="G293" s="4"/>
      <c r="H293" s="4"/>
      <c r="I293" s="106">
        <v>46265.0</v>
      </c>
      <c r="J293" s="56" t="s">
        <v>124</v>
      </c>
      <c r="K293" s="101">
        <v>46022.0</v>
      </c>
      <c r="L293" s="101"/>
      <c r="M293" s="56" t="s">
        <v>112</v>
      </c>
      <c r="N293" s="56">
        <v>0.0</v>
      </c>
      <c r="O293" s="4"/>
    </row>
    <row r="294">
      <c r="A294" s="4"/>
      <c r="B294" s="4"/>
      <c r="C294" s="4"/>
      <c r="D294" s="4"/>
      <c r="E294" s="4"/>
      <c r="F294" s="4"/>
      <c r="G294" s="4"/>
      <c r="H294" s="4"/>
      <c r="I294" s="106">
        <v>46265.0</v>
      </c>
      <c r="J294" s="56" t="s">
        <v>124</v>
      </c>
      <c r="K294" s="101">
        <v>46022.0</v>
      </c>
      <c r="L294" s="101"/>
      <c r="M294" s="56" t="s">
        <v>46</v>
      </c>
      <c r="N294" s="56">
        <v>0.0</v>
      </c>
      <c r="O294" s="4"/>
    </row>
    <row r="295">
      <c r="A295" s="4"/>
      <c r="B295" s="4"/>
      <c r="C295" s="4"/>
      <c r="D295" s="4"/>
      <c r="E295" s="4"/>
      <c r="F295" s="4"/>
      <c r="G295" s="4"/>
      <c r="H295" s="4"/>
      <c r="I295" s="106">
        <v>46265.0</v>
      </c>
      <c r="J295" s="56" t="s">
        <v>124</v>
      </c>
      <c r="K295" s="101">
        <v>46022.0</v>
      </c>
      <c r="L295" s="101"/>
      <c r="M295" s="56" t="s">
        <v>114</v>
      </c>
      <c r="N295" s="56">
        <v>0.0</v>
      </c>
      <c r="O295" s="4"/>
    </row>
    <row r="296">
      <c r="A296" s="4"/>
      <c r="B296" s="4"/>
      <c r="C296" s="4"/>
      <c r="D296" s="4"/>
      <c r="E296" s="4"/>
      <c r="F296" s="4"/>
      <c r="G296" s="4"/>
      <c r="H296" s="4"/>
      <c r="I296" s="106">
        <v>46265.0</v>
      </c>
      <c r="J296" s="56" t="s">
        <v>124</v>
      </c>
      <c r="K296" s="101">
        <v>46022.0</v>
      </c>
      <c r="L296" s="101"/>
      <c r="M296" s="56" t="s">
        <v>23</v>
      </c>
      <c r="N296" s="56">
        <v>0.0</v>
      </c>
      <c r="O296" s="4"/>
    </row>
    <row r="297">
      <c r="A297" s="4"/>
      <c r="B297" s="4"/>
      <c r="C297" s="4"/>
      <c r="D297" s="4"/>
      <c r="E297" s="4"/>
      <c r="F297" s="4"/>
      <c r="G297" s="4"/>
      <c r="H297" s="4"/>
      <c r="I297" s="106">
        <v>46265.0</v>
      </c>
      <c r="J297" s="56" t="s">
        <v>124</v>
      </c>
      <c r="K297" s="101">
        <v>46022.0</v>
      </c>
      <c r="L297" s="101"/>
      <c r="M297" s="56" t="s">
        <v>117</v>
      </c>
      <c r="N297" s="56">
        <v>0.0</v>
      </c>
      <c r="O297" s="4"/>
    </row>
    <row r="298">
      <c r="A298" s="4"/>
      <c r="B298" s="4"/>
      <c r="C298" s="4"/>
      <c r="D298" s="4"/>
      <c r="E298" s="4"/>
      <c r="F298" s="4"/>
      <c r="G298" s="4"/>
      <c r="H298" s="4"/>
      <c r="I298" s="106">
        <v>46265.0</v>
      </c>
      <c r="J298" s="56" t="s">
        <v>124</v>
      </c>
      <c r="K298" s="101">
        <v>46022.0</v>
      </c>
      <c r="L298" s="101"/>
      <c r="M298" s="56" t="s">
        <v>14</v>
      </c>
      <c r="N298" s="56">
        <v>0.0</v>
      </c>
      <c r="O298" s="4"/>
    </row>
    <row r="299">
      <c r="A299" s="4"/>
      <c r="B299" s="4"/>
      <c r="C299" s="4"/>
      <c r="D299" s="4"/>
      <c r="E299" s="4"/>
      <c r="F299" s="4"/>
      <c r="G299" s="4"/>
      <c r="H299" s="4"/>
      <c r="I299" s="106">
        <v>46265.0</v>
      </c>
      <c r="J299" s="56" t="s">
        <v>124</v>
      </c>
      <c r="K299" s="101">
        <v>46053.0</v>
      </c>
      <c r="L299" s="101"/>
      <c r="M299" s="56" t="s">
        <v>93</v>
      </c>
      <c r="N299" s="56">
        <v>0.0</v>
      </c>
      <c r="O299" s="4"/>
    </row>
    <row r="300">
      <c r="A300" s="4"/>
      <c r="B300" s="4"/>
      <c r="C300" s="4"/>
      <c r="D300" s="4"/>
      <c r="E300" s="4"/>
      <c r="F300" s="4"/>
      <c r="G300" s="4"/>
      <c r="H300" s="4"/>
      <c r="I300" s="106">
        <v>46265.0</v>
      </c>
      <c r="J300" s="56" t="s">
        <v>124</v>
      </c>
      <c r="K300" s="101">
        <v>46053.0</v>
      </c>
      <c r="L300" s="101"/>
      <c r="M300" s="56" t="s">
        <v>94</v>
      </c>
      <c r="N300" s="56">
        <v>0.0</v>
      </c>
      <c r="O300" s="4"/>
    </row>
    <row r="301">
      <c r="A301" s="4"/>
      <c r="B301" s="4"/>
      <c r="C301" s="4"/>
      <c r="D301" s="4"/>
      <c r="E301" s="4"/>
      <c r="F301" s="4"/>
      <c r="G301" s="4"/>
      <c r="H301" s="4"/>
      <c r="I301" s="106">
        <v>46265.0</v>
      </c>
      <c r="J301" s="56" t="s">
        <v>124</v>
      </c>
      <c r="K301" s="101">
        <v>46053.0</v>
      </c>
      <c r="L301" s="101"/>
      <c r="M301" s="56" t="s">
        <v>95</v>
      </c>
      <c r="N301" s="56">
        <v>0.0</v>
      </c>
      <c r="O301" s="4"/>
    </row>
    <row r="302">
      <c r="A302" s="4"/>
      <c r="B302" s="4"/>
      <c r="C302" s="4"/>
      <c r="D302" s="4"/>
      <c r="E302" s="4"/>
      <c r="F302" s="4"/>
      <c r="G302" s="4"/>
      <c r="H302" s="4"/>
      <c r="I302" s="106">
        <v>46265.0</v>
      </c>
      <c r="J302" s="56" t="s">
        <v>124</v>
      </c>
      <c r="K302" s="101">
        <v>46053.0</v>
      </c>
      <c r="L302" s="101"/>
      <c r="M302" s="56" t="s">
        <v>96</v>
      </c>
      <c r="N302" s="56">
        <v>0.0</v>
      </c>
      <c r="O302" s="4"/>
    </row>
    <row r="303">
      <c r="A303" s="4"/>
      <c r="B303" s="4"/>
      <c r="C303" s="4"/>
      <c r="D303" s="4"/>
      <c r="E303" s="4"/>
      <c r="F303" s="4"/>
      <c r="G303" s="4"/>
      <c r="H303" s="4"/>
      <c r="I303" s="106">
        <v>46265.0</v>
      </c>
      <c r="J303" s="56" t="s">
        <v>124</v>
      </c>
      <c r="K303" s="101">
        <v>46053.0</v>
      </c>
      <c r="L303" s="101"/>
      <c r="M303" s="56" t="s">
        <v>97</v>
      </c>
      <c r="N303" s="56">
        <v>0.0</v>
      </c>
      <c r="O303" s="4"/>
    </row>
    <row r="304">
      <c r="A304" s="4"/>
      <c r="B304" s="4"/>
      <c r="C304" s="4"/>
      <c r="D304" s="4"/>
      <c r="E304" s="4"/>
      <c r="F304" s="4"/>
      <c r="G304" s="4"/>
      <c r="H304" s="4"/>
      <c r="I304" s="106">
        <v>46265.0</v>
      </c>
      <c r="J304" s="56" t="s">
        <v>124</v>
      </c>
      <c r="K304" s="101">
        <v>46053.0</v>
      </c>
      <c r="L304" s="101"/>
      <c r="M304" s="56" t="s">
        <v>98</v>
      </c>
      <c r="N304" s="56">
        <v>0.0</v>
      </c>
      <c r="O304" s="4"/>
    </row>
    <row r="305">
      <c r="A305" s="4"/>
      <c r="B305" s="4"/>
      <c r="C305" s="4"/>
      <c r="D305" s="4"/>
      <c r="E305" s="4"/>
      <c r="F305" s="4"/>
      <c r="G305" s="4"/>
      <c r="H305" s="4"/>
      <c r="I305" s="106">
        <v>46265.0</v>
      </c>
      <c r="J305" s="56" t="s">
        <v>124</v>
      </c>
      <c r="K305" s="101">
        <v>46053.0</v>
      </c>
      <c r="L305" s="101"/>
      <c r="M305" s="56" t="s">
        <v>99</v>
      </c>
      <c r="N305" s="56">
        <v>0.0</v>
      </c>
      <c r="O305" s="4"/>
    </row>
    <row r="306">
      <c r="A306" s="4"/>
      <c r="B306" s="4"/>
      <c r="C306" s="4"/>
      <c r="D306" s="4"/>
      <c r="E306" s="4"/>
      <c r="F306" s="4"/>
      <c r="G306" s="4"/>
      <c r="H306" s="4"/>
      <c r="I306" s="106">
        <v>46265.0</v>
      </c>
      <c r="J306" s="56" t="s">
        <v>124</v>
      </c>
      <c r="K306" s="101">
        <v>46053.0</v>
      </c>
      <c r="L306" s="101"/>
      <c r="M306" s="56" t="s">
        <v>100</v>
      </c>
      <c r="N306" s="56">
        <v>0.0</v>
      </c>
      <c r="O306" s="4"/>
    </row>
    <row r="307">
      <c r="A307" s="4"/>
      <c r="B307" s="4"/>
      <c r="C307" s="4"/>
      <c r="D307" s="4"/>
      <c r="E307" s="4"/>
      <c r="F307" s="4"/>
      <c r="G307" s="4"/>
      <c r="H307" s="4"/>
      <c r="I307" s="106">
        <v>46265.0</v>
      </c>
      <c r="J307" s="56" t="s">
        <v>124</v>
      </c>
      <c r="K307" s="101">
        <v>46053.0</v>
      </c>
      <c r="L307" s="101"/>
      <c r="M307" s="56" t="s">
        <v>101</v>
      </c>
      <c r="N307" s="56">
        <v>0.0</v>
      </c>
      <c r="O307" s="4"/>
    </row>
    <row r="308">
      <c r="A308" s="4"/>
      <c r="B308" s="4"/>
      <c r="C308" s="4"/>
      <c r="D308" s="4"/>
      <c r="E308" s="4"/>
      <c r="F308" s="4"/>
      <c r="G308" s="4"/>
      <c r="H308" s="4"/>
      <c r="I308" s="106">
        <v>46265.0</v>
      </c>
      <c r="J308" s="56" t="s">
        <v>124</v>
      </c>
      <c r="K308" s="101">
        <v>46053.0</v>
      </c>
      <c r="L308" s="101"/>
      <c r="M308" s="56" t="s">
        <v>102</v>
      </c>
      <c r="N308" s="56">
        <v>0.0</v>
      </c>
      <c r="O308" s="4"/>
    </row>
    <row r="309">
      <c r="A309" s="4"/>
      <c r="B309" s="4"/>
      <c r="C309" s="4"/>
      <c r="D309" s="4"/>
      <c r="E309" s="4"/>
      <c r="F309" s="4"/>
      <c r="G309" s="4"/>
      <c r="H309" s="4"/>
      <c r="I309" s="106">
        <v>46265.0</v>
      </c>
      <c r="J309" s="56" t="s">
        <v>124</v>
      </c>
      <c r="K309" s="101">
        <v>46053.0</v>
      </c>
      <c r="L309" s="101"/>
      <c r="M309" s="56" t="s">
        <v>103</v>
      </c>
      <c r="N309" s="56">
        <v>0.0</v>
      </c>
      <c r="O309" s="4"/>
    </row>
    <row r="310">
      <c r="A310" s="4"/>
      <c r="B310" s="4"/>
      <c r="C310" s="4"/>
      <c r="D310" s="4"/>
      <c r="E310" s="4"/>
      <c r="F310" s="4"/>
      <c r="G310" s="4"/>
      <c r="H310" s="4"/>
      <c r="I310" s="106">
        <v>46265.0</v>
      </c>
      <c r="J310" s="56" t="s">
        <v>124</v>
      </c>
      <c r="K310" s="101">
        <v>46053.0</v>
      </c>
      <c r="L310" s="101"/>
      <c r="M310" s="56" t="s">
        <v>105</v>
      </c>
      <c r="N310" s="56">
        <v>0.0</v>
      </c>
      <c r="O310" s="4"/>
    </row>
    <row r="311">
      <c r="A311" s="4"/>
      <c r="B311" s="4"/>
      <c r="C311" s="4"/>
      <c r="D311" s="4"/>
      <c r="E311" s="4"/>
      <c r="F311" s="4"/>
      <c r="G311" s="4"/>
      <c r="H311" s="4"/>
      <c r="I311" s="106">
        <v>46265.0</v>
      </c>
      <c r="J311" s="56" t="s">
        <v>124</v>
      </c>
      <c r="K311" s="101">
        <v>46053.0</v>
      </c>
      <c r="L311" s="101"/>
      <c r="M311" s="56" t="s">
        <v>107</v>
      </c>
      <c r="N311" s="56">
        <v>0.0</v>
      </c>
      <c r="O311" s="4"/>
    </row>
    <row r="312">
      <c r="A312" s="4"/>
      <c r="B312" s="4"/>
      <c r="C312" s="4"/>
      <c r="D312" s="4"/>
      <c r="E312" s="4"/>
      <c r="F312" s="4"/>
      <c r="G312" s="4"/>
      <c r="H312" s="4"/>
      <c r="I312" s="106">
        <v>46265.0</v>
      </c>
      <c r="J312" s="56" t="s">
        <v>124</v>
      </c>
      <c r="K312" s="101">
        <v>46053.0</v>
      </c>
      <c r="L312" s="101"/>
      <c r="M312" s="56" t="s">
        <v>109</v>
      </c>
      <c r="N312" s="56">
        <v>0.0</v>
      </c>
      <c r="O312" s="4"/>
    </row>
    <row r="313">
      <c r="A313" s="4"/>
      <c r="B313" s="4"/>
      <c r="C313" s="4"/>
      <c r="D313" s="4"/>
      <c r="E313" s="4"/>
      <c r="F313" s="4"/>
      <c r="G313" s="4"/>
      <c r="H313" s="4"/>
      <c r="I313" s="106">
        <v>46265.0</v>
      </c>
      <c r="J313" s="56" t="s">
        <v>124</v>
      </c>
      <c r="K313" s="106">
        <v>46053.0</v>
      </c>
      <c r="L313" s="106"/>
      <c r="M313" s="56" t="s">
        <v>111</v>
      </c>
      <c r="N313" s="56">
        <v>0.0</v>
      </c>
      <c r="O313" s="4"/>
    </row>
    <row r="314">
      <c r="A314" s="4"/>
      <c r="B314" s="4"/>
      <c r="C314" s="4"/>
      <c r="D314" s="4"/>
      <c r="E314" s="4"/>
      <c r="F314" s="4"/>
      <c r="G314" s="4"/>
      <c r="H314" s="4"/>
      <c r="I314" s="106">
        <v>46265.0</v>
      </c>
      <c r="J314" s="56" t="s">
        <v>124</v>
      </c>
      <c r="K314" s="106">
        <v>46053.0</v>
      </c>
      <c r="L314" s="106"/>
      <c r="M314" s="56" t="s">
        <v>112</v>
      </c>
      <c r="N314" s="56">
        <v>0.0</v>
      </c>
      <c r="O314" s="4"/>
    </row>
    <row r="315">
      <c r="A315" s="4"/>
      <c r="B315" s="4"/>
      <c r="C315" s="4"/>
      <c r="D315" s="4"/>
      <c r="E315" s="4"/>
      <c r="F315" s="4"/>
      <c r="G315" s="4"/>
      <c r="H315" s="4"/>
      <c r="I315" s="106">
        <v>46265.0</v>
      </c>
      <c r="J315" s="56" t="s">
        <v>124</v>
      </c>
      <c r="K315" s="106">
        <v>46053.0</v>
      </c>
      <c r="L315" s="106"/>
      <c r="M315" s="56" t="s">
        <v>46</v>
      </c>
      <c r="N315" s="56">
        <v>0.0</v>
      </c>
      <c r="O315" s="4"/>
    </row>
    <row r="316">
      <c r="A316" s="4"/>
      <c r="B316" s="4"/>
      <c r="C316" s="4"/>
      <c r="D316" s="4"/>
      <c r="E316" s="4"/>
      <c r="F316" s="4"/>
      <c r="G316" s="4"/>
      <c r="H316" s="4"/>
      <c r="I316" s="106">
        <v>46265.0</v>
      </c>
      <c r="J316" s="56" t="s">
        <v>124</v>
      </c>
      <c r="K316" s="106">
        <v>46053.0</v>
      </c>
      <c r="L316" s="106"/>
      <c r="M316" s="56" t="s">
        <v>114</v>
      </c>
      <c r="N316" s="56">
        <v>0.0</v>
      </c>
      <c r="O316" s="4"/>
    </row>
    <row r="317">
      <c r="A317" s="4"/>
      <c r="B317" s="4"/>
      <c r="C317" s="4"/>
      <c r="D317" s="4"/>
      <c r="E317" s="4"/>
      <c r="F317" s="4"/>
      <c r="G317" s="4"/>
      <c r="H317" s="4"/>
      <c r="I317" s="106">
        <v>46265.0</v>
      </c>
      <c r="J317" s="56" t="s">
        <v>124</v>
      </c>
      <c r="K317" s="106">
        <v>46053.0</v>
      </c>
      <c r="L317" s="106"/>
      <c r="M317" s="56" t="s">
        <v>23</v>
      </c>
      <c r="N317" s="56">
        <v>0.0</v>
      </c>
      <c r="O317" s="4"/>
    </row>
    <row r="318">
      <c r="A318" s="4"/>
      <c r="B318" s="4"/>
      <c r="C318" s="4"/>
      <c r="D318" s="4"/>
      <c r="E318" s="4"/>
      <c r="F318" s="4"/>
      <c r="G318" s="4"/>
      <c r="H318" s="4"/>
      <c r="I318" s="106">
        <v>46265.0</v>
      </c>
      <c r="J318" s="56" t="s">
        <v>124</v>
      </c>
      <c r="K318" s="106">
        <v>46053.0</v>
      </c>
      <c r="L318" s="106"/>
      <c r="M318" s="56" t="s">
        <v>117</v>
      </c>
      <c r="N318" s="56">
        <v>0.0</v>
      </c>
      <c r="O318" s="4"/>
    </row>
    <row r="319">
      <c r="A319" s="4"/>
      <c r="B319" s="4"/>
      <c r="C319" s="4"/>
      <c r="D319" s="4"/>
      <c r="E319" s="4"/>
      <c r="F319" s="4"/>
      <c r="G319" s="4"/>
      <c r="H319" s="4"/>
      <c r="I319" s="106">
        <v>46265.0</v>
      </c>
      <c r="J319" s="56" t="s">
        <v>124</v>
      </c>
      <c r="K319" s="106">
        <v>46053.0</v>
      </c>
      <c r="L319" s="106"/>
      <c r="M319" s="56" t="s">
        <v>14</v>
      </c>
      <c r="N319" s="102">
        <v>100000.0</v>
      </c>
      <c r="O319" s="4"/>
    </row>
    <row r="320">
      <c r="A320" s="4"/>
      <c r="B320" s="4"/>
      <c r="C320" s="4"/>
      <c r="D320" s="4"/>
      <c r="E320" s="4"/>
      <c r="F320" s="4"/>
      <c r="G320" s="4"/>
      <c r="H320" s="4"/>
      <c r="I320" s="106">
        <v>46265.0</v>
      </c>
      <c r="J320" s="56" t="s">
        <v>124</v>
      </c>
      <c r="K320" s="106">
        <v>46081.0</v>
      </c>
      <c r="L320" s="106"/>
      <c r="M320" s="56" t="s">
        <v>93</v>
      </c>
      <c r="N320" s="56">
        <v>0.0</v>
      </c>
      <c r="O320" s="4"/>
    </row>
    <row r="321">
      <c r="A321" s="4"/>
      <c r="B321" s="4"/>
      <c r="C321" s="4"/>
      <c r="D321" s="4"/>
      <c r="E321" s="4"/>
      <c r="F321" s="4"/>
      <c r="G321" s="4"/>
      <c r="H321" s="4"/>
      <c r="I321" s="106">
        <v>46265.0</v>
      </c>
      <c r="J321" s="56" t="s">
        <v>124</v>
      </c>
      <c r="K321" s="106">
        <v>46081.0</v>
      </c>
      <c r="L321" s="106"/>
      <c r="M321" s="56" t="s">
        <v>94</v>
      </c>
      <c r="N321" s="56">
        <v>0.0</v>
      </c>
      <c r="O321" s="4"/>
    </row>
    <row r="322">
      <c r="A322" s="4"/>
      <c r="B322" s="4"/>
      <c r="C322" s="4"/>
      <c r="D322" s="4"/>
      <c r="E322" s="4"/>
      <c r="F322" s="4"/>
      <c r="G322" s="4"/>
      <c r="H322" s="4"/>
      <c r="I322" s="106">
        <v>46265.0</v>
      </c>
      <c r="J322" s="56" t="s">
        <v>124</v>
      </c>
      <c r="K322" s="106">
        <v>46081.0</v>
      </c>
      <c r="L322" s="106"/>
      <c r="M322" s="56" t="s">
        <v>95</v>
      </c>
      <c r="N322" s="56">
        <v>0.0</v>
      </c>
      <c r="O322" s="4"/>
    </row>
    <row r="323">
      <c r="A323" s="4"/>
      <c r="B323" s="4"/>
      <c r="C323" s="4"/>
      <c r="D323" s="4"/>
      <c r="E323" s="4"/>
      <c r="F323" s="4"/>
      <c r="G323" s="4"/>
      <c r="H323" s="4"/>
      <c r="I323" s="106">
        <v>46265.0</v>
      </c>
      <c r="J323" s="56" t="s">
        <v>124</v>
      </c>
      <c r="K323" s="106">
        <v>46081.0</v>
      </c>
      <c r="L323" s="106"/>
      <c r="M323" s="56" t="s">
        <v>96</v>
      </c>
      <c r="N323" s="56">
        <v>0.0</v>
      </c>
      <c r="O323" s="4"/>
    </row>
    <row r="324">
      <c r="A324" s="4"/>
      <c r="B324" s="4"/>
      <c r="C324" s="4"/>
      <c r="D324" s="4"/>
      <c r="E324" s="4"/>
      <c r="F324" s="4"/>
      <c r="G324" s="4"/>
      <c r="H324" s="4"/>
      <c r="I324" s="106">
        <v>46265.0</v>
      </c>
      <c r="J324" s="56" t="s">
        <v>124</v>
      </c>
      <c r="K324" s="106">
        <v>46081.0</v>
      </c>
      <c r="L324" s="106"/>
      <c r="M324" s="56" t="s">
        <v>97</v>
      </c>
      <c r="N324" s="56">
        <v>0.0</v>
      </c>
      <c r="O324" s="4"/>
    </row>
    <row r="325">
      <c r="A325" s="4"/>
      <c r="B325" s="4"/>
      <c r="C325" s="4"/>
      <c r="D325" s="4"/>
      <c r="E325" s="4"/>
      <c r="F325" s="4"/>
      <c r="G325" s="4"/>
      <c r="H325" s="4"/>
      <c r="I325" s="106">
        <v>46265.0</v>
      </c>
      <c r="J325" s="56" t="s">
        <v>124</v>
      </c>
      <c r="K325" s="106">
        <v>46081.0</v>
      </c>
      <c r="L325" s="106"/>
      <c r="M325" s="56" t="s">
        <v>98</v>
      </c>
      <c r="N325" s="56">
        <v>0.0</v>
      </c>
      <c r="O325" s="4"/>
    </row>
    <row r="326">
      <c r="A326" s="4"/>
      <c r="B326" s="4"/>
      <c r="C326" s="4"/>
      <c r="D326" s="4"/>
      <c r="E326" s="4"/>
      <c r="F326" s="4"/>
      <c r="G326" s="4"/>
      <c r="H326" s="4"/>
      <c r="I326" s="106">
        <v>46265.0</v>
      </c>
      <c r="J326" s="56" t="s">
        <v>124</v>
      </c>
      <c r="K326" s="106">
        <v>46081.0</v>
      </c>
      <c r="L326" s="106"/>
      <c r="M326" s="56" t="s">
        <v>99</v>
      </c>
      <c r="N326" s="56">
        <v>0.0</v>
      </c>
      <c r="O326" s="4"/>
    </row>
    <row r="327">
      <c r="A327" s="4"/>
      <c r="B327" s="4"/>
      <c r="C327" s="4"/>
      <c r="D327" s="4"/>
      <c r="E327" s="4"/>
      <c r="F327" s="4"/>
      <c r="G327" s="4"/>
      <c r="H327" s="4"/>
      <c r="I327" s="106">
        <v>46265.0</v>
      </c>
      <c r="J327" s="56" t="s">
        <v>124</v>
      </c>
      <c r="K327" s="106">
        <v>46081.0</v>
      </c>
      <c r="L327" s="106"/>
      <c r="M327" s="56" t="s">
        <v>100</v>
      </c>
      <c r="N327" s="56">
        <v>0.0</v>
      </c>
      <c r="O327" s="4"/>
    </row>
    <row r="328">
      <c r="A328" s="4"/>
      <c r="B328" s="4"/>
      <c r="C328" s="4"/>
      <c r="D328" s="4"/>
      <c r="E328" s="4"/>
      <c r="F328" s="4"/>
      <c r="G328" s="4"/>
      <c r="H328" s="4"/>
      <c r="I328" s="106">
        <v>46265.0</v>
      </c>
      <c r="J328" s="56" t="s">
        <v>124</v>
      </c>
      <c r="K328" s="106">
        <v>46081.0</v>
      </c>
      <c r="L328" s="106"/>
      <c r="M328" s="56" t="s">
        <v>101</v>
      </c>
      <c r="N328" s="56">
        <v>0.0</v>
      </c>
      <c r="O328" s="4"/>
    </row>
    <row r="329">
      <c r="A329" s="4"/>
      <c r="B329" s="4"/>
      <c r="C329" s="4"/>
      <c r="D329" s="4"/>
      <c r="E329" s="4"/>
      <c r="F329" s="4"/>
      <c r="G329" s="4"/>
      <c r="H329" s="4"/>
      <c r="I329" s="106">
        <v>46265.0</v>
      </c>
      <c r="J329" s="56" t="s">
        <v>124</v>
      </c>
      <c r="K329" s="106">
        <v>46081.0</v>
      </c>
      <c r="L329" s="106"/>
      <c r="M329" s="56" t="s">
        <v>102</v>
      </c>
      <c r="N329" s="56">
        <v>0.0</v>
      </c>
      <c r="O329" s="4"/>
    </row>
    <row r="330">
      <c r="A330" s="4"/>
      <c r="B330" s="4"/>
      <c r="C330" s="4"/>
      <c r="D330" s="4"/>
      <c r="E330" s="4"/>
      <c r="F330" s="4"/>
      <c r="G330" s="4"/>
      <c r="H330" s="4"/>
      <c r="I330" s="106">
        <v>46265.0</v>
      </c>
      <c r="J330" s="56" t="s">
        <v>124</v>
      </c>
      <c r="K330" s="106">
        <v>46081.0</v>
      </c>
      <c r="L330" s="106"/>
      <c r="M330" s="56" t="s">
        <v>103</v>
      </c>
      <c r="N330" s="56">
        <v>0.0</v>
      </c>
      <c r="O330" s="4"/>
    </row>
    <row r="331">
      <c r="A331" s="4"/>
      <c r="B331" s="4"/>
      <c r="C331" s="4"/>
      <c r="D331" s="4"/>
      <c r="E331" s="4"/>
      <c r="F331" s="4"/>
      <c r="G331" s="4"/>
      <c r="H331" s="4"/>
      <c r="I331" s="106">
        <v>46265.0</v>
      </c>
      <c r="J331" s="56" t="s">
        <v>124</v>
      </c>
      <c r="K331" s="106">
        <v>46081.0</v>
      </c>
      <c r="L331" s="106"/>
      <c r="M331" s="56" t="s">
        <v>105</v>
      </c>
      <c r="N331" s="56">
        <v>0.0</v>
      </c>
      <c r="O331" s="4"/>
    </row>
    <row r="332">
      <c r="A332" s="4"/>
      <c r="B332" s="4"/>
      <c r="C332" s="4"/>
      <c r="D332" s="4"/>
      <c r="E332" s="4"/>
      <c r="F332" s="4"/>
      <c r="G332" s="4"/>
      <c r="H332" s="4"/>
      <c r="I332" s="106">
        <v>46265.0</v>
      </c>
      <c r="J332" s="56" t="s">
        <v>124</v>
      </c>
      <c r="K332" s="106">
        <v>46081.0</v>
      </c>
      <c r="L332" s="106"/>
      <c r="M332" s="56" t="s">
        <v>107</v>
      </c>
      <c r="N332" s="56">
        <v>0.0</v>
      </c>
      <c r="O332" s="4"/>
    </row>
    <row r="333">
      <c r="A333" s="4"/>
      <c r="B333" s="4"/>
      <c r="C333" s="4"/>
      <c r="D333" s="4"/>
      <c r="E333" s="4"/>
      <c r="F333" s="4"/>
      <c r="G333" s="4"/>
      <c r="H333" s="4"/>
      <c r="I333" s="106">
        <v>46265.0</v>
      </c>
      <c r="J333" s="56" t="s">
        <v>124</v>
      </c>
      <c r="K333" s="106">
        <v>46081.0</v>
      </c>
      <c r="L333" s="106"/>
      <c r="M333" s="56" t="s">
        <v>109</v>
      </c>
      <c r="N333" s="102">
        <v>0.0</v>
      </c>
      <c r="O333" s="4"/>
    </row>
    <row r="334">
      <c r="A334" s="4"/>
      <c r="B334" s="4"/>
      <c r="C334" s="4"/>
      <c r="D334" s="4"/>
      <c r="E334" s="4"/>
      <c r="F334" s="4"/>
      <c r="G334" s="4"/>
      <c r="H334" s="4"/>
      <c r="I334" s="106">
        <v>46265.0</v>
      </c>
      <c r="J334" s="56" t="s">
        <v>124</v>
      </c>
      <c r="K334" s="106">
        <v>46081.0</v>
      </c>
      <c r="L334" s="106"/>
      <c r="M334" s="56" t="s">
        <v>111</v>
      </c>
      <c r="N334" s="102">
        <v>0.0</v>
      </c>
      <c r="O334" s="4"/>
    </row>
    <row r="335">
      <c r="A335" s="4"/>
      <c r="B335" s="4"/>
      <c r="C335" s="4"/>
      <c r="D335" s="4"/>
      <c r="E335" s="4"/>
      <c r="F335" s="4"/>
      <c r="G335" s="4"/>
      <c r="H335" s="4"/>
      <c r="I335" s="106">
        <v>46265.0</v>
      </c>
      <c r="J335" s="56" t="s">
        <v>124</v>
      </c>
      <c r="K335" s="106">
        <v>46081.0</v>
      </c>
      <c r="L335" s="106"/>
      <c r="M335" s="56" t="s">
        <v>112</v>
      </c>
      <c r="N335" s="56">
        <v>0.0</v>
      </c>
      <c r="O335" s="4"/>
    </row>
    <row r="336">
      <c r="A336" s="4"/>
      <c r="B336" s="4"/>
      <c r="C336" s="4"/>
      <c r="D336" s="4"/>
      <c r="E336" s="4"/>
      <c r="F336" s="4"/>
      <c r="G336" s="4"/>
      <c r="H336" s="4"/>
      <c r="I336" s="106">
        <v>46265.0</v>
      </c>
      <c r="J336" s="56" t="s">
        <v>124</v>
      </c>
      <c r="K336" s="106">
        <v>46081.0</v>
      </c>
      <c r="L336" s="106"/>
      <c r="M336" s="56" t="s">
        <v>46</v>
      </c>
      <c r="N336" s="56">
        <v>0.0</v>
      </c>
      <c r="O336" s="4"/>
    </row>
    <row r="337">
      <c r="A337" s="4"/>
      <c r="B337" s="4"/>
      <c r="C337" s="4"/>
      <c r="D337" s="4"/>
      <c r="E337" s="4"/>
      <c r="F337" s="4"/>
      <c r="G337" s="4"/>
      <c r="H337" s="4"/>
      <c r="I337" s="106">
        <v>46265.0</v>
      </c>
      <c r="J337" s="56" t="s">
        <v>124</v>
      </c>
      <c r="K337" s="106">
        <v>46081.0</v>
      </c>
      <c r="L337" s="106"/>
      <c r="M337" s="56" t="s">
        <v>114</v>
      </c>
      <c r="N337" s="56">
        <v>0.0</v>
      </c>
      <c r="O337" s="4"/>
    </row>
    <row r="338">
      <c r="A338" s="4"/>
      <c r="B338" s="4"/>
      <c r="C338" s="4"/>
      <c r="D338" s="4"/>
      <c r="E338" s="4"/>
      <c r="F338" s="4"/>
      <c r="G338" s="4"/>
      <c r="H338" s="4"/>
      <c r="I338" s="106">
        <v>46265.0</v>
      </c>
      <c r="J338" s="56" t="s">
        <v>124</v>
      </c>
      <c r="K338" s="106">
        <v>46081.0</v>
      </c>
      <c r="L338" s="106"/>
      <c r="M338" s="56" t="s">
        <v>23</v>
      </c>
      <c r="N338" s="56">
        <v>0.0</v>
      </c>
      <c r="O338" s="4"/>
    </row>
    <row r="339">
      <c r="A339" s="4"/>
      <c r="B339" s="4"/>
      <c r="C339" s="4"/>
      <c r="D339" s="4"/>
      <c r="E339" s="4"/>
      <c r="F339" s="4"/>
      <c r="G339" s="4"/>
      <c r="H339" s="4"/>
      <c r="I339" s="106">
        <v>46265.0</v>
      </c>
      <c r="J339" s="56" t="s">
        <v>124</v>
      </c>
      <c r="K339" s="106">
        <v>46081.0</v>
      </c>
      <c r="L339" s="106"/>
      <c r="M339" s="56" t="s">
        <v>117</v>
      </c>
      <c r="N339" s="56">
        <v>0.0</v>
      </c>
      <c r="O339" s="4"/>
    </row>
    <row r="340">
      <c r="A340" s="4"/>
      <c r="B340" s="4"/>
      <c r="C340" s="4"/>
      <c r="D340" s="4"/>
      <c r="E340" s="4"/>
      <c r="F340" s="4"/>
      <c r="G340" s="4"/>
      <c r="H340" s="4"/>
      <c r="I340" s="106">
        <v>46265.0</v>
      </c>
      <c r="J340" s="56" t="s">
        <v>124</v>
      </c>
      <c r="K340" s="106">
        <v>46081.0</v>
      </c>
      <c r="L340" s="106"/>
      <c r="M340" s="56" t="s">
        <v>14</v>
      </c>
      <c r="N340" s="102">
        <v>15000.0</v>
      </c>
      <c r="O340" s="4"/>
    </row>
    <row r="341">
      <c r="A341" s="4"/>
      <c r="B341" s="4"/>
      <c r="C341" s="4"/>
      <c r="D341" s="4"/>
      <c r="E341" s="4"/>
      <c r="F341" s="4"/>
      <c r="G341" s="4"/>
      <c r="H341" s="4"/>
      <c r="I341" s="106">
        <v>46265.0</v>
      </c>
      <c r="J341" s="56" t="s">
        <v>124</v>
      </c>
      <c r="K341" s="106">
        <v>46112.0</v>
      </c>
      <c r="L341" s="106"/>
      <c r="M341" s="56" t="s">
        <v>93</v>
      </c>
      <c r="N341" s="102">
        <v>181188.0</v>
      </c>
      <c r="O341" s="4"/>
    </row>
    <row r="342">
      <c r="A342" s="4"/>
      <c r="B342" s="4"/>
      <c r="C342" s="4"/>
      <c r="D342" s="4"/>
      <c r="E342" s="4"/>
      <c r="F342" s="4"/>
      <c r="G342" s="4"/>
      <c r="H342" s="4"/>
      <c r="I342" s="106">
        <v>46265.0</v>
      </c>
      <c r="J342" s="56" t="s">
        <v>124</v>
      </c>
      <c r="K342" s="106">
        <v>46112.0</v>
      </c>
      <c r="L342" s="106"/>
      <c r="M342" s="56" t="s">
        <v>94</v>
      </c>
      <c r="N342" s="56">
        <v>0.0</v>
      </c>
      <c r="O342" s="4"/>
    </row>
    <row r="343">
      <c r="A343" s="4"/>
      <c r="B343" s="4"/>
      <c r="C343" s="4"/>
      <c r="D343" s="4"/>
      <c r="E343" s="4"/>
      <c r="F343" s="4"/>
      <c r="G343" s="4"/>
      <c r="H343" s="4"/>
      <c r="I343" s="106">
        <v>46265.0</v>
      </c>
      <c r="J343" s="56" t="s">
        <v>124</v>
      </c>
      <c r="K343" s="106">
        <v>46112.0</v>
      </c>
      <c r="L343" s="106"/>
      <c r="M343" s="56" t="s">
        <v>95</v>
      </c>
      <c r="N343" s="102">
        <v>39204.0</v>
      </c>
      <c r="O343" s="4"/>
    </row>
    <row r="344">
      <c r="A344" s="4"/>
      <c r="B344" s="4"/>
      <c r="C344" s="4"/>
      <c r="D344" s="4"/>
      <c r="E344" s="4"/>
      <c r="F344" s="4"/>
      <c r="G344" s="4"/>
      <c r="H344" s="4"/>
      <c r="I344" s="106">
        <v>46265.0</v>
      </c>
      <c r="J344" s="56" t="s">
        <v>124</v>
      </c>
      <c r="K344" s="106">
        <v>46112.0</v>
      </c>
      <c r="L344" s="106"/>
      <c r="M344" s="56" t="s">
        <v>96</v>
      </c>
      <c r="N344" s="56">
        <v>0.0</v>
      </c>
      <c r="O344" s="4"/>
    </row>
    <row r="345">
      <c r="A345" s="4"/>
      <c r="B345" s="4"/>
      <c r="C345" s="4"/>
      <c r="D345" s="4"/>
      <c r="E345" s="4"/>
      <c r="F345" s="4"/>
      <c r="G345" s="4"/>
      <c r="H345" s="4"/>
      <c r="I345" s="106">
        <v>46265.0</v>
      </c>
      <c r="J345" s="56" t="s">
        <v>124</v>
      </c>
      <c r="K345" s="106">
        <v>46112.0</v>
      </c>
      <c r="L345" s="106"/>
      <c r="M345" s="56" t="s">
        <v>97</v>
      </c>
      <c r="N345" s="56">
        <v>0.0</v>
      </c>
      <c r="O345" s="4"/>
    </row>
    <row r="346">
      <c r="A346" s="4"/>
      <c r="B346" s="4"/>
      <c r="C346" s="4"/>
      <c r="D346" s="4"/>
      <c r="E346" s="4"/>
      <c r="F346" s="4"/>
      <c r="G346" s="4"/>
      <c r="H346" s="4"/>
      <c r="I346" s="106">
        <v>46265.0</v>
      </c>
      <c r="J346" s="56" t="s">
        <v>124</v>
      </c>
      <c r="K346" s="106">
        <v>46112.0</v>
      </c>
      <c r="L346" s="106"/>
      <c r="M346" s="56" t="s">
        <v>98</v>
      </c>
      <c r="N346" s="102">
        <v>1050000.0</v>
      </c>
      <c r="O346" s="4"/>
    </row>
    <row r="347">
      <c r="A347" s="4"/>
      <c r="B347" s="4"/>
      <c r="C347" s="4"/>
      <c r="D347" s="4"/>
      <c r="E347" s="4"/>
      <c r="F347" s="4"/>
      <c r="G347" s="4"/>
      <c r="H347" s="4"/>
      <c r="I347" s="106">
        <v>46265.0</v>
      </c>
      <c r="J347" s="56" t="s">
        <v>124</v>
      </c>
      <c r="K347" s="106">
        <v>46112.0</v>
      </c>
      <c r="L347" s="106"/>
      <c r="M347" s="56" t="s">
        <v>99</v>
      </c>
      <c r="N347" s="56">
        <v>0.0</v>
      </c>
      <c r="O347" s="4"/>
    </row>
    <row r="348">
      <c r="A348" s="4"/>
      <c r="B348" s="4"/>
      <c r="C348" s="4"/>
      <c r="D348" s="4"/>
      <c r="E348" s="4"/>
      <c r="F348" s="4"/>
      <c r="G348" s="4"/>
      <c r="H348" s="4"/>
      <c r="I348" s="106">
        <v>46265.0</v>
      </c>
      <c r="J348" s="56" t="s">
        <v>124</v>
      </c>
      <c r="K348" s="106">
        <v>46112.0</v>
      </c>
      <c r="L348" s="106"/>
      <c r="M348" s="56" t="s">
        <v>100</v>
      </c>
      <c r="N348" s="56">
        <v>0.0</v>
      </c>
      <c r="O348" s="4"/>
    </row>
    <row r="349">
      <c r="A349" s="4"/>
      <c r="B349" s="4"/>
      <c r="C349" s="4"/>
      <c r="D349" s="4"/>
      <c r="E349" s="4"/>
      <c r="F349" s="4"/>
      <c r="G349" s="4"/>
      <c r="H349" s="4"/>
      <c r="I349" s="106">
        <v>46265.0</v>
      </c>
      <c r="J349" s="56" t="s">
        <v>124</v>
      </c>
      <c r="K349" s="106">
        <v>46112.0</v>
      </c>
      <c r="L349" s="106"/>
      <c r="M349" s="56" t="s">
        <v>101</v>
      </c>
      <c r="N349" s="56">
        <v>0.0</v>
      </c>
      <c r="O349" s="4"/>
    </row>
    <row r="350">
      <c r="A350" s="4"/>
      <c r="B350" s="4"/>
      <c r="C350" s="4"/>
      <c r="D350" s="4"/>
      <c r="E350" s="4"/>
      <c r="F350" s="4"/>
      <c r="G350" s="4"/>
      <c r="H350" s="4"/>
      <c r="I350" s="106">
        <v>46265.0</v>
      </c>
      <c r="J350" s="56" t="s">
        <v>124</v>
      </c>
      <c r="K350" s="106">
        <v>46112.0</v>
      </c>
      <c r="L350" s="106"/>
      <c r="M350" s="56" t="s">
        <v>102</v>
      </c>
      <c r="N350" s="56">
        <v>0.0</v>
      </c>
      <c r="O350" s="4"/>
    </row>
    <row r="351">
      <c r="A351" s="4"/>
      <c r="B351" s="4"/>
      <c r="C351" s="4"/>
      <c r="D351" s="4"/>
      <c r="E351" s="4"/>
      <c r="F351" s="4"/>
      <c r="G351" s="4"/>
      <c r="H351" s="4"/>
      <c r="I351" s="106">
        <v>46265.0</v>
      </c>
      <c r="J351" s="56" t="s">
        <v>124</v>
      </c>
      <c r="K351" s="106">
        <v>46112.0</v>
      </c>
      <c r="L351" s="106"/>
      <c r="M351" s="56" t="s">
        <v>103</v>
      </c>
      <c r="N351" s="56">
        <v>0.0</v>
      </c>
      <c r="O351" s="4"/>
    </row>
    <row r="352">
      <c r="A352" s="4"/>
      <c r="B352" s="4"/>
      <c r="C352" s="4"/>
      <c r="D352" s="4"/>
      <c r="E352" s="4"/>
      <c r="F352" s="4"/>
      <c r="G352" s="4"/>
      <c r="H352" s="4"/>
      <c r="I352" s="106">
        <v>46265.0</v>
      </c>
      <c r="J352" s="56" t="s">
        <v>124</v>
      </c>
      <c r="K352" s="106">
        <v>46112.0</v>
      </c>
      <c r="L352" s="106"/>
      <c r="M352" s="56" t="s">
        <v>105</v>
      </c>
      <c r="N352" s="56">
        <v>0.0</v>
      </c>
      <c r="O352" s="4"/>
    </row>
    <row r="353">
      <c r="A353" s="4"/>
      <c r="B353" s="4"/>
      <c r="C353" s="4"/>
      <c r="D353" s="4"/>
      <c r="E353" s="4"/>
      <c r="F353" s="4"/>
      <c r="G353" s="4"/>
      <c r="H353" s="4"/>
      <c r="I353" s="106">
        <v>46265.0</v>
      </c>
      <c r="J353" s="56" t="s">
        <v>124</v>
      </c>
      <c r="K353" s="106">
        <v>46112.0</v>
      </c>
      <c r="L353" s="106"/>
      <c r="M353" s="56" t="s">
        <v>107</v>
      </c>
      <c r="N353" s="56">
        <v>0.0</v>
      </c>
      <c r="O353" s="4"/>
    </row>
    <row r="354">
      <c r="A354" s="4"/>
      <c r="B354" s="4"/>
      <c r="C354" s="4"/>
      <c r="D354" s="4"/>
      <c r="E354" s="4"/>
      <c r="F354" s="4"/>
      <c r="G354" s="4"/>
      <c r="H354" s="4"/>
      <c r="I354" s="106">
        <v>46265.0</v>
      </c>
      <c r="J354" s="56" t="s">
        <v>124</v>
      </c>
      <c r="K354" s="106">
        <v>46112.0</v>
      </c>
      <c r="L354" s="106"/>
      <c r="M354" s="56" t="s">
        <v>109</v>
      </c>
      <c r="N354" s="56">
        <v>0.0</v>
      </c>
      <c r="O354" s="4"/>
    </row>
    <row r="355">
      <c r="A355" s="4"/>
      <c r="B355" s="4"/>
      <c r="C355" s="4"/>
      <c r="D355" s="4"/>
      <c r="E355" s="4"/>
      <c r="F355" s="4"/>
      <c r="G355" s="4"/>
      <c r="H355" s="4"/>
      <c r="I355" s="106">
        <v>46265.0</v>
      </c>
      <c r="J355" s="56" t="s">
        <v>124</v>
      </c>
      <c r="K355" s="106">
        <v>46112.0</v>
      </c>
      <c r="L355" s="106"/>
      <c r="M355" s="56" t="s">
        <v>111</v>
      </c>
      <c r="N355" s="102">
        <v>310000.0</v>
      </c>
      <c r="O355" s="4"/>
    </row>
    <row r="356">
      <c r="A356" s="4"/>
      <c r="B356" s="4"/>
      <c r="C356" s="4"/>
      <c r="D356" s="4"/>
      <c r="E356" s="4"/>
      <c r="F356" s="4"/>
      <c r="G356" s="4"/>
      <c r="H356" s="4"/>
      <c r="I356" s="106">
        <v>46265.0</v>
      </c>
      <c r="J356" s="56" t="s">
        <v>124</v>
      </c>
      <c r="K356" s="106">
        <v>46112.0</v>
      </c>
      <c r="L356" s="106"/>
      <c r="M356" s="56" t="s">
        <v>112</v>
      </c>
      <c r="N356" s="102">
        <v>0.0</v>
      </c>
      <c r="O356" s="4"/>
    </row>
    <row r="357">
      <c r="A357" s="4"/>
      <c r="B357" s="4"/>
      <c r="C357" s="4"/>
      <c r="D357" s="4"/>
      <c r="E357" s="4"/>
      <c r="F357" s="4"/>
      <c r="G357" s="4"/>
      <c r="H357" s="4"/>
      <c r="I357" s="106">
        <v>46265.0</v>
      </c>
      <c r="J357" s="56" t="s">
        <v>124</v>
      </c>
      <c r="K357" s="106">
        <v>46112.0</v>
      </c>
      <c r="L357" s="106"/>
      <c r="M357" s="56" t="s">
        <v>46</v>
      </c>
      <c r="N357" s="102">
        <v>0.0</v>
      </c>
      <c r="O357" s="4"/>
    </row>
    <row r="358">
      <c r="A358" s="4"/>
      <c r="B358" s="4"/>
      <c r="C358" s="4"/>
      <c r="D358" s="4"/>
      <c r="E358" s="4"/>
      <c r="F358" s="4"/>
      <c r="G358" s="4"/>
      <c r="H358" s="4"/>
      <c r="I358" s="106">
        <v>46265.0</v>
      </c>
      <c r="J358" s="56" t="s">
        <v>124</v>
      </c>
      <c r="K358" s="106">
        <v>46112.0</v>
      </c>
      <c r="L358" s="106"/>
      <c r="M358" s="56" t="s">
        <v>114</v>
      </c>
      <c r="N358" s="102">
        <v>0.0</v>
      </c>
      <c r="O358" s="4"/>
    </row>
    <row r="359">
      <c r="A359" s="4"/>
      <c r="B359" s="4"/>
      <c r="C359" s="4"/>
      <c r="D359" s="4"/>
      <c r="E359" s="4"/>
      <c r="F359" s="4"/>
      <c r="G359" s="4"/>
      <c r="H359" s="4"/>
      <c r="I359" s="106">
        <v>46265.0</v>
      </c>
      <c r="J359" s="56" t="s">
        <v>124</v>
      </c>
      <c r="K359" s="106">
        <v>46112.0</v>
      </c>
      <c r="L359" s="106"/>
      <c r="M359" s="56" t="s">
        <v>23</v>
      </c>
      <c r="N359" s="102">
        <v>0.0</v>
      </c>
      <c r="O359" s="4"/>
    </row>
    <row r="360">
      <c r="A360" s="4"/>
      <c r="B360" s="4"/>
      <c r="C360" s="4"/>
      <c r="D360" s="4"/>
      <c r="E360" s="4"/>
      <c r="F360" s="4"/>
      <c r="G360" s="4"/>
      <c r="H360" s="4"/>
      <c r="I360" s="106">
        <v>46265.0</v>
      </c>
      <c r="J360" s="56" t="s">
        <v>124</v>
      </c>
      <c r="K360" s="106">
        <v>46112.0</v>
      </c>
      <c r="L360" s="106"/>
      <c r="M360" s="56" t="s">
        <v>117</v>
      </c>
      <c r="N360" s="102">
        <v>0.0</v>
      </c>
      <c r="O360" s="4"/>
    </row>
    <row r="361">
      <c r="A361" s="4"/>
      <c r="B361" s="4"/>
      <c r="C361" s="4"/>
      <c r="D361" s="4"/>
      <c r="E361" s="4"/>
      <c r="F361" s="4"/>
      <c r="G361" s="4"/>
      <c r="H361" s="4"/>
      <c r="I361" s="106">
        <v>46265.0</v>
      </c>
      <c r="J361" s="56" t="s">
        <v>124</v>
      </c>
      <c r="K361" s="106">
        <v>46112.0</v>
      </c>
      <c r="L361" s="106"/>
      <c r="M361" s="56" t="s">
        <v>14</v>
      </c>
      <c r="N361" s="56">
        <v>0.0</v>
      </c>
      <c r="O361" s="4"/>
    </row>
    <row r="362">
      <c r="A362" s="4"/>
      <c r="B362" s="4"/>
      <c r="C362" s="4"/>
      <c r="D362" s="4"/>
      <c r="E362" s="4"/>
      <c r="F362" s="4"/>
      <c r="G362" s="4"/>
      <c r="H362" s="4"/>
      <c r="I362" s="106">
        <v>46265.0</v>
      </c>
      <c r="J362" s="56" t="s">
        <v>124</v>
      </c>
      <c r="K362" s="106">
        <v>46142.0</v>
      </c>
      <c r="L362" s="106"/>
      <c r="M362" s="56" t="s">
        <v>93</v>
      </c>
      <c r="N362" s="102">
        <v>0.0</v>
      </c>
      <c r="O362" s="4"/>
    </row>
    <row r="363">
      <c r="A363" s="4"/>
      <c r="B363" s="4"/>
      <c r="C363" s="4"/>
      <c r="D363" s="4"/>
      <c r="E363" s="4"/>
      <c r="F363" s="4"/>
      <c r="G363" s="4"/>
      <c r="H363" s="4"/>
      <c r="I363" s="106">
        <v>46265.0</v>
      </c>
      <c r="J363" s="56" t="s">
        <v>124</v>
      </c>
      <c r="K363" s="106">
        <v>46142.0</v>
      </c>
      <c r="L363" s="106"/>
      <c r="M363" s="56" t="s">
        <v>94</v>
      </c>
      <c r="N363" s="102">
        <v>0.0</v>
      </c>
      <c r="O363" s="4"/>
    </row>
    <row r="364">
      <c r="A364" s="4"/>
      <c r="B364" s="4"/>
      <c r="C364" s="4"/>
      <c r="D364" s="4"/>
      <c r="E364" s="4"/>
      <c r="F364" s="4"/>
      <c r="G364" s="4"/>
      <c r="H364" s="4"/>
      <c r="I364" s="106">
        <v>46265.0</v>
      </c>
      <c r="J364" s="56" t="s">
        <v>124</v>
      </c>
      <c r="K364" s="106">
        <v>46142.0</v>
      </c>
      <c r="L364" s="106"/>
      <c r="M364" s="56" t="s">
        <v>95</v>
      </c>
      <c r="N364" s="56">
        <v>0.0</v>
      </c>
      <c r="O364" s="4"/>
    </row>
    <row r="365">
      <c r="A365" s="4"/>
      <c r="B365" s="4"/>
      <c r="C365" s="4"/>
      <c r="D365" s="4"/>
      <c r="E365" s="4"/>
      <c r="F365" s="4"/>
      <c r="G365" s="4"/>
      <c r="H365" s="4"/>
      <c r="I365" s="106">
        <v>46265.0</v>
      </c>
      <c r="J365" s="56" t="s">
        <v>124</v>
      </c>
      <c r="K365" s="106">
        <v>46142.0</v>
      </c>
      <c r="L365" s="106"/>
      <c r="M365" s="56" t="s">
        <v>96</v>
      </c>
      <c r="N365" s="56">
        <v>0.0</v>
      </c>
      <c r="O365" s="4"/>
    </row>
    <row r="366">
      <c r="A366" s="4"/>
      <c r="B366" s="4"/>
      <c r="C366" s="4"/>
      <c r="D366" s="4"/>
      <c r="E366" s="4"/>
      <c r="F366" s="4"/>
      <c r="G366" s="4"/>
      <c r="H366" s="4"/>
      <c r="I366" s="106">
        <v>46265.0</v>
      </c>
      <c r="J366" s="56" t="s">
        <v>124</v>
      </c>
      <c r="K366" s="106">
        <v>46142.0</v>
      </c>
      <c r="L366" s="106"/>
      <c r="M366" s="56" t="s">
        <v>97</v>
      </c>
      <c r="N366" s="56">
        <v>0.0</v>
      </c>
      <c r="O366" s="4"/>
    </row>
    <row r="367">
      <c r="A367" s="4"/>
      <c r="B367" s="4"/>
      <c r="C367" s="4"/>
      <c r="D367" s="4"/>
      <c r="E367" s="4"/>
      <c r="F367" s="4"/>
      <c r="G367" s="4"/>
      <c r="H367" s="4"/>
      <c r="I367" s="106">
        <v>46265.0</v>
      </c>
      <c r="J367" s="56" t="s">
        <v>124</v>
      </c>
      <c r="K367" s="106">
        <v>46142.0</v>
      </c>
      <c r="L367" s="106"/>
      <c r="M367" s="56" t="s">
        <v>98</v>
      </c>
      <c r="N367" s="56">
        <v>0.0</v>
      </c>
      <c r="O367" s="4"/>
    </row>
    <row r="368">
      <c r="A368" s="4"/>
      <c r="B368" s="4"/>
      <c r="C368" s="4"/>
      <c r="D368" s="4"/>
      <c r="E368" s="4"/>
      <c r="F368" s="4"/>
      <c r="G368" s="4"/>
      <c r="H368" s="4"/>
      <c r="I368" s="106">
        <v>46265.0</v>
      </c>
      <c r="J368" s="56" t="s">
        <v>124</v>
      </c>
      <c r="K368" s="106">
        <v>46142.0</v>
      </c>
      <c r="L368" s="106"/>
      <c r="M368" s="56" t="s">
        <v>99</v>
      </c>
      <c r="N368" s="56">
        <v>0.0</v>
      </c>
      <c r="O368" s="4"/>
    </row>
    <row r="369">
      <c r="A369" s="4"/>
      <c r="B369" s="4"/>
      <c r="C369" s="4"/>
      <c r="D369" s="4"/>
      <c r="E369" s="4"/>
      <c r="F369" s="4"/>
      <c r="G369" s="4"/>
      <c r="H369" s="4"/>
      <c r="I369" s="106">
        <v>46265.0</v>
      </c>
      <c r="J369" s="56" t="s">
        <v>124</v>
      </c>
      <c r="K369" s="106">
        <v>46142.0</v>
      </c>
      <c r="L369" s="106"/>
      <c r="M369" s="56" t="s">
        <v>100</v>
      </c>
      <c r="N369" s="56">
        <v>0.0</v>
      </c>
      <c r="O369" s="4"/>
    </row>
    <row r="370">
      <c r="A370" s="4"/>
      <c r="B370" s="4"/>
      <c r="C370" s="4"/>
      <c r="D370" s="4"/>
      <c r="E370" s="4"/>
      <c r="F370" s="4"/>
      <c r="G370" s="4"/>
      <c r="H370" s="4"/>
      <c r="I370" s="106">
        <v>46265.0</v>
      </c>
      <c r="J370" s="56" t="s">
        <v>124</v>
      </c>
      <c r="K370" s="106">
        <v>46142.0</v>
      </c>
      <c r="L370" s="106"/>
      <c r="M370" s="56" t="s">
        <v>101</v>
      </c>
      <c r="N370" s="56">
        <v>0.0</v>
      </c>
      <c r="O370" s="4"/>
    </row>
    <row r="371">
      <c r="A371" s="4"/>
      <c r="B371" s="4"/>
      <c r="C371" s="4"/>
      <c r="D371" s="4"/>
      <c r="E371" s="4"/>
      <c r="F371" s="4"/>
      <c r="G371" s="4"/>
      <c r="H371" s="4"/>
      <c r="I371" s="106">
        <v>46265.0</v>
      </c>
      <c r="J371" s="56" t="s">
        <v>124</v>
      </c>
      <c r="K371" s="106">
        <v>46142.0</v>
      </c>
      <c r="L371" s="106"/>
      <c r="M371" s="56" t="s">
        <v>102</v>
      </c>
      <c r="N371" s="102">
        <v>0.0</v>
      </c>
      <c r="O371" s="4"/>
    </row>
    <row r="372">
      <c r="A372" s="4"/>
      <c r="B372" s="4"/>
      <c r="C372" s="4"/>
      <c r="D372" s="4"/>
      <c r="E372" s="4"/>
      <c r="F372" s="4"/>
      <c r="G372" s="4"/>
      <c r="H372" s="4"/>
      <c r="I372" s="106">
        <v>46265.0</v>
      </c>
      <c r="J372" s="56" t="s">
        <v>124</v>
      </c>
      <c r="K372" s="106">
        <v>46142.0</v>
      </c>
      <c r="L372" s="106"/>
      <c r="M372" s="56" t="s">
        <v>103</v>
      </c>
      <c r="N372" s="102">
        <v>0.0</v>
      </c>
      <c r="O372" s="4"/>
    </row>
    <row r="373">
      <c r="A373" s="4"/>
      <c r="B373" s="4"/>
      <c r="C373" s="4"/>
      <c r="D373" s="4"/>
      <c r="E373" s="4"/>
      <c r="F373" s="4"/>
      <c r="G373" s="4"/>
      <c r="H373" s="4"/>
      <c r="I373" s="106">
        <v>46265.0</v>
      </c>
      <c r="J373" s="56" t="s">
        <v>124</v>
      </c>
      <c r="K373" s="106">
        <v>46142.0</v>
      </c>
      <c r="L373" s="106"/>
      <c r="M373" s="56" t="s">
        <v>105</v>
      </c>
      <c r="N373" s="56">
        <v>0.0</v>
      </c>
      <c r="O373" s="4"/>
    </row>
    <row r="374">
      <c r="A374" s="4"/>
      <c r="B374" s="4"/>
      <c r="C374" s="4"/>
      <c r="D374" s="4"/>
      <c r="E374" s="4"/>
      <c r="F374" s="4"/>
      <c r="G374" s="4"/>
      <c r="H374" s="4"/>
      <c r="I374" s="106">
        <v>46265.0</v>
      </c>
      <c r="J374" s="56" t="s">
        <v>124</v>
      </c>
      <c r="K374" s="106">
        <v>46142.0</v>
      </c>
      <c r="L374" s="106"/>
      <c r="M374" s="56" t="s">
        <v>107</v>
      </c>
      <c r="N374" s="56">
        <v>0.0</v>
      </c>
      <c r="O374" s="4"/>
    </row>
    <row r="375">
      <c r="A375" s="4"/>
      <c r="B375" s="4"/>
      <c r="C375" s="4"/>
      <c r="D375" s="4"/>
      <c r="E375" s="4"/>
      <c r="F375" s="4"/>
      <c r="G375" s="4"/>
      <c r="H375" s="4"/>
      <c r="I375" s="106">
        <v>46265.0</v>
      </c>
      <c r="J375" s="56" t="s">
        <v>124</v>
      </c>
      <c r="K375" s="106">
        <v>46142.0</v>
      </c>
      <c r="L375" s="106"/>
      <c r="M375" s="56" t="s">
        <v>109</v>
      </c>
      <c r="N375" s="56">
        <v>0.0</v>
      </c>
      <c r="O375" s="4"/>
    </row>
    <row r="376">
      <c r="A376" s="4"/>
      <c r="B376" s="4"/>
      <c r="C376" s="4"/>
      <c r="D376" s="4"/>
      <c r="E376" s="4"/>
      <c r="F376" s="4"/>
      <c r="G376" s="4"/>
      <c r="H376" s="4"/>
      <c r="I376" s="106">
        <v>46265.0</v>
      </c>
      <c r="J376" s="56" t="s">
        <v>124</v>
      </c>
      <c r="K376" s="106">
        <v>46142.0</v>
      </c>
      <c r="L376" s="106"/>
      <c r="M376" s="56" t="s">
        <v>111</v>
      </c>
      <c r="N376" s="102">
        <v>250000.0</v>
      </c>
      <c r="O376" s="4"/>
    </row>
    <row r="377">
      <c r="A377" s="4"/>
      <c r="B377" s="4"/>
      <c r="C377" s="4"/>
      <c r="D377" s="4"/>
      <c r="E377" s="4"/>
      <c r="F377" s="4"/>
      <c r="G377" s="4"/>
      <c r="H377" s="4"/>
      <c r="I377" s="106">
        <v>46265.0</v>
      </c>
      <c r="J377" s="56" t="s">
        <v>124</v>
      </c>
      <c r="K377" s="106">
        <v>46142.0</v>
      </c>
      <c r="L377" s="106"/>
      <c r="M377" s="56" t="s">
        <v>112</v>
      </c>
      <c r="N377" s="56">
        <v>0.0</v>
      </c>
      <c r="O377" s="4"/>
    </row>
    <row r="378">
      <c r="A378" s="4"/>
      <c r="B378" s="4"/>
      <c r="C378" s="4"/>
      <c r="D378" s="4"/>
      <c r="E378" s="4"/>
      <c r="F378" s="4"/>
      <c r="G378" s="4"/>
      <c r="H378" s="4"/>
      <c r="I378" s="106">
        <v>46265.0</v>
      </c>
      <c r="J378" s="56" t="s">
        <v>124</v>
      </c>
      <c r="K378" s="106">
        <v>46142.0</v>
      </c>
      <c r="L378" s="106"/>
      <c r="M378" s="56" t="s">
        <v>46</v>
      </c>
      <c r="N378" s="56">
        <v>0.0</v>
      </c>
      <c r="O378" s="4"/>
    </row>
    <row r="379">
      <c r="A379" s="4"/>
      <c r="B379" s="4"/>
      <c r="C379" s="4"/>
      <c r="D379" s="4"/>
      <c r="E379" s="4"/>
      <c r="F379" s="4"/>
      <c r="G379" s="4"/>
      <c r="H379" s="4"/>
      <c r="I379" s="106">
        <v>46265.0</v>
      </c>
      <c r="J379" s="56" t="s">
        <v>124</v>
      </c>
      <c r="K379" s="106">
        <v>46142.0</v>
      </c>
      <c r="L379" s="106"/>
      <c r="M379" s="56" t="s">
        <v>114</v>
      </c>
      <c r="N379" s="56">
        <v>0.0</v>
      </c>
      <c r="O379" s="4"/>
    </row>
    <row r="380">
      <c r="A380" s="4"/>
      <c r="B380" s="4"/>
      <c r="C380" s="4"/>
      <c r="D380" s="4"/>
      <c r="E380" s="4"/>
      <c r="F380" s="4"/>
      <c r="G380" s="4"/>
      <c r="H380" s="4"/>
      <c r="I380" s="106">
        <v>46265.0</v>
      </c>
      <c r="J380" s="56" t="s">
        <v>124</v>
      </c>
      <c r="K380" s="106">
        <v>46142.0</v>
      </c>
      <c r="L380" s="106"/>
      <c r="M380" s="56" t="s">
        <v>23</v>
      </c>
      <c r="N380" s="56">
        <v>0.0</v>
      </c>
      <c r="O380" s="4"/>
    </row>
    <row r="381">
      <c r="A381" s="4"/>
      <c r="B381" s="4"/>
      <c r="C381" s="4"/>
      <c r="D381" s="4"/>
      <c r="E381" s="4"/>
      <c r="F381" s="4"/>
      <c r="G381" s="4"/>
      <c r="H381" s="4"/>
      <c r="I381" s="106">
        <v>46265.0</v>
      </c>
      <c r="J381" s="56" t="s">
        <v>124</v>
      </c>
      <c r="K381" s="106">
        <v>46142.0</v>
      </c>
      <c r="L381" s="106"/>
      <c r="M381" s="56" t="s">
        <v>117</v>
      </c>
      <c r="N381" s="56">
        <v>0.0</v>
      </c>
      <c r="O381" s="4"/>
    </row>
    <row r="382">
      <c r="A382" s="4"/>
      <c r="B382" s="4"/>
      <c r="C382" s="4"/>
      <c r="D382" s="4"/>
      <c r="E382" s="4"/>
      <c r="F382" s="4"/>
      <c r="G382" s="4"/>
      <c r="H382" s="4"/>
      <c r="I382" s="106">
        <v>46265.0</v>
      </c>
      <c r="J382" s="56" t="s">
        <v>124</v>
      </c>
      <c r="K382" s="106">
        <v>46142.0</v>
      </c>
      <c r="L382" s="106"/>
      <c r="M382" s="56" t="s">
        <v>14</v>
      </c>
      <c r="N382" s="56">
        <v>0.0</v>
      </c>
      <c r="O382" s="4"/>
    </row>
    <row r="383">
      <c r="A383" s="4"/>
      <c r="B383" s="4"/>
      <c r="C383" s="4"/>
      <c r="D383" s="4"/>
      <c r="E383" s="4"/>
      <c r="F383" s="4"/>
      <c r="G383" s="4"/>
      <c r="H383" s="4"/>
      <c r="I383" s="106">
        <v>46265.0</v>
      </c>
      <c r="J383" s="56" t="s">
        <v>124</v>
      </c>
      <c r="K383" s="106">
        <v>46173.0</v>
      </c>
      <c r="L383" s="106"/>
      <c r="M383" s="56" t="s">
        <v>93</v>
      </c>
      <c r="N383" s="56">
        <v>0.0</v>
      </c>
      <c r="O383" s="4"/>
    </row>
    <row r="384">
      <c r="A384" s="4"/>
      <c r="B384" s="4"/>
      <c r="C384" s="4"/>
      <c r="D384" s="4"/>
      <c r="E384" s="4"/>
      <c r="F384" s="4"/>
      <c r="G384" s="4"/>
      <c r="H384" s="4"/>
      <c r="I384" s="106">
        <v>46265.0</v>
      </c>
      <c r="J384" s="56" t="s">
        <v>124</v>
      </c>
      <c r="K384" s="106">
        <v>46173.0</v>
      </c>
      <c r="L384" s="106"/>
      <c r="M384" s="56" t="s">
        <v>94</v>
      </c>
      <c r="N384" s="56">
        <v>0.0</v>
      </c>
      <c r="O384" s="4"/>
    </row>
    <row r="385">
      <c r="A385" s="4"/>
      <c r="B385" s="4"/>
      <c r="C385" s="4"/>
      <c r="D385" s="4"/>
      <c r="E385" s="4"/>
      <c r="F385" s="4"/>
      <c r="G385" s="4"/>
      <c r="H385" s="4"/>
      <c r="I385" s="106">
        <v>46265.0</v>
      </c>
      <c r="J385" s="56" t="s">
        <v>124</v>
      </c>
      <c r="K385" s="106">
        <v>46173.0</v>
      </c>
      <c r="L385" s="106"/>
      <c r="M385" s="56" t="s">
        <v>95</v>
      </c>
      <c r="N385" s="56">
        <v>0.0</v>
      </c>
      <c r="O385" s="4"/>
    </row>
    <row r="386">
      <c r="A386" s="4"/>
      <c r="B386" s="4"/>
      <c r="C386" s="4"/>
      <c r="D386" s="4"/>
      <c r="E386" s="4"/>
      <c r="F386" s="4"/>
      <c r="G386" s="4"/>
      <c r="H386" s="4"/>
      <c r="I386" s="106">
        <v>46265.0</v>
      </c>
      <c r="J386" s="56" t="s">
        <v>124</v>
      </c>
      <c r="K386" s="106">
        <v>46173.0</v>
      </c>
      <c r="L386" s="106"/>
      <c r="M386" s="56" t="s">
        <v>96</v>
      </c>
      <c r="N386" s="56">
        <v>0.0</v>
      </c>
      <c r="O386" s="4"/>
    </row>
    <row r="387">
      <c r="A387" s="4"/>
      <c r="B387" s="4"/>
      <c r="C387" s="4"/>
      <c r="D387" s="4"/>
      <c r="E387" s="4"/>
      <c r="F387" s="4"/>
      <c r="G387" s="4"/>
      <c r="H387" s="4"/>
      <c r="I387" s="106">
        <v>46265.0</v>
      </c>
      <c r="J387" s="56" t="s">
        <v>124</v>
      </c>
      <c r="K387" s="106">
        <v>46173.0</v>
      </c>
      <c r="L387" s="106"/>
      <c r="M387" s="56" t="s">
        <v>97</v>
      </c>
      <c r="N387" s="56">
        <v>0.0</v>
      </c>
      <c r="O387" s="4"/>
    </row>
    <row r="388">
      <c r="A388" s="4"/>
      <c r="B388" s="4"/>
      <c r="C388" s="4"/>
      <c r="D388" s="4"/>
      <c r="E388" s="4"/>
      <c r="F388" s="4"/>
      <c r="G388" s="4"/>
      <c r="H388" s="4"/>
      <c r="I388" s="106">
        <v>46265.0</v>
      </c>
      <c r="J388" s="56" t="s">
        <v>124</v>
      </c>
      <c r="K388" s="106">
        <v>46173.0</v>
      </c>
      <c r="L388" s="106"/>
      <c r="M388" s="56" t="s">
        <v>98</v>
      </c>
      <c r="N388" s="56">
        <v>0.0</v>
      </c>
      <c r="O388" s="4"/>
    </row>
    <row r="389">
      <c r="A389" s="4"/>
      <c r="B389" s="4"/>
      <c r="C389" s="4"/>
      <c r="D389" s="4"/>
      <c r="E389" s="4"/>
      <c r="F389" s="4"/>
      <c r="G389" s="4"/>
      <c r="H389" s="4"/>
      <c r="I389" s="106">
        <v>46265.0</v>
      </c>
      <c r="J389" s="56" t="s">
        <v>124</v>
      </c>
      <c r="K389" s="106">
        <v>46173.0</v>
      </c>
      <c r="L389" s="106"/>
      <c r="M389" s="56" t="s">
        <v>99</v>
      </c>
      <c r="N389" s="56">
        <v>0.0</v>
      </c>
      <c r="O389" s="4"/>
    </row>
    <row r="390">
      <c r="A390" s="4"/>
      <c r="B390" s="4"/>
      <c r="C390" s="4"/>
      <c r="D390" s="4"/>
      <c r="E390" s="4"/>
      <c r="F390" s="4"/>
      <c r="G390" s="4"/>
      <c r="H390" s="4"/>
      <c r="I390" s="106">
        <v>46265.0</v>
      </c>
      <c r="J390" s="56" t="s">
        <v>124</v>
      </c>
      <c r="K390" s="106">
        <v>46173.0</v>
      </c>
      <c r="L390" s="106"/>
      <c r="M390" s="56" t="s">
        <v>100</v>
      </c>
      <c r="N390" s="56">
        <v>0.0</v>
      </c>
      <c r="O390" s="4"/>
    </row>
    <row r="391">
      <c r="A391" s="4"/>
      <c r="B391" s="4"/>
      <c r="C391" s="4"/>
      <c r="D391" s="4"/>
      <c r="E391" s="4"/>
      <c r="F391" s="4"/>
      <c r="G391" s="4"/>
      <c r="H391" s="4"/>
      <c r="I391" s="106">
        <v>46265.0</v>
      </c>
      <c r="J391" s="56" t="s">
        <v>124</v>
      </c>
      <c r="K391" s="106">
        <v>46173.0</v>
      </c>
      <c r="L391" s="106"/>
      <c r="M391" s="56" t="s">
        <v>101</v>
      </c>
      <c r="N391" s="56">
        <v>0.0</v>
      </c>
      <c r="O391" s="4"/>
    </row>
    <row r="392">
      <c r="A392" s="4"/>
      <c r="B392" s="4"/>
      <c r="C392" s="4"/>
      <c r="D392" s="4"/>
      <c r="E392" s="4"/>
      <c r="F392" s="4"/>
      <c r="G392" s="4"/>
      <c r="H392" s="4"/>
      <c r="I392" s="106">
        <v>46265.0</v>
      </c>
      <c r="J392" s="56" t="s">
        <v>124</v>
      </c>
      <c r="K392" s="106">
        <v>46173.0</v>
      </c>
      <c r="L392" s="106"/>
      <c r="M392" s="56" t="s">
        <v>102</v>
      </c>
      <c r="N392" s="56">
        <v>0.0</v>
      </c>
      <c r="O392" s="4"/>
    </row>
    <row r="393">
      <c r="A393" s="4"/>
      <c r="B393" s="4"/>
      <c r="C393" s="4"/>
      <c r="D393" s="4"/>
      <c r="E393" s="4"/>
      <c r="F393" s="4"/>
      <c r="G393" s="4"/>
      <c r="H393" s="4"/>
      <c r="I393" s="106">
        <v>46265.0</v>
      </c>
      <c r="J393" s="56" t="s">
        <v>124</v>
      </c>
      <c r="K393" s="106">
        <v>46173.0</v>
      </c>
      <c r="L393" s="106"/>
      <c r="M393" s="56" t="s">
        <v>103</v>
      </c>
      <c r="N393" s="102">
        <v>0.0</v>
      </c>
      <c r="O393" s="4"/>
    </row>
    <row r="394">
      <c r="A394" s="4"/>
      <c r="B394" s="4"/>
      <c r="C394" s="4"/>
      <c r="D394" s="4"/>
      <c r="E394" s="4"/>
      <c r="F394" s="4"/>
      <c r="G394" s="4"/>
      <c r="H394" s="4"/>
      <c r="I394" s="106">
        <v>46265.0</v>
      </c>
      <c r="J394" s="56" t="s">
        <v>124</v>
      </c>
      <c r="K394" s="106">
        <v>46173.0</v>
      </c>
      <c r="L394" s="106"/>
      <c r="M394" s="56" t="s">
        <v>105</v>
      </c>
      <c r="N394" s="102">
        <v>0.0</v>
      </c>
      <c r="O394" s="4"/>
    </row>
    <row r="395">
      <c r="A395" s="4"/>
      <c r="B395" s="4"/>
      <c r="C395" s="4"/>
      <c r="D395" s="4"/>
      <c r="E395" s="4"/>
      <c r="F395" s="4"/>
      <c r="G395" s="4"/>
      <c r="H395" s="4"/>
      <c r="I395" s="106">
        <v>46265.0</v>
      </c>
      <c r="J395" s="56" t="s">
        <v>124</v>
      </c>
      <c r="K395" s="106">
        <v>46173.0</v>
      </c>
      <c r="L395" s="106"/>
      <c r="M395" s="56" t="s">
        <v>107</v>
      </c>
      <c r="N395" s="56">
        <v>0.0</v>
      </c>
      <c r="O395" s="4"/>
    </row>
    <row r="396">
      <c r="A396" s="4"/>
      <c r="B396" s="4"/>
      <c r="C396" s="4"/>
      <c r="D396" s="4"/>
      <c r="E396" s="4"/>
      <c r="F396" s="4"/>
      <c r="G396" s="4"/>
      <c r="H396" s="4"/>
      <c r="I396" s="106">
        <v>46265.0</v>
      </c>
      <c r="J396" s="56" t="s">
        <v>124</v>
      </c>
      <c r="K396" s="106">
        <v>46173.0</v>
      </c>
      <c r="L396" s="106"/>
      <c r="M396" s="56" t="s">
        <v>109</v>
      </c>
      <c r="N396" s="56">
        <v>0.0</v>
      </c>
      <c r="O396" s="4"/>
    </row>
    <row r="397">
      <c r="A397" s="4"/>
      <c r="B397" s="4"/>
      <c r="C397" s="4"/>
      <c r="D397" s="4"/>
      <c r="E397" s="4"/>
      <c r="F397" s="4"/>
      <c r="G397" s="4"/>
      <c r="H397" s="4"/>
      <c r="I397" s="106">
        <v>46265.0</v>
      </c>
      <c r="J397" s="56" t="s">
        <v>124</v>
      </c>
      <c r="K397" s="106">
        <v>46173.0</v>
      </c>
      <c r="L397" s="106"/>
      <c r="M397" s="56" t="s">
        <v>111</v>
      </c>
      <c r="N397" s="102">
        <v>200000.0</v>
      </c>
      <c r="O397" s="4"/>
    </row>
    <row r="398">
      <c r="A398" s="4"/>
      <c r="B398" s="4"/>
      <c r="C398" s="4"/>
      <c r="D398" s="4"/>
      <c r="E398" s="4"/>
      <c r="F398" s="4"/>
      <c r="G398" s="4"/>
      <c r="H398" s="4"/>
      <c r="I398" s="106">
        <v>46265.0</v>
      </c>
      <c r="J398" s="56" t="s">
        <v>124</v>
      </c>
      <c r="K398" s="106">
        <v>46173.0</v>
      </c>
      <c r="L398" s="106"/>
      <c r="M398" s="56" t="s">
        <v>112</v>
      </c>
      <c r="N398" s="56">
        <v>0.0</v>
      </c>
      <c r="O398" s="4"/>
    </row>
    <row r="399">
      <c r="A399" s="4"/>
      <c r="B399" s="4"/>
      <c r="C399" s="4"/>
      <c r="D399" s="4"/>
      <c r="E399" s="4"/>
      <c r="F399" s="4"/>
      <c r="G399" s="4"/>
      <c r="H399" s="4"/>
      <c r="I399" s="106">
        <v>46265.0</v>
      </c>
      <c r="J399" s="56" t="s">
        <v>124</v>
      </c>
      <c r="K399" s="106">
        <v>46173.0</v>
      </c>
      <c r="L399" s="106"/>
      <c r="M399" s="56" t="s">
        <v>46</v>
      </c>
      <c r="N399" s="56">
        <v>0.0</v>
      </c>
      <c r="O399" s="4"/>
    </row>
    <row r="400">
      <c r="A400" s="4"/>
      <c r="B400" s="4"/>
      <c r="C400" s="4"/>
      <c r="D400" s="4"/>
      <c r="E400" s="4"/>
      <c r="F400" s="4"/>
      <c r="G400" s="4"/>
      <c r="H400" s="4"/>
      <c r="I400" s="106">
        <v>46265.0</v>
      </c>
      <c r="J400" s="56" t="s">
        <v>124</v>
      </c>
      <c r="K400" s="106">
        <v>46173.0</v>
      </c>
      <c r="L400" s="106"/>
      <c r="M400" s="56" t="s">
        <v>114</v>
      </c>
      <c r="N400" s="56">
        <v>0.0</v>
      </c>
      <c r="O400" s="4"/>
    </row>
    <row r="401">
      <c r="A401" s="4"/>
      <c r="B401" s="4"/>
      <c r="C401" s="4"/>
      <c r="D401" s="4"/>
      <c r="E401" s="4"/>
      <c r="F401" s="4"/>
      <c r="G401" s="4"/>
      <c r="H401" s="4"/>
      <c r="I401" s="106">
        <v>46265.0</v>
      </c>
      <c r="J401" s="56" t="s">
        <v>124</v>
      </c>
      <c r="K401" s="106">
        <v>46173.0</v>
      </c>
      <c r="L401" s="106"/>
      <c r="M401" s="56" t="s">
        <v>23</v>
      </c>
      <c r="N401" s="56">
        <v>0.0</v>
      </c>
      <c r="O401" s="4"/>
    </row>
    <row r="402">
      <c r="A402" s="4"/>
      <c r="B402" s="4"/>
      <c r="C402" s="4"/>
      <c r="D402" s="4"/>
      <c r="E402" s="4"/>
      <c r="F402" s="4"/>
      <c r="G402" s="4"/>
      <c r="H402" s="4"/>
      <c r="I402" s="106">
        <v>46265.0</v>
      </c>
      <c r="J402" s="56" t="s">
        <v>124</v>
      </c>
      <c r="K402" s="106">
        <v>46173.0</v>
      </c>
      <c r="L402" s="106"/>
      <c r="M402" s="56" t="s">
        <v>117</v>
      </c>
      <c r="N402" s="56">
        <v>0.0</v>
      </c>
      <c r="O402" s="4"/>
    </row>
    <row r="403">
      <c r="A403" s="4"/>
      <c r="B403" s="4"/>
      <c r="C403" s="4"/>
      <c r="D403" s="4"/>
      <c r="E403" s="4"/>
      <c r="F403" s="4"/>
      <c r="G403" s="4"/>
      <c r="H403" s="4"/>
      <c r="I403" s="106">
        <v>46265.0</v>
      </c>
      <c r="J403" s="56" t="s">
        <v>124</v>
      </c>
      <c r="K403" s="106">
        <v>46173.0</v>
      </c>
      <c r="L403" s="106"/>
      <c r="M403" s="56" t="s">
        <v>14</v>
      </c>
      <c r="N403" s="56">
        <v>0.0</v>
      </c>
      <c r="O403" s="4"/>
    </row>
    <row r="404">
      <c r="A404" s="4"/>
      <c r="B404" s="4"/>
      <c r="C404" s="4"/>
      <c r="D404" s="4"/>
      <c r="E404" s="4"/>
      <c r="F404" s="4"/>
      <c r="G404" s="4"/>
      <c r="H404" s="4"/>
      <c r="I404" s="106">
        <v>46265.0</v>
      </c>
      <c r="J404" s="56" t="s">
        <v>124</v>
      </c>
      <c r="K404" s="106">
        <v>46203.0</v>
      </c>
      <c r="L404" s="106"/>
      <c r="M404" s="56" t="s">
        <v>93</v>
      </c>
      <c r="N404" s="56">
        <v>0.0</v>
      </c>
      <c r="O404" s="4"/>
    </row>
    <row r="405">
      <c r="A405" s="4"/>
      <c r="B405" s="4"/>
      <c r="C405" s="4"/>
      <c r="D405" s="4"/>
      <c r="E405" s="4"/>
      <c r="F405" s="4"/>
      <c r="G405" s="4"/>
      <c r="H405" s="4"/>
      <c r="I405" s="106">
        <v>46265.0</v>
      </c>
      <c r="J405" s="56" t="s">
        <v>124</v>
      </c>
      <c r="K405" s="106">
        <v>46203.0</v>
      </c>
      <c r="L405" s="106"/>
      <c r="M405" s="56" t="s">
        <v>94</v>
      </c>
      <c r="N405" s="56">
        <v>0.0</v>
      </c>
      <c r="O405" s="4"/>
    </row>
    <row r="406">
      <c r="A406" s="4"/>
      <c r="B406" s="4"/>
      <c r="C406" s="4"/>
      <c r="D406" s="4"/>
      <c r="E406" s="4"/>
      <c r="F406" s="4"/>
      <c r="G406" s="4"/>
      <c r="H406" s="4"/>
      <c r="I406" s="106">
        <v>46265.0</v>
      </c>
      <c r="J406" s="56" t="s">
        <v>124</v>
      </c>
      <c r="K406" s="106">
        <v>46203.0</v>
      </c>
      <c r="L406" s="106"/>
      <c r="M406" s="56" t="s">
        <v>95</v>
      </c>
      <c r="N406" s="56">
        <v>0.0</v>
      </c>
      <c r="O406" s="4"/>
    </row>
    <row r="407">
      <c r="A407" s="4"/>
      <c r="B407" s="4"/>
      <c r="C407" s="4"/>
      <c r="D407" s="4"/>
      <c r="E407" s="4"/>
      <c r="F407" s="4"/>
      <c r="G407" s="4"/>
      <c r="H407" s="4"/>
      <c r="I407" s="106">
        <v>46265.0</v>
      </c>
      <c r="J407" s="56" t="s">
        <v>124</v>
      </c>
      <c r="K407" s="106">
        <v>46203.0</v>
      </c>
      <c r="L407" s="106"/>
      <c r="M407" s="56" t="s">
        <v>96</v>
      </c>
      <c r="N407" s="56">
        <v>0.0</v>
      </c>
      <c r="O407" s="4"/>
    </row>
    <row r="408">
      <c r="A408" s="4"/>
      <c r="B408" s="4"/>
      <c r="C408" s="4"/>
      <c r="D408" s="4"/>
      <c r="E408" s="4"/>
      <c r="F408" s="4"/>
      <c r="G408" s="4"/>
      <c r="H408" s="4"/>
      <c r="I408" s="106">
        <v>46265.0</v>
      </c>
      <c r="J408" s="56" t="s">
        <v>124</v>
      </c>
      <c r="K408" s="106">
        <v>46203.0</v>
      </c>
      <c r="L408" s="106"/>
      <c r="M408" s="56" t="s">
        <v>97</v>
      </c>
      <c r="N408" s="56">
        <v>0.0</v>
      </c>
      <c r="O408" s="4"/>
    </row>
    <row r="409">
      <c r="A409" s="4"/>
      <c r="B409" s="4"/>
      <c r="C409" s="4"/>
      <c r="D409" s="4"/>
      <c r="E409" s="4"/>
      <c r="F409" s="4"/>
      <c r="G409" s="4"/>
      <c r="H409" s="4"/>
      <c r="I409" s="106">
        <v>46265.0</v>
      </c>
      <c r="J409" s="56" t="s">
        <v>124</v>
      </c>
      <c r="K409" s="106">
        <v>46203.0</v>
      </c>
      <c r="L409" s="106"/>
      <c r="M409" s="56" t="s">
        <v>98</v>
      </c>
      <c r="N409" s="56">
        <v>0.0</v>
      </c>
      <c r="O409" s="4"/>
    </row>
    <row r="410">
      <c r="A410" s="4"/>
      <c r="B410" s="4"/>
      <c r="C410" s="4"/>
      <c r="D410" s="4"/>
      <c r="E410" s="4"/>
      <c r="F410" s="4"/>
      <c r="G410" s="4"/>
      <c r="H410" s="4"/>
      <c r="I410" s="106">
        <v>46265.0</v>
      </c>
      <c r="J410" s="56" t="s">
        <v>124</v>
      </c>
      <c r="K410" s="106">
        <v>46203.0</v>
      </c>
      <c r="L410" s="106"/>
      <c r="M410" s="56" t="s">
        <v>99</v>
      </c>
      <c r="N410" s="56">
        <v>0.0</v>
      </c>
      <c r="O410" s="4"/>
    </row>
    <row r="411">
      <c r="A411" s="4"/>
      <c r="B411" s="4"/>
      <c r="C411" s="4"/>
      <c r="D411" s="4"/>
      <c r="E411" s="4"/>
      <c r="F411" s="4"/>
      <c r="G411" s="4"/>
      <c r="H411" s="4"/>
      <c r="I411" s="106">
        <v>46265.0</v>
      </c>
      <c r="J411" s="56" t="s">
        <v>124</v>
      </c>
      <c r="K411" s="106">
        <v>46203.0</v>
      </c>
      <c r="L411" s="106"/>
      <c r="M411" s="56" t="s">
        <v>100</v>
      </c>
      <c r="N411" s="56">
        <v>0.0</v>
      </c>
      <c r="O411" s="4"/>
    </row>
    <row r="412">
      <c r="A412" s="4"/>
      <c r="B412" s="4"/>
      <c r="C412" s="4"/>
      <c r="D412" s="4"/>
      <c r="E412" s="4"/>
      <c r="F412" s="4"/>
      <c r="G412" s="4"/>
      <c r="H412" s="4"/>
      <c r="I412" s="106">
        <v>46265.0</v>
      </c>
      <c r="J412" s="56" t="s">
        <v>124</v>
      </c>
      <c r="K412" s="106">
        <v>46203.0</v>
      </c>
      <c r="L412" s="106"/>
      <c r="M412" s="56" t="s">
        <v>101</v>
      </c>
      <c r="N412" s="56">
        <v>0.0</v>
      </c>
      <c r="O412" s="4"/>
    </row>
    <row r="413">
      <c r="A413" s="4"/>
      <c r="B413" s="4"/>
      <c r="C413" s="4"/>
      <c r="D413" s="4"/>
      <c r="E413" s="4"/>
      <c r="F413" s="4"/>
      <c r="G413" s="4"/>
      <c r="H413" s="4"/>
      <c r="I413" s="106">
        <v>46265.0</v>
      </c>
      <c r="J413" s="56" t="s">
        <v>124</v>
      </c>
      <c r="K413" s="106">
        <v>46203.0</v>
      </c>
      <c r="L413" s="106"/>
      <c r="M413" s="56" t="s">
        <v>102</v>
      </c>
      <c r="N413" s="56">
        <v>0.0</v>
      </c>
      <c r="O413" s="4"/>
    </row>
    <row r="414">
      <c r="A414" s="4"/>
      <c r="B414" s="4"/>
      <c r="C414" s="4"/>
      <c r="D414" s="4"/>
      <c r="E414" s="4"/>
      <c r="F414" s="4"/>
      <c r="G414" s="4"/>
      <c r="H414" s="4"/>
      <c r="I414" s="106">
        <v>46265.0</v>
      </c>
      <c r="J414" s="56" t="s">
        <v>124</v>
      </c>
      <c r="K414" s="106">
        <v>46203.0</v>
      </c>
      <c r="L414" s="106"/>
      <c r="M414" s="56" t="s">
        <v>103</v>
      </c>
      <c r="N414" s="56">
        <v>0.0</v>
      </c>
      <c r="O414" s="4"/>
    </row>
    <row r="415">
      <c r="A415" s="4"/>
      <c r="B415" s="4"/>
      <c r="C415" s="4"/>
      <c r="D415" s="4"/>
      <c r="E415" s="4"/>
      <c r="F415" s="4"/>
      <c r="G415" s="4"/>
      <c r="H415" s="4"/>
      <c r="I415" s="106">
        <v>46265.0</v>
      </c>
      <c r="J415" s="56" t="s">
        <v>124</v>
      </c>
      <c r="K415" s="106">
        <v>46203.0</v>
      </c>
      <c r="L415" s="106"/>
      <c r="M415" s="56" t="s">
        <v>105</v>
      </c>
      <c r="N415" s="102">
        <v>0.0</v>
      </c>
      <c r="O415" s="4"/>
    </row>
    <row r="416">
      <c r="A416" s="4"/>
      <c r="B416" s="4"/>
      <c r="C416" s="4"/>
      <c r="D416" s="4"/>
      <c r="E416" s="4"/>
      <c r="F416" s="4"/>
      <c r="G416" s="4"/>
      <c r="H416" s="4"/>
      <c r="I416" s="106">
        <v>46265.0</v>
      </c>
      <c r="J416" s="56" t="s">
        <v>124</v>
      </c>
      <c r="K416" s="106">
        <v>46203.0</v>
      </c>
      <c r="L416" s="106"/>
      <c r="M416" s="56" t="s">
        <v>107</v>
      </c>
      <c r="N416" s="102">
        <v>0.0</v>
      </c>
      <c r="O416" s="4"/>
    </row>
    <row r="417">
      <c r="A417" s="4"/>
      <c r="B417" s="4"/>
      <c r="C417" s="4"/>
      <c r="D417" s="4"/>
      <c r="E417" s="4"/>
      <c r="F417" s="4"/>
      <c r="G417" s="4"/>
      <c r="H417" s="4"/>
      <c r="I417" s="106">
        <v>46265.0</v>
      </c>
      <c r="J417" s="56" t="s">
        <v>124</v>
      </c>
      <c r="K417" s="106">
        <v>46203.0</v>
      </c>
      <c r="L417" s="106"/>
      <c r="M417" s="56" t="s">
        <v>109</v>
      </c>
      <c r="N417" s="56">
        <v>0.0</v>
      </c>
      <c r="O417" s="4"/>
    </row>
    <row r="418">
      <c r="A418" s="4"/>
      <c r="B418" s="4"/>
      <c r="C418" s="4"/>
      <c r="D418" s="4"/>
      <c r="E418" s="4"/>
      <c r="F418" s="4"/>
      <c r="G418" s="4"/>
      <c r="H418" s="4"/>
      <c r="I418" s="106">
        <v>46265.0</v>
      </c>
      <c r="J418" s="56" t="s">
        <v>124</v>
      </c>
      <c r="K418" s="106">
        <v>46203.0</v>
      </c>
      <c r="L418" s="106"/>
      <c r="M418" s="56" t="s">
        <v>111</v>
      </c>
      <c r="N418" s="56">
        <v>0.0</v>
      </c>
      <c r="O418" s="4"/>
    </row>
    <row r="419">
      <c r="A419" s="4"/>
      <c r="B419" s="4"/>
      <c r="C419" s="4"/>
      <c r="D419" s="4"/>
      <c r="E419" s="4"/>
      <c r="F419" s="4"/>
      <c r="G419" s="4"/>
      <c r="H419" s="4"/>
      <c r="I419" s="106">
        <v>46265.0</v>
      </c>
      <c r="J419" s="56" t="s">
        <v>124</v>
      </c>
      <c r="K419" s="106">
        <v>46203.0</v>
      </c>
      <c r="L419" s="106"/>
      <c r="M419" s="56" t="s">
        <v>112</v>
      </c>
      <c r="N419" s="56">
        <v>0.0</v>
      </c>
      <c r="O419" s="4"/>
    </row>
    <row r="420">
      <c r="A420" s="4"/>
      <c r="B420" s="4"/>
      <c r="C420" s="4"/>
      <c r="D420" s="4"/>
      <c r="E420" s="4"/>
      <c r="F420" s="4"/>
      <c r="G420" s="4"/>
      <c r="H420" s="4"/>
      <c r="I420" s="106">
        <v>46265.0</v>
      </c>
      <c r="J420" s="56" t="s">
        <v>124</v>
      </c>
      <c r="K420" s="106">
        <v>46203.0</v>
      </c>
      <c r="L420" s="106"/>
      <c r="M420" s="56" t="s">
        <v>46</v>
      </c>
      <c r="N420" s="56">
        <v>0.0</v>
      </c>
      <c r="O420" s="4"/>
    </row>
    <row r="421">
      <c r="A421" s="4"/>
      <c r="B421" s="4"/>
      <c r="C421" s="4"/>
      <c r="D421" s="4"/>
      <c r="E421" s="4"/>
      <c r="F421" s="4"/>
      <c r="G421" s="4"/>
      <c r="H421" s="4"/>
      <c r="I421" s="106">
        <v>46265.0</v>
      </c>
      <c r="J421" s="56" t="s">
        <v>124</v>
      </c>
      <c r="K421" s="106">
        <v>46203.0</v>
      </c>
      <c r="L421" s="106"/>
      <c r="M421" s="56" t="s">
        <v>114</v>
      </c>
      <c r="N421" s="56">
        <v>0.0</v>
      </c>
      <c r="O421" s="4"/>
    </row>
    <row r="422">
      <c r="A422" s="4"/>
      <c r="B422" s="4"/>
      <c r="C422" s="4"/>
      <c r="D422" s="4"/>
      <c r="E422" s="4"/>
      <c r="F422" s="4"/>
      <c r="G422" s="4"/>
      <c r="H422" s="4"/>
      <c r="I422" s="106">
        <v>46265.0</v>
      </c>
      <c r="J422" s="56" t="s">
        <v>124</v>
      </c>
      <c r="K422" s="106">
        <v>46203.0</v>
      </c>
      <c r="L422" s="106"/>
      <c r="M422" s="56" t="s">
        <v>23</v>
      </c>
      <c r="N422" s="56">
        <v>0.0</v>
      </c>
      <c r="O422" s="4"/>
    </row>
    <row r="423">
      <c r="A423" s="4"/>
      <c r="B423" s="4"/>
      <c r="C423" s="4"/>
      <c r="D423" s="4"/>
      <c r="E423" s="4"/>
      <c r="F423" s="4"/>
      <c r="G423" s="4"/>
      <c r="H423" s="4"/>
      <c r="I423" s="106">
        <v>46265.0</v>
      </c>
      <c r="J423" s="56" t="s">
        <v>124</v>
      </c>
      <c r="K423" s="106">
        <v>46203.0</v>
      </c>
      <c r="L423" s="106"/>
      <c r="M423" s="56" t="s">
        <v>117</v>
      </c>
      <c r="N423" s="56">
        <v>0.0</v>
      </c>
      <c r="O423" s="4"/>
    </row>
    <row r="424">
      <c r="A424" s="4"/>
      <c r="B424" s="4"/>
      <c r="C424" s="4"/>
      <c r="D424" s="4"/>
      <c r="E424" s="4"/>
      <c r="F424" s="4"/>
      <c r="G424" s="4"/>
      <c r="H424" s="4"/>
      <c r="I424" s="106">
        <v>46265.0</v>
      </c>
      <c r="J424" s="56" t="s">
        <v>124</v>
      </c>
      <c r="K424" s="106">
        <v>46203.0</v>
      </c>
      <c r="L424" s="106"/>
      <c r="M424" s="56" t="s">
        <v>14</v>
      </c>
      <c r="N424" s="102">
        <v>300000.0</v>
      </c>
      <c r="O424" s="4"/>
    </row>
    <row r="425">
      <c r="A425" s="4"/>
      <c r="B425" s="4"/>
      <c r="C425" s="4"/>
      <c r="D425" s="4"/>
      <c r="E425" s="4"/>
      <c r="F425" s="4"/>
      <c r="G425" s="4"/>
      <c r="H425" s="4"/>
      <c r="I425" s="106">
        <v>46265.0</v>
      </c>
      <c r="J425" s="56" t="s">
        <v>124</v>
      </c>
      <c r="K425" s="106">
        <v>46265.0</v>
      </c>
      <c r="L425" s="106"/>
      <c r="M425" s="56" t="s">
        <v>93</v>
      </c>
      <c r="N425" s="56">
        <v>0.0</v>
      </c>
      <c r="O425" s="4"/>
    </row>
    <row r="426">
      <c r="A426" s="4"/>
      <c r="B426" s="4"/>
      <c r="C426" s="4"/>
      <c r="D426" s="4"/>
      <c r="E426" s="4"/>
      <c r="F426" s="4"/>
      <c r="G426" s="4"/>
      <c r="H426" s="4"/>
      <c r="I426" s="106">
        <v>46265.0</v>
      </c>
      <c r="J426" s="56" t="s">
        <v>124</v>
      </c>
      <c r="K426" s="106">
        <v>46265.0</v>
      </c>
      <c r="L426" s="106"/>
      <c r="M426" s="56" t="s">
        <v>94</v>
      </c>
      <c r="N426" s="56">
        <v>0.0</v>
      </c>
      <c r="O426" s="4"/>
    </row>
    <row r="427">
      <c r="A427" s="4"/>
      <c r="B427" s="4"/>
      <c r="C427" s="4"/>
      <c r="D427" s="4"/>
      <c r="E427" s="4"/>
      <c r="F427" s="4"/>
      <c r="G427" s="4"/>
      <c r="H427" s="4"/>
      <c r="I427" s="106">
        <v>46265.0</v>
      </c>
      <c r="J427" s="56" t="s">
        <v>124</v>
      </c>
      <c r="K427" s="106">
        <v>46265.0</v>
      </c>
      <c r="L427" s="106"/>
      <c r="M427" s="56" t="s">
        <v>95</v>
      </c>
      <c r="N427" s="56">
        <v>0.0</v>
      </c>
      <c r="O427" s="4"/>
    </row>
    <row r="428">
      <c r="A428" s="4"/>
      <c r="B428" s="4"/>
      <c r="C428" s="4"/>
      <c r="D428" s="4"/>
      <c r="E428" s="4"/>
      <c r="F428" s="4"/>
      <c r="G428" s="4"/>
      <c r="H428" s="4"/>
      <c r="I428" s="106">
        <v>46265.0</v>
      </c>
      <c r="J428" s="56" t="s">
        <v>124</v>
      </c>
      <c r="K428" s="106">
        <v>46265.0</v>
      </c>
      <c r="L428" s="106"/>
      <c r="M428" s="56" t="s">
        <v>96</v>
      </c>
      <c r="N428" s="56">
        <v>0.0</v>
      </c>
      <c r="O428" s="4"/>
    </row>
    <row r="429">
      <c r="A429" s="4"/>
      <c r="B429" s="4"/>
      <c r="C429" s="4"/>
      <c r="D429" s="4"/>
      <c r="E429" s="4"/>
      <c r="F429" s="4"/>
      <c r="G429" s="4"/>
      <c r="H429" s="4"/>
      <c r="I429" s="106">
        <v>46265.0</v>
      </c>
      <c r="J429" s="56" t="s">
        <v>124</v>
      </c>
      <c r="K429" s="106">
        <v>46265.0</v>
      </c>
      <c r="L429" s="106"/>
      <c r="M429" s="56" t="s">
        <v>97</v>
      </c>
      <c r="N429" s="56">
        <v>0.0</v>
      </c>
      <c r="O429" s="4"/>
    </row>
    <row r="430">
      <c r="A430" s="4"/>
      <c r="B430" s="4"/>
      <c r="C430" s="4"/>
      <c r="D430" s="4"/>
      <c r="E430" s="4"/>
      <c r="F430" s="4"/>
      <c r="G430" s="4"/>
      <c r="H430" s="4"/>
      <c r="I430" s="106">
        <v>46265.0</v>
      </c>
      <c r="J430" s="56" t="s">
        <v>124</v>
      </c>
      <c r="K430" s="106">
        <v>46265.0</v>
      </c>
      <c r="L430" s="106"/>
      <c r="M430" s="56" t="s">
        <v>98</v>
      </c>
      <c r="N430" s="56">
        <v>0.0</v>
      </c>
      <c r="O430" s="4"/>
    </row>
    <row r="431">
      <c r="A431" s="4"/>
      <c r="B431" s="4"/>
      <c r="C431" s="4"/>
      <c r="D431" s="4"/>
      <c r="E431" s="4"/>
      <c r="F431" s="4"/>
      <c r="G431" s="4"/>
      <c r="H431" s="4"/>
      <c r="I431" s="106">
        <v>46265.0</v>
      </c>
      <c r="J431" s="56" t="s">
        <v>124</v>
      </c>
      <c r="K431" s="106">
        <v>46265.0</v>
      </c>
      <c r="L431" s="106"/>
      <c r="M431" s="56" t="s">
        <v>99</v>
      </c>
      <c r="N431" s="56">
        <v>2500000.0</v>
      </c>
      <c r="O431" s="4"/>
    </row>
    <row r="432">
      <c r="A432" s="4"/>
      <c r="B432" s="4"/>
      <c r="C432" s="4"/>
      <c r="D432" s="4"/>
      <c r="E432" s="4"/>
      <c r="F432" s="4"/>
      <c r="G432" s="4"/>
      <c r="H432" s="4"/>
      <c r="I432" s="106">
        <v>46265.0</v>
      </c>
      <c r="J432" s="56" t="s">
        <v>124</v>
      </c>
      <c r="K432" s="106">
        <v>46265.0</v>
      </c>
      <c r="L432" s="106"/>
      <c r="M432" s="56" t="s">
        <v>100</v>
      </c>
      <c r="N432" s="56">
        <v>0.0</v>
      </c>
      <c r="O432" s="4"/>
    </row>
    <row r="433">
      <c r="A433" s="4"/>
      <c r="B433" s="4"/>
      <c r="C433" s="4"/>
      <c r="D433" s="4"/>
      <c r="E433" s="4"/>
      <c r="F433" s="4"/>
      <c r="G433" s="4"/>
      <c r="H433" s="4"/>
      <c r="I433" s="106">
        <v>46265.0</v>
      </c>
      <c r="J433" s="56" t="s">
        <v>124</v>
      </c>
      <c r="K433" s="106">
        <v>46265.0</v>
      </c>
      <c r="L433" s="106"/>
      <c r="M433" s="56" t="s">
        <v>101</v>
      </c>
      <c r="N433" s="56">
        <v>0.0</v>
      </c>
      <c r="O433" s="4"/>
    </row>
    <row r="434">
      <c r="A434" s="4"/>
      <c r="B434" s="4"/>
      <c r="C434" s="4"/>
      <c r="D434" s="4"/>
      <c r="E434" s="4"/>
      <c r="F434" s="4"/>
      <c r="G434" s="4"/>
      <c r="H434" s="4"/>
      <c r="I434" s="106">
        <v>46265.0</v>
      </c>
      <c r="J434" s="56" t="s">
        <v>124</v>
      </c>
      <c r="K434" s="106">
        <v>46265.0</v>
      </c>
      <c r="L434" s="106"/>
      <c r="M434" s="56" t="s">
        <v>102</v>
      </c>
      <c r="N434" s="56">
        <v>0.0</v>
      </c>
      <c r="O434" s="4"/>
    </row>
    <row r="435">
      <c r="A435" s="4"/>
      <c r="B435" s="4"/>
      <c r="C435" s="4"/>
      <c r="D435" s="4"/>
      <c r="E435" s="4"/>
      <c r="F435" s="4"/>
      <c r="G435" s="4"/>
      <c r="H435" s="4"/>
      <c r="I435" s="106">
        <v>46265.0</v>
      </c>
      <c r="J435" s="56" t="s">
        <v>124</v>
      </c>
      <c r="K435" s="106">
        <v>46265.0</v>
      </c>
      <c r="L435" s="106"/>
      <c r="M435" s="56" t="s">
        <v>103</v>
      </c>
      <c r="N435" s="56">
        <v>0.0</v>
      </c>
      <c r="O435" s="4"/>
    </row>
    <row r="436">
      <c r="A436" s="4"/>
      <c r="B436" s="4"/>
      <c r="C436" s="4"/>
      <c r="D436" s="4"/>
      <c r="E436" s="4"/>
      <c r="F436" s="4"/>
      <c r="G436" s="4"/>
      <c r="H436" s="4"/>
      <c r="I436" s="106">
        <v>46265.0</v>
      </c>
      <c r="J436" s="56" t="s">
        <v>124</v>
      </c>
      <c r="K436" s="106">
        <v>46265.0</v>
      </c>
      <c r="L436" s="106"/>
      <c r="M436" s="56" t="s">
        <v>105</v>
      </c>
      <c r="N436" s="56">
        <v>0.0</v>
      </c>
      <c r="O436" s="4"/>
    </row>
    <row r="437">
      <c r="A437" s="4"/>
      <c r="B437" s="4"/>
      <c r="C437" s="4"/>
      <c r="D437" s="4"/>
      <c r="E437" s="4"/>
      <c r="F437" s="4"/>
      <c r="G437" s="4"/>
      <c r="H437" s="4"/>
      <c r="I437" s="106">
        <v>46265.0</v>
      </c>
      <c r="J437" s="56" t="s">
        <v>124</v>
      </c>
      <c r="K437" s="106">
        <v>46265.0</v>
      </c>
      <c r="L437" s="106"/>
      <c r="M437" s="56" t="s">
        <v>107</v>
      </c>
      <c r="N437" s="56">
        <v>0.0</v>
      </c>
      <c r="O437" s="4"/>
    </row>
    <row r="438">
      <c r="A438" s="4"/>
      <c r="B438" s="4"/>
      <c r="C438" s="4"/>
      <c r="D438" s="4"/>
      <c r="E438" s="4"/>
      <c r="F438" s="4"/>
      <c r="G438" s="4"/>
      <c r="H438" s="4"/>
      <c r="I438" s="106">
        <v>46265.0</v>
      </c>
      <c r="J438" s="56" t="s">
        <v>124</v>
      </c>
      <c r="K438" s="106">
        <v>46265.0</v>
      </c>
      <c r="L438" s="106"/>
      <c r="M438" s="56" t="s">
        <v>109</v>
      </c>
      <c r="N438" s="56">
        <v>0.0</v>
      </c>
      <c r="O438" s="4"/>
    </row>
    <row r="439">
      <c r="A439" s="4"/>
      <c r="B439" s="4"/>
      <c r="C439" s="4"/>
      <c r="D439" s="4"/>
      <c r="E439" s="4"/>
      <c r="F439" s="4"/>
      <c r="G439" s="4"/>
      <c r="H439" s="4"/>
      <c r="I439" s="106">
        <v>46265.0</v>
      </c>
      <c r="J439" s="56" t="s">
        <v>124</v>
      </c>
      <c r="K439" s="106">
        <v>46265.0</v>
      </c>
      <c r="L439" s="106"/>
      <c r="M439" s="56" t="s">
        <v>111</v>
      </c>
      <c r="N439" s="102">
        <v>20000.0</v>
      </c>
      <c r="O439" s="4"/>
    </row>
    <row r="440">
      <c r="A440" s="4"/>
      <c r="B440" s="4"/>
      <c r="C440" s="4"/>
      <c r="D440" s="4"/>
      <c r="E440" s="4"/>
      <c r="F440" s="4"/>
      <c r="G440" s="4"/>
      <c r="H440" s="4"/>
      <c r="I440" s="106">
        <v>46265.0</v>
      </c>
      <c r="J440" s="56" t="s">
        <v>124</v>
      </c>
      <c r="K440" s="106">
        <v>46265.0</v>
      </c>
      <c r="L440" s="106"/>
      <c r="M440" s="56" t="s">
        <v>112</v>
      </c>
      <c r="N440" s="56">
        <v>0.0</v>
      </c>
      <c r="O440" s="4"/>
    </row>
    <row r="441">
      <c r="A441" s="4"/>
      <c r="B441" s="4"/>
      <c r="C441" s="4"/>
      <c r="D441" s="4"/>
      <c r="E441" s="4"/>
      <c r="F441" s="4"/>
      <c r="G441" s="4"/>
      <c r="H441" s="4"/>
      <c r="I441" s="106">
        <v>46265.0</v>
      </c>
      <c r="J441" s="56" t="s">
        <v>124</v>
      </c>
      <c r="K441" s="106">
        <v>46265.0</v>
      </c>
      <c r="L441" s="106"/>
      <c r="M441" s="56" t="s">
        <v>46</v>
      </c>
      <c r="N441" s="56">
        <v>0.0</v>
      </c>
      <c r="O441" s="4"/>
    </row>
    <row r="442">
      <c r="A442" s="4"/>
      <c r="B442" s="4"/>
      <c r="C442" s="4"/>
      <c r="D442" s="4"/>
      <c r="E442" s="4"/>
      <c r="F442" s="4"/>
      <c r="G442" s="4"/>
      <c r="H442" s="4"/>
      <c r="I442" s="106">
        <v>46265.0</v>
      </c>
      <c r="J442" s="56" t="s">
        <v>124</v>
      </c>
      <c r="K442" s="106">
        <v>46265.0</v>
      </c>
      <c r="L442" s="106"/>
      <c r="M442" s="56" t="s">
        <v>114</v>
      </c>
      <c r="N442" s="56">
        <v>0.0</v>
      </c>
      <c r="O442" s="4"/>
    </row>
    <row r="443">
      <c r="A443" s="4"/>
      <c r="B443" s="4"/>
      <c r="C443" s="4"/>
      <c r="D443" s="4"/>
      <c r="E443" s="4"/>
      <c r="F443" s="4"/>
      <c r="G443" s="4"/>
      <c r="H443" s="4"/>
      <c r="I443" s="106">
        <v>46265.0</v>
      </c>
      <c r="J443" s="56" t="s">
        <v>124</v>
      </c>
      <c r="K443" s="106">
        <v>46265.0</v>
      </c>
      <c r="L443" s="106"/>
      <c r="M443" s="56" t="s">
        <v>23</v>
      </c>
      <c r="N443" s="102">
        <v>0.0</v>
      </c>
      <c r="O443" s="4"/>
    </row>
    <row r="444">
      <c r="A444" s="4"/>
      <c r="B444" s="4"/>
      <c r="C444" s="4"/>
      <c r="D444" s="4"/>
      <c r="E444" s="4"/>
      <c r="F444" s="4"/>
      <c r="G444" s="4"/>
      <c r="H444" s="4"/>
      <c r="I444" s="106">
        <v>46265.0</v>
      </c>
      <c r="J444" s="56" t="s">
        <v>124</v>
      </c>
      <c r="K444" s="106">
        <v>46265.0</v>
      </c>
      <c r="L444" s="106"/>
      <c r="M444" s="56" t="s">
        <v>117</v>
      </c>
      <c r="N444" s="102">
        <v>0.0</v>
      </c>
      <c r="O444" s="4"/>
    </row>
    <row r="445">
      <c r="A445" s="4"/>
      <c r="B445" s="4"/>
      <c r="C445" s="4"/>
      <c r="D445" s="4"/>
      <c r="E445" s="4"/>
      <c r="F445" s="4"/>
      <c r="G445" s="4"/>
      <c r="H445" s="4"/>
      <c r="I445" s="106">
        <v>46265.0</v>
      </c>
      <c r="J445" s="56" t="s">
        <v>124</v>
      </c>
      <c r="K445" s="106">
        <v>46265.0</v>
      </c>
      <c r="L445" s="106"/>
      <c r="M445" s="56" t="s">
        <v>14</v>
      </c>
      <c r="N445" s="102">
        <v>50000.0</v>
      </c>
      <c r="O445" s="4"/>
    </row>
    <row r="446">
      <c r="A446" s="4"/>
      <c r="B446" s="4"/>
      <c r="C446" s="4"/>
      <c r="D446" s="4"/>
      <c r="E446" s="4"/>
      <c r="F446" s="4"/>
      <c r="G446" s="4"/>
      <c r="H446" s="4"/>
      <c r="I446" s="106">
        <v>46265.0</v>
      </c>
      <c r="J446" s="56" t="s">
        <v>124</v>
      </c>
      <c r="K446" s="106">
        <v>46295.0</v>
      </c>
      <c r="L446" s="106"/>
      <c r="M446" s="56" t="s">
        <v>93</v>
      </c>
      <c r="N446" s="56">
        <v>0.0</v>
      </c>
      <c r="O446" s="4"/>
    </row>
    <row r="447">
      <c r="A447" s="4"/>
      <c r="B447" s="4"/>
      <c r="C447" s="4"/>
      <c r="D447" s="4"/>
      <c r="E447" s="4"/>
      <c r="F447" s="4"/>
      <c r="G447" s="4"/>
      <c r="H447" s="4"/>
      <c r="I447" s="106">
        <v>46265.0</v>
      </c>
      <c r="J447" s="56" t="s">
        <v>124</v>
      </c>
      <c r="K447" s="106">
        <v>46295.0</v>
      </c>
      <c r="L447" s="106"/>
      <c r="M447" s="56" t="s">
        <v>94</v>
      </c>
      <c r="N447" s="102">
        <v>429840.0</v>
      </c>
      <c r="O447" s="4"/>
    </row>
    <row r="448">
      <c r="A448" s="4"/>
      <c r="B448" s="4"/>
      <c r="C448" s="4"/>
      <c r="D448" s="4"/>
      <c r="E448" s="4"/>
      <c r="F448" s="4"/>
      <c r="G448" s="4"/>
      <c r="H448" s="4"/>
      <c r="I448" s="106">
        <v>46265.0</v>
      </c>
      <c r="J448" s="56" t="s">
        <v>124</v>
      </c>
      <c r="K448" s="106">
        <v>46295.0</v>
      </c>
      <c r="L448" s="106"/>
      <c r="M448" s="56" t="s">
        <v>95</v>
      </c>
      <c r="N448" s="56">
        <v>0.0</v>
      </c>
      <c r="O448" s="4"/>
    </row>
    <row r="449">
      <c r="A449" s="4"/>
      <c r="B449" s="4"/>
      <c r="C449" s="4"/>
      <c r="D449" s="4"/>
      <c r="E449" s="4"/>
      <c r="F449" s="4"/>
      <c r="G449" s="4"/>
      <c r="H449" s="4"/>
      <c r="I449" s="106">
        <v>46265.0</v>
      </c>
      <c r="J449" s="56" t="s">
        <v>124</v>
      </c>
      <c r="K449" s="106">
        <v>46295.0</v>
      </c>
      <c r="L449" s="106"/>
      <c r="M449" s="56" t="s">
        <v>96</v>
      </c>
      <c r="N449" s="102">
        <v>2640.0</v>
      </c>
      <c r="O449" s="4"/>
    </row>
    <row r="450">
      <c r="A450" s="4"/>
      <c r="B450" s="4"/>
      <c r="C450" s="4"/>
      <c r="D450" s="4"/>
      <c r="E450" s="4"/>
      <c r="F450" s="4"/>
      <c r="G450" s="4"/>
      <c r="H450" s="4"/>
      <c r="I450" s="106">
        <v>46265.0</v>
      </c>
      <c r="J450" s="56" t="s">
        <v>124</v>
      </c>
      <c r="K450" s="106">
        <v>46295.0</v>
      </c>
      <c r="L450" s="106"/>
      <c r="M450" s="56" t="s">
        <v>97</v>
      </c>
      <c r="N450" s="102">
        <v>7128.0</v>
      </c>
      <c r="O450" s="4"/>
    </row>
    <row r="451">
      <c r="A451" s="4"/>
      <c r="B451" s="4"/>
      <c r="C451" s="4"/>
      <c r="D451" s="4"/>
      <c r="E451" s="4"/>
      <c r="F451" s="4"/>
      <c r="G451" s="4"/>
      <c r="H451" s="4"/>
      <c r="I451" s="106">
        <v>46265.0</v>
      </c>
      <c r="J451" s="56" t="s">
        <v>124</v>
      </c>
      <c r="K451" s="106">
        <v>46295.0</v>
      </c>
      <c r="L451" s="106"/>
      <c r="M451" s="56" t="s">
        <v>98</v>
      </c>
      <c r="N451" s="56">
        <v>0.0</v>
      </c>
      <c r="O451" s="4"/>
    </row>
    <row r="452">
      <c r="A452" s="4"/>
      <c r="B452" s="4"/>
      <c r="C452" s="4"/>
      <c r="D452" s="4"/>
      <c r="E452" s="4"/>
      <c r="F452" s="4"/>
      <c r="G452" s="4"/>
      <c r="H452" s="4"/>
      <c r="I452" s="106">
        <v>46265.0</v>
      </c>
      <c r="J452" s="56" t="s">
        <v>124</v>
      </c>
      <c r="K452" s="106">
        <v>46295.0</v>
      </c>
      <c r="L452" s="106"/>
      <c r="M452" s="56" t="s">
        <v>99</v>
      </c>
      <c r="N452" s="56">
        <v>0.0</v>
      </c>
      <c r="O452" s="4"/>
    </row>
    <row r="453">
      <c r="A453" s="4"/>
      <c r="B453" s="4"/>
      <c r="C453" s="4"/>
      <c r="D453" s="4"/>
      <c r="E453" s="4"/>
      <c r="F453" s="4"/>
      <c r="G453" s="4"/>
      <c r="H453" s="4"/>
      <c r="I453" s="106">
        <v>46265.0</v>
      </c>
      <c r="J453" s="56" t="s">
        <v>124</v>
      </c>
      <c r="K453" s="106">
        <v>46295.0</v>
      </c>
      <c r="L453" s="106"/>
      <c r="M453" s="56" t="s">
        <v>100</v>
      </c>
      <c r="N453" s="102">
        <v>100000.0</v>
      </c>
      <c r="O453" s="4"/>
    </row>
    <row r="454">
      <c r="A454" s="4"/>
      <c r="B454" s="4"/>
      <c r="C454" s="4"/>
      <c r="D454" s="4"/>
      <c r="E454" s="4"/>
      <c r="F454" s="4"/>
      <c r="G454" s="4"/>
      <c r="H454" s="4"/>
      <c r="I454" s="106">
        <v>46265.0</v>
      </c>
      <c r="J454" s="56" t="s">
        <v>124</v>
      </c>
      <c r="K454" s="106">
        <v>46295.0</v>
      </c>
      <c r="L454" s="106"/>
      <c r="M454" s="56" t="s">
        <v>101</v>
      </c>
      <c r="N454" s="102">
        <v>110000.0</v>
      </c>
      <c r="O454" s="4"/>
    </row>
    <row r="455">
      <c r="A455" s="4"/>
      <c r="B455" s="4"/>
      <c r="C455" s="4"/>
      <c r="D455" s="4"/>
      <c r="E455" s="4"/>
      <c r="F455" s="4"/>
      <c r="G455" s="4"/>
      <c r="H455" s="4"/>
      <c r="I455" s="106">
        <v>46265.0</v>
      </c>
      <c r="J455" s="56" t="s">
        <v>124</v>
      </c>
      <c r="K455" s="106">
        <v>46295.0</v>
      </c>
      <c r="L455" s="106"/>
      <c r="M455" s="56" t="s">
        <v>102</v>
      </c>
      <c r="N455" s="102">
        <v>700000.0</v>
      </c>
      <c r="O455" s="4"/>
    </row>
    <row r="456">
      <c r="A456" s="4"/>
      <c r="B456" s="4"/>
      <c r="C456" s="4"/>
      <c r="D456" s="4"/>
      <c r="E456" s="4"/>
      <c r="F456" s="4"/>
      <c r="G456" s="4"/>
      <c r="H456" s="4"/>
      <c r="I456" s="106">
        <v>46265.0</v>
      </c>
      <c r="J456" s="56" t="s">
        <v>124</v>
      </c>
      <c r="K456" s="106">
        <v>46295.0</v>
      </c>
      <c r="L456" s="106"/>
      <c r="M456" s="56" t="s">
        <v>103</v>
      </c>
      <c r="N456" s="102">
        <v>2000000.0</v>
      </c>
      <c r="O456" s="4"/>
    </row>
    <row r="457">
      <c r="A457" s="4"/>
      <c r="B457" s="4"/>
      <c r="C457" s="4"/>
      <c r="D457" s="4"/>
      <c r="E457" s="4"/>
      <c r="F457" s="4"/>
      <c r="G457" s="4"/>
      <c r="H457" s="4"/>
      <c r="I457" s="106">
        <v>46265.0</v>
      </c>
      <c r="J457" s="56" t="s">
        <v>124</v>
      </c>
      <c r="K457" s="106">
        <v>46295.0</v>
      </c>
      <c r="L457" s="106"/>
      <c r="M457" s="56" t="s">
        <v>105</v>
      </c>
      <c r="N457" s="102">
        <v>450000.0</v>
      </c>
      <c r="O457" s="4"/>
    </row>
    <row r="458">
      <c r="A458" s="4"/>
      <c r="B458" s="4"/>
      <c r="C458" s="4"/>
      <c r="D458" s="4"/>
      <c r="E458" s="4"/>
      <c r="F458" s="4"/>
      <c r="G458" s="4"/>
      <c r="H458" s="4"/>
      <c r="I458" s="106">
        <v>46265.0</v>
      </c>
      <c r="J458" s="56" t="s">
        <v>124</v>
      </c>
      <c r="K458" s="106">
        <v>46295.0</v>
      </c>
      <c r="L458" s="106"/>
      <c r="M458" s="56" t="s">
        <v>107</v>
      </c>
      <c r="N458" s="56">
        <v>0.0</v>
      </c>
      <c r="O458" s="4"/>
    </row>
    <row r="459">
      <c r="A459" s="4"/>
      <c r="B459" s="4"/>
      <c r="C459" s="4"/>
      <c r="D459" s="4"/>
      <c r="E459" s="4"/>
      <c r="F459" s="4"/>
      <c r="G459" s="4"/>
      <c r="H459" s="4"/>
      <c r="I459" s="106">
        <v>46265.0</v>
      </c>
      <c r="J459" s="56" t="s">
        <v>124</v>
      </c>
      <c r="K459" s="106">
        <v>46295.0</v>
      </c>
      <c r="L459" s="106"/>
      <c r="M459" s="56" t="s">
        <v>109</v>
      </c>
      <c r="N459" s="102">
        <v>2000000.0</v>
      </c>
      <c r="O459" s="4"/>
    </row>
    <row r="460">
      <c r="A460" s="4"/>
      <c r="B460" s="4"/>
      <c r="C460" s="4"/>
      <c r="D460" s="4"/>
      <c r="E460" s="4"/>
      <c r="F460" s="4"/>
      <c r="G460" s="4"/>
      <c r="H460" s="4"/>
      <c r="I460" s="106">
        <v>46265.0</v>
      </c>
      <c r="J460" s="56" t="s">
        <v>124</v>
      </c>
      <c r="K460" s="106">
        <v>46295.0</v>
      </c>
      <c r="L460" s="106"/>
      <c r="M460" s="56" t="s">
        <v>111</v>
      </c>
      <c r="N460" s="102">
        <v>130000.0</v>
      </c>
      <c r="O460" s="4"/>
    </row>
    <row r="461">
      <c r="A461" s="4"/>
      <c r="B461" s="4"/>
      <c r="C461" s="4"/>
      <c r="D461" s="4"/>
      <c r="E461" s="4"/>
      <c r="F461" s="4"/>
      <c r="G461" s="4"/>
      <c r="H461" s="4"/>
      <c r="I461" s="106">
        <v>46265.0</v>
      </c>
      <c r="J461" s="56" t="s">
        <v>124</v>
      </c>
      <c r="K461" s="106">
        <v>46295.0</v>
      </c>
      <c r="L461" s="106"/>
      <c r="M461" s="56" t="s">
        <v>112</v>
      </c>
      <c r="N461" s="56">
        <v>0.0</v>
      </c>
      <c r="O461" s="4"/>
    </row>
    <row r="462">
      <c r="A462" s="4"/>
      <c r="B462" s="4"/>
      <c r="C462" s="4"/>
      <c r="D462" s="4"/>
      <c r="E462" s="4"/>
      <c r="F462" s="4"/>
      <c r="G462" s="4"/>
      <c r="H462" s="4"/>
      <c r="I462" s="106">
        <v>46265.0</v>
      </c>
      <c r="J462" s="56" t="s">
        <v>124</v>
      </c>
      <c r="K462" s="106">
        <v>46295.0</v>
      </c>
      <c r="L462" s="106"/>
      <c r="M462" s="56" t="s">
        <v>46</v>
      </c>
      <c r="N462" s="102">
        <v>150000.0</v>
      </c>
      <c r="O462" s="4"/>
    </row>
    <row r="463">
      <c r="A463" s="4"/>
      <c r="B463" s="4"/>
      <c r="C463" s="4"/>
      <c r="D463" s="4"/>
      <c r="E463" s="4"/>
      <c r="F463" s="4"/>
      <c r="G463" s="4"/>
      <c r="H463" s="4"/>
      <c r="I463" s="106">
        <v>46265.0</v>
      </c>
      <c r="J463" s="56" t="s">
        <v>124</v>
      </c>
      <c r="K463" s="106">
        <v>46295.0</v>
      </c>
      <c r="L463" s="106"/>
      <c r="M463" s="56" t="s">
        <v>114</v>
      </c>
      <c r="N463" s="102">
        <v>60000.0</v>
      </c>
      <c r="O463" s="4"/>
    </row>
    <row r="464">
      <c r="A464" s="4"/>
      <c r="B464" s="4"/>
      <c r="C464" s="4"/>
      <c r="D464" s="4"/>
      <c r="E464" s="4"/>
      <c r="F464" s="4"/>
      <c r="G464" s="4"/>
      <c r="H464" s="4"/>
      <c r="I464" s="106">
        <v>46265.0</v>
      </c>
      <c r="J464" s="56" t="s">
        <v>124</v>
      </c>
      <c r="K464" s="106">
        <v>46295.0</v>
      </c>
      <c r="L464" s="106"/>
      <c r="M464" s="56" t="s">
        <v>23</v>
      </c>
      <c r="N464" s="56">
        <v>0.0</v>
      </c>
      <c r="O464" s="4"/>
    </row>
    <row r="465">
      <c r="A465" s="4"/>
      <c r="B465" s="4"/>
      <c r="C465" s="4"/>
      <c r="D465" s="4"/>
      <c r="E465" s="4"/>
      <c r="F465" s="4"/>
      <c r="G465" s="4"/>
      <c r="H465" s="4"/>
      <c r="I465" s="106">
        <v>46265.0</v>
      </c>
      <c r="J465" s="56" t="s">
        <v>124</v>
      </c>
      <c r="K465" s="106">
        <v>46295.0</v>
      </c>
      <c r="L465" s="106"/>
      <c r="M465" s="56" t="s">
        <v>117</v>
      </c>
      <c r="N465" s="102">
        <v>0.0</v>
      </c>
      <c r="O465" s="4"/>
    </row>
    <row r="466">
      <c r="A466" s="4"/>
      <c r="B466" s="4"/>
      <c r="C466" s="4"/>
      <c r="D466" s="4"/>
      <c r="E466" s="4"/>
      <c r="F466" s="4"/>
      <c r="G466" s="4"/>
      <c r="H466" s="4"/>
      <c r="I466" s="106">
        <v>46265.0</v>
      </c>
      <c r="J466" s="56" t="s">
        <v>124</v>
      </c>
      <c r="K466" s="106">
        <v>46295.0</v>
      </c>
      <c r="L466" s="106"/>
      <c r="M466" s="56" t="s">
        <v>14</v>
      </c>
      <c r="N466" s="102">
        <v>300000.0</v>
      </c>
      <c r="O466" s="4"/>
    </row>
    <row r="467">
      <c r="A467" s="4"/>
      <c r="B467" s="4"/>
      <c r="C467" s="4"/>
      <c r="D467" s="4"/>
      <c r="E467" s="4"/>
      <c r="F467" s="4"/>
      <c r="G467" s="4"/>
      <c r="H467" s="4"/>
      <c r="I467" s="106"/>
      <c r="J467" s="56"/>
      <c r="K467" s="4"/>
      <c r="L467" s="4"/>
      <c r="M467" s="56"/>
      <c r="N467" s="56"/>
      <c r="O467" s="4"/>
    </row>
    <row r="468">
      <c r="A468" s="4"/>
      <c r="B468" s="4"/>
      <c r="C468" s="4"/>
      <c r="D468" s="4"/>
      <c r="E468" s="4"/>
      <c r="F468" s="4"/>
      <c r="G468" s="4"/>
      <c r="H468" s="4"/>
      <c r="I468" s="106"/>
      <c r="J468" s="56"/>
      <c r="K468" s="4"/>
      <c r="L468" s="4"/>
      <c r="M468" s="56"/>
      <c r="N468" s="102"/>
      <c r="O468" s="4"/>
    </row>
    <row r="469">
      <c r="A469" s="4"/>
      <c r="B469" s="4"/>
      <c r="C469" s="4"/>
      <c r="D469" s="4"/>
      <c r="E469" s="4"/>
      <c r="F469" s="4"/>
      <c r="G469" s="4"/>
      <c r="H469" s="4"/>
      <c r="I469" s="106"/>
      <c r="J469" s="56"/>
      <c r="K469" s="4"/>
      <c r="L469" s="4"/>
      <c r="M469" s="56"/>
      <c r="N469" s="102"/>
      <c r="O469" s="4"/>
    </row>
    <row r="470">
      <c r="A470" s="4"/>
      <c r="B470" s="4"/>
      <c r="C470" s="4"/>
      <c r="D470" s="4"/>
      <c r="E470" s="4"/>
      <c r="F470" s="4"/>
      <c r="G470" s="4"/>
      <c r="H470" s="4"/>
      <c r="I470" s="106"/>
      <c r="J470" s="56"/>
      <c r="K470" s="4"/>
      <c r="L470" s="4"/>
      <c r="M470" s="56"/>
      <c r="N470" s="102"/>
      <c r="O470" s="4"/>
    </row>
    <row r="471">
      <c r="A471" s="4"/>
      <c r="B471" s="4"/>
      <c r="C471" s="4"/>
      <c r="D471" s="4"/>
      <c r="E471" s="4"/>
      <c r="F471" s="4"/>
      <c r="G471" s="4"/>
      <c r="H471" s="4"/>
      <c r="I471" s="106"/>
      <c r="J471" s="56"/>
      <c r="K471" s="4"/>
      <c r="L471" s="4"/>
      <c r="M471" s="56"/>
      <c r="N471" s="102"/>
      <c r="O471" s="4"/>
    </row>
    <row r="472">
      <c r="A472" s="4"/>
      <c r="B472" s="4"/>
      <c r="C472" s="4"/>
      <c r="D472" s="4"/>
      <c r="E472" s="4"/>
      <c r="F472" s="4"/>
      <c r="G472" s="4"/>
      <c r="H472" s="4"/>
      <c r="I472" s="106"/>
      <c r="J472" s="56"/>
      <c r="K472" s="4"/>
      <c r="L472" s="4"/>
      <c r="M472" s="56"/>
      <c r="N472" s="102"/>
      <c r="O472" s="4"/>
    </row>
    <row r="473">
      <c r="A473" s="4"/>
      <c r="B473" s="4"/>
      <c r="C473" s="4"/>
      <c r="D473" s="4"/>
      <c r="E473" s="4"/>
      <c r="F473" s="4"/>
      <c r="G473" s="4"/>
      <c r="H473" s="4"/>
      <c r="I473" s="106"/>
      <c r="J473" s="56"/>
      <c r="K473" s="4"/>
      <c r="L473" s="4"/>
      <c r="M473" s="56"/>
      <c r="N473" s="56"/>
      <c r="O473" s="4"/>
    </row>
    <row r="474">
      <c r="A474" s="4"/>
      <c r="B474" s="4"/>
      <c r="C474" s="4"/>
      <c r="D474" s="4"/>
      <c r="E474" s="4"/>
      <c r="F474" s="4"/>
      <c r="G474" s="4"/>
      <c r="H474" s="4"/>
      <c r="I474" s="106"/>
      <c r="J474" s="56"/>
      <c r="K474" s="4"/>
      <c r="L474" s="4"/>
      <c r="M474" s="56"/>
      <c r="N474" s="102"/>
      <c r="O474" s="4"/>
    </row>
    <row r="475">
      <c r="A475" s="4"/>
      <c r="B475" s="4"/>
      <c r="C475" s="4"/>
      <c r="D475" s="4"/>
      <c r="E475" s="4"/>
      <c r="F475" s="4"/>
      <c r="G475" s="4"/>
      <c r="H475" s="4"/>
      <c r="I475" s="106"/>
      <c r="J475" s="56"/>
      <c r="K475" s="4"/>
      <c r="L475" s="4"/>
      <c r="M475" s="56"/>
      <c r="N475" s="102"/>
      <c r="O475" s="4"/>
    </row>
    <row r="476">
      <c r="A476" s="4"/>
      <c r="B476" s="4"/>
      <c r="C476" s="4"/>
      <c r="D476" s="4"/>
      <c r="E476" s="4"/>
      <c r="F476" s="4"/>
      <c r="G476" s="4"/>
      <c r="H476" s="4"/>
      <c r="I476" s="106"/>
      <c r="J476" s="56"/>
      <c r="K476" s="4"/>
      <c r="L476" s="4"/>
      <c r="M476" s="56"/>
      <c r="N476" s="102"/>
      <c r="O476" s="4"/>
    </row>
    <row r="477">
      <c r="A477" s="4"/>
      <c r="B477" s="4"/>
      <c r="C477" s="4"/>
      <c r="D477" s="4"/>
      <c r="E477" s="4"/>
      <c r="F477" s="4"/>
      <c r="G477" s="4"/>
      <c r="H477" s="4"/>
      <c r="I477" s="106"/>
      <c r="J477" s="56"/>
      <c r="K477" s="4"/>
      <c r="L477" s="4"/>
      <c r="M477" s="56"/>
      <c r="N477" s="102"/>
      <c r="O477" s="4"/>
    </row>
    <row r="478">
      <c r="A478" s="4"/>
      <c r="B478" s="4"/>
      <c r="C478" s="4"/>
      <c r="D478" s="4"/>
      <c r="E478" s="4"/>
      <c r="F478" s="4"/>
      <c r="G478" s="4"/>
      <c r="H478" s="4"/>
      <c r="I478" s="106"/>
      <c r="J478" s="56"/>
      <c r="K478" s="4"/>
      <c r="L478" s="4"/>
      <c r="M478" s="56"/>
      <c r="N478" s="102"/>
      <c r="O478" s="4"/>
    </row>
    <row r="479">
      <c r="A479" s="4"/>
      <c r="B479" s="4"/>
      <c r="C479" s="4"/>
      <c r="D479" s="4"/>
      <c r="E479" s="4"/>
      <c r="F479" s="4"/>
      <c r="G479" s="4"/>
      <c r="H479" s="4"/>
      <c r="I479" s="106"/>
      <c r="J479" s="56"/>
      <c r="K479" s="4"/>
      <c r="L479" s="4"/>
      <c r="M479" s="56"/>
      <c r="N479" s="102"/>
      <c r="O479" s="4"/>
    </row>
    <row r="480">
      <c r="A480" s="4"/>
      <c r="B480" s="4"/>
      <c r="C480" s="4"/>
      <c r="D480" s="4"/>
      <c r="E480" s="4"/>
      <c r="F480" s="4"/>
      <c r="G480" s="4"/>
      <c r="H480" s="4"/>
      <c r="I480" s="106"/>
      <c r="J480" s="56"/>
      <c r="K480" s="4"/>
      <c r="L480" s="4"/>
      <c r="M480" s="56"/>
      <c r="N480" s="102"/>
      <c r="O480" s="4"/>
    </row>
    <row r="481">
      <c r="A481" s="4"/>
      <c r="B481" s="4"/>
      <c r="C481" s="4"/>
      <c r="D481" s="4"/>
      <c r="E481" s="4"/>
      <c r="F481" s="4"/>
      <c r="G481" s="4"/>
      <c r="H481" s="4"/>
      <c r="I481" s="106"/>
      <c r="J481" s="56"/>
      <c r="K481" s="4"/>
      <c r="L481" s="4"/>
      <c r="M481" s="56"/>
      <c r="N481" s="102"/>
      <c r="O481" s="4"/>
    </row>
    <row r="482">
      <c r="A482" s="4"/>
      <c r="B482" s="4"/>
      <c r="C482" s="4"/>
      <c r="D482" s="4"/>
      <c r="E482" s="4"/>
      <c r="F482" s="4"/>
      <c r="G482" s="4"/>
      <c r="H482" s="4"/>
      <c r="I482" s="106"/>
      <c r="J482" s="56"/>
      <c r="K482" s="4"/>
      <c r="L482" s="4"/>
      <c r="M482" s="56"/>
      <c r="N482" s="102"/>
      <c r="O482" s="4"/>
    </row>
    <row r="483">
      <c r="A483" s="4"/>
      <c r="B483" s="4"/>
      <c r="C483" s="4"/>
      <c r="D483" s="4"/>
      <c r="E483" s="4"/>
      <c r="F483" s="4"/>
      <c r="G483" s="4"/>
      <c r="H483" s="4"/>
      <c r="I483" s="106"/>
      <c r="J483" s="56"/>
      <c r="K483" s="4"/>
      <c r="L483" s="4"/>
      <c r="M483" s="56"/>
      <c r="N483" s="102"/>
      <c r="O483" s="4"/>
    </row>
    <row r="484">
      <c r="A484" s="4"/>
      <c r="B484" s="4"/>
      <c r="C484" s="4"/>
      <c r="D484" s="4"/>
      <c r="E484" s="4"/>
      <c r="F484" s="4"/>
      <c r="G484" s="4"/>
      <c r="H484" s="4"/>
      <c r="I484" s="106"/>
      <c r="J484" s="56"/>
      <c r="K484" s="4"/>
      <c r="L484" s="4"/>
      <c r="M484" s="56"/>
      <c r="N484" s="102"/>
      <c r="O484" s="4"/>
    </row>
    <row r="485">
      <c r="A485" s="4"/>
      <c r="B485" s="4"/>
      <c r="C485" s="4"/>
      <c r="D485" s="4"/>
      <c r="E485" s="4"/>
      <c r="F485" s="4"/>
      <c r="G485" s="4"/>
      <c r="H485" s="4"/>
      <c r="I485" s="106"/>
      <c r="J485" s="56"/>
      <c r="K485" s="4"/>
      <c r="L485" s="4"/>
      <c r="M485" s="56"/>
      <c r="N485" s="102"/>
      <c r="O485" s="4"/>
    </row>
    <row r="486">
      <c r="A486" s="4"/>
      <c r="B486" s="4"/>
      <c r="C486" s="4"/>
      <c r="D486" s="4"/>
      <c r="E486" s="4"/>
      <c r="F486" s="4"/>
      <c r="G486" s="4"/>
      <c r="H486" s="4"/>
      <c r="I486" s="106"/>
      <c r="J486" s="56"/>
      <c r="K486" s="4"/>
      <c r="L486" s="4"/>
      <c r="M486" s="56"/>
      <c r="N486" s="56"/>
      <c r="O486" s="4"/>
    </row>
    <row r="487">
      <c r="A487" s="4"/>
      <c r="B487" s="4"/>
      <c r="C487" s="4"/>
      <c r="D487" s="4"/>
      <c r="E487" s="4"/>
      <c r="F487" s="4"/>
      <c r="G487" s="4"/>
      <c r="H487" s="4"/>
      <c r="I487" s="106"/>
      <c r="J487" s="56"/>
      <c r="K487" s="4"/>
      <c r="L487" s="4"/>
      <c r="M487" s="56"/>
      <c r="N487" s="102"/>
      <c r="O487" s="4"/>
    </row>
    <row r="488">
      <c r="A488" s="4"/>
      <c r="B488" s="4"/>
      <c r="C488" s="4"/>
      <c r="D488" s="4"/>
      <c r="E488" s="4"/>
      <c r="F488" s="4"/>
      <c r="G488" s="4"/>
      <c r="H488" s="4"/>
      <c r="I488" s="106"/>
      <c r="J488" s="56"/>
      <c r="K488" s="4"/>
      <c r="L488" s="4"/>
      <c r="M488" s="56"/>
      <c r="N488" s="102"/>
      <c r="O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</sheetData>
  <autoFilter ref="$I$3:$N$46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1.13"/>
    <col customWidth="1" min="2" max="2" width="3.38"/>
    <col customWidth="1" min="3" max="3" width="31.13"/>
    <col customWidth="1" min="4" max="15" width="10.88"/>
    <col customWidth="1" min="16" max="16" width="9.5"/>
    <col customWidth="1" min="17" max="17" width="44.5"/>
  </cols>
  <sheetData>
    <row r="1" ht="33.0" customHeight="1" collapsed="1">
      <c r="A1" s="1"/>
      <c r="B1" s="2" t="s">
        <v>0</v>
      </c>
      <c r="C1" s="3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 outlineLevel="1">
      <c r="A2" s="1"/>
      <c r="B2" s="4"/>
      <c r="C2" s="4"/>
      <c r="D2" s="4" t="str">
        <f t="shared" ref="D2:O2" si="1">YEAR(D3)&amp;MONTH(D3)</f>
        <v>20263</v>
      </c>
      <c r="E2" s="4" t="str">
        <f t="shared" si="1"/>
        <v>20264</v>
      </c>
      <c r="F2" s="4" t="str">
        <f t="shared" si="1"/>
        <v>20265</v>
      </c>
      <c r="G2" s="4" t="str">
        <f t="shared" si="1"/>
        <v>20266</v>
      </c>
      <c r="H2" s="4" t="str">
        <f t="shared" si="1"/>
        <v>20267</v>
      </c>
      <c r="I2" s="4" t="str">
        <f t="shared" si="1"/>
        <v>20268</v>
      </c>
      <c r="J2" s="4" t="str">
        <f t="shared" si="1"/>
        <v>20269</v>
      </c>
      <c r="K2" s="4" t="str">
        <f t="shared" si="1"/>
        <v>202610</v>
      </c>
      <c r="L2" s="4" t="str">
        <f t="shared" si="1"/>
        <v>202611</v>
      </c>
      <c r="M2" s="4" t="str">
        <f t="shared" si="1"/>
        <v>202612</v>
      </c>
      <c r="N2" s="4" t="str">
        <f t="shared" si="1"/>
        <v>20271</v>
      </c>
      <c r="O2" s="4" t="str">
        <f t="shared" si="1"/>
        <v>20272</v>
      </c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</row>
    <row r="3" ht="18.0" customHeight="1" collapsed="1">
      <c r="A3" s="5"/>
      <c r="B3" s="6" t="s">
        <v>2</v>
      </c>
      <c r="C3" s="7"/>
      <c r="D3" s="8">
        <v>46112.0</v>
      </c>
      <c r="E3" s="8">
        <f t="shared" ref="E3:O3" si="2">EOMONTH(D3,1)</f>
        <v>46142</v>
      </c>
      <c r="F3" s="8">
        <f t="shared" si="2"/>
        <v>46173</v>
      </c>
      <c r="G3" s="8">
        <f t="shared" si="2"/>
        <v>46203</v>
      </c>
      <c r="H3" s="8">
        <f t="shared" si="2"/>
        <v>46234</v>
      </c>
      <c r="I3" s="8">
        <f t="shared" si="2"/>
        <v>46265</v>
      </c>
      <c r="J3" s="8">
        <f t="shared" si="2"/>
        <v>46295</v>
      </c>
      <c r="K3" s="8">
        <f t="shared" si="2"/>
        <v>46326</v>
      </c>
      <c r="L3" s="8">
        <f t="shared" si="2"/>
        <v>46356</v>
      </c>
      <c r="M3" s="8">
        <f t="shared" si="2"/>
        <v>46387</v>
      </c>
      <c r="N3" s="8">
        <f t="shared" si="2"/>
        <v>46418</v>
      </c>
      <c r="O3" s="8">
        <f t="shared" si="2"/>
        <v>46446</v>
      </c>
      <c r="P3" s="9" t="s">
        <v>3</v>
      </c>
      <c r="Q3" s="9" t="s">
        <v>4</v>
      </c>
      <c r="R3" s="2"/>
      <c r="T3" s="3"/>
      <c r="U3" s="3"/>
      <c r="V3" s="3"/>
      <c r="W3" s="3"/>
      <c r="X3" s="3"/>
      <c r="Y3" s="3"/>
      <c r="Z3" s="3"/>
      <c r="AA3" s="3"/>
    </row>
    <row r="4" ht="24.0" hidden="1" customHeight="1" outlineLevel="1">
      <c r="A4" s="5"/>
      <c r="B4" s="10" t="s">
        <v>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3"/>
      <c r="R4" s="3"/>
      <c r="S4" s="3"/>
      <c r="T4" s="3"/>
      <c r="U4" s="3"/>
      <c r="V4" s="3"/>
      <c r="W4" s="3"/>
      <c r="X4" s="3"/>
      <c r="Y4" s="3"/>
      <c r="Z4" s="3"/>
      <c r="AA4" s="3"/>
    </row>
    <row r="5" hidden="1" outlineLevel="1">
      <c r="A5" s="5"/>
      <c r="B5" s="14">
        <v>1.0</v>
      </c>
      <c r="C5" s="15" t="s">
        <v>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8">
        <f t="shared" ref="P5:P37" si="3">SUM(D5:O5)</f>
        <v>0</v>
      </c>
      <c r="Q5" s="18"/>
      <c r="R5" s="4"/>
      <c r="S5" s="4"/>
      <c r="T5" s="4"/>
      <c r="U5" s="4"/>
      <c r="V5" s="4"/>
      <c r="W5" s="4"/>
      <c r="X5" s="4"/>
      <c r="Y5" s="4"/>
      <c r="Z5" s="4"/>
      <c r="AA5" s="4"/>
    </row>
    <row r="6" hidden="1" outlineLevel="1">
      <c r="A6" s="5"/>
      <c r="B6" s="14">
        <f t="shared" ref="B6:B13" si="4">B5+1</f>
        <v>2</v>
      </c>
      <c r="C6" s="15" t="s">
        <v>7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8">
        <f t="shared" si="3"/>
        <v>0</v>
      </c>
      <c r="Q6" s="18"/>
      <c r="R6" s="4"/>
      <c r="S6" s="4"/>
      <c r="T6" s="4"/>
      <c r="U6" s="4"/>
      <c r="V6" s="4"/>
      <c r="W6" s="4"/>
      <c r="X6" s="4"/>
      <c r="Y6" s="4"/>
      <c r="Z6" s="4"/>
      <c r="AA6" s="4"/>
    </row>
    <row r="7" hidden="1" outlineLevel="1">
      <c r="A7" s="5"/>
      <c r="B7" s="14">
        <f t="shared" si="4"/>
        <v>3</v>
      </c>
      <c r="C7" s="15" t="s">
        <v>8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8">
        <f t="shared" si="3"/>
        <v>0</v>
      </c>
      <c r="Q7" s="18"/>
      <c r="R7" s="4"/>
      <c r="S7" s="4"/>
      <c r="T7" s="4"/>
      <c r="U7" s="4"/>
      <c r="V7" s="4"/>
      <c r="W7" s="4"/>
      <c r="X7" s="4"/>
      <c r="Y7" s="4"/>
      <c r="Z7" s="4"/>
      <c r="AA7" s="4"/>
    </row>
    <row r="8" hidden="1" outlineLevel="1">
      <c r="A8" s="5"/>
      <c r="B8" s="14">
        <f t="shared" si="4"/>
        <v>4</v>
      </c>
      <c r="C8" s="15" t="s">
        <v>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8">
        <f t="shared" si="3"/>
        <v>0</v>
      </c>
      <c r="Q8" s="18"/>
      <c r="R8" s="4"/>
      <c r="S8" s="4"/>
      <c r="T8" s="4"/>
      <c r="U8" s="4"/>
      <c r="V8" s="4"/>
      <c r="W8" s="4"/>
      <c r="X8" s="4"/>
      <c r="Y8" s="4"/>
      <c r="Z8" s="4"/>
      <c r="AA8" s="4"/>
    </row>
    <row r="9" hidden="1" outlineLevel="1">
      <c r="A9" s="5"/>
      <c r="B9" s="14">
        <f t="shared" si="4"/>
        <v>5</v>
      </c>
      <c r="C9" s="15" t="s">
        <v>10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8">
        <f t="shared" si="3"/>
        <v>0</v>
      </c>
      <c r="Q9" s="18"/>
      <c r="R9" s="4"/>
      <c r="S9" s="4"/>
      <c r="T9" s="4"/>
      <c r="U9" s="4"/>
      <c r="V9" s="4"/>
      <c r="W9" s="4"/>
      <c r="X9" s="4"/>
      <c r="Y9" s="4"/>
      <c r="Z9" s="4"/>
      <c r="AA9" s="4"/>
    </row>
    <row r="10" hidden="1" outlineLevel="1">
      <c r="A10" s="5"/>
      <c r="B10" s="14">
        <f t="shared" si="4"/>
        <v>6</v>
      </c>
      <c r="C10" s="15" t="s">
        <v>11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8">
        <f t="shared" si="3"/>
        <v>0</v>
      </c>
      <c r="Q10" s="18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idden="1" outlineLevel="1">
      <c r="A11" s="5"/>
      <c r="B11" s="14">
        <f t="shared" si="4"/>
        <v>7</v>
      </c>
      <c r="C11" s="15" t="s">
        <v>12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8">
        <f t="shared" si="3"/>
        <v>0</v>
      </c>
      <c r="Q11" s="18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idden="1" outlineLevel="1">
      <c r="A12" s="5"/>
      <c r="B12" s="14">
        <f t="shared" si="4"/>
        <v>8</v>
      </c>
      <c r="C12" s="15" t="s">
        <v>13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8">
        <f t="shared" si="3"/>
        <v>0</v>
      </c>
      <c r="Q12" s="18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idden="1" outlineLevel="1">
      <c r="A13" s="5"/>
      <c r="B13" s="14">
        <f t="shared" si="4"/>
        <v>9</v>
      </c>
      <c r="C13" s="15" t="s">
        <v>14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8">
        <f t="shared" si="3"/>
        <v>0</v>
      </c>
      <c r="Q13" s="18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idden="1" outlineLevel="1">
      <c r="A14" s="5"/>
      <c r="B14" s="19"/>
      <c r="C14" s="20" t="s">
        <v>15</v>
      </c>
      <c r="D14" s="21">
        <f t="shared" ref="D14:O14" si="5">SUM(D5:D13)</f>
        <v>0</v>
      </c>
      <c r="E14" s="21">
        <f t="shared" si="5"/>
        <v>0</v>
      </c>
      <c r="F14" s="21">
        <f t="shared" si="5"/>
        <v>0</v>
      </c>
      <c r="G14" s="21">
        <f t="shared" si="5"/>
        <v>0</v>
      </c>
      <c r="H14" s="21">
        <f t="shared" si="5"/>
        <v>0</v>
      </c>
      <c r="I14" s="21">
        <f t="shared" si="5"/>
        <v>0</v>
      </c>
      <c r="J14" s="21">
        <f t="shared" si="5"/>
        <v>0</v>
      </c>
      <c r="K14" s="21">
        <f t="shared" si="5"/>
        <v>0</v>
      </c>
      <c r="L14" s="21">
        <f t="shared" si="5"/>
        <v>0</v>
      </c>
      <c r="M14" s="21">
        <f t="shared" si="5"/>
        <v>0</v>
      </c>
      <c r="N14" s="21">
        <f t="shared" si="5"/>
        <v>0</v>
      </c>
      <c r="O14" s="21">
        <f t="shared" si="5"/>
        <v>0</v>
      </c>
      <c r="P14" s="22">
        <f t="shared" si="3"/>
        <v>0</v>
      </c>
      <c r="Q14" s="22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idden="1" outlineLevel="1">
      <c r="A15" s="15" t="s">
        <v>91</v>
      </c>
      <c r="B15" s="14">
        <f>B13+1</f>
        <v>10</v>
      </c>
      <c r="C15" s="15" t="s">
        <v>16</v>
      </c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>
        <f t="shared" si="3"/>
        <v>0</v>
      </c>
      <c r="Q15" s="18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idden="1" outlineLevel="1">
      <c r="A16" s="15" t="s">
        <v>104</v>
      </c>
      <c r="B16" s="14">
        <f t="shared" ref="B16:B35" si="6">B15+1</f>
        <v>11</v>
      </c>
      <c r="C16" s="15" t="s">
        <v>16</v>
      </c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8">
        <f t="shared" si="3"/>
        <v>0</v>
      </c>
      <c r="Q16" s="18"/>
      <c r="R16" s="4"/>
      <c r="S16" s="4"/>
      <c r="T16" s="4" t="s">
        <v>125</v>
      </c>
      <c r="U16" s="4" t="str">
        <f t="array" ref="U16:U32">UNIQUE(VSTACK(T16:T51))</f>
        <v>役員報酬</v>
      </c>
      <c r="V16" s="4"/>
      <c r="W16" s="4"/>
      <c r="X16" s="4"/>
      <c r="Y16" s="4"/>
      <c r="Z16" s="4"/>
      <c r="AA16" s="4"/>
    </row>
    <row r="17" hidden="1" outlineLevel="1">
      <c r="A17" s="15" t="s">
        <v>106</v>
      </c>
      <c r="B17" s="14">
        <f t="shared" si="6"/>
        <v>12</v>
      </c>
      <c r="C17" s="15" t="s">
        <v>16</v>
      </c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8">
        <f t="shared" si="3"/>
        <v>0</v>
      </c>
      <c r="Q17" s="18"/>
      <c r="R17" s="4"/>
      <c r="S17" s="4"/>
      <c r="T17" s="4" t="s">
        <v>126</v>
      </c>
      <c r="U17" s="4" t="s">
        <v>126</v>
      </c>
      <c r="V17" s="4"/>
      <c r="W17" s="4"/>
      <c r="X17" s="4"/>
      <c r="Y17" s="4"/>
      <c r="Z17" s="4"/>
      <c r="AA17" s="4"/>
    </row>
    <row r="18" hidden="1" outlineLevel="1">
      <c r="A18" s="15" t="s">
        <v>108</v>
      </c>
      <c r="B18" s="14">
        <f t="shared" si="6"/>
        <v>13</v>
      </c>
      <c r="C18" s="15" t="s">
        <v>16</v>
      </c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>
        <f t="shared" si="3"/>
        <v>0</v>
      </c>
      <c r="Q18" s="18"/>
      <c r="R18" s="4"/>
      <c r="S18" s="4"/>
      <c r="T18" s="4" t="s">
        <v>127</v>
      </c>
      <c r="U18" s="4" t="s">
        <v>127</v>
      </c>
      <c r="V18" s="4"/>
      <c r="W18" s="4"/>
      <c r="X18" s="4"/>
      <c r="Y18" s="4"/>
      <c r="Z18" s="4"/>
      <c r="AA18" s="4"/>
    </row>
    <row r="19" hidden="1" outlineLevel="1">
      <c r="A19" s="15" t="s">
        <v>110</v>
      </c>
      <c r="B19" s="14">
        <f t="shared" si="6"/>
        <v>14</v>
      </c>
      <c r="C19" s="15" t="s">
        <v>16</v>
      </c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>
        <f t="shared" si="3"/>
        <v>0</v>
      </c>
      <c r="Q19" s="18"/>
      <c r="R19" s="4"/>
      <c r="S19" s="4"/>
      <c r="T19" s="4" t="s">
        <v>42</v>
      </c>
      <c r="U19" s="4" t="s">
        <v>42</v>
      </c>
      <c r="V19" s="4"/>
      <c r="W19" s="4"/>
      <c r="X19" s="4"/>
      <c r="Y19" s="4"/>
      <c r="Z19" s="4"/>
      <c r="AA19" s="4"/>
    </row>
    <row r="20" hidden="1" outlineLevel="1">
      <c r="A20" s="15" t="s">
        <v>98</v>
      </c>
      <c r="B20" s="14">
        <f t="shared" si="6"/>
        <v>15</v>
      </c>
      <c r="C20" s="15" t="s">
        <v>17</v>
      </c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8">
        <f t="shared" si="3"/>
        <v>0</v>
      </c>
      <c r="Q20" s="18"/>
      <c r="R20" s="4"/>
      <c r="S20" s="4"/>
      <c r="T20" s="4" t="s">
        <v>23</v>
      </c>
      <c r="U20" s="4" t="s">
        <v>23</v>
      </c>
      <c r="V20" s="4"/>
      <c r="W20" s="4"/>
      <c r="X20" s="4"/>
      <c r="Y20" s="4"/>
      <c r="Z20" s="4"/>
      <c r="AA20" s="4"/>
    </row>
    <row r="21" hidden="1" outlineLevel="1">
      <c r="A21" s="15" t="s">
        <v>99</v>
      </c>
      <c r="B21" s="14">
        <f t="shared" si="6"/>
        <v>16</v>
      </c>
      <c r="C21" s="15" t="s">
        <v>18</v>
      </c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8">
        <f t="shared" si="3"/>
        <v>0</v>
      </c>
      <c r="Q21" s="18"/>
      <c r="R21" s="4"/>
      <c r="S21" s="4"/>
      <c r="T21" s="4" t="s">
        <v>43</v>
      </c>
      <c r="U21" s="4" t="s">
        <v>43</v>
      </c>
      <c r="V21" s="4"/>
      <c r="W21" s="4"/>
      <c r="X21" s="4"/>
      <c r="Y21" s="4"/>
      <c r="Z21" s="4"/>
      <c r="AA21" s="4"/>
    </row>
    <row r="22" hidden="1" outlineLevel="1">
      <c r="A22" s="15" t="s">
        <v>113</v>
      </c>
      <c r="B22" s="14">
        <f t="shared" si="6"/>
        <v>17</v>
      </c>
      <c r="C22" s="15" t="s">
        <v>18</v>
      </c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">
        <f t="shared" si="3"/>
        <v>0</v>
      </c>
      <c r="Q22" s="18"/>
      <c r="R22" s="4"/>
      <c r="S22" s="4"/>
      <c r="T22" s="4" t="s">
        <v>16</v>
      </c>
      <c r="U22" s="4" t="s">
        <v>16</v>
      </c>
      <c r="V22" s="4"/>
      <c r="W22" s="4"/>
      <c r="X22" s="4"/>
      <c r="Y22" s="4"/>
      <c r="Z22" s="4"/>
      <c r="AA22" s="4"/>
    </row>
    <row r="23" hidden="1" outlineLevel="1">
      <c r="A23" s="15" t="s">
        <v>115</v>
      </c>
      <c r="B23" s="14">
        <f t="shared" si="6"/>
        <v>18</v>
      </c>
      <c r="C23" s="15" t="s">
        <v>18</v>
      </c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8">
        <f t="shared" si="3"/>
        <v>0</v>
      </c>
      <c r="Q23" s="18"/>
      <c r="R23" s="4"/>
      <c r="S23" s="4"/>
      <c r="T23" s="4" t="s">
        <v>44</v>
      </c>
      <c r="U23" s="4" t="s">
        <v>44</v>
      </c>
      <c r="V23" s="4"/>
      <c r="W23" s="4"/>
      <c r="X23" s="4"/>
      <c r="Y23" s="4"/>
      <c r="Z23" s="4"/>
      <c r="AA23" s="4"/>
    </row>
    <row r="24" hidden="1" outlineLevel="1">
      <c r="A24" s="15" t="s">
        <v>116</v>
      </c>
      <c r="B24" s="14">
        <f t="shared" si="6"/>
        <v>19</v>
      </c>
      <c r="C24" s="15" t="s">
        <v>18</v>
      </c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8">
        <f t="shared" si="3"/>
        <v>0</v>
      </c>
      <c r="Q24" s="18"/>
      <c r="R24" s="4"/>
      <c r="S24" s="4"/>
      <c r="T24" s="4" t="s">
        <v>128</v>
      </c>
      <c r="U24" s="4" t="s">
        <v>128</v>
      </c>
      <c r="V24" s="4"/>
      <c r="W24" s="4"/>
      <c r="X24" s="4"/>
      <c r="Y24" s="4"/>
      <c r="Z24" s="4"/>
      <c r="AA24" s="4"/>
    </row>
    <row r="25" hidden="1" outlineLevel="1">
      <c r="A25" s="15" t="s">
        <v>103</v>
      </c>
      <c r="B25" s="14">
        <f t="shared" si="6"/>
        <v>20</v>
      </c>
      <c r="C25" s="15" t="s">
        <v>18</v>
      </c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>
        <f t="shared" si="3"/>
        <v>0</v>
      </c>
      <c r="Q25" s="18"/>
      <c r="R25" s="4"/>
      <c r="S25" s="4"/>
      <c r="T25" s="4" t="s">
        <v>46</v>
      </c>
      <c r="U25" s="4" t="s">
        <v>46</v>
      </c>
      <c r="V25" s="4"/>
      <c r="W25" s="4"/>
      <c r="X25" s="4"/>
      <c r="Y25" s="4"/>
      <c r="Z25" s="4"/>
      <c r="AA25" s="4"/>
    </row>
    <row r="26" hidden="1" outlineLevel="1">
      <c r="A26" s="15" t="s">
        <v>118</v>
      </c>
      <c r="B26" s="14">
        <f t="shared" si="6"/>
        <v>21</v>
      </c>
      <c r="C26" s="15" t="s">
        <v>18</v>
      </c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8">
        <f t="shared" si="3"/>
        <v>0</v>
      </c>
      <c r="Q26" s="18"/>
      <c r="R26" s="4"/>
      <c r="S26" s="4"/>
      <c r="T26" s="4" t="s">
        <v>49</v>
      </c>
      <c r="U26" s="4" t="s">
        <v>49</v>
      </c>
      <c r="V26" s="4"/>
      <c r="W26" s="4"/>
      <c r="X26" s="4"/>
      <c r="Y26" s="4"/>
      <c r="Z26" s="4"/>
      <c r="AA26" s="4"/>
    </row>
    <row r="27" hidden="1" outlineLevel="1">
      <c r="A27" s="15" t="s">
        <v>107</v>
      </c>
      <c r="B27" s="14">
        <f t="shared" si="6"/>
        <v>22</v>
      </c>
      <c r="C27" s="15" t="s">
        <v>19</v>
      </c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8">
        <f t="shared" si="3"/>
        <v>0</v>
      </c>
      <c r="Q27" s="18"/>
      <c r="R27" s="4"/>
      <c r="S27" s="4"/>
      <c r="T27" s="4" t="s">
        <v>22</v>
      </c>
      <c r="U27" s="4" t="s">
        <v>22</v>
      </c>
      <c r="V27" s="4"/>
      <c r="W27" s="4"/>
      <c r="X27" s="4"/>
      <c r="Y27" s="4"/>
      <c r="Z27" s="4"/>
      <c r="AA27" s="4"/>
    </row>
    <row r="28" hidden="1" outlineLevel="1">
      <c r="A28" s="15" t="s">
        <v>109</v>
      </c>
      <c r="B28" s="14">
        <f t="shared" si="6"/>
        <v>23</v>
      </c>
      <c r="C28" s="15" t="s">
        <v>20</v>
      </c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8">
        <f t="shared" si="3"/>
        <v>0</v>
      </c>
      <c r="Q28" s="18"/>
      <c r="R28" s="4"/>
      <c r="S28" s="4"/>
      <c r="T28" s="4" t="s">
        <v>19</v>
      </c>
      <c r="U28" s="4" t="s">
        <v>19</v>
      </c>
      <c r="V28" s="4"/>
      <c r="W28" s="4"/>
      <c r="X28" s="4"/>
      <c r="Y28" s="4"/>
      <c r="Z28" s="4"/>
      <c r="AA28" s="4"/>
    </row>
    <row r="29" hidden="1" outlineLevel="1">
      <c r="A29" s="15" t="s">
        <v>111</v>
      </c>
      <c r="B29" s="14">
        <f t="shared" si="6"/>
        <v>24</v>
      </c>
      <c r="C29" s="15" t="s">
        <v>19</v>
      </c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>
        <f t="shared" si="3"/>
        <v>0</v>
      </c>
      <c r="Q29" s="18"/>
      <c r="R29" s="4"/>
      <c r="S29" s="4"/>
      <c r="T29" s="4" t="s">
        <v>125</v>
      </c>
      <c r="U29" s="4"/>
      <c r="V29" s="4"/>
      <c r="W29" s="4"/>
      <c r="X29" s="4"/>
      <c r="Y29" s="4"/>
      <c r="Z29" s="4"/>
      <c r="AA29" s="4"/>
    </row>
    <row r="30" hidden="1" outlineLevel="1">
      <c r="A30" s="15" t="s">
        <v>112</v>
      </c>
      <c r="B30" s="14">
        <f t="shared" si="6"/>
        <v>25</v>
      </c>
      <c r="C30" s="15" t="s">
        <v>19</v>
      </c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8">
        <f t="shared" si="3"/>
        <v>0</v>
      </c>
      <c r="Q30" s="18"/>
      <c r="R30" s="4"/>
      <c r="S30" s="4"/>
      <c r="T30" s="4" t="s">
        <v>126</v>
      </c>
      <c r="U30" s="4" t="s">
        <v>21</v>
      </c>
      <c r="V30" s="4"/>
      <c r="W30" s="4"/>
      <c r="X30" s="4"/>
      <c r="Y30" s="4"/>
      <c r="Z30" s="4"/>
      <c r="AA30" s="4"/>
    </row>
    <row r="31" hidden="1" outlineLevel="1">
      <c r="A31" s="15" t="s">
        <v>46</v>
      </c>
      <c r="B31" s="14">
        <f t="shared" si="6"/>
        <v>26</v>
      </c>
      <c r="C31" s="15" t="s">
        <v>21</v>
      </c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>
        <f t="shared" si="3"/>
        <v>0</v>
      </c>
      <c r="Q31" s="18"/>
      <c r="R31" s="4"/>
      <c r="S31" s="4"/>
      <c r="T31" s="4" t="s">
        <v>127</v>
      </c>
      <c r="U31" s="4" t="s">
        <v>20</v>
      </c>
      <c r="V31" s="4"/>
      <c r="W31" s="4"/>
      <c r="X31" s="4"/>
      <c r="Y31" s="4"/>
      <c r="Z31" s="4"/>
      <c r="AA31" s="4"/>
    </row>
    <row r="32" hidden="1" outlineLevel="1">
      <c r="A32" s="15" t="s">
        <v>114</v>
      </c>
      <c r="B32" s="14">
        <f t="shared" si="6"/>
        <v>27</v>
      </c>
      <c r="C32" s="15" t="s">
        <v>22</v>
      </c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8">
        <f t="shared" si="3"/>
        <v>0</v>
      </c>
      <c r="Q32" s="18"/>
      <c r="R32" s="4"/>
      <c r="S32" s="4"/>
      <c r="T32" s="4" t="s">
        <v>42</v>
      </c>
      <c r="U32" s="4" t="s">
        <v>45</v>
      </c>
      <c r="V32" s="4"/>
      <c r="W32" s="4"/>
      <c r="X32" s="4"/>
      <c r="Y32" s="4"/>
      <c r="Z32" s="4"/>
      <c r="AA32" s="4"/>
    </row>
    <row r="33" hidden="1" outlineLevel="1">
      <c r="A33" s="15" t="s">
        <v>23</v>
      </c>
      <c r="B33" s="14">
        <f t="shared" si="6"/>
        <v>28</v>
      </c>
      <c r="C33" s="15" t="s">
        <v>23</v>
      </c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8">
        <f t="shared" si="3"/>
        <v>0</v>
      </c>
      <c r="Q33" s="18"/>
      <c r="R33" s="4"/>
      <c r="S33" s="4"/>
      <c r="T33" s="4" t="s">
        <v>23</v>
      </c>
      <c r="U33" s="4"/>
      <c r="V33" s="4"/>
      <c r="W33" s="4"/>
      <c r="X33" s="4"/>
      <c r="Y33" s="4"/>
      <c r="Z33" s="4"/>
      <c r="AA33" s="4"/>
    </row>
    <row r="34" hidden="1" outlineLevel="1">
      <c r="A34" s="15" t="s">
        <v>117</v>
      </c>
      <c r="B34" s="14">
        <f t="shared" si="6"/>
        <v>29</v>
      </c>
      <c r="C34" s="15" t="s">
        <v>19</v>
      </c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8">
        <f t="shared" si="3"/>
        <v>0</v>
      </c>
      <c r="Q34" s="18"/>
      <c r="R34" s="4"/>
      <c r="S34" s="4"/>
      <c r="T34" s="4" t="s">
        <v>43</v>
      </c>
      <c r="U34" s="4"/>
      <c r="V34" s="4"/>
      <c r="W34" s="4"/>
      <c r="X34" s="4"/>
      <c r="Y34" s="4"/>
      <c r="Z34" s="4"/>
      <c r="AA34" s="4"/>
    </row>
    <row r="35" hidden="1" outlineLevel="1">
      <c r="A35" s="15" t="s">
        <v>14</v>
      </c>
      <c r="B35" s="14">
        <f t="shared" si="6"/>
        <v>30</v>
      </c>
      <c r="C35" s="90" t="s">
        <v>119</v>
      </c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2">
        <f t="shared" si="3"/>
        <v>0</v>
      </c>
      <c r="Q35" s="92"/>
      <c r="R35" s="4"/>
      <c r="S35" s="4"/>
      <c r="T35" s="4" t="s">
        <v>16</v>
      </c>
      <c r="U35" s="4"/>
      <c r="V35" s="4"/>
      <c r="W35" s="4"/>
      <c r="X35" s="4"/>
      <c r="Y35" s="4"/>
      <c r="Z35" s="4"/>
      <c r="AA35" s="4"/>
    </row>
    <row r="36" hidden="1" outlineLevel="1">
      <c r="A36" s="5"/>
      <c r="B36" s="24"/>
      <c r="C36" s="25" t="s">
        <v>24</v>
      </c>
      <c r="D36" s="26">
        <f t="shared" ref="D36:O36" si="7">SUM(D15:D35)</f>
        <v>0</v>
      </c>
      <c r="E36" s="26">
        <f t="shared" si="7"/>
        <v>0</v>
      </c>
      <c r="F36" s="26">
        <f t="shared" si="7"/>
        <v>0</v>
      </c>
      <c r="G36" s="26">
        <f t="shared" si="7"/>
        <v>0</v>
      </c>
      <c r="H36" s="26">
        <f t="shared" si="7"/>
        <v>0</v>
      </c>
      <c r="I36" s="26">
        <f t="shared" si="7"/>
        <v>0</v>
      </c>
      <c r="J36" s="26">
        <f t="shared" si="7"/>
        <v>0</v>
      </c>
      <c r="K36" s="26">
        <f t="shared" si="7"/>
        <v>0</v>
      </c>
      <c r="L36" s="26">
        <f t="shared" si="7"/>
        <v>0</v>
      </c>
      <c r="M36" s="26">
        <f t="shared" si="7"/>
        <v>0</v>
      </c>
      <c r="N36" s="26">
        <f t="shared" si="7"/>
        <v>0</v>
      </c>
      <c r="O36" s="26">
        <f t="shared" si="7"/>
        <v>0</v>
      </c>
      <c r="P36" s="27">
        <f t="shared" si="3"/>
        <v>0</v>
      </c>
      <c r="Q36" s="27"/>
      <c r="R36" s="4"/>
      <c r="S36" s="4"/>
      <c r="T36" s="4" t="s">
        <v>44</v>
      </c>
      <c r="U36" s="4"/>
      <c r="V36" s="4"/>
      <c r="W36" s="4"/>
      <c r="X36" s="4"/>
      <c r="Y36" s="4"/>
      <c r="Z36" s="4"/>
      <c r="AA36" s="4"/>
    </row>
    <row r="37" hidden="1" outlineLevel="1">
      <c r="A37" s="5"/>
      <c r="B37" s="28"/>
      <c r="C37" s="29" t="s">
        <v>26</v>
      </c>
      <c r="D37" s="30">
        <f t="shared" ref="D37:O37" si="8">D14-D36</f>
        <v>0</v>
      </c>
      <c r="E37" s="30">
        <f t="shared" si="8"/>
        <v>0</v>
      </c>
      <c r="F37" s="30">
        <f t="shared" si="8"/>
        <v>0</v>
      </c>
      <c r="G37" s="30">
        <f t="shared" si="8"/>
        <v>0</v>
      </c>
      <c r="H37" s="30">
        <f t="shared" si="8"/>
        <v>0</v>
      </c>
      <c r="I37" s="30">
        <f t="shared" si="8"/>
        <v>0</v>
      </c>
      <c r="J37" s="30">
        <f t="shared" si="8"/>
        <v>0</v>
      </c>
      <c r="K37" s="30">
        <f t="shared" si="8"/>
        <v>0</v>
      </c>
      <c r="L37" s="30">
        <f t="shared" si="8"/>
        <v>0</v>
      </c>
      <c r="M37" s="30">
        <f t="shared" si="8"/>
        <v>0</v>
      </c>
      <c r="N37" s="30">
        <f t="shared" si="8"/>
        <v>0</v>
      </c>
      <c r="O37" s="30">
        <f t="shared" si="8"/>
        <v>0</v>
      </c>
      <c r="P37" s="31">
        <f t="shared" si="3"/>
        <v>0</v>
      </c>
      <c r="Q37" s="31"/>
      <c r="R37" s="4"/>
      <c r="S37" s="4"/>
      <c r="T37" s="4" t="s">
        <v>49</v>
      </c>
      <c r="U37" s="4"/>
      <c r="V37" s="4"/>
      <c r="W37" s="4"/>
      <c r="X37" s="4"/>
      <c r="Y37" s="4"/>
      <c r="Z37" s="4"/>
      <c r="AA37" s="4"/>
    </row>
    <row r="38" ht="8.25" hidden="1" customHeight="1" outlineLevel="1">
      <c r="A38" s="5"/>
      <c r="B38" s="32"/>
      <c r="P38" s="33"/>
      <c r="R38" s="3"/>
      <c r="S38" s="3"/>
      <c r="T38" s="3" t="s">
        <v>19</v>
      </c>
      <c r="U38" s="3"/>
      <c r="V38" s="3"/>
      <c r="W38" s="3"/>
      <c r="X38" s="3"/>
      <c r="Y38" s="3"/>
      <c r="Z38" s="3"/>
      <c r="AA38" s="3"/>
    </row>
    <row r="39" ht="24.0" customHeight="1">
      <c r="A39" s="5"/>
      <c r="B39" s="10" t="s">
        <v>129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34"/>
      <c r="Q39" s="34"/>
      <c r="R39" s="3"/>
      <c r="S39" s="3"/>
      <c r="T39" s="3" t="s">
        <v>22</v>
      </c>
      <c r="U39" s="3"/>
      <c r="V39" s="3"/>
      <c r="W39" s="3"/>
      <c r="X39" s="3"/>
      <c r="Y39" s="3"/>
      <c r="Z39" s="3"/>
      <c r="AA39" s="3"/>
    </row>
    <row r="40">
      <c r="A40" s="5"/>
      <c r="B40" s="14">
        <v>1.0</v>
      </c>
      <c r="C40" s="105" t="s">
        <v>130</v>
      </c>
      <c r="D40" s="16">
        <f t="shared" ref="D40:O40" si="9">2382000+300000</f>
        <v>2682000</v>
      </c>
      <c r="E40" s="16">
        <f t="shared" si="9"/>
        <v>2682000</v>
      </c>
      <c r="F40" s="16">
        <f t="shared" si="9"/>
        <v>2682000</v>
      </c>
      <c r="G40" s="16">
        <f t="shared" si="9"/>
        <v>2682000</v>
      </c>
      <c r="H40" s="16">
        <f t="shared" si="9"/>
        <v>2682000</v>
      </c>
      <c r="I40" s="16">
        <f t="shared" si="9"/>
        <v>2682000</v>
      </c>
      <c r="J40" s="16">
        <f t="shared" si="9"/>
        <v>2682000</v>
      </c>
      <c r="K40" s="16">
        <f t="shared" si="9"/>
        <v>2682000</v>
      </c>
      <c r="L40" s="16">
        <f t="shared" si="9"/>
        <v>2682000</v>
      </c>
      <c r="M40" s="16">
        <f t="shared" si="9"/>
        <v>2682000</v>
      </c>
      <c r="N40" s="16">
        <f t="shared" si="9"/>
        <v>2682000</v>
      </c>
      <c r="O40" s="16">
        <f t="shared" si="9"/>
        <v>2682000</v>
      </c>
      <c r="P40" s="18">
        <f t="shared" ref="P40:P51" si="12">SUM(D40:O40)</f>
        <v>32184000</v>
      </c>
      <c r="Q40" s="41" t="s">
        <v>131</v>
      </c>
      <c r="R40" s="4"/>
      <c r="S40" s="4"/>
      <c r="T40" s="56"/>
      <c r="U40" s="4"/>
      <c r="V40" s="4"/>
      <c r="W40" s="4"/>
      <c r="X40" s="4"/>
      <c r="Y40" s="4"/>
      <c r="Z40" s="4"/>
      <c r="AA40" s="4"/>
    </row>
    <row r="41">
      <c r="A41" s="5"/>
      <c r="B41" s="14">
        <f t="shared" ref="B41:B50" si="13">B40+1</f>
        <v>2</v>
      </c>
      <c r="C41" s="105" t="s">
        <v>42</v>
      </c>
      <c r="D41" s="16">
        <f t="shared" ref="D41:H41" si="10">1000000+210000+600000</f>
        <v>1810000</v>
      </c>
      <c r="E41" s="16">
        <f t="shared" si="10"/>
        <v>1810000</v>
      </c>
      <c r="F41" s="16">
        <f t="shared" si="10"/>
        <v>1810000</v>
      </c>
      <c r="G41" s="16">
        <f t="shared" si="10"/>
        <v>1810000</v>
      </c>
      <c r="H41" s="16">
        <f t="shared" si="10"/>
        <v>1810000</v>
      </c>
      <c r="I41" s="16">
        <f t="shared" ref="I41:O41" si="11">750000+210000+600000</f>
        <v>1560000</v>
      </c>
      <c r="J41" s="16">
        <f t="shared" si="11"/>
        <v>1560000</v>
      </c>
      <c r="K41" s="16">
        <f t="shared" si="11"/>
        <v>1560000</v>
      </c>
      <c r="L41" s="16">
        <f t="shared" si="11"/>
        <v>1560000</v>
      </c>
      <c r="M41" s="16">
        <f t="shared" si="11"/>
        <v>1560000</v>
      </c>
      <c r="N41" s="16">
        <f t="shared" si="11"/>
        <v>1560000</v>
      </c>
      <c r="O41" s="16">
        <f t="shared" si="11"/>
        <v>1560000</v>
      </c>
      <c r="P41" s="18">
        <f t="shared" si="12"/>
        <v>19970000</v>
      </c>
      <c r="Q41" s="41" t="s">
        <v>132</v>
      </c>
      <c r="R41" s="4"/>
      <c r="S41" s="4"/>
      <c r="T41" s="56" t="s">
        <v>127</v>
      </c>
      <c r="U41" s="4"/>
      <c r="V41" s="4"/>
      <c r="W41" s="4"/>
      <c r="X41" s="4"/>
      <c r="Y41" s="4"/>
      <c r="Z41" s="4"/>
      <c r="AA41" s="4"/>
    </row>
    <row r="42">
      <c r="A42" s="5"/>
      <c r="B42" s="14">
        <f t="shared" si="13"/>
        <v>3</v>
      </c>
      <c r="C42" s="105" t="s">
        <v>23</v>
      </c>
      <c r="D42" s="16">
        <f t="shared" ref="D42:O42" si="14">22000+4750+10000</f>
        <v>36750</v>
      </c>
      <c r="E42" s="16">
        <f t="shared" si="14"/>
        <v>36750</v>
      </c>
      <c r="F42" s="16">
        <f t="shared" si="14"/>
        <v>36750</v>
      </c>
      <c r="G42" s="16">
        <f t="shared" si="14"/>
        <v>36750</v>
      </c>
      <c r="H42" s="16">
        <f t="shared" si="14"/>
        <v>36750</v>
      </c>
      <c r="I42" s="16">
        <f t="shared" si="14"/>
        <v>36750</v>
      </c>
      <c r="J42" s="16">
        <f t="shared" si="14"/>
        <v>36750</v>
      </c>
      <c r="K42" s="16">
        <f t="shared" si="14"/>
        <v>36750</v>
      </c>
      <c r="L42" s="16">
        <f t="shared" si="14"/>
        <v>36750</v>
      </c>
      <c r="M42" s="16">
        <f t="shared" si="14"/>
        <v>36750</v>
      </c>
      <c r="N42" s="16">
        <f t="shared" si="14"/>
        <v>36750</v>
      </c>
      <c r="O42" s="16">
        <f t="shared" si="14"/>
        <v>36750</v>
      </c>
      <c r="P42" s="18">
        <f t="shared" si="12"/>
        <v>441000</v>
      </c>
      <c r="Q42" s="41" t="s">
        <v>133</v>
      </c>
      <c r="R42" s="4"/>
      <c r="S42" s="4"/>
      <c r="T42" s="56" t="s">
        <v>42</v>
      </c>
      <c r="U42" s="4"/>
      <c r="V42" s="4"/>
      <c r="W42" s="4"/>
      <c r="X42" s="4"/>
      <c r="Y42" s="4"/>
      <c r="Z42" s="4"/>
      <c r="AA42" s="4"/>
    </row>
    <row r="43">
      <c r="A43" s="5"/>
      <c r="B43" s="14">
        <f t="shared" si="13"/>
        <v>4</v>
      </c>
      <c r="C43" s="105" t="s">
        <v>43</v>
      </c>
      <c r="D43" s="16">
        <v>310968.0</v>
      </c>
      <c r="E43" s="16">
        <v>310968.0</v>
      </c>
      <c r="F43" s="16">
        <v>310968.0</v>
      </c>
      <c r="G43" s="16">
        <v>310968.0</v>
      </c>
      <c r="H43" s="16">
        <v>310968.0</v>
      </c>
      <c r="I43" s="16">
        <v>310968.0</v>
      </c>
      <c r="J43" s="16">
        <v>310968.0</v>
      </c>
      <c r="K43" s="16">
        <v>310968.0</v>
      </c>
      <c r="L43" s="16">
        <v>310968.0</v>
      </c>
      <c r="M43" s="16">
        <v>310968.0</v>
      </c>
      <c r="N43" s="16">
        <v>310968.0</v>
      </c>
      <c r="O43" s="16">
        <v>310968.0</v>
      </c>
      <c r="P43" s="18">
        <f t="shared" si="12"/>
        <v>3731616</v>
      </c>
      <c r="Q43" s="18"/>
      <c r="R43" s="4"/>
      <c r="S43" s="4"/>
      <c r="T43" s="56" t="s">
        <v>23</v>
      </c>
      <c r="U43" s="4"/>
      <c r="V43" s="4"/>
      <c r="W43" s="4"/>
      <c r="X43" s="4"/>
      <c r="Y43" s="4"/>
      <c r="Z43" s="4"/>
      <c r="AA43" s="4"/>
    </row>
    <row r="44">
      <c r="A44" s="5"/>
      <c r="B44" s="14">
        <f t="shared" si="13"/>
        <v>5</v>
      </c>
      <c r="C44" s="105" t="s">
        <v>16</v>
      </c>
      <c r="D44" s="16">
        <v>50000.0</v>
      </c>
      <c r="E44" s="16">
        <v>50000.0</v>
      </c>
      <c r="F44" s="16">
        <v>50000.0</v>
      </c>
      <c r="G44" s="16">
        <v>50000.0</v>
      </c>
      <c r="H44" s="16">
        <v>50000.0</v>
      </c>
      <c r="I44" s="16">
        <v>50000.0</v>
      </c>
      <c r="J44" s="16">
        <v>50000.0</v>
      </c>
      <c r="K44" s="16">
        <v>50000.0</v>
      </c>
      <c r="L44" s="16">
        <v>50000.0</v>
      </c>
      <c r="M44" s="16">
        <v>50000.0</v>
      </c>
      <c r="N44" s="16">
        <v>50000.0</v>
      </c>
      <c r="O44" s="16">
        <v>50000.0</v>
      </c>
      <c r="P44" s="18">
        <f t="shared" si="12"/>
        <v>600000</v>
      </c>
      <c r="Q44" s="18"/>
      <c r="R44" s="4"/>
      <c r="S44" s="4"/>
      <c r="T44" s="56" t="s">
        <v>43</v>
      </c>
      <c r="U44" s="4"/>
      <c r="V44" s="4"/>
      <c r="W44" s="4"/>
      <c r="X44" s="4"/>
      <c r="Y44" s="4"/>
      <c r="Z44" s="4"/>
      <c r="AA44" s="4"/>
    </row>
    <row r="45">
      <c r="A45" s="5"/>
      <c r="B45" s="14">
        <f t="shared" si="13"/>
        <v>6</v>
      </c>
      <c r="C45" s="105" t="s">
        <v>44</v>
      </c>
      <c r="D45" s="16">
        <v>11193.0</v>
      </c>
      <c r="E45" s="16">
        <v>11193.0</v>
      </c>
      <c r="F45" s="16">
        <v>11193.0</v>
      </c>
      <c r="G45" s="16">
        <v>11193.0</v>
      </c>
      <c r="H45" s="16">
        <v>11193.0</v>
      </c>
      <c r="I45" s="16">
        <v>11193.0</v>
      </c>
      <c r="J45" s="16">
        <v>11193.0</v>
      </c>
      <c r="K45" s="16">
        <v>11193.0</v>
      </c>
      <c r="L45" s="16">
        <v>11193.0</v>
      </c>
      <c r="M45" s="16">
        <v>11193.0</v>
      </c>
      <c r="N45" s="16">
        <v>11193.0</v>
      </c>
      <c r="O45" s="16">
        <v>11193.0</v>
      </c>
      <c r="P45" s="18">
        <f t="shared" si="12"/>
        <v>134316</v>
      </c>
      <c r="Q45" s="18"/>
      <c r="R45" s="4"/>
      <c r="S45" s="4"/>
      <c r="T45" s="56" t="s">
        <v>16</v>
      </c>
      <c r="U45" s="4"/>
      <c r="V45" s="4"/>
      <c r="W45" s="4"/>
      <c r="X45" s="4"/>
      <c r="Y45" s="4"/>
      <c r="Z45" s="4"/>
      <c r="AA45" s="4"/>
    </row>
    <row r="46">
      <c r="A46" s="5"/>
      <c r="B46" s="14">
        <f t="shared" si="13"/>
        <v>7</v>
      </c>
      <c r="C46" s="35" t="s">
        <v>20</v>
      </c>
      <c r="D46" s="59">
        <v>27611.0</v>
      </c>
      <c r="E46" s="59">
        <v>27611.0</v>
      </c>
      <c r="F46" s="59">
        <v>27611.0</v>
      </c>
      <c r="G46" s="59">
        <v>27611.0</v>
      </c>
      <c r="H46" s="59">
        <v>27611.0</v>
      </c>
      <c r="I46" s="59">
        <v>27611.0</v>
      </c>
      <c r="J46" s="59">
        <v>27611.0</v>
      </c>
      <c r="K46" s="59">
        <v>27611.0</v>
      </c>
      <c r="L46" s="59">
        <v>27611.0</v>
      </c>
      <c r="M46" s="59">
        <v>27611.0</v>
      </c>
      <c r="N46" s="59">
        <v>27611.0</v>
      </c>
      <c r="O46" s="59">
        <v>27611.0</v>
      </c>
      <c r="P46" s="18">
        <f t="shared" si="12"/>
        <v>331332</v>
      </c>
      <c r="Q46" s="18"/>
      <c r="R46" s="4"/>
      <c r="S46" s="4"/>
      <c r="T46" s="56" t="s">
        <v>21</v>
      </c>
      <c r="U46" s="4"/>
      <c r="V46" s="4"/>
      <c r="W46" s="4"/>
      <c r="X46" s="4"/>
      <c r="Y46" s="4"/>
      <c r="Z46" s="4"/>
      <c r="AA46" s="4"/>
    </row>
    <row r="47">
      <c r="A47" s="5"/>
      <c r="B47" s="14">
        <f t="shared" si="13"/>
        <v>8</v>
      </c>
      <c r="C47" s="35" t="s">
        <v>45</v>
      </c>
      <c r="D47" s="16">
        <v>2700.0</v>
      </c>
      <c r="E47" s="16">
        <v>42400.0</v>
      </c>
      <c r="F47" s="16">
        <v>0.0</v>
      </c>
      <c r="G47" s="16">
        <v>0.0</v>
      </c>
      <c r="H47" s="16">
        <v>0.0</v>
      </c>
      <c r="I47" s="16">
        <v>16000.0</v>
      </c>
      <c r="J47" s="16">
        <v>5000.0</v>
      </c>
      <c r="K47" s="16">
        <v>0.0</v>
      </c>
      <c r="L47" s="16">
        <v>0.0</v>
      </c>
      <c r="M47" s="16">
        <v>0.0</v>
      </c>
      <c r="N47" s="16">
        <v>0.0</v>
      </c>
      <c r="O47" s="16">
        <v>0.0</v>
      </c>
      <c r="P47" s="18">
        <f t="shared" si="12"/>
        <v>66100</v>
      </c>
      <c r="Q47" s="18"/>
      <c r="R47" s="4"/>
      <c r="S47" s="4"/>
      <c r="T47" s="56" t="s">
        <v>20</v>
      </c>
      <c r="U47" s="4"/>
      <c r="V47" s="4"/>
      <c r="W47" s="4"/>
      <c r="X47" s="4"/>
      <c r="Y47" s="4"/>
      <c r="Z47" s="4"/>
      <c r="AA47" s="4"/>
    </row>
    <row r="48">
      <c r="A48" s="5"/>
      <c r="B48" s="14">
        <f t="shared" si="13"/>
        <v>9</v>
      </c>
      <c r="C48" s="35" t="s">
        <v>46</v>
      </c>
      <c r="D48" s="107">
        <f t="shared" ref="D48:O48" si="15">114582+10000+10000</f>
        <v>134582</v>
      </c>
      <c r="E48" s="107">
        <f t="shared" si="15"/>
        <v>134582</v>
      </c>
      <c r="F48" s="107">
        <f t="shared" si="15"/>
        <v>134582</v>
      </c>
      <c r="G48" s="107">
        <f t="shared" si="15"/>
        <v>134582</v>
      </c>
      <c r="H48" s="107">
        <f t="shared" si="15"/>
        <v>134582</v>
      </c>
      <c r="I48" s="107">
        <f t="shared" si="15"/>
        <v>134582</v>
      </c>
      <c r="J48" s="107">
        <f t="shared" si="15"/>
        <v>134582</v>
      </c>
      <c r="K48" s="107">
        <f t="shared" si="15"/>
        <v>134582</v>
      </c>
      <c r="L48" s="107">
        <f t="shared" si="15"/>
        <v>134582</v>
      </c>
      <c r="M48" s="107">
        <f t="shared" si="15"/>
        <v>134582</v>
      </c>
      <c r="N48" s="107">
        <f t="shared" si="15"/>
        <v>134582</v>
      </c>
      <c r="O48" s="107">
        <f t="shared" si="15"/>
        <v>134582</v>
      </c>
      <c r="P48" s="18">
        <f t="shared" si="12"/>
        <v>1614984</v>
      </c>
      <c r="Q48" s="41" t="s">
        <v>134</v>
      </c>
      <c r="R48" s="4"/>
      <c r="S48" s="4"/>
      <c r="T48" s="56" t="s">
        <v>20</v>
      </c>
      <c r="U48" s="4"/>
      <c r="V48" s="4"/>
      <c r="W48" s="4"/>
      <c r="X48" s="4"/>
      <c r="Y48" s="4"/>
      <c r="Z48" s="4"/>
      <c r="AA48" s="4"/>
    </row>
    <row r="49">
      <c r="A49" s="5"/>
      <c r="B49" s="14">
        <f t="shared" si="13"/>
        <v>10</v>
      </c>
      <c r="C49" s="35" t="s">
        <v>47</v>
      </c>
      <c r="D49" s="16">
        <v>0.0</v>
      </c>
      <c r="E49" s="16">
        <v>0.0</v>
      </c>
      <c r="F49" s="16">
        <v>0.0</v>
      </c>
      <c r="G49" s="16">
        <v>0.0</v>
      </c>
      <c r="H49" s="16">
        <v>28180.0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8">
        <f t="shared" si="12"/>
        <v>28180</v>
      </c>
      <c r="Q49" s="41" t="s">
        <v>135</v>
      </c>
      <c r="R49" s="4"/>
      <c r="S49" s="4"/>
      <c r="T49" s="56" t="s">
        <v>20</v>
      </c>
      <c r="U49" s="4"/>
      <c r="V49" s="4"/>
      <c r="W49" s="4"/>
      <c r="X49" s="4"/>
      <c r="Y49" s="4"/>
      <c r="Z49" s="4"/>
      <c r="AA49" s="4"/>
    </row>
    <row r="50">
      <c r="A50" s="5"/>
      <c r="B50" s="14">
        <f t="shared" si="13"/>
        <v>11</v>
      </c>
      <c r="C50" s="35" t="s">
        <v>19</v>
      </c>
      <c r="D50" s="16">
        <v>4985.0</v>
      </c>
      <c r="E50" s="16">
        <v>4985.0</v>
      </c>
      <c r="F50" s="16">
        <v>4985.0</v>
      </c>
      <c r="G50" s="16">
        <v>4985.0</v>
      </c>
      <c r="H50" s="16">
        <v>4985.0</v>
      </c>
      <c r="I50" s="16">
        <v>4985.0</v>
      </c>
      <c r="J50" s="16">
        <v>4985.0</v>
      </c>
      <c r="K50" s="16">
        <v>4985.0</v>
      </c>
      <c r="L50" s="16">
        <v>4985.0</v>
      </c>
      <c r="M50" s="16">
        <v>4985.0</v>
      </c>
      <c r="N50" s="16">
        <v>4985.0</v>
      </c>
      <c r="O50" s="16">
        <v>4985.0</v>
      </c>
      <c r="P50" s="18">
        <f t="shared" si="12"/>
        <v>59820</v>
      </c>
      <c r="Q50" s="41"/>
      <c r="R50" s="4"/>
      <c r="S50" s="4"/>
      <c r="T50" s="56" t="s">
        <v>20</v>
      </c>
      <c r="U50" s="4"/>
      <c r="V50" s="4"/>
      <c r="W50" s="4"/>
      <c r="X50" s="4"/>
      <c r="Y50" s="4"/>
      <c r="Z50" s="4"/>
      <c r="AA50" s="4"/>
    </row>
    <row r="51">
      <c r="A51" s="5"/>
      <c r="B51" s="42"/>
      <c r="C51" s="43" t="s">
        <v>69</v>
      </c>
      <c r="D51" s="44">
        <f t="shared" ref="D51:O51" si="16">SUM(D40:D47)</f>
        <v>4931222</v>
      </c>
      <c r="E51" s="44">
        <f t="shared" si="16"/>
        <v>4970922</v>
      </c>
      <c r="F51" s="44">
        <f t="shared" si="16"/>
        <v>4928522</v>
      </c>
      <c r="G51" s="44">
        <f t="shared" si="16"/>
        <v>4928522</v>
      </c>
      <c r="H51" s="44">
        <f t="shared" si="16"/>
        <v>4928522</v>
      </c>
      <c r="I51" s="44">
        <f t="shared" si="16"/>
        <v>4694522</v>
      </c>
      <c r="J51" s="44">
        <f t="shared" si="16"/>
        <v>4683522</v>
      </c>
      <c r="K51" s="44">
        <f t="shared" si="16"/>
        <v>4678522</v>
      </c>
      <c r="L51" s="44">
        <f t="shared" si="16"/>
        <v>4678522</v>
      </c>
      <c r="M51" s="44">
        <f t="shared" si="16"/>
        <v>4678522</v>
      </c>
      <c r="N51" s="44">
        <f t="shared" si="16"/>
        <v>4678522</v>
      </c>
      <c r="O51" s="44">
        <f t="shared" si="16"/>
        <v>4678522</v>
      </c>
      <c r="P51" s="45">
        <f t="shared" si="12"/>
        <v>57458364</v>
      </c>
      <c r="Q51" s="45"/>
      <c r="R51" s="4"/>
      <c r="S51" s="4"/>
      <c r="T51" s="56" t="s">
        <v>45</v>
      </c>
      <c r="U51" s="4"/>
      <c r="V51" s="4"/>
      <c r="W51" s="4"/>
      <c r="X51" s="4"/>
      <c r="Y51" s="4"/>
      <c r="Z51" s="4"/>
      <c r="AA51" s="4"/>
    </row>
    <row r="52" collapsed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idden="1" outlineLevel="1">
      <c r="A53" s="5"/>
      <c r="B53" s="46"/>
      <c r="C53" s="47" t="s">
        <v>123</v>
      </c>
      <c r="D53" s="48">
        <f t="shared" ref="D53:O53" si="17">D37-D51</f>
        <v>-4931222</v>
      </c>
      <c r="E53" s="48">
        <f t="shared" si="17"/>
        <v>-4970922</v>
      </c>
      <c r="F53" s="48">
        <f t="shared" si="17"/>
        <v>-4928522</v>
      </c>
      <c r="G53" s="48">
        <f t="shared" si="17"/>
        <v>-4928522</v>
      </c>
      <c r="H53" s="48">
        <f t="shared" si="17"/>
        <v>-4928522</v>
      </c>
      <c r="I53" s="48">
        <f t="shared" si="17"/>
        <v>-4694522</v>
      </c>
      <c r="J53" s="48">
        <f t="shared" si="17"/>
        <v>-4683522</v>
      </c>
      <c r="K53" s="48">
        <f t="shared" si="17"/>
        <v>-4678522</v>
      </c>
      <c r="L53" s="48">
        <f t="shared" si="17"/>
        <v>-4678522</v>
      </c>
      <c r="M53" s="48">
        <f t="shared" si="17"/>
        <v>-4678522</v>
      </c>
      <c r="N53" s="48">
        <f t="shared" si="17"/>
        <v>-4678522</v>
      </c>
      <c r="O53" s="48">
        <f t="shared" si="17"/>
        <v>-4678522</v>
      </c>
      <c r="P53" s="49">
        <f>SUM(D53:O53)</f>
        <v>-57458364</v>
      </c>
      <c r="Q53" s="49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3"/>
      <c r="Q987" s="3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3"/>
      <c r="Q988" s="3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3"/>
      <c r="Q989" s="3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3"/>
      <c r="Q990" s="3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3"/>
      <c r="Q991" s="3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3"/>
      <c r="Q992" s="3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3"/>
      <c r="Q993" s="3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3"/>
      <c r="Q994" s="3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3"/>
      <c r="Q995" s="3"/>
      <c r="R995" s="4"/>
      <c r="S995" s="4"/>
      <c r="T995" s="4"/>
      <c r="U995" s="4"/>
      <c r="V995" s="4"/>
      <c r="W995" s="4"/>
      <c r="X995" s="4"/>
      <c r="Y995" s="4"/>
      <c r="Z995" s="4"/>
      <c r="AA995" s="4"/>
    </row>
  </sheetData>
  <mergeCells count="4">
    <mergeCell ref="B3:C3"/>
    <mergeCell ref="B4:C4"/>
    <mergeCell ref="B38:P38"/>
    <mergeCell ref="B39:C39"/>
  </mergeCells>
  <drawing r:id="rId1"/>
</worksheet>
</file>