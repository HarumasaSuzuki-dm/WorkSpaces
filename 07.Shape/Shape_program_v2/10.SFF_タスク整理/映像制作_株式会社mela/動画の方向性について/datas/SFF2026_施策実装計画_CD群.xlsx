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施策実装計画（C・D群）" sheetId="1" r:id="rId4"/>
  </sheets>
  <definedNames/>
  <calcPr/>
  <extLst>
    <ext uri="GoogleSheetsCustomDataVersion2">
      <go:sheetsCustomData xmlns:go="http://customooxmlschemas.google.com/" r:id="rId5" roundtripDataChecksum="vYsvV/wh/A3eIGTPW6EU8am/SJ9GXZx9xUq2hyzoy/o="/>
    </ext>
  </extLst>
</workbook>
</file>

<file path=xl/sharedStrings.xml><?xml version="1.0" encoding="utf-8"?>
<sst xmlns="http://schemas.openxmlformats.org/spreadsheetml/2006/main" count="101" uniqueCount="65">
  <si>
    <t>SFF2026 施策実装計画シート｜C群・D群（フォーマット確認用）</t>
  </si>
  <si>
    <t>Grp</t>
  </si>
  <si>
    <t>施策名</t>
  </si>
  <si>
    <t>優先度</t>
  </si>
  <si>
    <t>担当</t>
  </si>
  <si>
    <t>タスクステップ（大まかな進め方）</t>
  </si>
  <si>
    <t>外注・発注</t>
  </si>
  <si>
    <t>C</t>
  </si>
  <si>
    <t>MCによる
選手の過程の実況</t>
  </si>
  <si>
    <t>今年本番実施</t>
  </si>
  <si>
    <t>しおんさん</t>
  </si>
  <si>
    <t>① MCへの出演依頼・スケジュール確認
② 選手プロフィール・挑戦背景の情報収集フォーマット設計
③ MC向けブリーフィング資料の作成（C-2と連動）
④ 当日運営フローへの組み込み・リハーサル確認</t>
  </si>
  <si>
    <t>－</t>
  </si>
  <si>
    <t>選手の属性・
初出場割合の掲示</t>
  </si>
  <si>
    <t>今年仕込みのみ</t>
  </si>
  <si>
    <t>ななこちゃん</t>
  </si>
  <si>
    <t>① エントリーフォームに収集項目を追加（初出場・職業・年代など）
② 収集データの集計・管理方法を設計
③ 大会期間中にデータを蓄積
④ 大会後にデータ整理・来年の掲示用フォーマットを作成</t>
  </si>
  <si>
    <t>－
※掲示物制作は来年</t>
  </si>
  <si>
    <t>応援の仕方レクチャー
（シール・MC・動画）</t>
  </si>
  <si>
    <t>① 伝える内容・流れを設計（何を・どのタイミングで）
② 実施方式の決定（動画 or MCの口頭 or 両方）
③ 動画制作の場合：台本作成→撮影→編集
④ グッズ（シール・バルーン等）との連携方法を設計
⑤ 当日リハーサルで実施確認</t>
  </si>
  <si>
    <t>動画制作の場合：
外注要（6月末までに発注）</t>
  </si>
  <si>
    <t>出口での
挑戦ボード設置</t>
  </si>
  <si>
    <t>来年以降</t>
  </si>
  <si>
    <t>ぼんちゃん</t>
  </si>
  <si>
    <t>① 他大会・イベントの事例調査
② ボードのオペレーション・動線を設計（仕込みのみ）
③ 来年の担当者への引き継ぎ資料として整理</t>
  </si>
  <si>
    <t>SNSキャンペーン・
投稿フォーマット配布</t>
  </si>
  <si>
    <t>① SNS投稿フォーマット（テンプレ画像）のデザイン・作成
② ハッシュタグ・キャンペーン内容の決定
③ 投稿数・リーチ数の集計方法（KPI）を設計
④ 大会当日に配布・促進
⑤ 大会後にデータ集計→スポンサー提案書用に保管</t>
  </si>
  <si>
    <t>デザイン：外注 or 内製
（7月末までに完成）</t>
  </si>
  <si>
    <t>昨年観客→今年選手
になった率のシェア</t>
  </si>
  <si>
    <t>① エントリーフォームに「昨年観戦経験あり」の項目を追加
② 大会期間中にデータ収集
③ 大会後に集計・数値として算出
④ SNS投稿・スポンサー提案書用のコンテンツとして整理</t>
  </si>
  <si>
    <t>D</t>
  </si>
  <si>
    <t>オープニング映像
（選手のストーリー映像）</t>
  </si>
  <si>
    <t>① ぼんちゃん・しおんさんで映像コンセプト・構成を決定
　└ なーすけさん・おしりちゃんに確認
② 外注先の選定・見積もり依頼
③ 素材収集（選手インタビュー・写真・エントリー動画）
④ 初稿確認・フィードバック・修正
⑤ 納品・本番上映テスト</t>
  </si>
  <si>
    <t>外注：必須
⚠️ 6月中旬までに発注完了</t>
  </si>
  <si>
    <t>カテゴリー登場映像
・バック映像</t>
  </si>
  <si>
    <t>なーすけさん</t>
  </si>
  <si>
    <t>① ぼんちゃん・しおんさんでコンセプト決定→なーすけさん・おしりちゃんに確認
② カテゴリーごとのカラー・BGM・テーマ方針を決定
③ 素材（写真・選手動画）の収集
④ 制作・初稿確認・修正
⑤ 全カテゴリー分の納品・本番テスト</t>
  </si>
  <si>
    <t>内製（なーすけさん担当）
⚠️ 仕様の詳細確認が必要（別途）</t>
  </si>
  <si>
    <t>バックステージ
中継・収録映像</t>
  </si>
  <si>
    <t>条件付きOK</t>
  </si>
  <si>
    <t>おしりちゃん</t>
  </si>
  <si>
    <t>① カメラ・中継体制が整えられるか確認（5月末までに実施判断）
② 実施する場合：機材・スタッフ手配
③ 撮影ルートと中継タイミングの設計
④ 当日リハーサルで動線確認</t>
  </si>
  <si>
    <t>機材レンタル：状況次第
実施判断期限：5月末</t>
  </si>
  <si>
    <t>協賛企業の
ストーリー映像</t>
  </si>
  <si>
    <t>① ぼんちゃん・しおんさんでコンセプト決定→なーすけさん・おしりちゃんに確認
② 協賛企業ごとに映像制作の要否を確認
③ 企業へのヒアリング・素材収集（インタビュー等）
④ 制作（ステディさん分は完成済み）
⑤ 上映タイミング・尺を運営フローに組み込む</t>
  </si>
  <si>
    <t>企業によって外注要
※ステディさん分：制作済み
※来年以降の参考にする</t>
  </si>
  <si>
    <t>表彰・振り返り映像</t>
  </si>
  <si>
    <t>① 映像予算の確認・確保（実施判断の前提）
② 実施判断（7月中旬までに決定）
③ 当日撮影素材から制作する体制を確認
④ 実施する場合：撮影ポイント・編集フローを設計</t>
  </si>
  <si>
    <t>外注：予算次第（内製でできたらうれしいなー）
実施判断期限：7月中旬
※去年の経験で意見が欲しい</t>
  </si>
  <si>
    <t>エンディング映像
（自分ごとへの橋渡し）</t>
  </si>
  <si>
    <t>① ぼんちゃん・しおんさんでコンセプト決定→なーすけさん・おしりちゃんに確認
② 当日即時編集方式 or 事前制作方式かを決定（⚠️最優先）
③ 即時編集の場合：編集担当者の確保・役割分担の明確化
④ 撮影ポイントリスト・素材リストを事前設計
⑤ 本番リハーサル（タイムライン・時間管理の確認）</t>
  </si>
  <si>
    <t>即時編集人材の確保：必須
⚠️ 昨年は終演ギリギリ
→方式決定を5月末までに</t>
  </si>
  <si>
    <t>選手当日MTGでの
成長実感動画</t>
  </si>
  <si>
    <t>① エントリー動画の収集フロー設計（いつ・どうやって集めるか）
② before/after編集方針の決定（全選手分 or カテゴリー代表）
③ 大会前までに素材収集完了
④ 動画編集・完成
⑤ 当日MTGでの上映タイミングの確認</t>
  </si>
  <si>
    <t>編集：内製（おしりちゃん）
素材収集：エントリー時に設計要</t>
  </si>
  <si>
    <t>▼ 担当者別 施策数 集計</t>
  </si>
  <si>
    <t>担当者</t>
  </si>
  <si>
    <t>施策数（C群）</t>
  </si>
  <si>
    <t>施策数（D群）</t>
  </si>
  <si>
    <t>合計</t>
  </si>
  <si>
    <t>かおんさん</t>
  </si>
  <si>
    <t>てんゆう</t>
  </si>
  <si>
    <t>佐久間</t>
  </si>
  <si>
    <t>香さん</t>
  </si>
  <si>
    <t>【優先度】 緑＝今年本番実施　オレンジ＝今年仕込みのみ　グレー＝来年以降　黄＝条件付きOK　｜　【担当】 D列のセルをクリックするとドロップダウンで選択できます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</si>
</sst>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1.0"/>
      <color rgb="FF1F3864"/>
      <name val="Arial"/>
    </font>
    <font>
      <b/>
      <sz val="9.0"/>
      <color rgb="FF000000"/>
      <name val="Arial"/>
    </font>
    <font>
      <b/>
      <sz val="9.0"/>
      <color rgb="FF375623"/>
      <name val="Arial"/>
    </font>
    <font>
      <sz val="9.0"/>
      <color rgb="FF000000"/>
      <name val="Arial"/>
    </font>
    <font>
      <b/>
      <sz val="9.0"/>
      <color rgb="FF833C00"/>
      <name val="Arial"/>
    </font>
    <font>
      <b/>
      <sz val="9.0"/>
      <color rgb="FF595959"/>
      <name val="Arial"/>
    </font>
    <font>
      <b/>
      <sz val="11.0"/>
      <color rgb="FF7F6000"/>
      <name val="Arial"/>
    </font>
    <font>
      <b/>
      <sz val="9.0"/>
      <color rgb="FF7F6000"/>
      <name val="Arial"/>
    </font>
    <font>
      <b/>
      <sz val="9.0"/>
      <color rgb="FFFFFFFF"/>
      <name val="Arial"/>
    </font>
    <font>
      <sz val="9.0"/>
      <color theme="1"/>
      <name val="Arial"/>
    </font>
    <font>
      <i/>
      <sz val="8.0"/>
      <color rgb="FF59595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DEEFF"/>
        <bgColor rgb="FFDDEEFF"/>
      </patternFill>
    </fill>
    <fill>
      <patternFill patternType="solid">
        <fgColor rgb="FFE2EFDA"/>
        <bgColor rgb="FFE2EFDA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FBE6"/>
        <bgColor rgb="FFFFFBE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2E4D7B"/>
        <bgColor rgb="FF2E4D7B"/>
      </patternFill>
    </fill>
    <fill>
      <patternFill patternType="solid">
        <fgColor rgb="FFF5F5F5"/>
        <bgColor rgb="FFF5F5F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left" shrinkToFit="0" vertical="top" wrapText="1"/>
    </xf>
    <xf borderId="4" fillId="5" fontId="7" numFmtId="0" xfId="0" applyAlignment="1" applyBorder="1" applyFont="1">
      <alignment horizontal="left" shrinkToFit="0" vertical="top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ill="1" applyFont="1">
      <alignment horizontal="left" shrinkToFit="0" vertical="top" wrapText="1"/>
    </xf>
    <xf borderId="4" fillId="9" fontId="9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center" vertical="center"/>
    </xf>
    <xf borderId="4" fillId="10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10" fontId="11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ont="1">
      <alignment horizontal="left" vertical="center"/>
    </xf>
    <xf borderId="4" fillId="11" fontId="12" numFmtId="0" xfId="0" applyAlignment="1" applyBorder="1" applyFill="1" applyFont="1">
      <alignment horizontal="center" shrinkToFit="0" vertical="center" wrapText="1"/>
    </xf>
    <xf borderId="4" fillId="12" fontId="5" numFmtId="0" xfId="0" applyAlignment="1" applyBorder="1" applyFill="1" applyFont="1">
      <alignment horizontal="center" shrinkToFit="0" vertical="center" wrapText="1"/>
    </xf>
    <xf borderId="4" fillId="12" fontId="13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horizontal="center" vertical="center"/>
    </xf>
    <xf borderId="4" fillId="11" fontId="12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4" width="16.0"/>
    <col customWidth="1" min="5" max="5" width="56.0"/>
    <col customWidth="1" min="6" max="6" width="30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87.75" customHeight="1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</row>
    <row r="4" ht="87.75" customHeight="1">
      <c r="A4" s="5" t="s">
        <v>7</v>
      </c>
      <c r="B4" s="6" t="s">
        <v>13</v>
      </c>
      <c r="C4" s="11" t="s">
        <v>14</v>
      </c>
      <c r="D4" s="8" t="s">
        <v>15</v>
      </c>
      <c r="E4" s="9" t="s">
        <v>16</v>
      </c>
      <c r="F4" s="10" t="s">
        <v>17</v>
      </c>
    </row>
    <row r="5" ht="105.0" customHeight="1">
      <c r="A5" s="5" t="s">
        <v>7</v>
      </c>
      <c r="B5" s="6" t="s">
        <v>18</v>
      </c>
      <c r="C5" s="7" t="s">
        <v>9</v>
      </c>
      <c r="D5" s="8" t="s">
        <v>10</v>
      </c>
      <c r="E5" s="9" t="s">
        <v>19</v>
      </c>
      <c r="F5" s="12" t="s">
        <v>20</v>
      </c>
    </row>
    <row r="6" ht="72.0" customHeight="1">
      <c r="A6" s="5" t="s">
        <v>7</v>
      </c>
      <c r="B6" s="6" t="s">
        <v>21</v>
      </c>
      <c r="C6" s="13" t="s">
        <v>22</v>
      </c>
      <c r="D6" s="8" t="s">
        <v>23</v>
      </c>
      <c r="E6" s="9" t="s">
        <v>24</v>
      </c>
      <c r="F6" s="10" t="s">
        <v>12</v>
      </c>
    </row>
    <row r="7" ht="105.0" customHeight="1">
      <c r="A7" s="5" t="s">
        <v>7</v>
      </c>
      <c r="B7" s="6" t="s">
        <v>25</v>
      </c>
      <c r="C7" s="11" t="s">
        <v>14</v>
      </c>
      <c r="D7" s="8" t="s">
        <v>15</v>
      </c>
      <c r="E7" s="9" t="s">
        <v>26</v>
      </c>
      <c r="F7" s="12" t="s">
        <v>27</v>
      </c>
    </row>
    <row r="8" ht="87.75" customHeight="1">
      <c r="A8" s="5" t="s">
        <v>7</v>
      </c>
      <c r="B8" s="6" t="s">
        <v>28</v>
      </c>
      <c r="C8" s="11" t="s">
        <v>14</v>
      </c>
      <c r="D8" s="8" t="s">
        <v>15</v>
      </c>
      <c r="E8" s="9" t="s">
        <v>29</v>
      </c>
      <c r="F8" s="10" t="s">
        <v>12</v>
      </c>
    </row>
    <row r="9" ht="105.0" customHeight="1">
      <c r="A9" s="14" t="s">
        <v>30</v>
      </c>
      <c r="B9" s="15" t="s">
        <v>31</v>
      </c>
      <c r="C9" s="7" t="s">
        <v>9</v>
      </c>
      <c r="D9" s="16" t="s">
        <v>23</v>
      </c>
      <c r="E9" s="9" t="s">
        <v>32</v>
      </c>
      <c r="F9" s="12" t="s">
        <v>33</v>
      </c>
    </row>
    <row r="10" ht="105.0" customHeight="1">
      <c r="A10" s="14" t="s">
        <v>30</v>
      </c>
      <c r="B10" s="15" t="s">
        <v>34</v>
      </c>
      <c r="C10" s="7" t="s">
        <v>9</v>
      </c>
      <c r="D10" s="8" t="s">
        <v>35</v>
      </c>
      <c r="E10" s="9" t="s">
        <v>36</v>
      </c>
      <c r="F10" s="12" t="s">
        <v>37</v>
      </c>
    </row>
    <row r="11" ht="87.75" customHeight="1">
      <c r="A11" s="14" t="s">
        <v>30</v>
      </c>
      <c r="B11" s="15" t="s">
        <v>38</v>
      </c>
      <c r="C11" s="17" t="s">
        <v>39</v>
      </c>
      <c r="D11" s="8" t="s">
        <v>40</v>
      </c>
      <c r="E11" s="9" t="s">
        <v>41</v>
      </c>
      <c r="F11" s="10" t="s">
        <v>42</v>
      </c>
    </row>
    <row r="12" ht="105.0" customHeight="1">
      <c r="A12" s="14" t="s">
        <v>30</v>
      </c>
      <c r="B12" s="15" t="s">
        <v>43</v>
      </c>
      <c r="C12" s="7" t="s">
        <v>9</v>
      </c>
      <c r="D12" s="8" t="s">
        <v>10</v>
      </c>
      <c r="E12" s="9" t="s">
        <v>44</v>
      </c>
      <c r="F12" s="18" t="s">
        <v>45</v>
      </c>
    </row>
    <row r="13" ht="87.75" customHeight="1">
      <c r="A13" s="14" t="s">
        <v>30</v>
      </c>
      <c r="B13" s="15" t="s">
        <v>46</v>
      </c>
      <c r="C13" s="17" t="s">
        <v>39</v>
      </c>
      <c r="D13" s="8" t="s">
        <v>40</v>
      </c>
      <c r="E13" s="9" t="s">
        <v>47</v>
      </c>
      <c r="F13" s="18" t="s">
        <v>48</v>
      </c>
    </row>
    <row r="14" ht="121.5" customHeight="1">
      <c r="A14" s="14" t="s">
        <v>30</v>
      </c>
      <c r="B14" s="15" t="s">
        <v>49</v>
      </c>
      <c r="C14" s="7" t="s">
        <v>9</v>
      </c>
      <c r="D14" s="16" t="s">
        <v>23</v>
      </c>
      <c r="E14" s="9" t="s">
        <v>50</v>
      </c>
      <c r="F14" s="12" t="s">
        <v>51</v>
      </c>
    </row>
    <row r="15" ht="105.0" customHeight="1">
      <c r="A15" s="14" t="s">
        <v>30</v>
      </c>
      <c r="B15" s="15" t="s">
        <v>52</v>
      </c>
      <c r="C15" s="7" t="s">
        <v>9</v>
      </c>
      <c r="D15" s="8" t="s">
        <v>40</v>
      </c>
      <c r="E15" s="9" t="s">
        <v>53</v>
      </c>
      <c r="F15" s="10" t="s">
        <v>54</v>
      </c>
    </row>
    <row r="18" ht="21.75" customHeight="1">
      <c r="A18" s="19" t="s">
        <v>55</v>
      </c>
      <c r="B18" s="2"/>
      <c r="C18" s="2"/>
      <c r="D18" s="2"/>
      <c r="E18" s="2"/>
      <c r="F18" s="3"/>
    </row>
    <row r="19">
      <c r="A19" s="20" t="s">
        <v>56</v>
      </c>
      <c r="B19" s="20" t="s">
        <v>57</v>
      </c>
      <c r="C19" s="20" t="s">
        <v>58</v>
      </c>
      <c r="D19" s="20" t="s">
        <v>59</v>
      </c>
    </row>
    <row r="20" ht="18.0" customHeight="1">
      <c r="A20" s="21" t="s">
        <v>35</v>
      </c>
      <c r="B20" s="22">
        <f>COUNTIF(D3:D8,"なーすけさん")</f>
        <v>0</v>
      </c>
      <c r="C20" s="22">
        <f>COUNTIF(D9:D15,"なーすけさん")</f>
        <v>1</v>
      </c>
      <c r="D20" s="22">
        <f t="shared" ref="D20:D28" si="1">B20+C20</f>
        <v>1</v>
      </c>
    </row>
    <row r="21" ht="18.0" customHeight="1">
      <c r="A21" s="23" t="s">
        <v>10</v>
      </c>
      <c r="B21" s="24">
        <f>COUNTIF(D3:D8,"しおんさん")</f>
        <v>2</v>
      </c>
      <c r="C21" s="24">
        <f>COUNTIF(D9:D15,"しおんさん")</f>
        <v>1</v>
      </c>
      <c r="D21" s="24">
        <f t="shared" si="1"/>
        <v>3</v>
      </c>
    </row>
    <row r="22" ht="18.0" customHeight="1">
      <c r="A22" s="21" t="s">
        <v>60</v>
      </c>
      <c r="B22" s="22">
        <f>COUNTIF(D3:D8,"かおんさん")</f>
        <v>0</v>
      </c>
      <c r="C22" s="22">
        <f>COUNTIF(D9:D15,"かおんさん")</f>
        <v>0</v>
      </c>
      <c r="D22" s="22">
        <f t="shared" si="1"/>
        <v>0</v>
      </c>
    </row>
    <row r="23" ht="18.0" customHeight="1">
      <c r="A23" s="23" t="s">
        <v>40</v>
      </c>
      <c r="B23" s="24">
        <f>COUNTIF(D3:D8,"おしりちゃん")</f>
        <v>0</v>
      </c>
      <c r="C23" s="24">
        <f>COUNTIF(D9:D15,"おしりちゃん")</f>
        <v>3</v>
      </c>
      <c r="D23" s="24">
        <f t="shared" si="1"/>
        <v>3</v>
      </c>
    </row>
    <row r="24" ht="18.0" customHeight="1">
      <c r="A24" s="21" t="s">
        <v>15</v>
      </c>
      <c r="B24" s="22">
        <f>COUNTIF(D3:D8,"ななこちゃん")</f>
        <v>3</v>
      </c>
      <c r="C24" s="22">
        <f>COUNTIF(D9:D15,"ななこちゃん")</f>
        <v>0</v>
      </c>
      <c r="D24" s="22">
        <f t="shared" si="1"/>
        <v>3</v>
      </c>
    </row>
    <row r="25" ht="18.0" customHeight="1">
      <c r="A25" s="23" t="s">
        <v>23</v>
      </c>
      <c r="B25" s="24">
        <f>COUNTIF(D3:D8,"ぼんちゃん")</f>
        <v>1</v>
      </c>
      <c r="C25" s="24">
        <f>COUNTIF(D9:D15,"ぼんちゃん")</f>
        <v>2</v>
      </c>
      <c r="D25" s="24">
        <f t="shared" si="1"/>
        <v>3</v>
      </c>
    </row>
    <row r="26" ht="18.0" customHeight="1">
      <c r="A26" s="21" t="s">
        <v>61</v>
      </c>
      <c r="B26" s="22">
        <f>COUNTIF(D3:D8,"てんゆう")</f>
        <v>0</v>
      </c>
      <c r="C26" s="22">
        <f>COUNTIF(D9:D15,"てんゆう")</f>
        <v>0</v>
      </c>
      <c r="D26" s="22">
        <f t="shared" si="1"/>
        <v>0</v>
      </c>
    </row>
    <row r="27" ht="18.0" customHeight="1">
      <c r="A27" s="23" t="s">
        <v>62</v>
      </c>
      <c r="B27" s="24">
        <f>COUNTIF(D3:D8,"佐久間")</f>
        <v>0</v>
      </c>
      <c r="C27" s="24">
        <f>COUNTIF(D9:D15,"佐久間")</f>
        <v>0</v>
      </c>
      <c r="D27" s="24">
        <f t="shared" si="1"/>
        <v>0</v>
      </c>
    </row>
    <row r="28" ht="18.0" customHeight="1">
      <c r="A28" s="21" t="s">
        <v>63</v>
      </c>
      <c r="B28" s="22">
        <f>COUNTIF(D3:D8,"香さん")</f>
        <v>0</v>
      </c>
      <c r="C28" s="22">
        <f>COUNTIF(D9:D15,"香さん")</f>
        <v>0</v>
      </c>
      <c r="D28" s="22">
        <f t="shared" si="1"/>
        <v>0</v>
      </c>
    </row>
    <row r="29" ht="19.5" customHeight="1">
      <c r="A29" s="20" t="s">
        <v>59</v>
      </c>
      <c r="B29" s="25">
        <f t="shared" ref="B29:D29" si="2">SUM(B20:B28)</f>
        <v>6</v>
      </c>
      <c r="C29" s="25">
        <f t="shared" si="2"/>
        <v>7</v>
      </c>
      <c r="D29" s="25">
        <f t="shared" si="2"/>
        <v>13</v>
      </c>
    </row>
    <row r="30" ht="15.75" customHeight="1"/>
    <row r="31" ht="15.75" customHeight="1">
      <c r="A31" s="26" t="s">
        <v>64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18:F18"/>
    <mergeCell ref="A31:F31"/>
  </mergeCells>
  <dataValidations>
    <dataValidation type="list" allowBlank="1" sqref="D3:D15">
      <formula1>"なーすけさん,しおんさん,かおんさん,おしりちゃん,ななこちゃん,ぼんちゃん,てんゆう,佐久間,香さん"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2026-04-04T01:44:17Z</dcterms:created>
  <dc:creator>openpyxl</dc:creator>
</cp:coreProperties>
</file>