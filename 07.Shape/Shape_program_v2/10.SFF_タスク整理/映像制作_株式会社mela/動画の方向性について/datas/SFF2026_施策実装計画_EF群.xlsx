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F群_施策実装計画" sheetId="1" r:id="rId4"/>
  </sheets>
  <definedNames/>
  <calcPr/>
  <extLst>
    <ext uri="GoogleSheetsCustomDataVersion2">
      <go:sheetsCustomData xmlns:go="http://customooxmlschemas.google.com/" r:id="rId5" roundtripDataChecksum="m5MD2hT0QwjQa59CZOYvPocpq+nqhzQYJDJEtNK5+nU="/>
    </ext>
  </extLst>
</workbook>
</file>

<file path=xl/sharedStrings.xml><?xml version="1.0" encoding="utf-8"?>
<sst xmlns="http://schemas.openxmlformats.org/spreadsheetml/2006/main" count="89" uniqueCount="60">
  <si>
    <r>
      <rPr>
        <rFont val="Arial"/>
        <b/>
        <color rgb="FFFFFFFF"/>
        <sz val="11.0"/>
      </rPr>
      <t xml:space="preserve">SFF2026 </t>
    </r>
    <r>
      <rPr>
        <rFont val="Noto Sans CJK SC"/>
        <b/>
        <color rgb="FFFFFFFF"/>
        <sz val="11.0"/>
      </rPr>
      <t xml:space="preserve">施策実装計画シート　▶　</t>
    </r>
    <r>
      <rPr>
        <rFont val="Arial"/>
        <b/>
        <color rgb="FFFFFFFF"/>
        <sz val="11.0"/>
      </rPr>
      <t>E</t>
    </r>
    <r>
      <rPr>
        <rFont val="Noto Sans CJK SC"/>
        <b/>
        <color rgb="FFFFFFFF"/>
        <sz val="11.0"/>
      </rPr>
      <t xml:space="preserve">群（会場内回遊・グッズ体験設計）／ </t>
    </r>
    <r>
      <rPr>
        <rFont val="Arial"/>
        <b/>
        <color rgb="FFFFFFFF"/>
        <sz val="11.0"/>
      </rPr>
      <t>F</t>
    </r>
    <r>
      <rPr>
        <rFont val="Noto Sans CJK SC"/>
        <b/>
        <color rgb="FFFFFFFF"/>
        <sz val="11.0"/>
      </rPr>
      <t>群（来場前の招待・期待形成）</t>
    </r>
  </si>
  <si>
    <t>Grp</t>
  </si>
  <si>
    <t>施策名</t>
  </si>
  <si>
    <t>優先度</t>
  </si>
  <si>
    <t>担当</t>
  </si>
  <si>
    <t>タスクステップ（大まかな進め方）</t>
  </si>
  <si>
    <t>外注・発注</t>
  </si>
  <si>
    <t>F</t>
  </si>
  <si>
    <t>選手からの招待メッセージ（テンプレ）</t>
  </si>
  <si>
    <t>今年本番実施</t>
  </si>
  <si>
    <t>しおんさん</t>
  </si>
  <si>
    <r>
      <rPr>
        <rFont val="Noto Sans CJK SC"/>
        <color rgb="FF333333"/>
        <sz val="9.0"/>
      </rPr>
      <t>①テンプレの骨子・訴求トーン（想い強め</t>
    </r>
    <r>
      <rPr>
        <rFont val="Arial"/>
        <color rgb="FF333333"/>
        <sz val="9.0"/>
      </rPr>
      <t>/</t>
    </r>
    <r>
      <rPr>
        <rFont val="Noto Sans CJK SC"/>
        <color rgb="FF333333"/>
        <sz val="9.0"/>
      </rPr>
      <t>ライト）を決定し、なーすけさんに方向性確認
②ビジュアル方向性を整理しおしりちゃんへ制作依頼
③文章テンプレを</t>
    </r>
    <r>
      <rPr>
        <rFont val="Arial"/>
        <color rgb="FF333333"/>
        <sz val="9.0"/>
      </rPr>
      <t>2</t>
    </r>
    <r>
      <rPr>
        <rFont val="Noto Sans CJK SC"/>
        <color rgb="FF333333"/>
        <sz val="9.0"/>
      </rPr>
      <t>〜</t>
    </r>
    <r>
      <rPr>
        <rFont val="Arial"/>
        <color rgb="FF333333"/>
        <sz val="9.0"/>
      </rPr>
      <t>3</t>
    </r>
    <r>
      <rPr>
        <rFont val="Noto Sans CJK SC"/>
        <color rgb="FF333333"/>
        <sz val="9.0"/>
      </rPr>
      <t>パターン作成（軽め・想い強め・シンプル）
④招待リンクコンテンツ（</t>
    </r>
    <r>
      <rPr>
        <rFont val="Arial"/>
        <color rgb="FF333333"/>
        <sz val="9.0"/>
      </rPr>
      <t>F</t>
    </r>
    <r>
      <rPr>
        <rFont val="Noto Sans CJK SC"/>
        <color rgb="FF333333"/>
        <sz val="9.0"/>
      </rPr>
      <t>群</t>
    </r>
    <r>
      <rPr>
        <rFont val="Arial"/>
        <color rgb="FF333333"/>
        <sz val="9.0"/>
      </rPr>
      <t>6</t>
    </r>
    <r>
      <rPr>
        <rFont val="Noto Sans CJK SC"/>
        <color rgb="FF333333"/>
        <sz val="9.0"/>
      </rPr>
      <t>）との連動フローをセットで設計
⑤選手説明会で配布・使い方を案内し実際に送ってもらう仕組みをつくる</t>
    </r>
  </si>
  <si>
    <t>ビジュアル制作はおしりちゃんへ依頼（内製）
※デザイン外注が必要な場合は要別途調整</t>
  </si>
  <si>
    <t>初来場者向け「楽しみ方ガイド」の整備</t>
  </si>
  <si>
    <t>今年仕込みのみ</t>
  </si>
  <si>
    <t>ななこちゃん</t>
  </si>
  <si>
    <t>①F群7番（招待リンクコンテンツ）との役割分担を確認・整理
②今年のリール・スライドでカバーする範囲と、来年独立させるガイドの棲み分けを文書化
③来年の本制作に向けてコンテンツ構成案（章立て・掲載情報）を草案化
④今年の大会でガイドに使える素材（写真・動画）を収集するリストを作成</t>
  </si>
  <si>
    <t>今年は外注なし（仕込み・構成案の作成のみ）
来年制作時に外注要否を再検討</t>
  </si>
  <si>
    <t>申込フォームと導線のシンプル化</t>
  </si>
  <si>
    <t>ぼんちゃん</t>
  </si>
  <si>
    <r>
      <rPr>
        <rFont val="Noto Sans CJK SC"/>
        <color rgb="FF333333"/>
        <sz val="9.0"/>
      </rPr>
      <t>①現状の申込フォーム・</t>
    </r>
    <r>
      <rPr>
        <rFont val="Arial"/>
        <color rgb="FF333333"/>
        <sz val="9.0"/>
      </rPr>
      <t>LP</t>
    </r>
    <r>
      <rPr>
        <rFont val="Noto Sans CJK SC"/>
        <color rgb="FF333333"/>
        <sz val="9.0"/>
      </rPr>
      <t>の導線をユーザー目線で確認し課題を洗い出す
②改善ポイントを整理しベンダー（フレアネスト・三浦）へ修正依頼
③チケット販売前倒し（</t>
    </r>
    <r>
      <rPr>
        <rFont val="Arial"/>
        <color rgb="FF333333"/>
        <sz val="9.0"/>
      </rPr>
      <t>F</t>
    </r>
    <r>
      <rPr>
        <rFont val="Noto Sans CJK SC"/>
        <color rgb="FF333333"/>
        <sz val="9.0"/>
      </rPr>
      <t>群</t>
    </r>
    <r>
      <rPr>
        <rFont val="Arial"/>
        <color rgb="FF333333"/>
        <sz val="9.0"/>
      </rPr>
      <t>8</t>
    </r>
    <r>
      <rPr>
        <rFont val="Noto Sans CJK SC"/>
        <color rgb="FF333333"/>
        <sz val="9.0"/>
      </rPr>
      <t>番）と連動した公開タイミングを調整
④テスト確認 → 修正対応
⑤しおんさんへ最終確認・承認後に本番公開</t>
    </r>
  </si>
  <si>
    <r>
      <rPr>
        <rFont val="Noto Sans CJK SC"/>
        <color rgb="FF333333"/>
        <sz val="9.0"/>
      </rPr>
      <t xml:space="preserve">⚠️ システム修正はベンダー外注
（フレアネスト </t>
    </r>
    <r>
      <rPr>
        <rFont val="Arial"/>
        <color rgb="FF333333"/>
        <sz val="9.0"/>
      </rPr>
      <t xml:space="preserve">or </t>
    </r>
    <r>
      <rPr>
        <rFont val="Noto Sans CJK SC"/>
        <color rgb="FF333333"/>
        <sz val="9.0"/>
      </rPr>
      <t>三浦に依頼）
発注前にしおんさんのコスト承認必須</t>
    </r>
  </si>
  <si>
    <t>事前リマインド＆期待感を高める連絡</t>
  </si>
  <si>
    <r>
      <rPr>
        <rFont val="Noto Sans CJK SC"/>
        <color rgb="FF333333"/>
        <sz val="9.0"/>
      </rPr>
      <t>①配信スケジュールを設計（大会</t>
    </r>
    <r>
      <rPr>
        <rFont val="Arial"/>
        <color rgb="FF333333"/>
        <sz val="9.0"/>
      </rPr>
      <t>4</t>
    </r>
    <r>
      <rPr>
        <rFont val="Noto Sans CJK SC"/>
        <color rgb="FF333333"/>
        <sz val="9.0"/>
      </rPr>
      <t>週前・</t>
    </r>
    <r>
      <rPr>
        <rFont val="Arial"/>
        <color rgb="FF333333"/>
        <sz val="9.0"/>
      </rPr>
      <t>2</t>
    </r>
    <r>
      <rPr>
        <rFont val="Noto Sans CJK SC"/>
        <color rgb="FF333333"/>
        <sz val="9.0"/>
      </rPr>
      <t>週前・</t>
    </r>
    <r>
      <rPr>
        <rFont val="Arial"/>
        <color rgb="FF333333"/>
        <sz val="9.0"/>
      </rPr>
      <t>1</t>
    </r>
    <r>
      <rPr>
        <rFont val="Noto Sans CJK SC"/>
        <color rgb="FF333333"/>
        <sz val="9.0"/>
      </rPr>
      <t>週前・前日など）
②各回の配信テーマ・コンテンツを決定（雰囲気・見どころ・選手紹介）
③文章・ビジュアルを準備（ビジュアルはおしりちゃんへ依頼）
④</t>
    </r>
    <r>
      <rPr>
        <rFont val="Arial"/>
        <color rgb="FF333333"/>
        <sz val="9.0"/>
      </rPr>
      <t>LINE/</t>
    </r>
    <r>
      <rPr>
        <rFont val="Noto Sans CJK SC"/>
        <color rgb="FF333333"/>
        <sz val="9.0"/>
      </rPr>
      <t>メール配信ツールで配信設定・テスト送信
⑤配信後の開封率・クリック率を確認し次回以降に反映</t>
    </r>
  </si>
  <si>
    <r>
      <rPr>
        <rFont val="Noto Sans CJK SC"/>
        <color rgb="FF333333"/>
        <sz val="9.0"/>
      </rPr>
      <t>外注なし（</t>
    </r>
    <r>
      <rPr>
        <rFont val="Arial"/>
        <color rgb="FF333333"/>
        <sz val="9.0"/>
      </rPr>
      <t>LINE/</t>
    </r>
    <r>
      <rPr>
        <rFont val="Noto Sans CJK SC"/>
        <color rgb="FF333333"/>
        <sz val="9.0"/>
      </rPr>
      <t>メールツール内製運用）
ビジュアルはおしりちゃんへ社内依頼</t>
    </r>
  </si>
  <si>
    <t>選手の想いで来場を誘う発信施策（別紙詳細）</t>
  </si>
  <si>
    <r>
      <rPr>
        <rFont val="Noto Sans CJK SC"/>
        <color rgb="FF333333"/>
        <sz val="9.0"/>
      </rPr>
      <t>①別紙の詳細内容を確認し施策全体像を把握
②選手の発信を促す</t>
    </r>
    <r>
      <rPr>
        <rFont val="Arial"/>
        <color rgb="FF333333"/>
        <sz val="9.0"/>
      </rPr>
      <t>SNS</t>
    </r>
    <r>
      <rPr>
        <rFont val="Noto Sans CJK SC"/>
        <color rgb="FF333333"/>
        <sz val="9.0"/>
      </rPr>
      <t>投稿テンプレ・ハッシュタグ・投稿頻度の型を設計
③今年の大会でパイロット実施し、発信率・リーチ数を計測
④来年の本格展開に向けて改善点・継続型の仕組みをドキュメント化</t>
    </r>
  </si>
  <si>
    <t>外注なし（テンプレ・型の設計のみ）
来年の本格展開時に外注要否を再検討</t>
  </si>
  <si>
    <t>招待リンクへの大会紹介コンテンツ整備（リール・写真）</t>
  </si>
  <si>
    <t>おしりちゃん</t>
  </si>
  <si>
    <r>
      <rPr>
        <rFont val="Noto Sans CJK SC"/>
        <color rgb="FF333333"/>
        <sz val="9.0"/>
      </rPr>
      <t>①動画コンセプト・構成の決定：ぼんちゃん・しおんさんで決定 → なーすけさん・おしりちゃんに確認
②昨年の写真・動画素材の有無を確認（クリエイティブチームに照会）
③素材あり → リール・写真スライドを作成し招待リンクに組み込む
　素材なし → 今年を素材収集年として設計し撮影プランをぼんちゃんと共有
④招待テンプレ（</t>
    </r>
    <r>
      <rPr>
        <rFont val="Arial"/>
        <color rgb="FF333333"/>
        <sz val="9.0"/>
      </rPr>
      <t>F</t>
    </r>
    <r>
      <rPr>
        <rFont val="Noto Sans CJK SC"/>
        <color rgb="FF333333"/>
        <sz val="9.0"/>
      </rPr>
      <t>群</t>
    </r>
    <r>
      <rPr>
        <rFont val="Arial"/>
        <color rgb="FF333333"/>
        <sz val="9.0"/>
      </rPr>
      <t>1</t>
    </r>
    <r>
      <rPr>
        <rFont val="Noto Sans CJK SC"/>
        <color rgb="FF333333"/>
        <sz val="9.0"/>
      </rPr>
      <t>番）のリンクへ埋め込み・動作確認</t>
    </r>
  </si>
  <si>
    <r>
      <rPr>
        <rFont val="Noto Sans CJK SC"/>
        <color rgb="FF333333"/>
        <sz val="9.0"/>
      </rPr>
      <t>⚠️ 素材がない場合はカメラマン外注を検討
（関西</t>
    </r>
    <r>
      <rPr>
        <rFont val="Arial"/>
        <color rgb="FF333333"/>
        <sz val="9.0"/>
      </rPr>
      <t xml:space="preserve">8/15 or </t>
    </r>
    <r>
      <rPr>
        <rFont val="Noto Sans CJK SC"/>
        <color rgb="FF333333"/>
        <sz val="9.0"/>
      </rPr>
      <t>関東</t>
    </r>
    <r>
      <rPr>
        <rFont val="Arial"/>
        <color rgb="FF333333"/>
        <sz val="9.0"/>
      </rPr>
      <t>9/22</t>
    </r>
    <r>
      <rPr>
        <rFont val="Noto Sans CJK SC"/>
        <color rgb="FF333333"/>
        <sz val="9.0"/>
      </rPr>
      <t>で撮影）
発注前にしおんさんのコスト承認必須</t>
    </r>
  </si>
  <si>
    <t>チケット販売開始時期の前倒し</t>
  </si>
  <si>
    <r>
      <rPr>
        <rFont val="Noto Sans CJK SC"/>
        <color rgb="FF333333"/>
        <sz val="9.0"/>
      </rPr>
      <t>①現状の販売開始日（大会〇週前）を確認・理想の前倒し目標を設定
②決済・チケットシステム（</t>
    </r>
    <r>
      <rPr>
        <rFont val="Arial"/>
        <color rgb="FF333333"/>
        <sz val="9.0"/>
      </rPr>
      <t>Stripe</t>
    </r>
    <r>
      <rPr>
        <rFont val="Noto Sans CJK SC"/>
        <color rgb="FF333333"/>
        <sz val="9.0"/>
      </rPr>
      <t>等）への影響をベンダーに確認
③コスト・財務インパクトをしおんさんで確認・承認（財務変更は必ずしおんさん経由）
④申込フォーム改善（</t>
    </r>
    <r>
      <rPr>
        <rFont val="Arial"/>
        <color rgb="FF333333"/>
        <sz val="9.0"/>
      </rPr>
      <t>F</t>
    </r>
    <r>
      <rPr>
        <rFont val="Noto Sans CJK SC"/>
        <color rgb="FF333333"/>
        <sz val="9.0"/>
      </rPr>
      <t>群</t>
    </r>
    <r>
      <rPr>
        <rFont val="Arial"/>
        <color rgb="FF333333"/>
        <sz val="9.0"/>
      </rPr>
      <t>3</t>
    </r>
    <r>
      <rPr>
        <rFont val="Noto Sans CJK SC"/>
        <color rgb="FF333333"/>
        <sz val="9.0"/>
      </rPr>
      <t>番）と連動した公開スケジュールを確定
⑤販売開始後に購入タイミングデータを取得し効果測定</t>
    </r>
  </si>
  <si>
    <r>
      <rPr>
        <rFont val="Noto Sans CJK SC"/>
        <color rgb="FF333333"/>
        <sz val="9.0"/>
      </rPr>
      <t xml:space="preserve">⚠️ システム変更はベンダー外注
（フレアネスト </t>
    </r>
    <r>
      <rPr>
        <rFont val="Arial"/>
        <color rgb="FF333333"/>
        <sz val="9.0"/>
      </rPr>
      <t xml:space="preserve">or </t>
    </r>
    <r>
      <rPr>
        <rFont val="Noto Sans CJK SC"/>
        <color rgb="FF333333"/>
        <sz val="9.0"/>
      </rPr>
      <t>三浦に依頼）
財務インパクト確認はしおんさん必須</t>
    </r>
  </si>
  <si>
    <t>E</t>
  </si>
  <si>
    <t>パンフ・シール・応援グッズ・ショッパー配布</t>
  </si>
  <si>
    <t>①配布物の種類・数量・仕様を確定（しおんさんと方向性確認）
②各アイテムのデザインを作成（方向性はぼんちゃん・しおんさんで決定 → なーすけさん・おしりちゃんに確認）
③印刷・製造の発注先を選定し見積もり取得（コスト承認はしおんさん経由）
④発注・納品・大会会場への搬入計画を確定
⑤当日の配布オペレーション（誰が・どこで・どのタイミング）をスタッフマニュアルに記載</t>
  </si>
  <si>
    <r>
      <rPr>
        <rFont val="Noto Sans CJK SC"/>
        <color rgb="FF333333"/>
        <sz val="9.0"/>
      </rPr>
      <t>⚠️ 印刷・製造は外注確定
大会</t>
    </r>
    <r>
      <rPr>
        <rFont val="Arial"/>
        <color rgb="FF333333"/>
        <sz val="9.0"/>
      </rPr>
      <t>6</t>
    </r>
    <r>
      <rPr>
        <rFont val="Noto Sans CJK SC"/>
        <color rgb="FF333333"/>
        <sz val="9.0"/>
      </rPr>
      <t>〜</t>
    </r>
    <r>
      <rPr>
        <rFont val="Arial"/>
        <color rgb="FF333333"/>
        <sz val="9.0"/>
      </rPr>
      <t>8</t>
    </r>
    <r>
      <rPr>
        <rFont val="Noto Sans CJK SC"/>
        <color rgb="FF333333"/>
        <sz val="9.0"/>
      </rPr>
      <t>週前を目安に発注
（関西：</t>
    </r>
    <r>
      <rPr>
        <rFont val="Arial"/>
        <color rgb="FF333333"/>
        <sz val="9.0"/>
      </rPr>
      <t>6/20</t>
    </r>
    <r>
      <rPr>
        <rFont val="Noto Sans CJK SC"/>
        <color rgb="FF333333"/>
        <sz val="9.0"/>
      </rPr>
      <t>〜、関東：</t>
    </r>
    <r>
      <rPr>
        <rFont val="Arial"/>
        <color rgb="FF333333"/>
        <sz val="9.0"/>
      </rPr>
      <t>8/1</t>
    </r>
    <r>
      <rPr>
        <rFont val="Noto Sans CJK SC"/>
        <color rgb="FF333333"/>
        <sz val="9.0"/>
      </rPr>
      <t>〜）
デザイン外注も要否を別途確認</t>
    </r>
  </si>
  <si>
    <t>協賛ブース体験・選手情報掲示の回遊設計</t>
  </si>
  <si>
    <t>来年以降</t>
  </si>
  <si>
    <t>①今年の大会でブース配置・動線の課題を現場観察・記録
②協賛企業数・ブース配置が確定するタイミングで回遊設計の要件を整理
③来年の設計に向けた仕様書（動線図・ゾーニング案）の雛形を作成
※今年は仕込み（観察・記録・設計準備）のみ</t>
  </si>
  <si>
    <t>今年は外注なし
来年の本格設計時に外注要否を検討</t>
  </si>
  <si>
    <t>休憩中のスタンプラリー設置</t>
  </si>
  <si>
    <t>①スタンプラリーの仕組み・台紙仕様・参加ブース数を設計
②参加ブースを確定し各スタンプ設置場所を調整
③台紙・スタンプのデザインをおしりちゃんへ依頼（発注コスト確認はしおんさん経由）
④当日オペレーション（台紙配布→回遊→ゴール）をスタッフマニュアルに記載
⑤スタンプコンプリート特典（景品・特典）があれば調達・用意</t>
  </si>
  <si>
    <r>
      <rPr>
        <rFont val="Noto Sans CJK SC"/>
        <color rgb="FF333333"/>
        <sz val="9.0"/>
      </rPr>
      <t>⚠️ 台紙・スタンプの印刷は外注
大会</t>
    </r>
    <r>
      <rPr>
        <rFont val="Arial"/>
        <color rgb="FF333333"/>
        <sz val="9.0"/>
      </rPr>
      <t>4</t>
    </r>
    <r>
      <rPr>
        <rFont val="Noto Sans CJK SC"/>
        <color rgb="FF333333"/>
        <sz val="9.0"/>
      </rPr>
      <t>週前を目安に発注
コスト承認はしおんさん経由</t>
    </r>
  </si>
  <si>
    <t>推し選手を見つける導線設計</t>
  </si>
  <si>
    <r>
      <rPr>
        <rFont val="Noto Sans CJK SC"/>
        <color rgb="FF333333"/>
        <sz val="9.0"/>
      </rPr>
      <t>①表示する選手情報の種類・デザインテイストを決定（しおんさんと方向性確認）
②パンフ・掲示物に盛り込むコンテンツ構成をしおんさんと確認
③掲示物・パンフのデザインを作成（</t>
    </r>
    <r>
      <rPr>
        <rFont val="Arial"/>
        <color rgb="FF333333"/>
        <sz val="9.0"/>
      </rPr>
      <t>E</t>
    </r>
    <r>
      <rPr>
        <rFont val="Noto Sans CJK SC"/>
        <color rgb="FF333333"/>
        <sz val="9.0"/>
      </rPr>
      <t>群</t>
    </r>
    <r>
      <rPr>
        <rFont val="Arial"/>
        <color rgb="FF333333"/>
        <sz val="9.0"/>
      </rPr>
      <t>1</t>
    </r>
    <r>
      <rPr>
        <rFont val="Noto Sans CJK SC"/>
        <color rgb="FF333333"/>
        <sz val="9.0"/>
      </rPr>
      <t>番のパンフ制作と連動）
④会場内の設置場所・サイズ・点数を確定し印刷発注（コスト確認はしおんさん経由）</t>
    </r>
  </si>
  <si>
    <r>
      <rPr>
        <rFont val="Noto Sans CJK SC"/>
        <color rgb="FF333333"/>
        <sz val="9.0"/>
      </rPr>
      <t xml:space="preserve">⚠️ 掲示物の印刷は外注
</t>
    </r>
    <r>
      <rPr>
        <rFont val="Arial"/>
        <color rgb="FF333333"/>
        <sz val="9.0"/>
      </rPr>
      <t>E</t>
    </r>
    <r>
      <rPr>
        <rFont val="Noto Sans CJK SC"/>
        <color rgb="FF333333"/>
        <sz val="9.0"/>
      </rPr>
      <t>群</t>
    </r>
    <r>
      <rPr>
        <rFont val="Arial"/>
        <color rgb="FF333333"/>
        <sz val="9.0"/>
      </rPr>
      <t>1</t>
    </r>
    <r>
      <rPr>
        <rFont val="Noto Sans CJK SC"/>
        <color rgb="FF333333"/>
        <sz val="9.0"/>
      </rPr>
      <t>番（グッズ発注）と同タイミングで
一括発注が効率的</t>
    </r>
  </si>
  <si>
    <t>▼ 担当者別 施策数 集計</t>
  </si>
  <si>
    <t>担当者名</t>
  </si>
  <si>
    <r>
      <rPr>
        <rFont val="Noto Sans CJK SC"/>
        <b/>
        <color rgb="FFFFFFFF"/>
        <sz val="9.0"/>
      </rPr>
      <t>施策数（</t>
    </r>
    <r>
      <rPr>
        <rFont val="Arial"/>
        <b/>
        <color rgb="FFFFFFFF"/>
        <sz val="9.0"/>
      </rPr>
      <t>F</t>
    </r>
    <r>
      <rPr>
        <rFont val="Noto Sans CJK SC"/>
        <b/>
        <color rgb="FFFFFFFF"/>
        <sz val="9.0"/>
      </rPr>
      <t>群）</t>
    </r>
  </si>
  <si>
    <r>
      <rPr>
        <rFont val="Noto Sans CJK SC"/>
        <b/>
        <color rgb="FFFFFFFF"/>
        <sz val="9.0"/>
      </rPr>
      <t>施策数（</t>
    </r>
    <r>
      <rPr>
        <rFont val="Arial"/>
        <b/>
        <color rgb="FFFFFFFF"/>
        <sz val="9.0"/>
      </rPr>
      <t>E</t>
    </r>
    <r>
      <rPr>
        <rFont val="Noto Sans CJK SC"/>
        <b/>
        <color rgb="FFFFFFFF"/>
        <sz val="9.0"/>
      </rPr>
      <t>群）</t>
    </r>
  </si>
  <si>
    <t>合計</t>
  </si>
  <si>
    <t>なーすけさん</t>
  </si>
  <si>
    <t>かおんさん</t>
  </si>
  <si>
    <t>てんゆう</t>
  </si>
  <si>
    <t>佐久間</t>
  </si>
  <si>
    <t>香さん</t>
  </si>
  <si>
    <r>
      <rPr>
        <rFont val="Noto Sans CJK SC"/>
        <i/>
        <color rgb="FF555555"/>
        <sz val="8.0"/>
      </rPr>
      <t>【凡例】優先度の色：■緑＝今年本番実施　■オレンジ＝今年仕込みのみ　■グレー＝来年以降　■黄＝条件付き</t>
    </r>
    <r>
      <rPr>
        <rFont val="Arial"/>
        <i/>
        <color rgb="FF555555"/>
        <sz val="8.0"/>
      </rPr>
      <t>OK</t>
    </r>
    <r>
      <rPr>
        <rFont val="Noto Sans CJK SC"/>
        <i/>
        <color rgb="FF555555"/>
        <sz val="8.0"/>
      </rPr>
      <t xml:space="preserve">　｜　担当列（</t>
    </r>
    <r>
      <rPr>
        <rFont val="Arial"/>
        <i/>
        <color rgb="FF555555"/>
        <sz val="8.0"/>
      </rPr>
      <t>D</t>
    </r>
    <r>
      <rPr>
        <rFont val="Noto Sans CJK SC"/>
        <i/>
        <color rgb="FF555555"/>
        <sz val="8.0"/>
      </rPr>
      <t>列）はドロップダウンで変更可能。変更すると集計表が自動更新されます。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</si>
</sst>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1.0"/>
      <color rgb="FFFFFFFF"/>
      <name val="Arial"/>
    </font>
    <font/>
    <font>
      <b/>
      <sz val="10.0"/>
      <color rgb="FFFFFFFF"/>
      <name val="Arial"/>
    </font>
    <font>
      <b/>
      <sz val="10.0"/>
      <color rgb="FFFFFFFF"/>
      <name val="Noto Sans"/>
    </font>
    <font>
      <sz val="9.0"/>
      <color rgb="FF333333"/>
      <name val="Arial"/>
    </font>
    <font>
      <sz val="9.0"/>
      <color rgb="FF333333"/>
      <name val="Noto Sans"/>
    </font>
    <font>
      <b/>
      <sz val="9.0"/>
      <color rgb="FF375623"/>
      <name val="Noto Sans"/>
    </font>
    <font>
      <b/>
      <sz val="9.0"/>
      <color rgb="FF833C00"/>
      <name val="Noto Sans"/>
    </font>
    <font>
      <b/>
      <sz val="9.0"/>
      <color rgb="FF595959"/>
      <name val="Noto Sans"/>
    </font>
    <font>
      <b/>
      <sz val="9.0"/>
      <color rgb="FFFFFFFF"/>
      <name val="Noto Sans"/>
    </font>
    <font>
      <sz val="9.0"/>
      <color theme="1"/>
      <name val="Noto Sans"/>
    </font>
    <font>
      <sz val="9.0"/>
      <color theme="1"/>
      <name val="Arial"/>
    </font>
    <font>
      <b/>
      <sz val="9.0"/>
      <color theme="1"/>
      <name val="Arial"/>
    </font>
    <font>
      <i/>
      <sz val="8.0"/>
      <color rgb="FF555555"/>
      <name val="Noto Sans"/>
    </font>
  </fonts>
  <fills count="1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DE8FF"/>
        <bgColor rgb="FFFDE8FF"/>
      </patternFill>
    </fill>
    <fill>
      <patternFill patternType="solid">
        <fgColor rgb="FFE2EFDA"/>
        <bgColor rgb="FFE2EFDA"/>
      </patternFill>
    </fill>
    <fill>
      <patternFill patternType="solid">
        <fgColor rgb="FFFFFBE6"/>
        <bgColor rgb="FFFFFBE6"/>
      </patternFill>
    </fill>
    <fill>
      <patternFill patternType="solid">
        <fgColor rgb="FFFCE4D6"/>
        <bgColor rgb="FFFCE4D6"/>
      </patternFill>
    </fill>
    <fill>
      <patternFill patternType="solid">
        <fgColor rgb="FFE8F5E9"/>
        <bgColor rgb="FFE8F5E9"/>
      </patternFill>
    </fill>
    <fill>
      <patternFill patternType="solid">
        <fgColor rgb="FFEDEDED"/>
        <bgColor rgb="FFEDEDED"/>
      </patternFill>
    </fill>
    <fill>
      <patternFill patternType="solid">
        <fgColor rgb="FF2E4057"/>
        <bgColor rgb="FF2E4057"/>
      </patternFill>
    </fill>
    <fill>
      <patternFill patternType="solid">
        <fgColor rgb="FFF5F5F5"/>
        <bgColor rgb="FFF5F5F5"/>
      </patternFill>
    </fill>
    <fill>
      <patternFill patternType="solid">
        <fgColor rgb="FFFFF9E6"/>
        <bgColor rgb="FFFFF9E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4" fillId="3" fontId="6" numFmtId="0" xfId="0" applyAlignment="1" applyBorder="1" applyFont="1">
      <alignment horizontal="left" shrinkToFit="0" vertical="top" wrapText="1"/>
    </xf>
    <xf borderId="4" fillId="5" fontId="6" numFmtId="0" xfId="0" applyAlignment="1" applyBorder="1" applyFill="1" applyFont="1">
      <alignment horizontal="left" shrinkToFit="0" vertical="top" wrapText="1"/>
    </xf>
    <xf borderId="4" fillId="6" fontId="8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left" readingOrder="0" shrinkToFit="0" vertical="top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left" shrinkToFit="0" vertical="top" wrapText="1"/>
    </xf>
    <xf borderId="4" fillId="8" fontId="9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0"/>
    </xf>
    <xf borderId="4" fillId="9" fontId="10" numFmtId="0" xfId="0" applyAlignment="1" applyBorder="1" applyFill="1" applyFont="1">
      <alignment horizontal="center" shrinkToFit="0" vertical="center" wrapText="0"/>
    </xf>
    <xf borderId="4" fillId="10" fontId="11" numFmtId="0" xfId="0" applyAlignment="1" applyBorder="1" applyFill="1" applyFont="1">
      <alignment horizontal="center" shrinkToFit="0" vertical="center" wrapText="0"/>
    </xf>
    <xf borderId="4" fillId="3" fontId="12" numFmtId="0" xfId="0" applyAlignment="1" applyBorder="1" applyFont="1">
      <alignment horizontal="center" shrinkToFit="0" vertical="center" wrapText="0"/>
    </xf>
    <xf borderId="4" fillId="7" fontId="12" numFmtId="0" xfId="0" applyAlignment="1" applyBorder="1" applyFont="1">
      <alignment horizontal="center" shrinkToFit="0" vertical="center" wrapText="0"/>
    </xf>
    <xf borderId="4" fillId="11" fontId="13" numFmtId="0" xfId="0" applyAlignment="1" applyBorder="1" applyFill="1" applyFont="1">
      <alignment horizontal="center" shrinkToFit="0" vertical="center" wrapText="0"/>
    </xf>
    <xf borderId="0" fillId="0" fontId="1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4" width="16.0"/>
    <col customWidth="1" min="5" max="5" width="56.0"/>
    <col customWidth="1" min="6" max="6" width="30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21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ht="109.5" customHeight="1">
      <c r="A3" s="6" t="s">
        <v>7</v>
      </c>
      <c r="B3" s="7" t="s">
        <v>8</v>
      </c>
      <c r="C3" s="8" t="s">
        <v>9</v>
      </c>
      <c r="D3" s="7" t="s">
        <v>10</v>
      </c>
      <c r="E3" s="9" t="s">
        <v>11</v>
      </c>
      <c r="F3" s="10" t="s">
        <v>12</v>
      </c>
    </row>
    <row r="4" ht="94.5" customHeight="1">
      <c r="A4" s="6" t="s">
        <v>7</v>
      </c>
      <c r="B4" s="7" t="s">
        <v>13</v>
      </c>
      <c r="C4" s="11" t="s">
        <v>14</v>
      </c>
      <c r="D4" s="7" t="s">
        <v>15</v>
      </c>
      <c r="E4" s="12" t="s">
        <v>16</v>
      </c>
      <c r="F4" s="10" t="s">
        <v>17</v>
      </c>
    </row>
    <row r="5" ht="109.5" customHeight="1">
      <c r="A5" s="6" t="s">
        <v>7</v>
      </c>
      <c r="B5" s="7" t="s">
        <v>18</v>
      </c>
      <c r="C5" s="8" t="s">
        <v>9</v>
      </c>
      <c r="D5" s="7" t="s">
        <v>19</v>
      </c>
      <c r="E5" s="9" t="s">
        <v>20</v>
      </c>
      <c r="F5" s="10" t="s">
        <v>21</v>
      </c>
    </row>
    <row r="6" ht="109.5" customHeight="1">
      <c r="A6" s="6" t="s">
        <v>7</v>
      </c>
      <c r="B6" s="7" t="s">
        <v>22</v>
      </c>
      <c r="C6" s="8" t="s">
        <v>9</v>
      </c>
      <c r="D6" s="7" t="s">
        <v>15</v>
      </c>
      <c r="E6" s="9" t="s">
        <v>23</v>
      </c>
      <c r="F6" s="10" t="s">
        <v>24</v>
      </c>
    </row>
    <row r="7" ht="94.5" customHeight="1">
      <c r="A7" s="6" t="s">
        <v>7</v>
      </c>
      <c r="B7" s="7" t="s">
        <v>25</v>
      </c>
      <c r="C7" s="11" t="s">
        <v>14</v>
      </c>
      <c r="D7" s="7" t="s">
        <v>15</v>
      </c>
      <c r="E7" s="9" t="s">
        <v>26</v>
      </c>
      <c r="F7" s="10" t="s">
        <v>27</v>
      </c>
    </row>
    <row r="8" ht="94.5" customHeight="1">
      <c r="A8" s="6" t="s">
        <v>7</v>
      </c>
      <c r="B8" s="7" t="s">
        <v>28</v>
      </c>
      <c r="C8" s="11" t="s">
        <v>14</v>
      </c>
      <c r="D8" s="7" t="s">
        <v>29</v>
      </c>
      <c r="E8" s="9" t="s">
        <v>30</v>
      </c>
      <c r="F8" s="10" t="s">
        <v>31</v>
      </c>
    </row>
    <row r="9" ht="109.5" customHeight="1">
      <c r="A9" s="6" t="s">
        <v>7</v>
      </c>
      <c r="B9" s="7" t="s">
        <v>32</v>
      </c>
      <c r="C9" s="8" t="s">
        <v>9</v>
      </c>
      <c r="D9" s="7" t="s">
        <v>10</v>
      </c>
      <c r="E9" s="9" t="s">
        <v>33</v>
      </c>
      <c r="F9" s="10" t="s">
        <v>34</v>
      </c>
    </row>
    <row r="10" ht="109.5" customHeight="1">
      <c r="A10" s="13" t="s">
        <v>35</v>
      </c>
      <c r="B10" s="14" t="s">
        <v>36</v>
      </c>
      <c r="C10" s="8" t="s">
        <v>9</v>
      </c>
      <c r="D10" s="14" t="s">
        <v>29</v>
      </c>
      <c r="E10" s="15" t="s">
        <v>37</v>
      </c>
      <c r="F10" s="10" t="s">
        <v>38</v>
      </c>
    </row>
    <row r="11" ht="87.75" customHeight="1">
      <c r="A11" s="13" t="s">
        <v>35</v>
      </c>
      <c r="B11" s="14" t="s">
        <v>39</v>
      </c>
      <c r="C11" s="16" t="s">
        <v>40</v>
      </c>
      <c r="D11" s="14" t="s">
        <v>19</v>
      </c>
      <c r="E11" s="15" t="s">
        <v>41</v>
      </c>
      <c r="F11" s="10" t="s">
        <v>42</v>
      </c>
    </row>
    <row r="12" ht="109.5" customHeight="1">
      <c r="A12" s="13" t="s">
        <v>35</v>
      </c>
      <c r="B12" s="14" t="s">
        <v>43</v>
      </c>
      <c r="C12" s="8" t="s">
        <v>9</v>
      </c>
      <c r="D12" s="14" t="s">
        <v>19</v>
      </c>
      <c r="E12" s="15" t="s">
        <v>44</v>
      </c>
      <c r="F12" s="10" t="s">
        <v>45</v>
      </c>
    </row>
    <row r="13" ht="94.5" customHeight="1">
      <c r="A13" s="13" t="s">
        <v>35</v>
      </c>
      <c r="B13" s="14" t="s">
        <v>46</v>
      </c>
      <c r="C13" s="8" t="s">
        <v>9</v>
      </c>
      <c r="D13" s="14" t="s">
        <v>29</v>
      </c>
      <c r="E13" s="15" t="s">
        <v>47</v>
      </c>
      <c r="F13" s="10" t="s">
        <v>48</v>
      </c>
    </row>
    <row r="16" ht="21.75" customHeight="1">
      <c r="A16" s="17" t="s">
        <v>49</v>
      </c>
      <c r="B16" s="2"/>
      <c r="C16" s="2"/>
      <c r="D16" s="2"/>
      <c r="E16" s="2"/>
      <c r="F16" s="3"/>
    </row>
    <row r="17" ht="19.5" customHeight="1">
      <c r="A17" s="18" t="s">
        <v>50</v>
      </c>
      <c r="B17" s="18" t="s">
        <v>51</v>
      </c>
      <c r="C17" s="18" t="s">
        <v>52</v>
      </c>
      <c r="D17" s="18" t="s">
        <v>53</v>
      </c>
    </row>
    <row r="18" ht="18.0" customHeight="1">
      <c r="A18" s="19" t="s">
        <v>54</v>
      </c>
      <c r="B18" s="20">
        <f>COUNTIF(D3:D9,"なーすけさん")</f>
        <v>0</v>
      </c>
      <c r="C18" s="21">
        <f>COUNTIF(D10:D13,"なーすけさん")</f>
        <v>0</v>
      </c>
      <c r="D18" s="22">
        <f t="shared" ref="D18:D26" si="1">B18+C18</f>
        <v>0</v>
      </c>
    </row>
    <row r="19" ht="18.0" customHeight="1">
      <c r="A19" s="19" t="s">
        <v>10</v>
      </c>
      <c r="B19" s="20">
        <f>COUNTIF(D3:D9,"しおんさん")</f>
        <v>2</v>
      </c>
      <c r="C19" s="21">
        <f>COUNTIF(D10:D13,"しおんさん")</f>
        <v>0</v>
      </c>
      <c r="D19" s="22">
        <f t="shared" si="1"/>
        <v>2</v>
      </c>
    </row>
    <row r="20" ht="18.0" customHeight="1">
      <c r="A20" s="19" t="s">
        <v>55</v>
      </c>
      <c r="B20" s="20">
        <f>COUNTIF(D3:D9,"かおんさん")</f>
        <v>0</v>
      </c>
      <c r="C20" s="21">
        <f>COUNTIF(D10:D13,"かおんさん")</f>
        <v>0</v>
      </c>
      <c r="D20" s="22">
        <f t="shared" si="1"/>
        <v>0</v>
      </c>
    </row>
    <row r="21" ht="18.0" customHeight="1">
      <c r="A21" s="19" t="s">
        <v>29</v>
      </c>
      <c r="B21" s="20">
        <f>COUNTIF(D3:D9,"おしりちゃん")</f>
        <v>1</v>
      </c>
      <c r="C21" s="21">
        <f>COUNTIF(D10:D13,"おしりちゃん")</f>
        <v>2</v>
      </c>
      <c r="D21" s="22">
        <f t="shared" si="1"/>
        <v>3</v>
      </c>
    </row>
    <row r="22" ht="18.0" customHeight="1">
      <c r="A22" s="19" t="s">
        <v>15</v>
      </c>
      <c r="B22" s="20">
        <f>COUNTIF(D3:D9,"ななこちゃん")</f>
        <v>3</v>
      </c>
      <c r="C22" s="21">
        <f>COUNTIF(D10:D13,"ななこちゃん")</f>
        <v>0</v>
      </c>
      <c r="D22" s="22">
        <f t="shared" si="1"/>
        <v>3</v>
      </c>
    </row>
    <row r="23" ht="18.0" customHeight="1">
      <c r="A23" s="19" t="s">
        <v>19</v>
      </c>
      <c r="B23" s="20">
        <f>COUNTIF(D3:D9,"ぼんちゃん")</f>
        <v>1</v>
      </c>
      <c r="C23" s="21">
        <f>COUNTIF(D10:D13,"ぼんちゃん")</f>
        <v>2</v>
      </c>
      <c r="D23" s="22">
        <f t="shared" si="1"/>
        <v>3</v>
      </c>
    </row>
    <row r="24" ht="18.0" customHeight="1">
      <c r="A24" s="19" t="s">
        <v>56</v>
      </c>
      <c r="B24" s="20">
        <f>COUNTIF(D3:D9,"てんゆう")</f>
        <v>0</v>
      </c>
      <c r="C24" s="21">
        <f>COUNTIF(D10:D13,"てんゆう")</f>
        <v>0</v>
      </c>
      <c r="D24" s="22">
        <f t="shared" si="1"/>
        <v>0</v>
      </c>
    </row>
    <row r="25" ht="18.0" customHeight="1">
      <c r="A25" s="19" t="s">
        <v>57</v>
      </c>
      <c r="B25" s="20">
        <f>COUNTIF(D3:D9,"佐久間")</f>
        <v>0</v>
      </c>
      <c r="C25" s="21">
        <f>COUNTIF(D10:D13,"佐久間")</f>
        <v>0</v>
      </c>
      <c r="D25" s="22">
        <f t="shared" si="1"/>
        <v>0</v>
      </c>
    </row>
    <row r="26" ht="18.0" customHeight="1">
      <c r="A26" s="19" t="s">
        <v>58</v>
      </c>
      <c r="B26" s="20">
        <f>COUNTIF(D3:D9,"香さん")</f>
        <v>0</v>
      </c>
      <c r="C26" s="21">
        <f>COUNTIF(D10:D13,"香さん")</f>
        <v>0</v>
      </c>
      <c r="D26" s="22">
        <f t="shared" si="1"/>
        <v>0</v>
      </c>
    </row>
    <row r="27" ht="19.5" customHeight="1">
      <c r="A27" s="18" t="s">
        <v>53</v>
      </c>
      <c r="B27" s="18">
        <f t="shared" ref="B27:D27" si="2">SUM(B18:B26)</f>
        <v>7</v>
      </c>
      <c r="C27" s="18">
        <f t="shared" si="2"/>
        <v>4</v>
      </c>
      <c r="D27" s="18">
        <f t="shared" si="2"/>
        <v>11</v>
      </c>
    </row>
    <row r="28" ht="15.75" customHeight="1"/>
    <row r="29" ht="27.75" customHeight="1">
      <c r="A29" s="23" t="s">
        <v>59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16:F16"/>
    <mergeCell ref="A29:F29"/>
  </mergeCells>
  <dataValidations>
    <dataValidation type="list" allowBlank="1" sqref="D3:D13">
      <formula1>"なーすけさん,しおんさん,かおんさん,おしりちゃん,ななこちゃん,ぼんちゃん,てんゆう,佐久間,香さん"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2026-04-04T08:44:28Z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