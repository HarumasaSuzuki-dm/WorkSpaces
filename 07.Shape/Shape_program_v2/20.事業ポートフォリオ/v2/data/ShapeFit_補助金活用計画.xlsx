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補助金比較・意思決定" sheetId="1" state="visible" r:id="rId3"/>
    <sheet name="ガントチャート（2026.3〜）" sheetId="2" state="visible" r:id="rId4"/>
    <sheet name="受給額シミュレーション" sheetId="3" state="visible" r:id="rId5"/>
    <sheet name="期待値サマリー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<sst xmlns="http://schemas.openxmlformats.org/spreadsheetml/2006/main" count="388" uniqueCount="307">
  <si>
    <r>
      <rPr>
        <b val="true"/>
        <sz val="16"/>
        <color rgb="FFFFFFFF"/>
        <rFont val="Arial"/>
        <family val="0"/>
        <charset val="1"/>
      </rPr>
      <t xml:space="preserve">ShapeFit </t>
    </r>
    <r>
      <rPr>
        <b val="true"/>
        <sz val="16"/>
        <color rgb="FFFFFFFF"/>
        <rFont val="Noto Sans CJK SC"/>
        <family val="2"/>
      </rPr>
      <t xml:space="preserve">補助金・助成金 比較・意思決定シート</t>
    </r>
  </si>
  <si>
    <t xml:space="preserve">■ 各補助金の特徴・受給可能性・工数を比較し、優先順位を判断する</t>
  </si>
  <si>
    <t xml:space="preserve">補助金名</t>
  </si>
  <si>
    <t xml:space="preserve">対象事業
（ShapeFit）</t>
  </si>
  <si>
    <t xml:space="preserve">補助上限額
（概算）</t>
  </si>
  <si>
    <t xml:space="preserve">補助率</t>
  </si>
  <si>
    <t xml:space="preserve">推定
受給額目安</t>
  </si>
  <si>
    <t xml:space="preserve">採択
可能性</t>
  </si>
  <si>
    <t xml:space="preserve">申請
難易度</t>
  </si>
  <si>
    <t xml:space="preserve">工数・手間</t>
  </si>
  <si>
    <t xml:space="preserve">スピード
（採択まで）</t>
  </si>
  <si>
    <t xml:space="preserve">必要な
主な書類</t>
  </si>
  <si>
    <t xml:space="preserve">最大の
リスク・注意点</t>
  </si>
  <si>
    <r>
      <rPr>
        <b val="true"/>
        <sz val="11"/>
        <color rgb="FFFFFFFF"/>
        <rFont val="Arial"/>
        <family val="0"/>
        <charset val="1"/>
      </rPr>
      <t xml:space="preserve">ShapeFit</t>
    </r>
    <r>
      <rPr>
        <b val="true"/>
        <sz val="11"/>
        <color rgb="FFFFFFFF"/>
        <rFont val="Noto Sans CJK SC"/>
        <family val="2"/>
      </rPr>
      <t xml:space="preserve">への
活用例（具体）</t>
    </r>
  </si>
  <si>
    <t xml:space="preserve">前提確認事項</t>
  </si>
  <si>
    <t xml:space="preserve">総合スコア
（10点満点）</t>
  </si>
  <si>
    <t xml:space="preserve">優先度</t>
  </si>
  <si>
    <r>
      <rPr>
        <b val="true"/>
        <sz val="10"/>
        <color rgb="FFFFFFFF"/>
        <rFont val="Arial"/>
        <family val="0"/>
        <charset val="1"/>
      </rPr>
      <t xml:space="preserve">① IT</t>
    </r>
    <r>
      <rPr>
        <b val="true"/>
        <sz val="10"/>
        <color rgb="FFFFFFFF"/>
        <rFont val="Noto Sans CJK SC"/>
        <family val="2"/>
      </rPr>
      <t xml:space="preserve">導入補助金
（デジタル化・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導入）</t>
    </r>
  </si>
  <si>
    <t xml:space="preserve">・SFF：Salesforce（協賛CRM）
・MYSオンライン：UTAGE/LINE公式/Zoom
・コミュニティ：Stripe/会員管理</t>
  </si>
  <si>
    <t xml:space="preserve">最大450万円
（1申請あたり）</t>
  </si>
  <si>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66%
</t>
    </r>
    <r>
      <rPr>
        <sz val="9"/>
        <color rgb="FF000000"/>
        <rFont val="Noto Sans CJK SC"/>
        <family val="2"/>
      </rPr>
      <t xml:space="preserve">（通常枠）</t>
    </r>
  </si>
  <si>
    <r>
      <rPr>
        <sz val="9"/>
        <color rgb="FF000000"/>
        <rFont val="Arial"/>
        <family val="0"/>
        <charset val="1"/>
      </rPr>
      <t xml:space="preserve">150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250</t>
    </r>
    <r>
      <rPr>
        <sz val="9"/>
        <color rgb="FF000000"/>
        <rFont val="Noto Sans CJK SC"/>
        <family val="2"/>
      </rPr>
      <t xml:space="preserve">万円
（</t>
    </r>
    <r>
      <rPr>
        <sz val="9"/>
        <color rgb="FF000000"/>
        <rFont val="Arial"/>
        <family val="0"/>
        <charset val="1"/>
      </rPr>
      <t xml:space="preserve">Salesforce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Arial"/>
        <family val="0"/>
        <charset val="1"/>
      </rPr>
      <t xml:space="preserve">UTAGE</t>
    </r>
    <r>
      <rPr>
        <sz val="9"/>
        <color rgb="FF000000"/>
        <rFont val="Noto Sans CJK SC"/>
        <family val="2"/>
      </rPr>
      <t xml:space="preserve">等で試算）</t>
    </r>
  </si>
  <si>
    <t xml:space="preserve">高
（★★★★☆）</t>
  </si>
  <si>
    <t xml:space="preserve">低〜中
（★★☆☆☆）</t>
  </si>
  <si>
    <t xml:space="preserve">中程度
・IT導入支援事業者との連携必須
・gBizIDプライム取得（2〜3週間）
・事務局登録ツール確認作業あり
・書類は比較的シンプル</t>
  </si>
  <si>
    <t xml:space="preserve">約1〜2ヶ月
（申請→交付決定）</t>
  </si>
  <si>
    <t xml:space="preserve">・gBizIDプライム
・SECURITY ACTION宣言
・みらデジ経営チェック
・IT導入支援事業者との合意書</t>
  </si>
  <si>
    <t xml:space="preserve">【最重要】交付決定前に
ツールを契約すると全額対象外。
Salesforce・UTAGE等の
契約タイミングに要注意</t>
  </si>
  <si>
    <t xml:space="preserve">・Salesforce導入費200万円→
 補助66%≒132万円
・UTAGE+LINE公式+Zoom
 年間費30万円→補助約15〜20万円</t>
  </si>
  <si>
    <t xml:space="preserve">・Salesforce/UTAGEをすでに
 契約済みか否か（←最重要）
・gBizIDプライム取得済みか
・IT導入支援事業者の選定</t>
  </si>
  <si>
    <t xml:space="preserve">★★★ 最優先</t>
  </si>
  <si>
    <t xml:space="preserve">② ものづくり補助金
（製品・サービス高付加価値化枠）</t>
  </si>
  <si>
    <t xml:space="preserve">・MYSオンラインコーチング
  サービス開発全体
・カリキュラム動画制作
・マネージャー育成システム</t>
  </si>
  <si>
    <r>
      <rPr>
        <sz val="9"/>
        <color rgb="FF000000"/>
        <rFont val="Arial"/>
        <family val="0"/>
        <charset val="1"/>
      </rPr>
      <t xml:space="preserve">750</t>
    </r>
    <r>
      <rPr>
        <sz val="9"/>
        <color rgb="FF000000"/>
        <rFont val="Noto Sans CJK SC"/>
        <family val="2"/>
      </rPr>
      <t xml:space="preserve">万〜</t>
    </r>
    <r>
      <rPr>
        <sz val="9"/>
        <color rgb="FF000000"/>
        <rFont val="Arial"/>
        <family val="0"/>
        <charset val="1"/>
      </rPr>
      <t xml:space="preserve">1,250</t>
    </r>
    <r>
      <rPr>
        <sz val="9"/>
        <color rgb="FF000000"/>
        <rFont val="Noto Sans CJK SC"/>
        <family val="2"/>
      </rPr>
      <t xml:space="preserve">万円
（賃上げ加点で増額）</t>
    </r>
  </si>
  <si>
    <r>
      <rPr>
        <sz val="9"/>
        <color rgb="FF000000"/>
        <rFont val="Arial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2/3</t>
    </r>
  </si>
  <si>
    <r>
      <rPr>
        <sz val="9"/>
        <color rgb="FF000000"/>
        <rFont val="Arial"/>
        <family val="0"/>
        <charset val="1"/>
      </rPr>
      <t xml:space="preserve">300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600</t>
    </r>
    <r>
      <rPr>
        <sz val="9"/>
        <color rgb="FF000000"/>
        <rFont val="Noto Sans CJK SC"/>
        <family val="2"/>
      </rPr>
      <t xml:space="preserve">万円
（</t>
    </r>
    <r>
      <rPr>
        <sz val="9"/>
        <color rgb="FF000000"/>
        <rFont val="Arial"/>
        <family val="0"/>
        <charset val="1"/>
      </rPr>
      <t xml:space="preserve">MYS</t>
    </r>
    <r>
      <rPr>
        <sz val="9"/>
        <color rgb="FF000000"/>
        <rFont val="Noto Sans CJK SC"/>
        <family val="2"/>
      </rPr>
      <t xml:space="preserve">開発費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900</t>
    </r>
    <r>
      <rPr>
        <sz val="9"/>
        <color rgb="FF000000"/>
        <rFont val="Noto Sans CJK SC"/>
        <family val="2"/>
      </rPr>
      <t xml:space="preserve">万円の
 約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66%</t>
    </r>
    <r>
      <rPr>
        <sz val="9"/>
        <color rgb="FF000000"/>
        <rFont val="Noto Sans CJK SC"/>
        <family val="2"/>
      </rPr>
      <t xml:space="preserve">）</t>
    </r>
  </si>
  <si>
    <t xml:space="preserve">中
（★★★☆☆）</t>
  </si>
  <si>
    <t xml:space="preserve">高
・事業計画書（15〜20頁程度）
・革新性の定量的説明が必要
・認定支援機関（税理士等）の
  確認書が必要
・申請〜採択まで3〜4ヶ月</t>
  </si>
  <si>
    <t xml:space="preserve">約3〜4ヶ月
（公募→採択通知）</t>
  </si>
  <si>
    <t xml:space="preserve">・事業計画書（詳細）
・決算書（直近2期）
・認定支援機関確認書
・賃金台帳</t>
  </si>
  <si>
    <t xml:space="preserve">・「革新性」の証明が核心。
  既存コーチング事業の延長と
  みなされると不採択
・採択率は近年低下傾向
  （30〜40%程度）
・事業化後の報告義務あり</t>
  </si>
  <si>
    <t xml:space="preserve">・MYS動画制作費49万円
・LP制作30万円
・マネージャー育成費15万円
・システム構築費50万円
 合計約150万円→補助約75〜100万円
（補助対象経費全体では最大600万円）</t>
  </si>
  <si>
    <t xml:space="preserve">・MYSテストの進捗（3月〜）を
  実績として盛り込めるか
・認定支援機関（税理士・診断士）
  との連携
・賃上げ計画の策定可否</t>
  </si>
  <si>
    <t xml:space="preserve">★★ 準優先
（MYSテスト結果後）</t>
  </si>
  <si>
    <t xml:space="preserve">③ 中小企業
新事業進出補助金</t>
  </si>
  <si>
    <t xml:space="preserve">・MYSオフラインコーチング
  （新事業として申請）
・Shapeコミュニティ
  （新事業として申請）</t>
  </si>
  <si>
    <t xml:space="preserve">最大9,000万円
（ShapeFit規模では
 500〜2,000万円が現実的）</t>
  </si>
  <si>
    <t xml:space="preserve">1/2</t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</si>
  <si>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400</t>
    </r>
    <r>
      <rPr>
        <sz val="9"/>
        <color rgb="FF000000"/>
        <rFont val="Noto Sans CJK SC"/>
        <family val="2"/>
      </rPr>
      <t xml:space="preserve">万円
（オフライン立ち上げ費
 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万円の</t>
    </r>
    <r>
      <rPr>
        <sz val="9"/>
        <color rgb="FF000000"/>
        <rFont val="Arial"/>
        <family val="0"/>
        <charset val="1"/>
      </rPr>
      <t xml:space="preserve">50%</t>
    </r>
    <r>
      <rPr>
        <sz val="9"/>
        <color rgb="FF000000"/>
        <rFont val="Noto Sans CJK SC"/>
        <family val="2"/>
      </rPr>
      <t xml:space="preserve">）</t>
    </r>
  </si>
  <si>
    <t xml:space="preserve">中〜低
（★★☆☆☆）</t>
  </si>
  <si>
    <t xml:space="preserve">高
（★★★★★）</t>
  </si>
  <si>
    <t xml:space="preserve">非常に高
・大型補助金のため書類量が多い
・「既存事業との差別化」証明
  に最も時間がかかる
・採択まで4〜6ヶ月
・採択後も事業化報告が継続</t>
  </si>
  <si>
    <t xml:space="preserve">約4〜6ヶ月
（公募→採択通知）</t>
  </si>
  <si>
    <t xml:space="preserve">・事業計画書（詳細）
・認定支援機関確認書
・決算書
・既存事業との差別化説明資料</t>
  </si>
  <si>
    <t xml:space="preserve">・既存フィットネス事業の延長と
  みなされると不採択
・コーチング事業・コミュニティ事業
  を「新事業」として定義する
  ロジック設計が必要
・採択率は低い</t>
  </si>
  <si>
    <t xml:space="preserve">・コーチ育成プログラム開発費50万円
・予約管理システム構築15万円
・設備投資（既存拠点追加分）
  合計約100〜200万円→補助50〜100万円
（Shapeコミュニティの
  初期投資48〜58万円も対象）</t>
  </si>
  <si>
    <t xml:space="preserve">・「新事業性」のロジック設計
  （フィットネスではなく
   コーチング市場参入として整理）
・他補助金との申請の重複整理
・事業再構築補助金との違い確認</t>
  </si>
  <si>
    <t xml:space="preserve">△ 条件付き
（ロジック設計次第）</t>
  </si>
  <si>
    <t xml:space="preserve">④ 小規模事業者
持続化補助金</t>
  </si>
  <si>
    <t xml:space="preserve">・SFF：LP・マイページ改善
・MYS：Instagram広告費
・コミュニティ：ロゴ・
  デザイン制作費（IDA委託）</t>
  </si>
  <si>
    <t xml:space="preserve">通常枠：50万円
特例枠：200万円</t>
  </si>
  <si>
    <t xml:space="preserve">2/3</t>
  </si>
  <si>
    <r>
      <rPr>
        <sz val="9"/>
        <color rgb="FF000000"/>
        <rFont val="Arial"/>
        <family val="0"/>
        <charset val="1"/>
      </rPr>
      <t xml:space="preserve">33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130</t>
    </r>
    <r>
      <rPr>
        <sz val="9"/>
        <color rgb="FF000000"/>
        <rFont val="Noto Sans CJK SC"/>
        <family val="2"/>
      </rPr>
      <t xml:space="preserve">万円
（対象経費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万円の</t>
    </r>
    <r>
      <rPr>
        <sz val="9"/>
        <color rgb="FF000000"/>
        <rFont val="Arial"/>
        <family val="0"/>
        <charset val="1"/>
      </rPr>
      <t xml:space="preserve">2/3</t>
    </r>
    <r>
      <rPr>
        <sz val="9"/>
        <color rgb="FF000000"/>
        <rFont val="Noto Sans CJK SC"/>
        <family val="2"/>
      </rPr>
      <t xml:space="preserve">）</t>
    </r>
  </si>
  <si>
    <t xml:space="preserve">中〜高
（★★★☆☆）</t>
  </si>
  <si>
    <t xml:space="preserve">低
（★☆☆☆☆）</t>
  </si>
  <si>
    <t xml:space="preserve">低
・書類が比較的少ない
・商工会議所への相談が
  スムーズな申請につながる
・申請期間は2〜3ヶ月ごと</t>
  </si>
  <si>
    <t xml:space="preserve">約2〜3ヶ月
（公募→採択）</t>
  </si>
  <si>
    <t xml:space="preserve">・経営計画書
・補助事業計画書
・見積書
・商工会議所の確認書</t>
  </si>
  <si>
    <t xml:space="preserve">【前提確認が最優先】
従業員5名以下（サービス業）
の要件を満たすか確認必須。
補助上限が低いため、
大型投資には向かない</t>
  </si>
  <si>
    <t xml:space="preserve">・SFF LP改善（デザイン会社委託）
  50万円→補助約33万円
・コミュニティ ロゴ制作35万円
  →補助約23万円
・Instagram広告費100万円
  →補助約67万円</t>
  </si>
  <si>
    <t xml:space="preserve">・【最重要】常時雇用5名以下か
  （なーすけ・かおん・鈴木さん等
   の雇用形態確認）
・同一事業で複数申請できないため
  優先する事業を絞る</t>
  </si>
  <si>
    <t xml:space="preserve">★★ 準優先
（規模確認後）</t>
  </si>
  <si>
    <t xml:space="preserve">⑤ スポーツ振興
くじ（toto）助成</t>
  </si>
  <si>
    <t xml:space="preserve">・SFF2026/2027大会開催費
  （会場費・用具費・謝金等）</t>
  </si>
  <si>
    <t xml:space="preserve">数十〜数百万円
（事業規模による）</t>
  </si>
  <si>
    <t xml:space="preserve">対象経費の2/3</t>
  </si>
  <si>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200</t>
    </r>
    <r>
      <rPr>
        <sz val="9"/>
        <color rgb="FF000000"/>
        <rFont val="Noto Sans CJK SC"/>
        <family val="2"/>
      </rPr>
      <t xml:space="preserve">万円
（大会運営費の</t>
    </r>
    <r>
      <rPr>
        <sz val="9"/>
        <color rgb="FF000000"/>
        <rFont val="Arial"/>
        <family val="0"/>
        <charset val="1"/>
      </rPr>
      <t xml:space="preserve">2/3</t>
    </r>
    <r>
      <rPr>
        <sz val="9"/>
        <color rgb="FF000000"/>
        <rFont val="Noto Sans CJK SC"/>
        <family val="2"/>
      </rPr>
      <t xml:space="preserve">）</t>
    </r>
  </si>
  <si>
    <t xml:space="preserve">中
・申請主体が「スポーツ団体」
  であることの確認・対応が必要
・Japan Sport Council（JSC）
  への照会・申請</t>
  </si>
  <si>
    <t xml:space="preserve">約3〜5ヶ月
（申請→交付）</t>
  </si>
  <si>
    <t xml:space="preserve">・事業計画書
・収支予算書
・団体の規約・定款
・活動実績報告</t>
  </si>
  <si>
    <t xml:space="preserve">・申請主体「スポーツ団体」要件が
  株式会社に適用されるか確認必須
・JSCへの事前照会が必要
・一般社団法人等との共催を
  検討する場合も</t>
  </si>
  <si>
    <t xml:space="preserve">・SFF2026/2027の会場費
・大会用具・備品費
・選手・審判謝金
・運営スタッフ交通費
合計200〜300万円の2/3
＝約133〜200万円の助成</t>
  </si>
  <si>
    <t xml:space="preserve">・株式会社での申請可否
  （JSCに事前確認）
・SFFが「スポーツ競技大会」
  として認定されるか
・一般社団法人化の検討可否</t>
  </si>
  <si>
    <t xml:space="preserve">★ 要確認後検討
（JSC照会先行）</t>
  </si>
  <si>
    <t xml:space="preserve">⑥ キャリアアップ
助成金</t>
  </si>
  <si>
    <t xml:space="preserve">・MYSオンライン：
  マネージャー正社員化
・コミュニティ：
  スタッフ正社員化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</si>
  <si>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名あたり最大</t>
    </r>
    <r>
      <rPr>
        <sz val="9"/>
        <color rgb="FF000000"/>
        <rFont val="Arial"/>
        <family val="0"/>
        <charset val="1"/>
      </rPr>
      <t xml:space="preserve">80</t>
    </r>
    <r>
      <rPr>
        <sz val="9"/>
        <color rgb="FF000000"/>
        <rFont val="Noto Sans CJK SC"/>
        <family val="2"/>
      </rPr>
      <t xml:space="preserve">万円
（</t>
    </r>
    <r>
      <rPr>
        <sz val="9"/>
        <color rgb="FF000000"/>
        <rFont val="Arial"/>
        <family val="0"/>
        <charset val="1"/>
      </rPr>
      <t xml:space="preserve">40</t>
    </r>
    <r>
      <rPr>
        <sz val="9"/>
        <color rgb="FF000000"/>
        <rFont val="Noto Sans CJK SC"/>
        <family val="2"/>
      </rPr>
      <t xml:space="preserve">万円</t>
    </r>
    <r>
      <rPr>
        <sz val="9"/>
        <color rgb="FF000000"/>
        <rFont val="Arial"/>
        <family val="0"/>
        <charset val="1"/>
      </rPr>
      <t xml:space="preserve">×2</t>
    </r>
    <r>
      <rPr>
        <sz val="9"/>
        <color rgb="FF000000"/>
        <rFont val="Noto Sans CJK SC"/>
        <family val="2"/>
      </rPr>
      <t xml:space="preserve">期）</t>
    </r>
  </si>
  <si>
    <t xml:space="preserve">定額支給
（審査後確定）</t>
  </si>
  <si>
    <r>
      <rPr>
        <sz val="9"/>
        <color rgb="FF000000"/>
        <rFont val="Arial"/>
        <family val="0"/>
        <charset val="1"/>
      </rPr>
      <t xml:space="preserve">80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240</t>
    </r>
    <r>
      <rPr>
        <sz val="9"/>
        <color rgb="FF000000"/>
        <rFont val="Noto Sans CJK SC"/>
        <family val="2"/>
      </rPr>
      <t xml:space="preserve">万円
（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名正社員化の場合）</t>
    </r>
  </si>
  <si>
    <t xml:space="preserve">中
・正社員化計画書の作成
・転換前後の勤務記録管理
・賃金増額（5%以上）が条件
・採択後も報告義務あり</t>
  </si>
  <si>
    <t xml:space="preserve">約4〜6ヶ月
（転換後の申請→支給）</t>
  </si>
  <si>
    <t xml:space="preserve">・就業規則（改定が必要な場合も）
・雇用契約書
・賃金台帳
・正社員転換計画書</t>
  </si>
  <si>
    <t xml:space="preserve">・転換前に就業規則に
  正社員転換規定がないと
  申請不可
・転換後6ヶ月以上継続雇用が条件
・先に就業規則整備が必要</t>
  </si>
  <si>
    <t xml:space="preserve">・MYSマネージャー3名を
  業務委託→正社員化
  3名×80万円＝240万円
（拡大期・マネージャー増員時）</t>
  </si>
  <si>
    <t xml:space="preserve">・現在のマネージャーが
  業務委託か雇用か
・就業規則の整備状況
・賃上げ計画との連動</t>
  </si>
  <si>
    <t xml:space="preserve">★ 中長期で検討
（拡大期向け）</t>
  </si>
  <si>
    <t xml:space="preserve">【総合スコア凡例】 9〜10点：最優先で動く  7〜8点：準優先（条件確認後）  5〜6点：状況次第で検討  ～4点：中長期的検討</t>
  </si>
  <si>
    <t xml:space="preserve">■ 意思決定前に確認すべき3つの最重要事項</t>
  </si>
  <si>
    <t xml:space="preserve">確認① 既存ツール・発注の契約状況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</si>
  <si>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導入補助金は「交付決定前の契約は全額対象外」。</t>
    </r>
    <r>
      <rPr>
        <sz val="10"/>
        <color rgb="FF000000"/>
        <rFont val="Arial"/>
        <family val="0"/>
        <charset val="1"/>
      </rPr>
      <t xml:space="preserve">Salesforce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UTAGE</t>
    </r>
    <r>
      <rPr>
        <sz val="10"/>
        <color rgb="FF000000"/>
        <rFont val="Noto Sans CJK SC"/>
        <family val="2"/>
      </rPr>
      <t xml:space="preserve">・デザイン会社への発注がすでに済んでいないか今すぐ確認する。</t>
    </r>
  </si>
  <si>
    <t xml:space="preserve">確認② 従業員数（常時雇用）の確認</t>
  </si>
  <si>
    <t xml:space="preserve">小規模事業者持続化補助金は「サービス業5名以下」が条件。なーすけ・かおん・鈴木さん等の雇用形態（業務委託 vs 雇用）と人数を整理する。</t>
  </si>
  <si>
    <t xml:space="preserve">確認③ 申請する「新事業」の定義整理</t>
  </si>
  <si>
    <t xml:space="preserve">ものづくり補助金・新事業進出補助金は同一の投資内容を重複申請できない。MYSオンライン（ものづくり）とMYSオフライン・コミュニティ（新事業進出）を明確に切り分けて申請戦略を確定する。</t>
  </si>
  <si>
    <r>
      <rPr>
        <b val="true"/>
        <sz val="16"/>
        <color rgb="FFFFFFFF"/>
        <rFont val="Arial"/>
        <family val="0"/>
        <charset val="1"/>
      </rPr>
      <t xml:space="preserve">ShapeFit </t>
    </r>
    <r>
      <rPr>
        <b val="true"/>
        <sz val="16"/>
        <color rgb="FFFFFFFF"/>
        <rFont val="Noto Sans CJK SC"/>
        <family val="2"/>
      </rPr>
      <t xml:space="preserve">補助金申請 スケジュール（ガントチャート）</t>
    </r>
  </si>
  <si>
    <t xml:space="preserve">■ 色凡例：  🟩 準備フェーズ  🟦 申請・審査フェーズ  🟧 交付決定・実行フェーズ  🟥 報告・完了フェーズ  ★ マイルストーン</t>
  </si>
  <si>
    <t xml:space="preserve">補助金・タスク</t>
  </si>
  <si>
    <t xml:space="preserve">カテゴリ</t>
  </si>
  <si>
    <t xml:space="preserve">担当メモ</t>
  </si>
  <si>
    <t xml:space="preserve">ステータス</t>
  </si>
  <si>
    <t xml:space="preserve">2026/3</t>
  </si>
  <si>
    <t xml:space="preserve">2026/4</t>
  </si>
  <si>
    <t xml:space="preserve">2026/5</t>
  </si>
  <si>
    <t xml:space="preserve">2026/6</t>
  </si>
  <si>
    <t xml:space="preserve">2026/7</t>
  </si>
  <si>
    <t xml:space="preserve">2026/8</t>
  </si>
  <si>
    <t xml:space="preserve">2026/9</t>
  </si>
  <si>
    <t xml:space="preserve">2026/10</t>
  </si>
  <si>
    <t xml:space="preserve">2026/11</t>
  </si>
  <si>
    <t xml:space="preserve">2026/12</t>
  </si>
  <si>
    <t xml:space="preserve">2027/1</t>
  </si>
  <si>
    <t xml:space="preserve">2027/2</t>
  </si>
  <si>
    <t xml:space="preserve">2027/3</t>
  </si>
  <si>
    <r>
      <rPr>
        <b val="true"/>
        <sz val="11"/>
        <color rgb="FFFFFFFF"/>
        <rFont val="Arial"/>
        <family val="0"/>
        <charset val="1"/>
      </rPr>
      <t xml:space="preserve">■ ① IT</t>
    </r>
    <r>
      <rPr>
        <b val="true"/>
        <sz val="11"/>
        <color rgb="FFFFFFFF"/>
        <rFont val="Noto Sans CJK SC"/>
        <family val="2"/>
      </rPr>
      <t xml:space="preserve">導入補助金（最優先）</t>
    </r>
  </si>
  <si>
    <r>
      <rPr>
        <b val="true"/>
        <sz val="9"/>
        <color rgb="FF000000"/>
        <rFont val="Arial"/>
        <family val="0"/>
        <charset val="1"/>
      </rPr>
      <t xml:space="preserve">gBizID</t>
    </r>
    <r>
      <rPr>
        <b val="true"/>
        <sz val="9"/>
        <color rgb="FF000000"/>
        <rFont val="Noto Sans CJK SC"/>
        <family val="2"/>
      </rPr>
      <t xml:space="preserve">プライム 取得</t>
    </r>
  </si>
  <si>
    <r>
      <rPr>
        <sz val="8"/>
        <color rgb="FFFFFFFF"/>
        <rFont val="Arial"/>
        <family val="0"/>
        <charset val="1"/>
      </rPr>
      <t xml:space="preserve">IT</t>
    </r>
    <r>
      <rPr>
        <sz val="8"/>
        <color rgb="FFFFFFFF"/>
        <rFont val="Noto Sans CJK SC"/>
        <family val="2"/>
      </rPr>
      <t xml:space="preserve">導入補助金</t>
    </r>
  </si>
  <si>
    <t xml:space="preserve">なーすけ or 担当者</t>
  </si>
  <si>
    <t xml:space="preserve">今すぐ</t>
  </si>
  <si>
    <t xml:space="preserve">取得申請</t>
  </si>
  <si>
    <t xml:space="preserve">完了</t>
  </si>
  <si>
    <r>
      <rPr>
        <sz val="9"/>
        <color rgb="FF000000"/>
        <rFont val="Arial"/>
        <family val="0"/>
        <charset val="1"/>
      </rPr>
      <t xml:space="preserve">Salesforce/UTAGE</t>
    </r>
    <r>
      <rPr>
        <sz val="9"/>
        <color rgb="FF000000"/>
        <rFont val="Noto Sans CJK SC"/>
        <family val="2"/>
      </rPr>
      <t xml:space="preserve">等 ツール契約状況の確認</t>
    </r>
  </si>
  <si>
    <t xml:space="preserve">既契約があると対象外になるため最優先で確認</t>
  </si>
  <si>
    <t xml:space="preserve">確認</t>
  </si>
  <si>
    <r>
      <rPr>
        <sz val="9"/>
        <color rgb="FF000000"/>
        <rFont val="Arial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導入支援事業者の選定・連携</t>
    </r>
  </si>
  <si>
    <r>
      <rPr>
        <sz val="8"/>
        <color rgb="FF595959"/>
        <rFont val="Arial"/>
        <family val="0"/>
        <charset val="1"/>
      </rPr>
      <t xml:space="preserve">Salesforce</t>
    </r>
    <r>
      <rPr>
        <sz val="8"/>
        <color rgb="FF595959"/>
        <rFont val="Noto Sans CJK SC"/>
        <family val="2"/>
      </rPr>
      <t xml:space="preserve">正規パートナー </t>
    </r>
    <r>
      <rPr>
        <sz val="8"/>
        <color rgb="FF595959"/>
        <rFont val="Arial"/>
        <family val="0"/>
        <charset val="1"/>
      </rPr>
      <t xml:space="preserve">or UTAGE</t>
    </r>
    <r>
      <rPr>
        <sz val="8"/>
        <color rgb="FF595959"/>
        <rFont val="Noto Sans CJK SC"/>
        <family val="2"/>
      </rPr>
      <t xml:space="preserve">対応事業者</t>
    </r>
  </si>
  <si>
    <t xml:space="preserve">選定・連携</t>
  </si>
  <si>
    <r>
      <rPr>
        <sz val="9"/>
        <color rgb="FF000000"/>
        <rFont val="Arial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導入補助金 申請書類準備・申請</t>
    </r>
  </si>
  <si>
    <r>
      <rPr>
        <sz val="8"/>
        <color rgb="FF595959"/>
        <rFont val="Arial"/>
        <family val="0"/>
        <charset val="1"/>
      </rPr>
      <t xml:space="preserve">SECURITY ACTION</t>
    </r>
    <r>
      <rPr>
        <sz val="8"/>
        <color rgb="FF595959"/>
        <rFont val="Noto Sans CJK SC"/>
        <family val="2"/>
      </rPr>
      <t xml:space="preserve">宣言・みらデジチェック等</t>
    </r>
  </si>
  <si>
    <t xml:space="preserve">申請準備・提出</t>
  </si>
  <si>
    <t xml:space="preserve">交付決定通知（〜ここまで契約禁止）</t>
  </si>
  <si>
    <t xml:space="preserve">交付決定後にツール契約・支払いを実施</t>
  </si>
  <si>
    <t xml:space="preserve">★交付決定</t>
  </si>
  <si>
    <r>
      <rPr>
        <sz val="9"/>
        <color rgb="FF000000"/>
        <rFont val="Arial"/>
        <family val="0"/>
        <charset val="1"/>
      </rPr>
      <t xml:space="preserve">Salesforce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Arial"/>
        <family val="0"/>
        <charset val="1"/>
      </rPr>
      <t xml:space="preserve">UTAGE</t>
    </r>
    <r>
      <rPr>
        <sz val="9"/>
        <color rgb="FF000000"/>
        <rFont val="Noto Sans CJK SC"/>
        <family val="2"/>
      </rPr>
      <t xml:space="preserve">等 契約・導入</t>
    </r>
  </si>
  <si>
    <t xml:space="preserve">交付決定後に契約。SFF協賛CRM・MYS受講者管理</t>
  </si>
  <si>
    <t xml:space="preserve">導入・設定</t>
  </si>
  <si>
    <r>
      <rPr>
        <sz val="9"/>
        <color rgb="FF000000"/>
        <rFont val="Arial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導入補助金 実績報告・精算</t>
    </r>
  </si>
  <si>
    <t xml:space="preserve">導入効果の報告（KPI達成状況）</t>
  </si>
  <si>
    <t xml:space="preserve">実績報告</t>
  </si>
  <si>
    <t xml:space="preserve">■ ② 小規模事業者持続化補助金（準優先 ※従業員数確認後）</t>
  </si>
  <si>
    <t xml:space="preserve">従業員数（常時雇用）確認・要件チェック</t>
  </si>
  <si>
    <t xml:space="preserve">持続化補助金</t>
  </si>
  <si>
    <r>
      <rPr>
        <sz val="8"/>
        <color rgb="FF595959"/>
        <rFont val="Arial"/>
        <family val="0"/>
        <charset val="1"/>
      </rPr>
      <t xml:space="preserve">5</t>
    </r>
    <r>
      <rPr>
        <sz val="8"/>
        <color rgb="FF595959"/>
        <rFont val="Noto Sans CJK SC"/>
        <family val="2"/>
      </rPr>
      <t xml:space="preserve">名以下か確認。業務委託は含まない</t>
    </r>
  </si>
  <si>
    <t xml:space="preserve">準優先</t>
  </si>
  <si>
    <t xml:space="preserve">商工会議所へ相談（補助金申請支援）</t>
  </si>
  <si>
    <t xml:space="preserve">事業計画のアドバイスを受ける</t>
  </si>
  <si>
    <t xml:space="preserve">相談</t>
  </si>
  <si>
    <t xml:space="preserve">経営計画書・補助事業計画書 作成</t>
  </si>
  <si>
    <r>
      <rPr>
        <sz val="8"/>
        <color rgb="FF595959"/>
        <rFont val="Arial"/>
        <family val="0"/>
        <charset val="1"/>
      </rPr>
      <t xml:space="preserve">LP</t>
    </r>
    <r>
      <rPr>
        <sz val="8"/>
        <color rgb="FF595959"/>
        <rFont val="Noto Sans CJK SC"/>
        <family val="2"/>
      </rPr>
      <t xml:space="preserve">改善</t>
    </r>
    <r>
      <rPr>
        <sz val="8"/>
        <color rgb="FF595959"/>
        <rFont val="Arial"/>
        <family val="0"/>
        <charset val="1"/>
      </rPr>
      <t xml:space="preserve">/</t>
    </r>
    <r>
      <rPr>
        <sz val="8"/>
        <color rgb="FF595959"/>
        <rFont val="Noto Sans CJK SC"/>
        <family val="2"/>
      </rPr>
      <t xml:space="preserve">広告</t>
    </r>
    <r>
      <rPr>
        <sz val="8"/>
        <color rgb="FF595959"/>
        <rFont val="Arial"/>
        <family val="0"/>
        <charset val="1"/>
      </rPr>
      <t xml:space="preserve">/</t>
    </r>
    <r>
      <rPr>
        <sz val="8"/>
        <color rgb="FF595959"/>
        <rFont val="Noto Sans CJK SC"/>
        <family val="2"/>
      </rPr>
      <t xml:space="preserve">ロゴ等の対象経費を整理</t>
    </r>
  </si>
  <si>
    <t xml:space="preserve">計画書作成</t>
  </si>
  <si>
    <t xml:space="preserve">持続化補助金 申請・採択</t>
  </si>
  <si>
    <r>
      <rPr>
        <sz val="8"/>
        <color rgb="FF595959"/>
        <rFont val="Arial"/>
        <family val="0"/>
        <charset val="1"/>
      </rPr>
      <t xml:space="preserve">SFF LP</t>
    </r>
    <r>
      <rPr>
        <sz val="8"/>
        <color rgb="FF595959"/>
        <rFont val="Noto Sans CJK SC"/>
        <family val="2"/>
      </rPr>
      <t xml:space="preserve">改善・</t>
    </r>
    <r>
      <rPr>
        <sz val="8"/>
        <color rgb="FF595959"/>
        <rFont val="Arial"/>
        <family val="0"/>
        <charset val="1"/>
      </rPr>
      <t xml:space="preserve">Instagram</t>
    </r>
    <r>
      <rPr>
        <sz val="8"/>
        <color rgb="FF595959"/>
        <rFont val="Noto Sans CJK SC"/>
        <family val="2"/>
      </rPr>
      <t xml:space="preserve">広告・ロゴ制作費</t>
    </r>
  </si>
  <si>
    <t xml:space="preserve">申請</t>
  </si>
  <si>
    <t xml:space="preserve">採択</t>
  </si>
  <si>
    <t xml:space="preserve">対象経費の執行（LP・広告・デザイン）</t>
  </si>
  <si>
    <t xml:space="preserve">採択後に対象経費を実行</t>
  </si>
  <si>
    <t xml:space="preserve">経費執行（SFF前後）</t>
  </si>
  <si>
    <t xml:space="preserve">持続化補助金 実績報告・精算</t>
  </si>
  <si>
    <t xml:space="preserve">■ ③ ものづくり補助金（MYSオンライン開発 ※テスト結果後判断）</t>
  </si>
  <si>
    <r>
      <rPr>
        <sz val="9"/>
        <color rgb="FF000000"/>
        <rFont val="Arial"/>
        <family val="0"/>
        <charset val="1"/>
      </rPr>
      <t xml:space="preserve">MYS</t>
    </r>
    <r>
      <rPr>
        <sz val="9"/>
        <color rgb="FF000000"/>
        <rFont val="Noto Sans CJK SC"/>
        <family val="2"/>
      </rPr>
      <t xml:space="preserve">テスト（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月〜）開始・</t>
    </r>
    <r>
      <rPr>
        <sz val="9"/>
        <color rgb="FF000000"/>
        <rFont val="Arial"/>
        <family val="0"/>
        <charset val="1"/>
      </rPr>
      <t xml:space="preserve">KPI</t>
    </r>
    <r>
      <rPr>
        <sz val="9"/>
        <color rgb="FF000000"/>
        <rFont val="Noto Sans CJK SC"/>
        <family val="2"/>
      </rPr>
      <t xml:space="preserve">計測</t>
    </r>
  </si>
  <si>
    <t xml:space="preserve">ものづくり補助金</t>
  </si>
  <si>
    <t xml:space="preserve">テスト結果を申請の根拠にする</t>
  </si>
  <si>
    <t xml:space="preserve">状況次第</t>
  </si>
  <si>
    <r>
      <rPr>
        <b val="true"/>
        <sz val="8"/>
        <color rgb="FFFFFFFF"/>
        <rFont val="Arial"/>
        <family val="0"/>
        <charset val="1"/>
      </rPr>
      <t xml:space="preserve">MYS</t>
    </r>
    <r>
      <rPr>
        <b val="true"/>
        <sz val="8"/>
        <color rgb="FFFFFFFF"/>
        <rFont val="Noto Sans CJK SC"/>
        <family val="2"/>
      </rPr>
      <t xml:space="preserve">テスト進行中</t>
    </r>
  </si>
  <si>
    <t xml:space="preserve">認定支援機関（税理士・診断士）との連携</t>
  </si>
  <si>
    <t xml:space="preserve">確認書が必要。早めに候補選定</t>
  </si>
  <si>
    <t xml:space="preserve">支援機関選定</t>
  </si>
  <si>
    <t xml:space="preserve">事業計画書作成（革新性・市場性の説明）</t>
  </si>
  <si>
    <r>
      <rPr>
        <sz val="8"/>
        <color rgb="FF595959"/>
        <rFont val="Arial"/>
        <family val="0"/>
        <charset val="1"/>
      </rPr>
      <t xml:space="preserve">MYS</t>
    </r>
    <r>
      <rPr>
        <sz val="8"/>
        <color rgb="FF595959"/>
        <rFont val="Noto Sans CJK SC"/>
        <family val="2"/>
      </rPr>
      <t xml:space="preserve">テスト結果・競合ポジショニングを活用</t>
    </r>
  </si>
  <si>
    <t xml:space="preserve">ものづくり補助金 申請（公募スケジュール確認後）</t>
  </si>
  <si>
    <t xml:space="preserve">公募回に合わせて申請タイミングを確定</t>
  </si>
  <si>
    <t xml:space="preserve">審査・採択</t>
  </si>
  <si>
    <r>
      <rPr>
        <sz val="9"/>
        <color rgb="FF000000"/>
        <rFont val="Arial"/>
        <family val="0"/>
        <charset val="1"/>
      </rPr>
      <t xml:space="preserve">MYS</t>
    </r>
    <r>
      <rPr>
        <sz val="9"/>
        <color rgb="FF000000"/>
        <rFont val="Noto Sans CJK SC"/>
        <family val="2"/>
      </rPr>
      <t xml:space="preserve">本ローンチ対応経費の執行</t>
    </r>
  </si>
  <si>
    <t xml:space="preserve">動画制作・システム・LP等（採択後に発注）</t>
  </si>
  <si>
    <r>
      <rPr>
        <b val="true"/>
        <sz val="8"/>
        <color rgb="FFFFFFFF"/>
        <rFont val="Arial"/>
        <family val="0"/>
        <charset val="1"/>
      </rPr>
      <t xml:space="preserve">MYS</t>
    </r>
    <r>
      <rPr>
        <b val="true"/>
        <sz val="8"/>
        <color rgb="FFFFFFFF"/>
        <rFont val="Noto Sans CJK SC"/>
        <family val="2"/>
      </rPr>
      <t xml:space="preserve">本ローンチ対応（</t>
    </r>
    <r>
      <rPr>
        <b val="true"/>
        <sz val="8"/>
        <color rgb="FFFFFFFF"/>
        <rFont val="Arial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月〜）</t>
    </r>
  </si>
  <si>
    <t xml:space="preserve">ものづくり補助金 実績報告</t>
  </si>
  <si>
    <t xml:space="preserve">報告</t>
  </si>
  <si>
    <t xml:space="preserve">■ ④ スポーツ振興くじ助成（SFF2026大会 ※JSC照会先行）</t>
  </si>
  <si>
    <r>
      <rPr>
        <sz val="9"/>
        <color rgb="FF000000"/>
        <rFont val="Arial"/>
        <family val="0"/>
        <charset val="1"/>
      </rPr>
      <t xml:space="preserve">Japan Sport Council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JSC</t>
    </r>
    <r>
      <rPr>
        <sz val="9"/>
        <color rgb="FF000000"/>
        <rFont val="Noto Sans CJK SC"/>
        <family val="2"/>
      </rPr>
      <t xml:space="preserve">）へ事前照会</t>
    </r>
  </si>
  <si>
    <t xml:space="preserve">スポーツ振興くじ</t>
  </si>
  <si>
    <t xml:space="preserve">株式会社での申請可否・要件確認</t>
  </si>
  <si>
    <r>
      <rPr>
        <b val="true"/>
        <sz val="8"/>
        <color rgb="FFFFFFFF"/>
        <rFont val="Arial"/>
        <family val="0"/>
        <charset val="1"/>
      </rPr>
      <t xml:space="preserve">JSC</t>
    </r>
    <r>
      <rPr>
        <b val="true"/>
        <sz val="8"/>
        <color rgb="FFFFFFFF"/>
        <rFont val="Noto Sans CJK SC"/>
        <family val="2"/>
      </rPr>
      <t xml:space="preserve">照会</t>
    </r>
  </si>
  <si>
    <t xml:space="preserve">申請要件クリア判断・申請書作成</t>
  </si>
  <si>
    <t xml:space="preserve">可能なら申請書・収支予算書作成</t>
  </si>
  <si>
    <t xml:space="preserve">書類作成</t>
  </si>
  <si>
    <t xml:space="preserve">スポーツ振興くじ助成 申請・採択</t>
  </si>
  <si>
    <r>
      <rPr>
        <sz val="8"/>
        <color rgb="FF595959"/>
        <rFont val="Arial"/>
        <family val="0"/>
        <charset val="1"/>
      </rPr>
      <t xml:space="preserve">SFF2026</t>
    </r>
    <r>
      <rPr>
        <sz val="8"/>
        <color rgb="FF595959"/>
        <rFont val="Noto Sans CJK SC"/>
        <family val="2"/>
      </rPr>
      <t xml:space="preserve">大会費（会場・用具・謝金）対象</t>
    </r>
  </si>
  <si>
    <r>
      <rPr>
        <sz val="9"/>
        <color rgb="FF000000"/>
        <rFont val="Arial"/>
        <family val="0"/>
        <charset val="1"/>
      </rPr>
      <t xml:space="preserve">SFF2026</t>
    </r>
    <r>
      <rPr>
        <sz val="9"/>
        <color rgb="FF000000"/>
        <rFont val="Noto Sans CJK SC"/>
        <family val="2"/>
      </rPr>
      <t xml:space="preserve">大会開催・経費執行</t>
    </r>
  </si>
  <si>
    <r>
      <rPr>
        <sz val="8"/>
        <color rgb="FF595959"/>
        <rFont val="Arial"/>
        <family val="0"/>
        <charset val="1"/>
      </rPr>
      <t xml:space="preserve">2026/8</t>
    </r>
    <r>
      <rPr>
        <sz val="8"/>
        <color rgb="FF595959"/>
        <rFont val="Noto Sans CJK SC"/>
        <family val="2"/>
      </rPr>
      <t xml:space="preserve">〜</t>
    </r>
    <r>
      <rPr>
        <sz val="8"/>
        <color rgb="FF595959"/>
        <rFont val="Arial"/>
        <family val="0"/>
        <charset val="1"/>
      </rPr>
      <t xml:space="preserve">9</t>
    </r>
    <r>
      <rPr>
        <sz val="8"/>
        <color rgb="FF595959"/>
        <rFont val="Noto Sans CJK SC"/>
        <family val="2"/>
      </rPr>
      <t xml:space="preserve">の</t>
    </r>
    <r>
      <rPr>
        <sz val="8"/>
        <color rgb="FF595959"/>
        <rFont val="Arial"/>
        <family val="0"/>
        <charset val="1"/>
      </rPr>
      <t xml:space="preserve">SFF</t>
    </r>
    <r>
      <rPr>
        <sz val="8"/>
        <color rgb="FF595959"/>
        <rFont val="Noto Sans CJK SC"/>
        <family val="2"/>
      </rPr>
      <t xml:space="preserve">大会</t>
    </r>
  </si>
  <si>
    <t xml:space="preserve">★</t>
  </si>
  <si>
    <t xml:space="preserve">スポーツ振興くじ助成 実績報告</t>
  </si>
  <si>
    <t xml:space="preserve">■ ⑤ 新事業進出補助金 / キャリアアップ助成金（中長期）</t>
  </si>
  <si>
    <t xml:space="preserve">新事業性ロジックの設計（コーチング市場参入定義）</t>
  </si>
  <si>
    <t xml:space="preserve">新事業進出補助金</t>
  </si>
  <si>
    <r>
      <rPr>
        <sz val="8"/>
        <color rgb="FF595959"/>
        <rFont val="Arial"/>
        <family val="0"/>
        <charset val="1"/>
      </rPr>
      <t xml:space="preserve">MYS</t>
    </r>
    <r>
      <rPr>
        <sz val="8"/>
        <color rgb="FF595959"/>
        <rFont val="Noto Sans CJK SC"/>
        <family val="2"/>
      </rPr>
      <t xml:space="preserve">オフライン・コミュニティの新事業定義を確定</t>
    </r>
  </si>
  <si>
    <t xml:space="preserve">中長期</t>
  </si>
  <si>
    <t xml:space="preserve">ロジック設計</t>
  </si>
  <si>
    <t xml:space="preserve">新事業進出補助金 申請（条件整ったら）</t>
  </si>
  <si>
    <r>
      <rPr>
        <sz val="8"/>
        <color rgb="FF595959"/>
        <rFont val="Arial"/>
        <family val="0"/>
        <charset val="1"/>
      </rPr>
      <t xml:space="preserve">MYS</t>
    </r>
    <r>
      <rPr>
        <sz val="8"/>
        <color rgb="FF595959"/>
        <rFont val="Noto Sans CJK SC"/>
        <family val="2"/>
      </rPr>
      <t xml:space="preserve">テスト実績を根拠にする</t>
    </r>
  </si>
  <si>
    <t xml:space="preserve">申請検討</t>
  </si>
  <si>
    <t xml:space="preserve">就業規則整備（正社員転換規定追加）</t>
  </si>
  <si>
    <t xml:space="preserve">キャリアアップ助成金</t>
  </si>
  <si>
    <t xml:space="preserve">マネージャー正社員化の前提条件</t>
  </si>
  <si>
    <t xml:space="preserve">就業規則整備</t>
  </si>
  <si>
    <t xml:space="preserve">マネージャー正社員化・キャリアアップ助成金申請</t>
  </si>
  <si>
    <t xml:space="preserve">拡大期（MYS本ローンチ後）に合わせて転換</t>
  </si>
  <si>
    <t xml:space="preserve">正社員化・助成金申請</t>
  </si>
  <si>
    <r>
      <rPr>
        <b val="true"/>
        <sz val="11"/>
        <color rgb="FFFFFFFF"/>
        <rFont val="Arial"/>
        <family val="0"/>
        <charset val="1"/>
      </rPr>
      <t xml:space="preserve">■ ShapeFit </t>
    </r>
    <r>
      <rPr>
        <b val="true"/>
        <sz val="11"/>
        <color rgb="FFFFFFFF"/>
        <rFont val="Noto Sans CJK SC"/>
        <family val="2"/>
      </rPr>
      <t xml:space="preserve">主要マイルストーン</t>
    </r>
  </si>
  <si>
    <r>
      <rPr>
        <sz val="9"/>
        <color rgb="FF000000"/>
        <rFont val="Arial"/>
        <family val="0"/>
        <charset val="1"/>
      </rPr>
      <t xml:space="preserve">MYS</t>
    </r>
    <r>
      <rPr>
        <sz val="9"/>
        <color rgb="FF000000"/>
        <rFont val="Noto Sans CJK SC"/>
        <family val="2"/>
      </rPr>
      <t xml:space="preserve">テスト開始</t>
    </r>
  </si>
  <si>
    <t xml:space="preserve">マイルストーン</t>
  </si>
  <si>
    <r>
      <rPr>
        <sz val="8"/>
        <color rgb="FF595959"/>
        <rFont val="Arial"/>
        <family val="0"/>
        <charset val="1"/>
      </rPr>
      <t xml:space="preserve">3</t>
    </r>
    <r>
      <rPr>
        <sz val="8"/>
        <color rgb="FF595959"/>
        <rFont val="Noto Sans CJK SC"/>
        <family val="2"/>
      </rPr>
      <t xml:space="preserve">月〜</t>
    </r>
    <r>
      <rPr>
        <sz val="8"/>
        <color rgb="FF595959"/>
        <rFont val="Arial"/>
        <family val="0"/>
        <charset val="1"/>
      </rPr>
      <t xml:space="preserve">30</t>
    </r>
    <r>
      <rPr>
        <sz val="8"/>
        <color rgb="FF595959"/>
        <rFont val="Noto Sans CJK SC"/>
        <family val="2"/>
      </rPr>
      <t xml:space="preserve">〜</t>
    </r>
    <r>
      <rPr>
        <sz val="8"/>
        <color rgb="FF595959"/>
        <rFont val="Arial"/>
        <family val="0"/>
        <charset val="1"/>
      </rPr>
      <t xml:space="preserve">50</t>
    </r>
    <r>
      <rPr>
        <sz val="8"/>
        <color rgb="FF595959"/>
        <rFont val="Noto Sans CJK SC"/>
        <family val="2"/>
      </rPr>
      <t xml:space="preserve">名テスト運用</t>
    </r>
  </si>
  <si>
    <r>
      <rPr>
        <b val="true"/>
        <sz val="8"/>
        <color rgb="FFFFFFFF"/>
        <rFont val="Arial"/>
        <family val="0"/>
        <charset val="1"/>
      </rPr>
      <t xml:space="preserve">MYS</t>
    </r>
    <r>
      <rPr>
        <b val="true"/>
        <sz val="8"/>
        <color rgb="FFFFFFFF"/>
        <rFont val="Noto Sans CJK SC"/>
        <family val="2"/>
      </rPr>
      <t xml:space="preserve">テスト開始</t>
    </r>
  </si>
  <si>
    <r>
      <rPr>
        <sz val="9"/>
        <color rgb="FF000000"/>
        <rFont val="Arial"/>
        <family val="0"/>
        <charset val="1"/>
      </rPr>
      <t xml:space="preserve">SFF2026 </t>
    </r>
    <r>
      <rPr>
        <sz val="9"/>
        <color rgb="FF000000"/>
        <rFont val="Noto Sans CJK SC"/>
        <family val="2"/>
      </rPr>
      <t xml:space="preserve">大会開催</t>
    </r>
  </si>
  <si>
    <r>
      <rPr>
        <sz val="8"/>
        <color rgb="FF595959"/>
        <rFont val="Arial"/>
        <family val="0"/>
        <charset val="1"/>
      </rPr>
      <t xml:space="preserve">2026/8</t>
    </r>
    <r>
      <rPr>
        <sz val="8"/>
        <color rgb="FF595959"/>
        <rFont val="Noto Sans CJK SC"/>
        <family val="2"/>
      </rPr>
      <t xml:space="preserve">〜</t>
    </r>
    <r>
      <rPr>
        <sz val="8"/>
        <color rgb="FF595959"/>
        <rFont val="Arial"/>
        <family val="0"/>
        <charset val="1"/>
      </rPr>
      <t xml:space="preserve">9</t>
    </r>
    <r>
      <rPr>
        <sz val="8"/>
        <color rgb="FF595959"/>
        <rFont val="Noto Sans CJK SC"/>
        <family val="2"/>
      </rPr>
      <t xml:space="preserve">月</t>
    </r>
  </si>
  <si>
    <t xml:space="preserve">★SFF2026</t>
  </si>
  <si>
    <r>
      <rPr>
        <sz val="9"/>
        <color rgb="FF000000"/>
        <rFont val="Arial"/>
        <family val="0"/>
        <charset val="1"/>
      </rPr>
      <t xml:space="preserve">MYS </t>
    </r>
    <r>
      <rPr>
        <sz val="9"/>
        <color rgb="FF000000"/>
        <rFont val="Noto Sans CJK SC"/>
        <family val="2"/>
      </rPr>
      <t xml:space="preserve">本ローンチ</t>
    </r>
  </si>
  <si>
    <r>
      <rPr>
        <sz val="8"/>
        <color rgb="FF595959"/>
        <rFont val="Arial"/>
        <family val="0"/>
        <charset val="1"/>
      </rPr>
      <t xml:space="preserve">2026/10</t>
    </r>
    <r>
      <rPr>
        <sz val="8"/>
        <color rgb="FF595959"/>
        <rFont val="Noto Sans CJK SC"/>
        <family val="2"/>
      </rPr>
      <t xml:space="preserve">月〜</t>
    </r>
  </si>
  <si>
    <r>
      <rPr>
        <b val="true"/>
        <sz val="8"/>
        <color rgb="FFFFFFFF"/>
        <rFont val="Arial"/>
        <family val="0"/>
        <charset val="1"/>
      </rPr>
      <t xml:space="preserve">★MYS</t>
    </r>
    <r>
      <rPr>
        <b val="true"/>
        <sz val="8"/>
        <color rgb="FFFFFFFF"/>
        <rFont val="Noto Sans CJK SC"/>
        <family val="2"/>
      </rPr>
      <t xml:space="preserve">本ローンチ（</t>
    </r>
    <r>
      <rPr>
        <b val="true"/>
        <sz val="8"/>
        <color rgb="FFFFFFFF"/>
        <rFont val="Arial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月〜）</t>
    </r>
  </si>
  <si>
    <r>
      <rPr>
        <b val="true"/>
        <sz val="15"/>
        <color rgb="FFFFFFFF"/>
        <rFont val="Arial"/>
        <family val="0"/>
        <charset val="1"/>
      </rPr>
      <t xml:space="preserve">ShapeFit </t>
    </r>
    <r>
      <rPr>
        <b val="true"/>
        <sz val="15"/>
        <color rgb="FFFFFFFF"/>
        <rFont val="Noto Sans CJK SC"/>
        <family val="2"/>
      </rPr>
      <t xml:space="preserve">補助金 受給額シミュレーション</t>
    </r>
  </si>
  <si>
    <t xml:space="preserve">※ 数値はShapeFitの各事業の投資計画（事業情報シート記載値）をベースにした試算。実際の補助額は審査結果・経費認定状況により変動します。</t>
  </si>
  <si>
    <t xml:space="preserve">対象となる主な投資内容</t>
  </si>
  <si>
    <t xml:space="preserve">投資想定額（円）</t>
  </si>
  <si>
    <t xml:space="preserve">推定補助額（円）</t>
  </si>
  <si>
    <t xml:space="preserve">自己負担額（円）</t>
  </si>
  <si>
    <t xml:space="preserve">申請難易度</t>
  </si>
  <si>
    <t xml:space="preserve">総評・ポイント</t>
  </si>
  <si>
    <r>
      <rPr>
        <b val="true"/>
        <sz val="10"/>
        <color rgb="FFFFFFFF"/>
        <rFont val="Arial"/>
        <family val="0"/>
        <charset val="1"/>
      </rPr>
      <t xml:space="preserve">① IT</t>
    </r>
    <r>
      <rPr>
        <b val="true"/>
        <sz val="10"/>
        <color rgb="FFFFFFFF"/>
        <rFont val="Noto Sans CJK SC"/>
        <family val="2"/>
      </rPr>
      <t xml:space="preserve">導入補助金</t>
    </r>
  </si>
  <si>
    <t xml:space="preserve">・Salesforce（SFF協賛CRM）
・UTAGE（MYS動画・受講者管理）
・LINE公式・Zoom年間費
・Stripe等決済ツール</t>
  </si>
  <si>
    <r>
      <rPr>
        <b val="true"/>
        <sz val="10"/>
        <color rgb="FFBF8F00"/>
        <rFont val="Arial"/>
        <family val="0"/>
        <charset val="1"/>
      </rPr>
      <t xml:space="preserve">66%</t>
    </r>
    <r>
      <rPr>
        <b val="true"/>
        <sz val="10"/>
        <color rgb="FFBF8F00"/>
        <rFont val="Noto Sans CJK SC"/>
        <family val="2"/>
      </rPr>
      <t xml:space="preserve">（通常枠上限）</t>
    </r>
  </si>
  <si>
    <t xml:space="preserve">低〜中</t>
  </si>
  <si>
    <t xml:space="preserve">最も確実かつ手間が少ない。Salesforce導入200万+UTAGE等100万で合計300万円投資→約198万円補助が試算の根拠。
【最重要】交付決定前に契約しないこと。</t>
  </si>
  <si>
    <t xml:space="preserve">② ものづくり補助金</t>
  </si>
  <si>
    <t xml:space="preserve">・MYSカリキュラム動画制作（テスト用27本）
・LP制作・フォーム・決済導線構築
・マネージャー育成プログラム開発
・ツール初期設定費</t>
  </si>
  <si>
    <r>
      <rPr>
        <b val="true"/>
        <sz val="10"/>
        <color rgb="FFBF8F00"/>
        <rFont val="Arial"/>
        <family val="0"/>
        <charset val="1"/>
      </rPr>
      <t xml:space="preserve">66%</t>
    </r>
    <r>
      <rPr>
        <b val="true"/>
        <sz val="10"/>
        <color rgb="FFBF8F00"/>
        <rFont val="Noto Sans CJK SC"/>
        <family val="2"/>
      </rPr>
      <t xml:space="preserve">（賃上げ加点適用時）</t>
    </r>
  </si>
  <si>
    <t xml:space="preserve">高</t>
  </si>
  <si>
    <r>
      <rPr>
        <sz val="9"/>
        <color rgb="FF595959"/>
        <rFont val="Arial"/>
        <family val="0"/>
        <charset val="1"/>
      </rPr>
      <t xml:space="preserve">MYS</t>
    </r>
    <r>
      <rPr>
        <sz val="9"/>
        <color rgb="FF595959"/>
        <rFont val="Noto Sans CJK SC"/>
        <family val="2"/>
      </rPr>
      <t xml:space="preserve">開発費の合計（</t>
    </r>
    <r>
      <rPr>
        <sz val="9"/>
        <color rgb="FF595959"/>
        <rFont val="Arial"/>
        <family val="0"/>
        <charset val="1"/>
      </rPr>
      <t xml:space="preserve">94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161</t>
    </r>
    <r>
      <rPr>
        <sz val="9"/>
        <color rgb="FF595959"/>
        <rFont val="Noto Sans CJK SC"/>
        <family val="2"/>
      </rPr>
      <t xml:space="preserve">万円の初期投資＋運転資金）を補助対象経費として整理すれば最大補助上限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1,250</t>
    </r>
    <r>
      <rPr>
        <sz val="9"/>
        <color rgb="FF595959"/>
        <rFont val="Noto Sans CJK SC"/>
        <family val="2"/>
      </rPr>
      <t xml:space="preserve">万円まで可能。「フィットネス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ライフコーチングの新カテゴリ開発」として革新性を証明できれば高い補助が期待できる。</t>
    </r>
  </si>
  <si>
    <t xml:space="preserve">③ 中小企業新事業進出補助金</t>
  </si>
  <si>
    <t xml:space="preserve">・MYSオフラインコーチング立ち上げ費
  （コーチ育成50万+システム15万等）
・Shapeコミュニティ初期投資
  （ロゴ35万+Discord設定5万等）</t>
  </si>
  <si>
    <t xml:space="preserve">50%</t>
  </si>
  <si>
    <t xml:space="preserve">非常に高</t>
  </si>
  <si>
    <t xml:space="preserve">オフライン・コミュニティの立ち上げ費合計（230〜280万+48〜58万）の50%が補助対象。ただし「新事業性」の証明が採否の分かれ目。労力に対して受給額が小さい可能性もあり、他補助金との比較検討が必要。</t>
  </si>
  <si>
    <t xml:space="preserve">④ 小規模事業者持続化補助金</t>
  </si>
  <si>
    <t xml:space="preserve">・SFF LP・マイページ改善
・コミュニティ ロゴ・デザイン（IDA委託）
・Instagram広告費（MYS・コミュニティ）</t>
  </si>
  <si>
    <r>
      <rPr>
        <b val="true"/>
        <sz val="10"/>
        <color rgb="FFBF8F00"/>
        <rFont val="Arial"/>
        <family val="0"/>
        <charset val="1"/>
      </rPr>
      <t xml:space="preserve">66%</t>
    </r>
    <r>
      <rPr>
        <b val="true"/>
        <sz val="10"/>
        <color rgb="FFBF8F00"/>
        <rFont val="Noto Sans CJK SC"/>
        <family val="2"/>
      </rPr>
      <t xml:space="preserve">（特例枠：上限</t>
    </r>
    <r>
      <rPr>
        <b val="true"/>
        <sz val="10"/>
        <color rgb="FFBF8F00"/>
        <rFont val="Arial"/>
        <family val="0"/>
        <charset val="1"/>
      </rPr>
      <t xml:space="preserve">200</t>
    </r>
    <r>
      <rPr>
        <b val="true"/>
        <sz val="10"/>
        <color rgb="FFBF8F00"/>
        <rFont val="Noto Sans CJK SC"/>
        <family val="2"/>
      </rPr>
      <t xml:space="preserve">万円）</t>
    </r>
  </si>
  <si>
    <t xml:space="preserve">低</t>
  </si>
  <si>
    <t xml:space="preserve">補助上限200万円の特例枠に当てはまれば、150万円の投資に対し約133万円の補助。申請難易度が最も低く、初回申請に最適。従業員5名以下の要件確認が先決。</t>
  </si>
  <si>
    <t xml:space="preserve">⑤ スポーツ振興くじ助成</t>
  </si>
  <si>
    <t xml:space="preserve">・SFF2026大会会場費
・大会用具・備品費
・選手・審判謝金
・運営スタッフ交通費</t>
  </si>
  <si>
    <r>
      <rPr>
        <b val="true"/>
        <sz val="10"/>
        <color rgb="FFBF8F00"/>
        <rFont val="Arial"/>
        <family val="0"/>
        <charset val="1"/>
      </rPr>
      <t xml:space="preserve">66.6%</t>
    </r>
    <r>
      <rPr>
        <b val="true"/>
        <sz val="10"/>
        <color rgb="FFBF8F00"/>
        <rFont val="Noto Sans CJK SC"/>
        <family val="2"/>
      </rPr>
      <t xml:space="preserve">（</t>
    </r>
    <r>
      <rPr>
        <b val="true"/>
        <sz val="10"/>
        <color rgb="FFBF8F00"/>
        <rFont val="Arial"/>
        <family val="0"/>
        <charset val="1"/>
      </rPr>
      <t xml:space="preserve">2/3</t>
    </r>
    <r>
      <rPr>
        <b val="true"/>
        <sz val="10"/>
        <color rgb="FFBF8F00"/>
        <rFont val="Noto Sans CJK SC"/>
        <family val="2"/>
      </rPr>
      <t xml:space="preserve">）</t>
    </r>
  </si>
  <si>
    <t xml:space="preserve">中</t>
  </si>
  <si>
    <r>
      <rPr>
        <sz val="9"/>
        <color rgb="FF595959"/>
        <rFont val="Arial"/>
        <family val="0"/>
        <charset val="1"/>
      </rPr>
      <t xml:space="preserve">SFF</t>
    </r>
    <r>
      <rPr>
        <sz val="9"/>
        <color rgb="FF595959"/>
        <rFont val="Noto Sans CJK SC"/>
        <family val="2"/>
      </rPr>
      <t xml:space="preserve">大会運営費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万円の</t>
    </r>
    <r>
      <rPr>
        <sz val="9"/>
        <color rgb="FF595959"/>
        <rFont val="Arial"/>
        <family val="0"/>
        <charset val="1"/>
      </rPr>
      <t xml:space="preserve">2/3</t>
    </r>
    <r>
      <rPr>
        <sz val="9"/>
        <color rgb="FF595959"/>
        <rFont val="Noto Sans CJK SC"/>
        <family val="2"/>
      </rPr>
      <t xml:space="preserve">＝約</t>
    </r>
    <r>
      <rPr>
        <sz val="9"/>
        <color rgb="FF595959"/>
        <rFont val="Arial"/>
        <family val="0"/>
        <charset val="1"/>
      </rPr>
      <t xml:space="preserve">200</t>
    </r>
    <r>
      <rPr>
        <sz val="9"/>
        <color rgb="FF595959"/>
        <rFont val="Noto Sans CJK SC"/>
        <family val="2"/>
      </rPr>
      <t xml:space="preserve">万円の助成が期待できる。ただし株式会社での申請可否の確認が最優先。</t>
    </r>
    <r>
      <rPr>
        <sz val="9"/>
        <color rgb="FF595959"/>
        <rFont val="Arial"/>
        <family val="0"/>
        <charset val="1"/>
      </rPr>
      <t xml:space="preserve">JSC</t>
    </r>
    <r>
      <rPr>
        <sz val="9"/>
        <color rgb="FF595959"/>
        <rFont val="Noto Sans CJK SC"/>
        <family val="2"/>
      </rPr>
      <t xml:space="preserve">への事前照会なしに準備を進めないこと。</t>
    </r>
  </si>
  <si>
    <t xml:space="preserve">⑥ キャリアアップ助成金</t>
  </si>
  <si>
    <t xml:space="preserve">・MYSマネージャー3名の
  業務委託→正社員化</t>
  </si>
  <si>
    <t xml:space="preserve">定額（1名80万円）</t>
  </si>
  <si>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名正社員化で計</t>
    </r>
    <r>
      <rPr>
        <sz val="9"/>
        <color rgb="FF595959"/>
        <rFont val="Arial"/>
        <family val="0"/>
        <charset val="1"/>
      </rPr>
      <t xml:space="preserve">240</t>
    </r>
    <r>
      <rPr>
        <sz val="9"/>
        <color rgb="FF595959"/>
        <rFont val="Noto Sans CJK SC"/>
        <family val="2"/>
      </rPr>
      <t xml:space="preserve">万円の助成。投資コスト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円（正社員化の賃上げ分は必要）。拡大期（</t>
    </r>
    <r>
      <rPr>
        <sz val="9"/>
        <color rgb="FF595959"/>
        <rFont val="Arial"/>
        <family val="0"/>
        <charset val="1"/>
      </rPr>
      <t xml:space="preserve">MYS</t>
    </r>
    <r>
      <rPr>
        <sz val="9"/>
        <color rgb="FF595959"/>
        <rFont val="Noto Sans CJK SC"/>
        <family val="2"/>
      </rPr>
      <t xml:space="preserve">本ローンチ後）に就業規則整備とセットで実行する。</t>
    </r>
  </si>
  <si>
    <t xml:space="preserve">合計（全補助金獲得時の試算合計）</t>
  </si>
  <si>
    <r>
      <rPr>
        <b val="true"/>
        <sz val="16"/>
        <color rgb="FFFFFFFF"/>
        <rFont val="Arial"/>
        <family val="0"/>
        <charset val="1"/>
      </rPr>
      <t xml:space="preserve">ShapeFit </t>
    </r>
    <r>
      <rPr>
        <b val="true"/>
        <sz val="16"/>
        <color rgb="FFFFFFFF"/>
        <rFont val="Noto Sans CJK SC"/>
        <family val="2"/>
      </rPr>
      <t xml:space="preserve">補助金 期待値（</t>
    </r>
    <r>
      <rPr>
        <b val="true"/>
        <sz val="16"/>
        <color rgb="FFFFFFFF"/>
        <rFont val="Arial"/>
        <family val="0"/>
        <charset val="1"/>
      </rPr>
      <t xml:space="preserve">EV</t>
    </r>
    <r>
      <rPr>
        <b val="true"/>
        <sz val="16"/>
        <color rgb="FFFFFFFF"/>
        <rFont val="Noto Sans CJK SC"/>
        <family val="2"/>
      </rPr>
      <t xml:space="preserve">）サマリー</t>
    </r>
  </si>
  <si>
    <r>
      <rPr>
        <i val="true"/>
        <sz val="10"/>
        <color rgb="FF595959"/>
        <rFont val="Noto Sans CJK SC"/>
        <family val="2"/>
      </rPr>
      <t xml:space="preserve">期待値 ＝ 推定補助額 </t>
    </r>
    <r>
      <rPr>
        <i val="true"/>
        <sz val="10"/>
        <color rgb="FF595959"/>
        <rFont val="Arial"/>
        <family val="0"/>
        <charset val="1"/>
      </rPr>
      <t xml:space="preserve">× </t>
    </r>
    <r>
      <rPr>
        <i val="true"/>
        <sz val="10"/>
        <color rgb="FF595959"/>
        <rFont val="Noto Sans CJK SC"/>
        <family val="2"/>
      </rPr>
      <t xml:space="preserve">採択確率。各補助金の「確実性加重ベース」での資金獲得見込みを可視化します。</t>
    </r>
  </si>
  <si>
    <r>
      <rPr>
        <i val="true"/>
        <sz val="8"/>
        <color rgb="FF595959"/>
        <rFont val="Noto Sans CJK SC"/>
        <family val="2"/>
      </rPr>
      <t xml:space="preserve">【採択確率の根拠】</t>
    </r>
    <r>
      <rPr>
        <i val="true"/>
        <sz val="8"/>
        <color rgb="FF595959"/>
        <rFont val="Arial"/>
        <family val="0"/>
        <charset val="1"/>
      </rPr>
      <t xml:space="preserve">IT</t>
    </r>
    <r>
      <rPr>
        <i val="true"/>
        <sz val="8"/>
        <color rgb="FF595959"/>
        <rFont val="Noto Sans CJK SC"/>
        <family val="2"/>
      </rPr>
      <t xml:space="preserve">導入補助金：直近採択率</t>
    </r>
    <r>
      <rPr>
        <i val="true"/>
        <sz val="8"/>
        <color rgb="FF595959"/>
        <rFont val="Arial"/>
        <family val="0"/>
        <charset val="1"/>
      </rPr>
      <t xml:space="preserve">75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80%</t>
    </r>
    <r>
      <rPr>
        <i val="true"/>
        <sz val="8"/>
        <color rgb="FF595959"/>
        <rFont val="Noto Sans CJK SC"/>
        <family val="2"/>
      </rPr>
      <t xml:space="preserve">（難易度低・実績多数）　ものづくり補助金：採択率</t>
    </r>
    <r>
      <rPr>
        <i val="true"/>
        <sz val="8"/>
        <color rgb="FF595959"/>
        <rFont val="Arial"/>
        <family val="0"/>
        <charset val="1"/>
      </rPr>
      <t xml:space="preserve">35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45%</t>
    </r>
    <r>
      <rPr>
        <i val="true"/>
        <sz val="8"/>
        <color rgb="FF595959"/>
        <rFont val="Noto Sans CJK SC"/>
        <family val="2"/>
      </rPr>
      <t xml:space="preserve">（審査厳格化・革新性証明が必要）　新事業進出補助金：採択率</t>
    </r>
    <r>
      <rPr>
        <i val="true"/>
        <sz val="8"/>
        <color rgb="FF595959"/>
        <rFont val="Arial"/>
        <family val="0"/>
        <charset val="1"/>
      </rPr>
      <t xml:space="preserve">25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35%</t>
    </r>
    <r>
      <rPr>
        <i val="true"/>
        <sz val="8"/>
        <color rgb="FF595959"/>
        <rFont val="Noto Sans CJK SC"/>
        <family val="2"/>
      </rPr>
      <t xml:space="preserve">（大型・新制度）　持続化補助金：採択率</t>
    </r>
    <r>
      <rPr>
        <i val="true"/>
        <sz val="8"/>
        <color rgb="FF595959"/>
        <rFont val="Arial"/>
        <family val="0"/>
        <charset val="1"/>
      </rPr>
      <t xml:space="preserve">50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60%</t>
    </r>
    <r>
      <rPr>
        <i val="true"/>
        <sz val="8"/>
        <color rgb="FF595959"/>
        <rFont val="Noto Sans CJK SC"/>
        <family val="2"/>
      </rPr>
      <t xml:space="preserve">（申請要件を満たす前提）　スポーツ振興くじ：採択率</t>
    </r>
    <r>
      <rPr>
        <i val="true"/>
        <sz val="8"/>
        <color rgb="FF595959"/>
        <rFont val="Arial"/>
        <family val="0"/>
        <charset val="1"/>
      </rPr>
      <t xml:space="preserve">40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50%</t>
    </r>
    <r>
      <rPr>
        <i val="true"/>
        <sz val="8"/>
        <color rgb="FF595959"/>
        <rFont val="Noto Sans CJK SC"/>
        <family val="2"/>
      </rPr>
      <t xml:space="preserve">（株式会社要件確認後）　キャリアアップ助成金：採択率</t>
    </r>
    <r>
      <rPr>
        <i val="true"/>
        <sz val="8"/>
        <color rgb="FF595959"/>
        <rFont val="Arial"/>
        <family val="0"/>
        <charset val="1"/>
      </rPr>
      <t xml:space="preserve">70</t>
    </r>
    <r>
      <rPr>
        <i val="true"/>
        <sz val="8"/>
        <color rgb="FF595959"/>
        <rFont val="Noto Sans CJK SC"/>
        <family val="2"/>
      </rPr>
      <t xml:space="preserve">〜</t>
    </r>
    <r>
      <rPr>
        <i val="true"/>
        <sz val="8"/>
        <color rgb="FF595959"/>
        <rFont val="Arial"/>
        <family val="0"/>
        <charset val="1"/>
      </rPr>
      <t xml:space="preserve">80%</t>
    </r>
    <r>
      <rPr>
        <i val="true"/>
        <sz val="8"/>
        <color rgb="FF595959"/>
        <rFont val="Noto Sans CJK SC"/>
        <family val="2"/>
      </rPr>
      <t xml:space="preserve">（要件を満たせばほぼ確実）</t>
    </r>
  </si>
  <si>
    <t xml:space="preserve">推定補助額
（上限ケース）</t>
  </si>
  <si>
    <t xml:space="preserve">採択確率
（中央値）</t>
  </si>
  <si>
    <r>
      <rPr>
        <b val="true"/>
        <sz val="9"/>
        <color rgb="FFFFFFFF"/>
        <rFont val="Noto Sans CJK SC"/>
        <family val="2"/>
      </rPr>
      <t xml:space="preserve">期待値
（</t>
    </r>
    <r>
      <rPr>
        <b val="true"/>
        <sz val="9"/>
        <color rgb="FFFFFFFF"/>
        <rFont val="Arial"/>
        <family val="0"/>
        <charset val="1"/>
      </rPr>
      <t xml:space="preserve">EV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</si>
  <si>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9"/>
        <color rgb="FFFFFFFF"/>
        <rFont val="Noto Sans CJK SC"/>
        <family val="2"/>
      </rPr>
      <t xml:space="preserve">楽観ケース
補助額</t>
    </r>
    <r>
      <rPr>
        <b val="true"/>
        <sz val="9"/>
        <color rgb="FFFFFFFF"/>
        <rFont val="Arial"/>
        <family val="0"/>
        <charset val="1"/>
      </rPr>
      <t xml:space="preserve">×</t>
    </r>
    <r>
      <rPr>
        <b val="true"/>
        <sz val="9"/>
        <color rgb="FFFFFFFF"/>
        <rFont val="Noto Sans CJK SC"/>
        <family val="2"/>
      </rPr>
      <t xml:space="preserve">採択率高</t>
    </r>
  </si>
  <si>
    <r>
      <rPr>
        <b val="true"/>
        <sz val="9"/>
        <color rgb="FFFFFFFF"/>
        <rFont val="Noto Sans CJK SC"/>
        <family val="2"/>
      </rPr>
      <t xml:space="preserve">悲観ケース
補助額</t>
    </r>
    <r>
      <rPr>
        <b val="true"/>
        <sz val="9"/>
        <color rgb="FFFFFFFF"/>
        <rFont val="Arial"/>
        <family val="0"/>
        <charset val="1"/>
      </rPr>
      <t xml:space="preserve">×</t>
    </r>
    <r>
      <rPr>
        <b val="true"/>
        <sz val="9"/>
        <color rgb="FFFFFFFF"/>
        <rFont val="Noto Sans CJK SC"/>
        <family val="2"/>
      </rPr>
      <t xml:space="preserve">採択率低</t>
    </r>
  </si>
  <si>
    <r>
      <rPr>
        <b val="true"/>
        <sz val="9"/>
        <color rgb="FFFFFFFF"/>
        <rFont val="Arial"/>
        <family val="0"/>
        <charset val="1"/>
      </rPr>
      <t xml:space="preserve">EV/</t>
    </r>
    <r>
      <rPr>
        <b val="true"/>
        <sz val="9"/>
        <color rgb="FFFFFFFF"/>
        <rFont val="Noto Sans CJK SC"/>
        <family val="2"/>
      </rPr>
      <t xml:space="preserve">工数
効率スコア</t>
    </r>
  </si>
  <si>
    <t xml:space="preserve">判断コメント</t>
  </si>
  <si>
    <r>
      <rPr>
        <b val="true"/>
        <sz val="9"/>
        <color rgb="FFFFFFFF"/>
        <rFont val="Arial"/>
        <family val="0"/>
        <charset val="1"/>
      </rPr>
      <t xml:space="preserve">① IT</t>
    </r>
    <r>
      <rPr>
        <b val="true"/>
        <sz val="9"/>
        <color rgb="FFFFFFFF"/>
        <rFont val="Noto Sans CJK SC"/>
        <family val="2"/>
      </rPr>
      <t xml:space="preserve">導入補助金</t>
    </r>
  </si>
  <si>
    <t xml:space="preserve">◎ 非常に高い</t>
  </si>
  <si>
    <r>
      <rPr>
        <sz val="9"/>
        <color rgb="FF333333"/>
        <rFont val="Noto Sans CJK SC"/>
        <family val="2"/>
      </rPr>
      <t xml:space="preserve">難易度が最も低く、採択率も高い。</t>
    </r>
    <r>
      <rPr>
        <sz val="9"/>
        <color rgb="FF333333"/>
        <rFont val="Arial"/>
        <family val="0"/>
        <charset val="1"/>
      </rPr>
      <t xml:space="preserve">Salesforce</t>
    </r>
    <r>
      <rPr>
        <sz val="9"/>
        <color rgb="FF333333"/>
        <rFont val="Noto Sans CJK SC"/>
        <family val="2"/>
      </rPr>
      <t xml:space="preserve">・</t>
    </r>
    <r>
      <rPr>
        <sz val="9"/>
        <color rgb="FF333333"/>
        <rFont val="Arial"/>
        <family val="0"/>
        <charset val="1"/>
      </rPr>
      <t xml:space="preserve">UTAGE</t>
    </r>
    <r>
      <rPr>
        <sz val="9"/>
        <color rgb="FF333333"/>
        <rFont val="Noto Sans CJK SC"/>
        <family val="2"/>
      </rPr>
      <t xml:space="preserve">の契約前申請さえ守れば最も確実。工数少＆</t>
    </r>
    <r>
      <rPr>
        <sz val="9"/>
        <color rgb="FF333333"/>
        <rFont val="Arial"/>
        <family val="0"/>
        <charset val="1"/>
      </rPr>
      <t xml:space="preserve">EV</t>
    </r>
    <r>
      <rPr>
        <sz val="9"/>
        <color rgb="FF333333"/>
        <rFont val="Noto Sans CJK SC"/>
        <family val="2"/>
      </rPr>
      <t xml:space="preserve">高の最優先補助金。</t>
    </r>
  </si>
  <si>
    <t xml:space="preserve">★★ 準優先</t>
  </si>
  <si>
    <t xml:space="preserve">△ 中程度</t>
  </si>
  <si>
    <r>
      <rPr>
        <sz val="9"/>
        <color rgb="FF333333"/>
        <rFont val="Noto Sans CJK SC"/>
        <family val="2"/>
      </rPr>
      <t xml:space="preserve">採択されれば最大の補助額。ただし審査が厳しく事業計画書の質が採否を分ける。</t>
    </r>
    <r>
      <rPr>
        <sz val="9"/>
        <color rgb="FF333333"/>
        <rFont val="Arial"/>
        <family val="0"/>
        <charset val="1"/>
      </rPr>
      <t xml:space="preserve">MYS</t>
    </r>
    <r>
      <rPr>
        <sz val="9"/>
        <color rgb="FF333333"/>
        <rFont val="Noto Sans CJK SC"/>
        <family val="2"/>
      </rPr>
      <t xml:space="preserve">テスト実績（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Noto Sans CJK SC"/>
        <family val="2"/>
      </rPr>
      <t xml:space="preserve">月〜）を根拠に組み込める</t>
    </r>
    <r>
      <rPr>
        <sz val="9"/>
        <color rgb="FF333333"/>
        <rFont val="Arial"/>
        <family val="0"/>
        <charset val="1"/>
      </rPr>
      <t xml:space="preserve">2026</t>
    </r>
    <r>
      <rPr>
        <sz val="9"/>
        <color rgb="FF333333"/>
        <rFont val="Noto Sans CJK SC"/>
        <family val="2"/>
      </rPr>
      <t xml:space="preserve">年秋が申請の最適タイミング。</t>
    </r>
  </si>
  <si>
    <t xml:space="preserve">③ 新事業進出補助金</t>
  </si>
  <si>
    <t xml:space="preserve">△ 条件次第</t>
  </si>
  <si>
    <t xml:space="preserve">△ 低い</t>
  </si>
  <si>
    <r>
      <rPr>
        <sz val="9"/>
        <color rgb="FF333333"/>
        <rFont val="Noto Sans CJK SC"/>
        <family val="2"/>
      </rPr>
      <t xml:space="preserve">工数対</t>
    </r>
    <r>
      <rPr>
        <sz val="9"/>
        <color rgb="FF333333"/>
        <rFont val="Arial"/>
        <family val="0"/>
        <charset val="1"/>
      </rPr>
      <t xml:space="preserve">EV</t>
    </r>
    <r>
      <rPr>
        <sz val="9"/>
        <color rgb="FF333333"/>
        <rFont val="Noto Sans CJK SC"/>
        <family val="2"/>
      </rPr>
      <t xml:space="preserve">効率が最も低い。新事業性のロジック設計が採否の鍵。他補助金との二重申請ができないため、ものづくり補助金との棲み分けを整理してから判断する。</t>
    </r>
  </si>
  <si>
    <t xml:space="preserve">④ 持続化補助金</t>
  </si>
  <si>
    <t xml:space="preserve">○ 高い</t>
  </si>
  <si>
    <r>
      <rPr>
        <sz val="9"/>
        <color rgb="FF333333"/>
        <rFont val="Noto Sans CJK SC"/>
        <family val="2"/>
      </rPr>
      <t xml:space="preserve">工数が最も少なく確実性も高い。従業員</t>
    </r>
    <r>
      <rPr>
        <sz val="9"/>
        <color rgb="FF333333"/>
        <rFont val="Arial"/>
        <family val="0"/>
        <charset val="1"/>
      </rPr>
      <t xml:space="preserve">5</t>
    </r>
    <r>
      <rPr>
        <sz val="9"/>
        <color rgb="FF333333"/>
        <rFont val="Noto Sans CJK SC"/>
        <family val="2"/>
      </rPr>
      <t xml:space="preserve">名以下の要件さえ満たせばすぐ動ける。</t>
    </r>
    <r>
      <rPr>
        <sz val="9"/>
        <color rgb="FF333333"/>
        <rFont val="Arial"/>
        <family val="0"/>
        <charset val="1"/>
      </rPr>
      <t xml:space="preserve">LP</t>
    </r>
    <r>
      <rPr>
        <sz val="9"/>
        <color rgb="FF333333"/>
        <rFont val="Noto Sans CJK SC"/>
        <family val="2"/>
      </rPr>
      <t xml:space="preserve">改善・広告費・ロゴ制作費に使えて即効性あり。</t>
    </r>
  </si>
  <si>
    <t xml:space="preserve">★ 要確認</t>
  </si>
  <si>
    <t xml:space="preserve">○ 中程度</t>
  </si>
  <si>
    <r>
      <rPr>
        <sz val="9"/>
        <color rgb="FF333333"/>
        <rFont val="Arial"/>
        <family val="0"/>
        <charset val="1"/>
      </rPr>
      <t xml:space="preserve">JSC</t>
    </r>
    <r>
      <rPr>
        <sz val="9"/>
        <color rgb="FF333333"/>
        <rFont val="Noto Sans CJK SC"/>
        <family val="2"/>
      </rPr>
      <t xml:space="preserve">への事前照会が先決。株式会社での申請可否が確定すれば期待値は高い。</t>
    </r>
    <r>
      <rPr>
        <sz val="9"/>
        <color rgb="FF333333"/>
        <rFont val="Arial"/>
        <family val="0"/>
        <charset val="1"/>
      </rPr>
      <t xml:space="preserve">SFF</t>
    </r>
    <r>
      <rPr>
        <sz val="9"/>
        <color rgb="FF333333"/>
        <rFont val="Noto Sans CJK SC"/>
        <family val="2"/>
      </rPr>
      <t xml:space="preserve">大会費</t>
    </r>
    <r>
      <rPr>
        <sz val="9"/>
        <color rgb="FF333333"/>
        <rFont val="Arial"/>
        <family val="0"/>
        <charset val="1"/>
      </rPr>
      <t xml:space="preserve">300</t>
    </r>
    <r>
      <rPr>
        <sz val="9"/>
        <color rgb="FF333333"/>
        <rFont val="Noto Sans CJK SC"/>
        <family val="2"/>
      </rPr>
      <t xml:space="preserve">万円の</t>
    </r>
    <r>
      <rPr>
        <sz val="9"/>
        <color rgb="FF333333"/>
        <rFont val="Arial"/>
        <family val="0"/>
        <charset val="1"/>
      </rPr>
      <t xml:space="preserve">2/3</t>
    </r>
    <r>
      <rPr>
        <sz val="9"/>
        <color rgb="FF333333"/>
        <rFont val="Noto Sans CJK SC"/>
        <family val="2"/>
      </rPr>
      <t xml:space="preserve">助成は財務インパクト大。</t>
    </r>
  </si>
  <si>
    <t xml:space="preserve">★ 中長期</t>
  </si>
  <si>
    <r>
      <rPr>
        <sz val="9"/>
        <color rgb="FF333333"/>
        <rFont val="Noto Sans CJK SC"/>
        <family val="2"/>
      </rPr>
      <t xml:space="preserve">要件（就業規則整備＋正社員転換）を満たせばほぼ確実に受給。拡大期にマネージャー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Noto Sans CJK SC"/>
        <family val="2"/>
      </rPr>
      <t xml:space="preserve">名を正社員化する際に自動的に対象となる。今から就業規則を整備しておくことが重要。</t>
    </r>
  </si>
  <si>
    <t xml:space="preserve">合計（全件採択想定）</t>
  </si>
  <si>
    <r>
      <rPr>
        <b val="true"/>
        <sz val="12"/>
        <color rgb="FFFFFFFF"/>
        <rFont val="Noto Sans CJK SC"/>
        <family val="2"/>
      </rPr>
      <t xml:space="preserve">■ 期待値（</t>
    </r>
    <r>
      <rPr>
        <b val="true"/>
        <sz val="12"/>
        <color rgb="FFFFFFFF"/>
        <rFont val="Arial"/>
        <family val="0"/>
        <charset val="1"/>
      </rPr>
      <t xml:space="preserve">EV</t>
    </r>
    <r>
      <rPr>
        <b val="true"/>
        <sz val="12"/>
        <color rgb="FFFFFFFF"/>
        <rFont val="Noto Sans CJK SC"/>
        <family val="2"/>
      </rPr>
      <t xml:space="preserve">）サマリー：意思決定のポイント</t>
    </r>
  </si>
  <si>
    <t xml:space="preserve">楽観シナリオ（全件高確率採択）</t>
  </si>
  <si>
    <t xml:space="preserve">¥10,363,400</t>
  </si>
  <si>
    <t xml:space="preserve">全補助金を最高確率で採択した場合。可能性は低いが理論的な上限値。</t>
  </si>
  <si>
    <t xml:space="preserve">標準シナリオ（期待値ベース）</t>
  </si>
  <si>
    <t xml:space="preserve">¥7,643,750</t>
  </si>
  <si>
    <t xml:space="preserve">各補助金の採択確率中央値で加重した現実的な期待値。意思決定の基準にすべき数値。</t>
  </si>
  <si>
    <t xml:space="preserve">悲観シナリオ（全件低確率採択）</t>
  </si>
  <si>
    <t xml:space="preserve">¥3,906,900</t>
  </si>
  <si>
    <t xml:space="preserve">全補助金が低確率で採択された場合。最低限確保できる水準の目安。</t>
  </si>
  <si>
    <t xml:space="preserve">【推奨】まず確実に狙う組み合わせ</t>
  </si>
  <si>
    <t xml:space="preserve">¥4,057,750</t>
  </si>
  <si>
    <r>
      <rPr>
        <sz val="10"/>
        <color rgb="FF333333"/>
        <rFont val="Arial"/>
        <family val="0"/>
        <charset val="1"/>
      </rPr>
      <t xml:space="preserve">IT</t>
    </r>
    <r>
      <rPr>
        <sz val="10"/>
        <color rgb="FF333333"/>
        <rFont val="Noto Sans CJK SC"/>
        <family val="2"/>
      </rPr>
      <t xml:space="preserve">導入補助金（</t>
    </r>
    <r>
      <rPr>
        <sz val="10"/>
        <color rgb="FF333333"/>
        <rFont val="Arial"/>
        <family val="0"/>
        <charset val="1"/>
      </rPr>
      <t xml:space="preserve">EV152</t>
    </r>
    <r>
      <rPr>
        <sz val="10"/>
        <color rgb="FF333333"/>
        <rFont val="Noto Sans CJK SC"/>
        <family val="2"/>
      </rPr>
      <t xml:space="preserve">万）＋持続化補助金（</t>
    </r>
    <r>
      <rPr>
        <sz val="10"/>
        <color rgb="FF333333"/>
        <rFont val="Arial"/>
        <family val="0"/>
        <charset val="1"/>
      </rPr>
      <t xml:space="preserve">EV73</t>
    </r>
    <r>
      <rPr>
        <sz val="10"/>
        <color rgb="FF333333"/>
        <rFont val="Noto Sans CJK SC"/>
        <family val="2"/>
      </rPr>
      <t xml:space="preserve">万）＋キャリアアップ助成金（</t>
    </r>
    <r>
      <rPr>
        <sz val="10"/>
        <color rgb="FF333333"/>
        <rFont val="Arial"/>
        <family val="0"/>
        <charset val="1"/>
      </rPr>
      <t xml:space="preserve">EV180</t>
    </r>
    <r>
      <rPr>
        <sz val="10"/>
        <color rgb="FF333333"/>
        <rFont val="Noto Sans CJK SC"/>
        <family val="2"/>
      </rPr>
      <t xml:space="preserve">万）の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本。
工数少・確実性高の組み合わせ。合計</t>
    </r>
    <r>
      <rPr>
        <sz val="10"/>
        <color rgb="FF333333"/>
        <rFont val="Arial"/>
        <family val="0"/>
        <charset val="1"/>
      </rPr>
      <t xml:space="preserve">EV</t>
    </r>
    <r>
      <rPr>
        <sz val="10"/>
        <color rgb="FF333333"/>
        <rFont val="Noto Sans CJK SC"/>
        <family val="2"/>
      </rPr>
      <t xml:space="preserve">約</t>
    </r>
    <r>
      <rPr>
        <sz val="10"/>
        <color rgb="FF333333"/>
        <rFont val="Arial"/>
        <family val="0"/>
        <charset val="1"/>
      </rPr>
      <t xml:space="preserve">405</t>
    </r>
    <r>
      <rPr>
        <sz val="10"/>
        <color rgb="FF333333"/>
        <rFont val="Noto Sans CJK SC"/>
        <family val="2"/>
      </rPr>
      <t xml:space="preserve">万円が最もコスパが高い。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</si>
</sst>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\¥#,##0"/>
    <numFmt numFmtId="167" formatCode="0%"/>
  </numFmts>
  <fonts count="6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sz val="10"/>
      <color rgb="FF595959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b val="true"/>
      <sz val="12"/>
      <color rgb="FFFFFFFF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sz val="8"/>
      <color rgb="FFFFFFFF"/>
      <name val="Arial"/>
      <family val="0"/>
      <charset val="1"/>
    </font>
    <font>
      <sz val="8"/>
      <color rgb="FFFFFFFF"/>
      <name val="Noto Sans CJK SC"/>
      <family val="2"/>
    </font>
    <font>
      <sz val="8"/>
      <color rgb="FF595959"/>
      <name val="Noto Sans CJK SC"/>
      <family val="2"/>
      <charset val="1"/>
    </font>
    <font>
      <b val="true"/>
      <sz val="8"/>
      <color rgb="FFFFFFFF"/>
      <name val="Noto Sans CJK SC"/>
      <family val="2"/>
      <charset val="1"/>
    </font>
    <font>
      <sz val="8"/>
      <color rgb="FF595959"/>
      <name val="Arial"/>
      <family val="0"/>
      <charset val="1"/>
    </font>
    <font>
      <sz val="8"/>
      <color rgb="FF595959"/>
      <name val="Noto Sans CJK SC"/>
      <family val="2"/>
    </font>
    <font>
      <sz val="8"/>
      <color rgb="FFFFFFFF"/>
      <name val="Noto Sans CJK SC"/>
      <family val="2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FFFFFF"/>
      <name val="Noto Sans CJK SC"/>
      <family val="2"/>
    </font>
    <font>
      <b val="true"/>
      <sz val="11"/>
      <color rgb="FF7030A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sz val="9"/>
      <name val="Noto Sans CJK SC"/>
      <family val="2"/>
      <charset val="1"/>
    </font>
    <font>
      <b val="true"/>
      <sz val="11"/>
      <color rgb="FF0070C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BF8F00"/>
      <name val="Noto Sans CJK SC"/>
      <family val="2"/>
    </font>
    <font>
      <b val="true"/>
      <sz val="12"/>
      <color rgb="FF375623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b val="true"/>
      <sz val="10"/>
      <color rgb="FFBF8F00"/>
      <name val="Noto Sans CJK SC"/>
      <family val="2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2"/>
      <color rgb="FFBF8F00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595959"/>
      <name val="Noto Sans CJK SC"/>
      <family val="2"/>
    </font>
    <font>
      <sz val="9"/>
      <color rgb="FF333333"/>
      <name val="Noto Sans CJK SC"/>
      <family val="2"/>
    </font>
    <font>
      <sz val="9"/>
      <color rgb="FF333333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10"/>
      <color rgb="FF333333"/>
      <name val="Noto Sans CJK SC"/>
      <family val="2"/>
    </font>
    <font>
      <sz val="10"/>
      <color rgb="FF333333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9E2F3"/>
        <bgColor rgb="FFDEEAF1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CE4D6"/>
      </patternFill>
    </fill>
    <fill>
      <patternFill patternType="solid">
        <fgColor rgb="FFBF8F00"/>
        <bgColor rgb="FFED7D31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D9E2F3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7F7"/>
      </patternFill>
    </fill>
    <fill>
      <patternFill patternType="solid">
        <fgColor rgb="FF4472C4"/>
        <bgColor rgb="FF2E75B6"/>
      </patternFill>
    </fill>
    <fill>
      <patternFill patternType="solid">
        <fgColor rgb="FFA9D18E"/>
        <bgColor rgb="FFBFBFBF"/>
      </patternFill>
    </fill>
    <fill>
      <patternFill patternType="solid">
        <fgColor rgb="FFED7D31"/>
        <bgColor rgb="FFFF7F7F"/>
      </patternFill>
    </fill>
    <fill>
      <patternFill patternType="solid">
        <fgColor rgb="FFD9A0FF"/>
        <bgColor rgb="FFBFBFBF"/>
      </patternFill>
    </fill>
    <fill>
      <patternFill patternType="solid">
        <fgColor rgb="FFE9D1FF"/>
        <bgColor rgb="FFEAD1FF"/>
      </patternFill>
    </fill>
    <fill>
      <patternFill patternType="solid">
        <fgColor rgb="FF595959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EAD1FF"/>
        <bgColor rgb="FFE9D1FF"/>
      </patternFill>
    </fill>
    <fill>
      <patternFill patternType="solid">
        <fgColor rgb="FFEBF3FB"/>
        <bgColor rgb="FFF2F2F2"/>
      </patternFill>
    </fill>
    <fill>
      <patternFill patternType="solid">
        <fgColor rgb="FFF7F7F7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6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6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7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E0E0E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08080"/>
      <rgbColor rgb="FFE9D1FF"/>
      <rgbColor rgb="FF7030A0"/>
      <rgbColor rgb="FFFFF2CC"/>
      <rgbColor rgb="FFEBF3FB"/>
      <rgbColor rgb="FF660066"/>
      <rgbColor rgb="FFFF7F7F"/>
      <rgbColor rgb="FF0070C0"/>
      <rgbColor rgb="FFD0D0D0"/>
      <rgbColor rgb="FF000080"/>
      <rgbColor rgb="FFFF00FF"/>
      <rgbColor rgb="FFF7F7F7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A9D18E"/>
      <rgbColor rgb="FFEAD1FF"/>
      <rgbColor rgb="FFD9A0FF"/>
      <rgbColor rgb="FFFCE4D6"/>
      <rgbColor rgb="FF4472C4"/>
      <rgbColor rgb="FF33CCCC"/>
      <rgbColor rgb="FFD9E2F3"/>
      <rgbColor rgb="FFD9D9D9"/>
      <rgbColor rgb="FFBF8F00"/>
      <rgbColor rgb="FFED7D31"/>
      <rgbColor rgb="FF595959"/>
      <rgbColor rgb="FFB3B3B3"/>
      <rgbColor rgb="FF1B3A6B"/>
      <rgbColor rgb="FF339966"/>
      <rgbColor rgb="FF003300"/>
      <rgbColor rgb="FF37562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補助金別 期待値（EV）比較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期待値サマリー!F6</c:f>
              <c:strCache>
                <c:ptCount val="1"/>
                <c:pt idx="0">
                  <c:v>楽観ケース
補助額×採択率高</c:v>
                </c:pt>
              </c:strCache>
            </c:strRef>
          </c:tx>
          <c:spPr>
            <a:solidFill>
              <a:srgbClr val="a9d18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期待値サマリー!$A$7:$A$12</c:f>
              <c:strCache>
                <c:ptCount val="6"/>
                <c:pt idx="0">
                  <c:v>① IT導入補助金</c:v>
                </c:pt>
                <c:pt idx="1">
                  <c:v>② ものづくり補助金</c:v>
                </c:pt>
                <c:pt idx="2">
                  <c:v>③ 新事業進出補助金</c:v>
                </c:pt>
                <c:pt idx="3">
                  <c:v>④ 持続化補助金</c:v>
                </c:pt>
                <c:pt idx="4">
                  <c:v>⑤ スポーツ振興くじ助成</c:v>
                </c:pt>
                <c:pt idx="5">
                  <c:v>⑥ キャリアアップ助成金</c:v>
                </c:pt>
              </c:strCache>
            </c:strRef>
          </c:cat>
          <c:val>
            <c:numRef>
              <c:f>期待値サマリー!$F$7:$F$12</c:f>
              <c:numCache>
                <c:formatCode>\¥#,##0</c:formatCode>
                <c:ptCount val="6"/>
                <c:pt idx="0">
                  <c:v>1584000</c:v>
                </c:pt>
                <c:pt idx="1">
                  <c:v>3960000</c:v>
                </c:pt>
                <c:pt idx="2">
                  <c:v>500000</c:v>
                </c:pt>
                <c:pt idx="3">
                  <c:v>1066400</c:v>
                </c:pt>
                <c:pt idx="4">
                  <c:v>1333000</c:v>
                </c:pt>
                <c:pt idx="5">
                  <c:v>1920000</c:v>
                </c:pt>
              </c:numCache>
            </c:numRef>
          </c:val>
        </c:ser>
        <c:ser>
          <c:idx val="1"/>
          <c:order val="1"/>
          <c:tx>
            <c:strRef>
              <c:f>期待値サマリー!E6</c:f>
              <c:strCache>
                <c:ptCount val="1"/>
                <c:pt idx="0">
                  <c:v>期待値
（EV）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期待値サマリー!$A$7:$A$12</c:f>
              <c:strCache>
                <c:ptCount val="6"/>
                <c:pt idx="0">
                  <c:v>① IT導入補助金</c:v>
                </c:pt>
                <c:pt idx="1">
                  <c:v>② ものづくり補助金</c:v>
                </c:pt>
                <c:pt idx="2">
                  <c:v>③ 新事業進出補助金</c:v>
                </c:pt>
                <c:pt idx="3">
                  <c:v>④ 持続化補助金</c:v>
                </c:pt>
                <c:pt idx="4">
                  <c:v>⑤ スポーツ振興くじ助成</c:v>
                </c:pt>
                <c:pt idx="5">
                  <c:v>⑥ キャリアアップ助成金</c:v>
                </c:pt>
              </c:strCache>
            </c:strRef>
          </c:cat>
          <c:val>
            <c:numRef>
              <c:f>期待値サマリー!$E$7:$E$12</c:f>
              <c:numCache>
                <c:formatCode>\¥#,##0</c:formatCode>
                <c:ptCount val="6"/>
                <c:pt idx="0">
                  <c:v>1524600</c:v>
                </c:pt>
                <c:pt idx="1">
                  <c:v>2376000</c:v>
                </c:pt>
                <c:pt idx="2">
                  <c:v>350000</c:v>
                </c:pt>
                <c:pt idx="3">
                  <c:v>733150</c:v>
                </c:pt>
                <c:pt idx="4">
                  <c:v>860000</c:v>
                </c:pt>
                <c:pt idx="5">
                  <c:v>1800000</c:v>
                </c:pt>
              </c:numCache>
            </c:numRef>
          </c:val>
        </c:ser>
        <c:ser>
          <c:idx val="2"/>
          <c:order val="2"/>
          <c:tx>
            <c:strRef>
              <c:f>期待値サマリー!G6</c:f>
              <c:strCache>
                <c:ptCount val="1"/>
                <c:pt idx="0">
                  <c:v>悲観ケース
補助額×採択率低</c:v>
                </c:pt>
              </c:strCache>
            </c:strRef>
          </c:tx>
          <c:spPr>
            <a:solidFill>
              <a:srgbClr val="ff7f7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期待値サマリー!$A$7:$A$12</c:f>
              <c:strCache>
                <c:ptCount val="6"/>
                <c:pt idx="0">
                  <c:v>① IT導入補助金</c:v>
                </c:pt>
                <c:pt idx="1">
                  <c:v>② ものづくり補助金</c:v>
                </c:pt>
                <c:pt idx="2">
                  <c:v>③ 新事業進出補助金</c:v>
                </c:pt>
                <c:pt idx="3">
                  <c:v>④ 持続化補助金</c:v>
                </c:pt>
                <c:pt idx="4">
                  <c:v>⑤ スポーツ振興くじ助成</c:v>
                </c:pt>
                <c:pt idx="5">
                  <c:v>⑥ キャリアアップ助成金</c:v>
                </c:pt>
              </c:strCache>
            </c:strRef>
          </c:cat>
          <c:val>
            <c:numRef>
              <c:f>期待値サマリー!$G$7:$G$12</c:f>
              <c:numCache>
                <c:formatCode>\¥#,##0</c:formatCode>
                <c:ptCount val="6"/>
                <c:pt idx="0">
                  <c:v>1188000</c:v>
                </c:pt>
                <c:pt idx="1">
                  <c:v>594000</c:v>
                </c:pt>
                <c:pt idx="2">
                  <c:v>125000</c:v>
                </c:pt>
                <c:pt idx="3">
                  <c:v>399900</c:v>
                </c:pt>
                <c:pt idx="4">
                  <c:v>400000</c:v>
                </c:pt>
                <c:pt idx="5">
                  <c:v>1200000</c:v>
                </c:pt>
              </c:numCache>
            </c:numRef>
          </c:val>
        </c:ser>
        <c:gapWidth val="150"/>
        <c:overlap val="0"/>
        <c:axId val="15160924"/>
        <c:axId val="32118746"/>
      </c:barChart>
      <c:catAx>
        <c:axId val="15160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8746"/>
        <c:crosses val="autoZero"/>
        <c:auto val="1"/>
        <c:lblAlgn val="ctr"/>
        <c:lblOffset val="100"/>
        <c:noMultiLvlLbl val="0"/>
      </c:catAx>
      <c:valAx>
        <c:axId val="321187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金額（円）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¥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60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6</xdr:col>
      <xdr:colOff>730080</xdr:colOff>
      <xdr:row>47</xdr:row>
      <xdr:rowOff>86760</xdr:rowOff>
    </xdr:to>
    <xdr:graphicFrame>
      <xdr:nvGraphicFramePr>
        <xdr:cNvPr id="0" name="Chart 1"/>
        <xdr:cNvGraphicFramePr/>
      </xdr:nvGraphicFramePr>
      <xdr:xfrm>
        <a:off x="0" y="11592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7" min="6" style="1" width="12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0" min="10" style="1" width="28"/>
    <col collapsed="false" customWidth="true" hidden="false" outlineLevel="0" max="12" min="11" style="1" width="3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1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7.5" hidden="false" customHeight="true" outlineLevel="0" collapsed="false"/>
    <row r="4" customFormat="false" ht="5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 t="s">
        <v>14</v>
      </c>
      <c r="N4" s="4" t="s">
        <v>15</v>
      </c>
      <c r="O4" s="4" t="s">
        <v>16</v>
      </c>
    </row>
    <row r="5" customFormat="false" ht="99.75" hidden="false" customHeight="true" outlineLevel="0" collapsed="false">
      <c r="A5" s="6" t="s">
        <v>17</v>
      </c>
      <c r="B5" s="7" t="s">
        <v>18</v>
      </c>
      <c r="C5" s="7" t="s">
        <v>19</v>
      </c>
      <c r="D5" s="8" t="s">
        <v>20</v>
      </c>
      <c r="E5" s="8" t="s">
        <v>21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28</v>
      </c>
      <c r="M5" s="7" t="s">
        <v>29</v>
      </c>
      <c r="N5" s="9" t="n">
        <v>9</v>
      </c>
      <c r="O5" s="10" t="s">
        <v>30</v>
      </c>
    </row>
    <row r="6" customFormat="false" ht="99.75" hidden="false" customHeight="true" outlineLevel="0" collapsed="false">
      <c r="A6" s="11" t="s">
        <v>31</v>
      </c>
      <c r="B6" s="12" t="s">
        <v>32</v>
      </c>
      <c r="C6" s="13" t="s">
        <v>33</v>
      </c>
      <c r="D6" s="13" t="s">
        <v>34</v>
      </c>
      <c r="E6" s="13" t="s">
        <v>35</v>
      </c>
      <c r="F6" s="12" t="s">
        <v>36</v>
      </c>
      <c r="G6" s="12" t="s">
        <v>22</v>
      </c>
      <c r="H6" s="12" t="s">
        <v>37</v>
      </c>
      <c r="I6" s="12" t="s">
        <v>38</v>
      </c>
      <c r="J6" s="12" t="s">
        <v>39</v>
      </c>
      <c r="K6" s="12" t="s">
        <v>40</v>
      </c>
      <c r="L6" s="12" t="s">
        <v>41</v>
      </c>
      <c r="M6" s="12" t="s">
        <v>42</v>
      </c>
      <c r="N6" s="14" t="n">
        <v>7</v>
      </c>
      <c r="O6" s="15" t="s">
        <v>43</v>
      </c>
    </row>
    <row r="7" customFormat="false" ht="99.75" hidden="false" customHeight="true" outlineLevel="0" collapsed="false">
      <c r="A7" s="11" t="s">
        <v>44</v>
      </c>
      <c r="B7" s="16" t="s">
        <v>45</v>
      </c>
      <c r="C7" s="16" t="s">
        <v>46</v>
      </c>
      <c r="D7" s="17" t="s">
        <v>47</v>
      </c>
      <c r="E7" s="17" t="s">
        <v>48</v>
      </c>
      <c r="F7" s="16" t="s">
        <v>49</v>
      </c>
      <c r="G7" s="16" t="s">
        <v>50</v>
      </c>
      <c r="H7" s="16" t="s">
        <v>51</v>
      </c>
      <c r="I7" s="16" t="s">
        <v>52</v>
      </c>
      <c r="J7" s="16" t="s">
        <v>53</v>
      </c>
      <c r="K7" s="16" t="s">
        <v>54</v>
      </c>
      <c r="L7" s="16" t="s">
        <v>55</v>
      </c>
      <c r="M7" s="16" t="s">
        <v>56</v>
      </c>
      <c r="N7" s="18" t="n">
        <v>5</v>
      </c>
      <c r="O7" s="19" t="s">
        <v>57</v>
      </c>
    </row>
    <row r="8" customFormat="false" ht="99.75" hidden="false" customHeight="true" outlineLevel="0" collapsed="false">
      <c r="A8" s="11" t="s">
        <v>58</v>
      </c>
      <c r="B8" s="12" t="s">
        <v>59</v>
      </c>
      <c r="C8" s="12" t="s">
        <v>60</v>
      </c>
      <c r="D8" s="13" t="s">
        <v>61</v>
      </c>
      <c r="E8" s="13" t="s">
        <v>62</v>
      </c>
      <c r="F8" s="12" t="s">
        <v>63</v>
      </c>
      <c r="G8" s="12" t="s">
        <v>64</v>
      </c>
      <c r="H8" s="12" t="s">
        <v>65</v>
      </c>
      <c r="I8" s="12" t="s">
        <v>66</v>
      </c>
      <c r="J8" s="12" t="s">
        <v>67</v>
      </c>
      <c r="K8" s="12" t="s">
        <v>68</v>
      </c>
      <c r="L8" s="12" t="s">
        <v>69</v>
      </c>
      <c r="M8" s="12" t="s">
        <v>70</v>
      </c>
      <c r="N8" s="14" t="n">
        <v>7</v>
      </c>
      <c r="O8" s="15" t="s">
        <v>71</v>
      </c>
    </row>
    <row r="9" customFormat="false" ht="99.75" hidden="false" customHeight="true" outlineLevel="0" collapsed="false">
      <c r="A9" s="11" t="s">
        <v>72</v>
      </c>
      <c r="B9" s="20" t="s">
        <v>73</v>
      </c>
      <c r="C9" s="20" t="s">
        <v>74</v>
      </c>
      <c r="D9" s="20" t="s">
        <v>75</v>
      </c>
      <c r="E9" s="21" t="s">
        <v>76</v>
      </c>
      <c r="F9" s="20" t="s">
        <v>36</v>
      </c>
      <c r="G9" s="20" t="s">
        <v>36</v>
      </c>
      <c r="H9" s="20" t="s">
        <v>77</v>
      </c>
      <c r="I9" s="20" t="s">
        <v>78</v>
      </c>
      <c r="J9" s="20" t="s">
        <v>79</v>
      </c>
      <c r="K9" s="20" t="s">
        <v>80</v>
      </c>
      <c r="L9" s="20" t="s">
        <v>81</v>
      </c>
      <c r="M9" s="20" t="s">
        <v>82</v>
      </c>
      <c r="N9" s="14" t="n">
        <v>6</v>
      </c>
      <c r="O9" s="11" t="s">
        <v>83</v>
      </c>
    </row>
    <row r="10" customFormat="false" ht="99.75" hidden="false" customHeight="true" outlineLevel="0" collapsed="false">
      <c r="A10" s="11" t="s">
        <v>84</v>
      </c>
      <c r="B10" s="20" t="s">
        <v>85</v>
      </c>
      <c r="C10" s="21" t="s">
        <v>86</v>
      </c>
      <c r="D10" s="20" t="s">
        <v>87</v>
      </c>
      <c r="E10" s="21" t="s">
        <v>88</v>
      </c>
      <c r="F10" s="20" t="s">
        <v>22</v>
      </c>
      <c r="G10" s="20" t="s">
        <v>23</v>
      </c>
      <c r="H10" s="20" t="s">
        <v>89</v>
      </c>
      <c r="I10" s="20" t="s">
        <v>90</v>
      </c>
      <c r="J10" s="20" t="s">
        <v>91</v>
      </c>
      <c r="K10" s="20" t="s">
        <v>92</v>
      </c>
      <c r="L10" s="20" t="s">
        <v>93</v>
      </c>
      <c r="M10" s="20" t="s">
        <v>94</v>
      </c>
      <c r="N10" s="14" t="n">
        <v>6</v>
      </c>
      <c r="O10" s="11" t="s">
        <v>95</v>
      </c>
    </row>
    <row r="12" customFormat="false" ht="19.5" hidden="false" customHeight="true" outlineLevel="0" collapsed="false">
      <c r="A12" s="22" t="s">
        <v>96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4" customFormat="false" ht="27.75" hidden="false" customHeight="true" outlineLevel="0" collapsed="false">
      <c r="A14" s="23" t="s">
        <v>97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customFormat="false" ht="48" hidden="false" customHeight="true" outlineLevel="0" collapsed="false">
      <c r="A15" s="24" t="s">
        <v>98</v>
      </c>
      <c r="B15" s="24"/>
      <c r="C15" s="24"/>
      <c r="D15" s="25" t="s">
        <v>99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customFormat="false" ht="48" hidden="false" customHeight="true" outlineLevel="0" collapsed="false">
      <c r="A16" s="26" t="s">
        <v>100</v>
      </c>
      <c r="B16" s="26"/>
      <c r="C16" s="26"/>
      <c r="D16" s="27" t="s">
        <v>101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customFormat="false" ht="48" hidden="false" customHeight="true" outlineLevel="0" collapsed="false">
      <c r="A17" s="28" t="s">
        <v>102</v>
      </c>
      <c r="B17" s="28"/>
      <c r="C17" s="28"/>
      <c r="D17" s="27" t="s">
        <v>103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</sheetData>
  <mergeCells count="10">
    <mergeCell ref="A1:O1"/>
    <mergeCell ref="A2:O2"/>
    <mergeCell ref="A12:O12"/>
    <mergeCell ref="A14:O14"/>
    <mergeCell ref="A15:C15"/>
    <mergeCell ref="D15:O15"/>
    <mergeCell ref="A16:C16"/>
    <mergeCell ref="D16:O16"/>
    <mergeCell ref="A17:C17"/>
    <mergeCell ref="D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17" min="5" style="1" width="9"/>
  </cols>
  <sheetData>
    <row r="1" customFormat="false" ht="37.5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A2" s="29" t="s">
        <v>105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customFormat="false" ht="7.5" hidden="false" customHeight="true" outlineLevel="0" collapsed="false"/>
    <row r="4" customFormat="false" ht="36" hidden="false" customHeight="true" outlineLevel="0" collapsed="false">
      <c r="A4" s="30" t="s">
        <v>106</v>
      </c>
      <c r="B4" s="30" t="s">
        <v>107</v>
      </c>
      <c r="C4" s="30" t="s">
        <v>108</v>
      </c>
      <c r="D4" s="30" t="s">
        <v>109</v>
      </c>
      <c r="E4" s="31" t="s">
        <v>110</v>
      </c>
      <c r="F4" s="31" t="s">
        <v>111</v>
      </c>
      <c r="G4" s="31" t="s">
        <v>112</v>
      </c>
      <c r="H4" s="31" t="s">
        <v>113</v>
      </c>
      <c r="I4" s="31" t="s">
        <v>114</v>
      </c>
      <c r="J4" s="31" t="s">
        <v>115</v>
      </c>
      <c r="K4" s="31" t="s">
        <v>116</v>
      </c>
      <c r="L4" s="31" t="s">
        <v>117</v>
      </c>
      <c r="M4" s="31" t="s">
        <v>118</v>
      </c>
      <c r="N4" s="31" t="s">
        <v>119</v>
      </c>
      <c r="O4" s="31" t="s">
        <v>120</v>
      </c>
      <c r="P4" s="31" t="s">
        <v>121</v>
      </c>
      <c r="Q4" s="31" t="s">
        <v>122</v>
      </c>
    </row>
    <row r="5" customFormat="false" ht="24" hidden="false" customHeight="true" outlineLevel="0" collapsed="false">
      <c r="A5" s="32" t="s">
        <v>123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customFormat="false" ht="37.5" hidden="false" customHeight="true" outlineLevel="0" collapsed="false">
      <c r="A6" s="33" t="s">
        <v>124</v>
      </c>
      <c r="B6" s="34" t="s">
        <v>125</v>
      </c>
      <c r="C6" s="35" t="s">
        <v>126</v>
      </c>
      <c r="D6" s="36" t="s">
        <v>127</v>
      </c>
      <c r="E6" s="37" t="s">
        <v>128</v>
      </c>
      <c r="F6" s="38" t="s">
        <v>129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</row>
    <row r="7" customFormat="false" ht="37.5" hidden="false" customHeight="true" outlineLevel="0" collapsed="false">
      <c r="A7" s="40" t="s">
        <v>130</v>
      </c>
      <c r="B7" s="34" t="s">
        <v>125</v>
      </c>
      <c r="C7" s="35" t="s">
        <v>131</v>
      </c>
      <c r="D7" s="36" t="s">
        <v>127</v>
      </c>
      <c r="E7" s="37" t="s">
        <v>132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customFormat="false" ht="37.5" hidden="false" customHeight="true" outlineLevel="0" collapsed="false">
      <c r="A8" s="40" t="s">
        <v>133</v>
      </c>
      <c r="B8" s="34" t="s">
        <v>125</v>
      </c>
      <c r="C8" s="41" t="s">
        <v>134</v>
      </c>
      <c r="D8" s="36" t="s">
        <v>127</v>
      </c>
      <c r="E8" s="37" t="s">
        <v>135</v>
      </c>
      <c r="F8" s="42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customFormat="false" ht="37.5" hidden="false" customHeight="true" outlineLevel="0" collapsed="false">
      <c r="A9" s="40" t="s">
        <v>136</v>
      </c>
      <c r="B9" s="34" t="s">
        <v>125</v>
      </c>
      <c r="C9" s="41" t="s">
        <v>137</v>
      </c>
      <c r="D9" s="36" t="s">
        <v>127</v>
      </c>
      <c r="E9" s="39"/>
      <c r="F9" s="43" t="s">
        <v>138</v>
      </c>
      <c r="G9" s="44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customFormat="false" ht="37.5" hidden="false" customHeight="true" outlineLevel="0" collapsed="false">
      <c r="A10" s="45" t="s">
        <v>139</v>
      </c>
      <c r="B10" s="34" t="s">
        <v>125</v>
      </c>
      <c r="C10" s="35" t="s">
        <v>140</v>
      </c>
      <c r="D10" s="36" t="s">
        <v>127</v>
      </c>
      <c r="E10" s="39"/>
      <c r="F10" s="39"/>
      <c r="G10" s="39"/>
      <c r="H10" s="38" t="s">
        <v>141</v>
      </c>
      <c r="I10" s="39"/>
      <c r="J10" s="39"/>
      <c r="K10" s="39"/>
      <c r="L10" s="39"/>
      <c r="M10" s="39"/>
      <c r="N10" s="39"/>
      <c r="O10" s="39"/>
      <c r="P10" s="39"/>
      <c r="Q10" s="39"/>
    </row>
    <row r="11" customFormat="false" ht="37.5" hidden="false" customHeight="true" outlineLevel="0" collapsed="false">
      <c r="A11" s="40" t="s">
        <v>142</v>
      </c>
      <c r="B11" s="34" t="s">
        <v>125</v>
      </c>
      <c r="C11" s="35" t="s">
        <v>143</v>
      </c>
      <c r="D11" s="36" t="s">
        <v>127</v>
      </c>
      <c r="E11" s="39"/>
      <c r="F11" s="39"/>
      <c r="G11" s="39"/>
      <c r="H11" s="46"/>
      <c r="I11" s="38" t="s">
        <v>144</v>
      </c>
      <c r="J11" s="46"/>
      <c r="K11" s="46"/>
      <c r="L11" s="39"/>
      <c r="M11" s="39"/>
      <c r="N11" s="39"/>
      <c r="O11" s="39"/>
      <c r="P11" s="39"/>
      <c r="Q11" s="39"/>
    </row>
    <row r="12" customFormat="false" ht="37.5" hidden="false" customHeight="true" outlineLevel="0" collapsed="false">
      <c r="A12" s="40" t="s">
        <v>145</v>
      </c>
      <c r="B12" s="34" t="s">
        <v>125</v>
      </c>
      <c r="C12" s="35" t="s">
        <v>146</v>
      </c>
      <c r="D12" s="36" t="s">
        <v>127</v>
      </c>
      <c r="E12" s="39"/>
      <c r="F12" s="39"/>
      <c r="G12" s="39"/>
      <c r="H12" s="39"/>
      <c r="I12" s="39"/>
      <c r="J12" s="39"/>
      <c r="K12" s="39"/>
      <c r="L12" s="47" t="s">
        <v>147</v>
      </c>
      <c r="M12" s="48"/>
      <c r="N12" s="39"/>
      <c r="O12" s="39"/>
      <c r="P12" s="39"/>
      <c r="Q12" s="39"/>
    </row>
    <row r="13" customFormat="false" ht="24" hidden="false" customHeight="true" outlineLevel="0" collapsed="false">
      <c r="A13" s="49" t="s">
        <v>148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</row>
    <row r="14" customFormat="false" ht="37.5" hidden="false" customHeight="true" outlineLevel="0" collapsed="false">
      <c r="A14" s="45" t="s">
        <v>149</v>
      </c>
      <c r="B14" s="50" t="s">
        <v>150</v>
      </c>
      <c r="C14" s="41" t="s">
        <v>151</v>
      </c>
      <c r="D14" s="51" t="s">
        <v>152</v>
      </c>
      <c r="E14" s="37" t="s">
        <v>132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</row>
    <row r="15" customFormat="false" ht="37.5" hidden="false" customHeight="true" outlineLevel="0" collapsed="false">
      <c r="A15" s="45" t="s">
        <v>153</v>
      </c>
      <c r="B15" s="50" t="s">
        <v>150</v>
      </c>
      <c r="C15" s="35" t="s">
        <v>154</v>
      </c>
      <c r="D15" s="51" t="s">
        <v>152</v>
      </c>
      <c r="E15" s="39"/>
      <c r="F15" s="37" t="s">
        <v>155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customFormat="false" ht="37.5" hidden="false" customHeight="true" outlineLevel="0" collapsed="false">
      <c r="A16" s="45" t="s">
        <v>156</v>
      </c>
      <c r="B16" s="50" t="s">
        <v>150</v>
      </c>
      <c r="C16" s="41" t="s">
        <v>157</v>
      </c>
      <c r="D16" s="51" t="s">
        <v>152</v>
      </c>
      <c r="E16" s="39"/>
      <c r="F16" s="37" t="s">
        <v>158</v>
      </c>
      <c r="G16" s="42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customFormat="false" ht="37.5" hidden="false" customHeight="true" outlineLevel="0" collapsed="false">
      <c r="A17" s="45" t="s">
        <v>159</v>
      </c>
      <c r="B17" s="50" t="s">
        <v>150</v>
      </c>
      <c r="C17" s="41" t="s">
        <v>160</v>
      </c>
      <c r="D17" s="51" t="s">
        <v>152</v>
      </c>
      <c r="E17" s="39"/>
      <c r="F17" s="39"/>
      <c r="G17" s="43" t="s">
        <v>161</v>
      </c>
      <c r="H17" s="38" t="s">
        <v>162</v>
      </c>
      <c r="I17" s="46"/>
      <c r="J17" s="39"/>
      <c r="K17" s="39"/>
      <c r="L17" s="39"/>
      <c r="M17" s="39"/>
      <c r="N17" s="39"/>
      <c r="O17" s="39"/>
      <c r="P17" s="39"/>
      <c r="Q17" s="39"/>
    </row>
    <row r="18" customFormat="false" ht="37.5" hidden="false" customHeight="true" outlineLevel="0" collapsed="false">
      <c r="A18" s="45" t="s">
        <v>163</v>
      </c>
      <c r="B18" s="50" t="s">
        <v>150</v>
      </c>
      <c r="C18" s="35" t="s">
        <v>164</v>
      </c>
      <c r="D18" s="51" t="s">
        <v>152</v>
      </c>
      <c r="E18" s="39"/>
      <c r="F18" s="39"/>
      <c r="G18" s="39"/>
      <c r="H18" s="39"/>
      <c r="I18" s="46"/>
      <c r="J18" s="46"/>
      <c r="K18" s="38" t="s">
        <v>165</v>
      </c>
      <c r="L18" s="46"/>
      <c r="M18" s="46"/>
      <c r="N18" s="39"/>
      <c r="O18" s="39"/>
      <c r="P18" s="39"/>
      <c r="Q18" s="39"/>
    </row>
    <row r="19" customFormat="false" ht="37.5" hidden="false" customHeight="true" outlineLevel="0" collapsed="false">
      <c r="A19" s="45" t="s">
        <v>166</v>
      </c>
      <c r="B19" s="50" t="s">
        <v>150</v>
      </c>
      <c r="C19" s="35"/>
      <c r="D19" s="51" t="s">
        <v>152</v>
      </c>
      <c r="E19" s="39"/>
      <c r="F19" s="39"/>
      <c r="G19" s="39"/>
      <c r="H19" s="39"/>
      <c r="I19" s="39"/>
      <c r="J19" s="39"/>
      <c r="K19" s="39"/>
      <c r="L19" s="39"/>
      <c r="M19" s="39"/>
      <c r="N19" s="47" t="s">
        <v>147</v>
      </c>
      <c r="O19" s="48"/>
      <c r="P19" s="39"/>
      <c r="Q19" s="39"/>
    </row>
    <row r="20" customFormat="false" ht="24" hidden="false" customHeight="true" outlineLevel="0" collapsed="false">
      <c r="A20" s="52" t="s">
        <v>167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customFormat="false" ht="37.5" hidden="false" customHeight="true" outlineLevel="0" collapsed="false">
      <c r="A21" s="40" t="s">
        <v>168</v>
      </c>
      <c r="B21" s="53" t="s">
        <v>169</v>
      </c>
      <c r="C21" s="35" t="s">
        <v>170</v>
      </c>
      <c r="D21" s="54" t="s">
        <v>171</v>
      </c>
      <c r="E21" s="55"/>
      <c r="F21" s="55"/>
      <c r="G21" s="56" t="s">
        <v>172</v>
      </c>
      <c r="H21" s="55"/>
      <c r="I21" s="55"/>
      <c r="J21" s="55"/>
      <c r="K21" s="39"/>
      <c r="L21" s="39"/>
      <c r="M21" s="39"/>
      <c r="N21" s="39"/>
      <c r="O21" s="39"/>
      <c r="P21" s="39"/>
      <c r="Q21" s="39"/>
    </row>
    <row r="22" customFormat="false" ht="37.5" hidden="false" customHeight="true" outlineLevel="0" collapsed="false">
      <c r="A22" s="45" t="s">
        <v>173</v>
      </c>
      <c r="B22" s="53" t="s">
        <v>169</v>
      </c>
      <c r="C22" s="35" t="s">
        <v>174</v>
      </c>
      <c r="D22" s="54" t="s">
        <v>171</v>
      </c>
      <c r="E22" s="39"/>
      <c r="F22" s="42"/>
      <c r="G22" s="37" t="s">
        <v>175</v>
      </c>
      <c r="H22" s="42"/>
      <c r="I22" s="39"/>
      <c r="J22" s="39"/>
      <c r="K22" s="39"/>
      <c r="L22" s="39"/>
      <c r="M22" s="39"/>
      <c r="N22" s="39"/>
      <c r="O22" s="39"/>
      <c r="P22" s="39"/>
      <c r="Q22" s="39"/>
    </row>
    <row r="23" customFormat="false" ht="37.5" hidden="false" customHeight="true" outlineLevel="0" collapsed="false">
      <c r="A23" s="45" t="s">
        <v>176</v>
      </c>
      <c r="B23" s="53" t="s">
        <v>169</v>
      </c>
      <c r="C23" s="41" t="s">
        <v>177</v>
      </c>
      <c r="D23" s="54" t="s">
        <v>171</v>
      </c>
      <c r="E23" s="39"/>
      <c r="F23" s="39"/>
      <c r="G23" s="39"/>
      <c r="H23" s="42"/>
      <c r="I23" s="37" t="s">
        <v>158</v>
      </c>
      <c r="J23" s="42"/>
      <c r="K23" s="39"/>
      <c r="L23" s="39"/>
      <c r="M23" s="39"/>
      <c r="N23" s="39"/>
      <c r="O23" s="39"/>
      <c r="P23" s="39"/>
      <c r="Q23" s="39"/>
    </row>
    <row r="24" customFormat="false" ht="37.5" hidden="false" customHeight="true" outlineLevel="0" collapsed="false">
      <c r="A24" s="45" t="s">
        <v>178</v>
      </c>
      <c r="B24" s="53" t="s">
        <v>169</v>
      </c>
      <c r="C24" s="35" t="s">
        <v>179</v>
      </c>
      <c r="D24" s="54" t="s">
        <v>171</v>
      </c>
      <c r="E24" s="39"/>
      <c r="F24" s="39"/>
      <c r="G24" s="39"/>
      <c r="H24" s="39"/>
      <c r="I24" s="39"/>
      <c r="J24" s="43" t="s">
        <v>161</v>
      </c>
      <c r="K24" s="46"/>
      <c r="L24" s="38" t="s">
        <v>180</v>
      </c>
      <c r="M24" s="46"/>
      <c r="N24" s="39"/>
      <c r="O24" s="39"/>
      <c r="P24" s="39"/>
      <c r="Q24" s="39"/>
    </row>
    <row r="25" customFormat="false" ht="37.5" hidden="false" customHeight="true" outlineLevel="0" collapsed="false">
      <c r="A25" s="40" t="s">
        <v>181</v>
      </c>
      <c r="B25" s="53" t="s">
        <v>169</v>
      </c>
      <c r="C25" s="35" t="s">
        <v>182</v>
      </c>
      <c r="D25" s="54" t="s">
        <v>171</v>
      </c>
      <c r="E25" s="39"/>
      <c r="F25" s="39"/>
      <c r="G25" s="39"/>
      <c r="H25" s="39"/>
      <c r="I25" s="39"/>
      <c r="J25" s="39"/>
      <c r="K25" s="39"/>
      <c r="L25" s="39"/>
      <c r="M25" s="46"/>
      <c r="N25" s="57" t="s">
        <v>183</v>
      </c>
      <c r="O25" s="46"/>
      <c r="P25" s="46"/>
      <c r="Q25" s="39"/>
    </row>
    <row r="26" customFormat="false" ht="37.5" hidden="false" customHeight="true" outlineLevel="0" collapsed="false">
      <c r="A26" s="45" t="s">
        <v>184</v>
      </c>
      <c r="B26" s="53" t="s">
        <v>169</v>
      </c>
      <c r="C26" s="35"/>
      <c r="D26" s="54" t="s">
        <v>171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7" t="s">
        <v>185</v>
      </c>
    </row>
    <row r="27" customFormat="false" ht="24" hidden="false" customHeight="true" outlineLevel="0" collapsed="false">
      <c r="A27" s="58" t="s">
        <v>186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customFormat="false" ht="37.5" hidden="false" customHeight="true" outlineLevel="0" collapsed="false">
      <c r="A28" s="40" t="s">
        <v>187</v>
      </c>
      <c r="B28" s="59" t="s">
        <v>188</v>
      </c>
      <c r="C28" s="35" t="s">
        <v>189</v>
      </c>
      <c r="D28" s="54" t="s">
        <v>171</v>
      </c>
      <c r="E28" s="60" t="s">
        <v>190</v>
      </c>
      <c r="F28" s="42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customFormat="false" ht="37.5" hidden="false" customHeight="true" outlineLevel="0" collapsed="false">
      <c r="A29" s="45" t="s">
        <v>191</v>
      </c>
      <c r="B29" s="59" t="s">
        <v>188</v>
      </c>
      <c r="C29" s="35" t="s">
        <v>192</v>
      </c>
      <c r="D29" s="54" t="s">
        <v>171</v>
      </c>
      <c r="E29" s="39"/>
      <c r="F29" s="42"/>
      <c r="G29" s="37" t="s">
        <v>193</v>
      </c>
      <c r="H29" s="42"/>
      <c r="I29" s="39"/>
      <c r="J29" s="39"/>
      <c r="K29" s="39"/>
      <c r="L29" s="39"/>
      <c r="M29" s="39"/>
      <c r="N29" s="39"/>
      <c r="O29" s="39"/>
      <c r="P29" s="39"/>
      <c r="Q29" s="39"/>
    </row>
    <row r="30" customFormat="false" ht="37.5" hidden="false" customHeight="true" outlineLevel="0" collapsed="false">
      <c r="A30" s="45" t="s">
        <v>194</v>
      </c>
      <c r="B30" s="59" t="s">
        <v>188</v>
      </c>
      <c r="C30" s="41" t="s">
        <v>195</v>
      </c>
      <c r="D30" s="54" t="s">
        <v>171</v>
      </c>
      <c r="E30" s="39"/>
      <c r="F30" s="39"/>
      <c r="G30" s="39"/>
      <c r="H30" s="43" t="s">
        <v>161</v>
      </c>
      <c r="I30" s="38" t="s">
        <v>162</v>
      </c>
      <c r="J30" s="46"/>
      <c r="K30" s="39"/>
      <c r="L30" s="39"/>
      <c r="M30" s="39"/>
      <c r="N30" s="39"/>
      <c r="O30" s="39"/>
      <c r="P30" s="39"/>
      <c r="Q30" s="39"/>
    </row>
    <row r="31" customFormat="false" ht="37.5" hidden="false" customHeight="true" outlineLevel="0" collapsed="false">
      <c r="A31" s="40" t="s">
        <v>196</v>
      </c>
      <c r="B31" s="59" t="s">
        <v>188</v>
      </c>
      <c r="C31" s="41" t="s">
        <v>197</v>
      </c>
      <c r="D31" s="54" t="s">
        <v>171</v>
      </c>
      <c r="E31" s="39"/>
      <c r="F31" s="39"/>
      <c r="G31" s="39"/>
      <c r="H31" s="39"/>
      <c r="I31" s="39"/>
      <c r="J31" s="61" t="s">
        <v>198</v>
      </c>
      <c r="K31" s="46"/>
      <c r="L31" s="39"/>
      <c r="M31" s="39"/>
      <c r="N31" s="39"/>
      <c r="O31" s="39"/>
      <c r="P31" s="39"/>
      <c r="Q31" s="39"/>
    </row>
    <row r="32" customFormat="false" ht="37.5" hidden="false" customHeight="true" outlineLevel="0" collapsed="false">
      <c r="A32" s="45" t="s">
        <v>199</v>
      </c>
      <c r="B32" s="59" t="s">
        <v>188</v>
      </c>
      <c r="C32" s="35"/>
      <c r="D32" s="54" t="s">
        <v>171</v>
      </c>
      <c r="E32" s="39"/>
      <c r="F32" s="39"/>
      <c r="G32" s="39"/>
      <c r="H32" s="39"/>
      <c r="I32" s="39"/>
      <c r="J32" s="39"/>
      <c r="K32" s="39"/>
      <c r="L32" s="47" t="s">
        <v>147</v>
      </c>
      <c r="M32" s="48"/>
      <c r="N32" s="39"/>
      <c r="O32" s="39"/>
      <c r="P32" s="39"/>
      <c r="Q32" s="39"/>
    </row>
    <row r="33" customFormat="false" ht="24" hidden="false" customHeight="true" outlineLevel="0" collapsed="false">
      <c r="A33" s="62" t="s">
        <v>200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</row>
    <row r="34" customFormat="false" ht="37.5" hidden="false" customHeight="true" outlineLevel="0" collapsed="false">
      <c r="A34" s="45" t="s">
        <v>201</v>
      </c>
      <c r="B34" s="63" t="s">
        <v>202</v>
      </c>
      <c r="C34" s="41" t="s">
        <v>203</v>
      </c>
      <c r="D34" s="64" t="s">
        <v>204</v>
      </c>
      <c r="E34" s="39"/>
      <c r="F34" s="39"/>
      <c r="G34" s="39"/>
      <c r="H34" s="42"/>
      <c r="I34" s="37" t="s">
        <v>205</v>
      </c>
      <c r="J34" s="42"/>
      <c r="K34" s="39"/>
      <c r="L34" s="39"/>
      <c r="M34" s="39"/>
      <c r="N34" s="39"/>
      <c r="O34" s="39"/>
      <c r="P34" s="39"/>
      <c r="Q34" s="39"/>
    </row>
    <row r="35" customFormat="false" ht="37.5" hidden="false" customHeight="true" outlineLevel="0" collapsed="false">
      <c r="A35" s="45" t="s">
        <v>206</v>
      </c>
      <c r="B35" s="63" t="s">
        <v>202</v>
      </c>
      <c r="C35" s="41" t="s">
        <v>207</v>
      </c>
      <c r="D35" s="64" t="s">
        <v>204</v>
      </c>
      <c r="E35" s="39"/>
      <c r="F35" s="39"/>
      <c r="G35" s="39"/>
      <c r="H35" s="39"/>
      <c r="I35" s="39"/>
      <c r="J35" s="39"/>
      <c r="K35" s="44"/>
      <c r="L35" s="43" t="s">
        <v>208</v>
      </c>
      <c r="M35" s="44"/>
      <c r="N35" s="39"/>
      <c r="O35" s="39"/>
      <c r="P35" s="39"/>
      <c r="Q35" s="39"/>
    </row>
    <row r="36" customFormat="false" ht="37.5" hidden="false" customHeight="true" outlineLevel="0" collapsed="false">
      <c r="A36" s="45" t="s">
        <v>209</v>
      </c>
      <c r="B36" s="63" t="s">
        <v>210</v>
      </c>
      <c r="C36" s="35" t="s">
        <v>211</v>
      </c>
      <c r="D36" s="64" t="s">
        <v>204</v>
      </c>
      <c r="E36" s="39"/>
      <c r="F36" s="39"/>
      <c r="G36" s="39"/>
      <c r="H36" s="39"/>
      <c r="I36" s="39"/>
      <c r="J36" s="42"/>
      <c r="K36" s="37" t="s">
        <v>212</v>
      </c>
      <c r="L36" s="42"/>
      <c r="M36" s="39"/>
      <c r="N36" s="39"/>
      <c r="O36" s="39"/>
      <c r="P36" s="39"/>
      <c r="Q36" s="39"/>
    </row>
    <row r="37" customFormat="false" ht="37.5" hidden="false" customHeight="true" outlineLevel="0" collapsed="false">
      <c r="A37" s="45" t="s">
        <v>213</v>
      </c>
      <c r="B37" s="63" t="s">
        <v>210</v>
      </c>
      <c r="C37" s="35" t="s">
        <v>214</v>
      </c>
      <c r="D37" s="64" t="s">
        <v>204</v>
      </c>
      <c r="E37" s="39"/>
      <c r="F37" s="39"/>
      <c r="G37" s="39"/>
      <c r="H37" s="39"/>
      <c r="I37" s="39"/>
      <c r="J37" s="39"/>
      <c r="K37" s="39"/>
      <c r="L37" s="39"/>
      <c r="M37" s="46"/>
      <c r="N37" s="38" t="s">
        <v>215</v>
      </c>
      <c r="O37" s="46"/>
      <c r="P37" s="46"/>
      <c r="Q37" s="39"/>
    </row>
    <row r="38" customFormat="false" ht="24" hidden="false" customHeight="true" outlineLevel="0" collapsed="false">
      <c r="A38" s="65" t="s">
        <v>216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</row>
    <row r="39" customFormat="false" ht="37.5" hidden="false" customHeight="true" outlineLevel="0" collapsed="false">
      <c r="A39" s="40" t="s">
        <v>217</v>
      </c>
      <c r="B39" s="66" t="s">
        <v>218</v>
      </c>
      <c r="C39" s="41" t="s">
        <v>219</v>
      </c>
      <c r="D39" s="51" t="s">
        <v>152</v>
      </c>
      <c r="E39" s="67" t="s">
        <v>220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customFormat="false" ht="37.5" hidden="false" customHeight="true" outlineLevel="0" collapsed="false">
      <c r="A40" s="40" t="s">
        <v>221</v>
      </c>
      <c r="B40" s="66" t="s">
        <v>218</v>
      </c>
      <c r="C40" s="41" t="s">
        <v>222</v>
      </c>
      <c r="D40" s="51" t="s">
        <v>152</v>
      </c>
      <c r="E40" s="39"/>
      <c r="F40" s="39"/>
      <c r="G40" s="39"/>
      <c r="H40" s="39"/>
      <c r="I40" s="39"/>
      <c r="J40" s="67" t="s">
        <v>223</v>
      </c>
      <c r="K40" s="68"/>
      <c r="L40" s="39"/>
      <c r="M40" s="39"/>
      <c r="N40" s="39"/>
      <c r="O40" s="39"/>
      <c r="P40" s="39"/>
      <c r="Q40" s="39"/>
    </row>
    <row r="41" customFormat="false" ht="37.5" hidden="false" customHeight="true" outlineLevel="0" collapsed="false">
      <c r="A41" s="40" t="s">
        <v>224</v>
      </c>
      <c r="B41" s="66" t="s">
        <v>218</v>
      </c>
      <c r="C41" s="41" t="s">
        <v>225</v>
      </c>
      <c r="D41" s="51" t="s">
        <v>152</v>
      </c>
      <c r="E41" s="39"/>
      <c r="F41" s="39"/>
      <c r="G41" s="39"/>
      <c r="H41" s="39"/>
      <c r="I41" s="39"/>
      <c r="J41" s="39"/>
      <c r="K41" s="39"/>
      <c r="L41" s="68"/>
      <c r="M41" s="68"/>
      <c r="N41" s="67" t="s">
        <v>226</v>
      </c>
      <c r="O41" s="68"/>
      <c r="P41" s="68"/>
      <c r="Q41" s="68"/>
    </row>
  </sheetData>
  <mergeCells count="8">
    <mergeCell ref="A1:Q1"/>
    <mergeCell ref="A2:Q2"/>
    <mergeCell ref="A5:Q5"/>
    <mergeCell ref="A13:Q13"/>
    <mergeCell ref="A20:Q20"/>
    <mergeCell ref="A27:Q27"/>
    <mergeCell ref="A33:Q33"/>
    <mergeCell ref="A38:Q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6" min="3" style="1" width="18"/>
    <col collapsed="false" customWidth="true" hidden="false" outlineLevel="0" max="7" min="7" style="1" width="12"/>
    <col collapsed="false" customWidth="true" hidden="false" outlineLevel="0" max="8" min="8" style="1" width="46"/>
  </cols>
  <sheetData>
    <row r="1" customFormat="false" ht="37.5" hidden="false" customHeight="true" outlineLevel="0" collapsed="false">
      <c r="A1" s="69" t="s">
        <v>227</v>
      </c>
      <c r="B1" s="69"/>
      <c r="C1" s="69"/>
      <c r="D1" s="69"/>
      <c r="E1" s="69"/>
      <c r="F1" s="69"/>
      <c r="G1" s="69"/>
      <c r="H1" s="69"/>
    </row>
    <row r="2" customFormat="false" ht="19.5" hidden="false" customHeight="true" outlineLevel="0" collapsed="false">
      <c r="A2" s="70" t="s">
        <v>228</v>
      </c>
      <c r="B2" s="70"/>
      <c r="C2" s="70"/>
      <c r="D2" s="70"/>
      <c r="E2" s="70"/>
      <c r="F2" s="70"/>
      <c r="G2" s="70"/>
      <c r="H2" s="70"/>
    </row>
    <row r="3" customFormat="false" ht="9.75" hidden="false" customHeight="true" outlineLevel="0" collapsed="false"/>
    <row r="4" customFormat="false" ht="39.75" hidden="false" customHeight="true" outlineLevel="0" collapsed="false">
      <c r="A4" s="4" t="s">
        <v>2</v>
      </c>
      <c r="B4" s="4" t="s">
        <v>229</v>
      </c>
      <c r="C4" s="4" t="s">
        <v>230</v>
      </c>
      <c r="D4" s="4" t="s">
        <v>5</v>
      </c>
      <c r="E4" s="4" t="s">
        <v>231</v>
      </c>
      <c r="F4" s="4" t="s">
        <v>232</v>
      </c>
      <c r="G4" s="4" t="s">
        <v>233</v>
      </c>
      <c r="H4" s="4" t="s">
        <v>234</v>
      </c>
    </row>
    <row r="5" customFormat="false" ht="79.5" hidden="false" customHeight="true" outlineLevel="0" collapsed="false">
      <c r="A5" s="6" t="s">
        <v>235</v>
      </c>
      <c r="B5" s="71" t="s">
        <v>236</v>
      </c>
      <c r="C5" s="72" t="n">
        <v>3000000</v>
      </c>
      <c r="D5" s="73" t="s">
        <v>237</v>
      </c>
      <c r="E5" s="74" t="n">
        <v>1980000</v>
      </c>
      <c r="F5" s="75" t="n">
        <v>1020000</v>
      </c>
      <c r="G5" s="76" t="s">
        <v>238</v>
      </c>
      <c r="H5" s="77" t="s">
        <v>239</v>
      </c>
    </row>
    <row r="6" customFormat="false" ht="79.5" hidden="false" customHeight="true" outlineLevel="0" collapsed="false">
      <c r="A6" s="11" t="s">
        <v>240</v>
      </c>
      <c r="B6" s="78" t="s">
        <v>241</v>
      </c>
      <c r="C6" s="79" t="n">
        <v>9000000</v>
      </c>
      <c r="D6" s="80" t="s">
        <v>242</v>
      </c>
      <c r="E6" s="74" t="n">
        <v>5940000</v>
      </c>
      <c r="F6" s="81" t="n">
        <v>3060000</v>
      </c>
      <c r="G6" s="82" t="s">
        <v>243</v>
      </c>
      <c r="H6" s="83" t="s">
        <v>244</v>
      </c>
    </row>
    <row r="7" customFormat="false" ht="79.5" hidden="false" customHeight="true" outlineLevel="0" collapsed="false">
      <c r="A7" s="11" t="s">
        <v>245</v>
      </c>
      <c r="B7" s="84" t="s">
        <v>246</v>
      </c>
      <c r="C7" s="85" t="n">
        <v>2500000</v>
      </c>
      <c r="D7" s="86" t="s">
        <v>247</v>
      </c>
      <c r="E7" s="74" t="n">
        <v>1250000</v>
      </c>
      <c r="F7" s="87" t="n">
        <v>1250000</v>
      </c>
      <c r="G7" s="88" t="s">
        <v>248</v>
      </c>
      <c r="H7" s="77" t="s">
        <v>249</v>
      </c>
    </row>
    <row r="8" customFormat="false" ht="79.5" hidden="false" customHeight="true" outlineLevel="0" collapsed="false">
      <c r="A8" s="11" t="s">
        <v>250</v>
      </c>
      <c r="B8" s="78" t="s">
        <v>251</v>
      </c>
      <c r="C8" s="79" t="n">
        <v>1500000</v>
      </c>
      <c r="D8" s="80" t="s">
        <v>252</v>
      </c>
      <c r="E8" s="74" t="n">
        <v>1333000</v>
      </c>
      <c r="F8" s="81" t="n">
        <v>167000</v>
      </c>
      <c r="G8" s="82" t="s">
        <v>253</v>
      </c>
      <c r="H8" s="77" t="s">
        <v>254</v>
      </c>
    </row>
    <row r="9" customFormat="false" ht="79.5" hidden="false" customHeight="true" outlineLevel="0" collapsed="false">
      <c r="A9" s="11" t="s">
        <v>255</v>
      </c>
      <c r="B9" s="89" t="s">
        <v>256</v>
      </c>
      <c r="C9" s="90" t="n">
        <v>3000000</v>
      </c>
      <c r="D9" s="91" t="s">
        <v>257</v>
      </c>
      <c r="E9" s="74" t="n">
        <v>2000000</v>
      </c>
      <c r="F9" s="92" t="n">
        <v>1000000</v>
      </c>
      <c r="G9" s="93" t="s">
        <v>258</v>
      </c>
      <c r="H9" s="83" t="s">
        <v>259</v>
      </c>
    </row>
    <row r="10" customFormat="false" ht="79.5" hidden="false" customHeight="true" outlineLevel="0" collapsed="false">
      <c r="A10" s="11" t="s">
        <v>260</v>
      </c>
      <c r="B10" s="89" t="s">
        <v>261</v>
      </c>
      <c r="C10" s="90" t="n">
        <v>0</v>
      </c>
      <c r="D10" s="94" t="s">
        <v>262</v>
      </c>
      <c r="E10" s="74" t="n">
        <v>2400000</v>
      </c>
      <c r="F10" s="92" t="n">
        <v>0</v>
      </c>
      <c r="G10" s="93" t="s">
        <v>238</v>
      </c>
      <c r="H10" s="83" t="s">
        <v>263</v>
      </c>
    </row>
    <row r="11" customFormat="false" ht="39.75" hidden="false" customHeight="true" outlineLevel="0" collapsed="false">
      <c r="A11" s="95" t="s">
        <v>264</v>
      </c>
      <c r="B11" s="95"/>
      <c r="C11" s="96"/>
      <c r="D11" s="96"/>
      <c r="E11" s="97" t="n">
        <f aca="false">SUM(E5:E10)</f>
        <v>14903000</v>
      </c>
      <c r="F11" s="96"/>
      <c r="G11" s="96"/>
      <c r="H11" s="96"/>
    </row>
  </sheetData>
  <mergeCells count="3">
    <mergeCell ref="A1:H1"/>
    <mergeCell ref="A2:H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38"/>
  </cols>
  <sheetData>
    <row r="1" customFormat="false" ht="39.75" hidden="false" customHeight="true" outlineLevel="0" collapsed="false">
      <c r="A1" s="2" t="s">
        <v>265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98" t="s">
        <v>266</v>
      </c>
      <c r="B2" s="98"/>
      <c r="C2" s="98"/>
      <c r="D2" s="98"/>
      <c r="E2" s="98"/>
      <c r="F2" s="98"/>
      <c r="G2" s="98"/>
      <c r="H2" s="98"/>
      <c r="I2" s="98"/>
      <c r="J2" s="98"/>
    </row>
    <row r="3" customFormat="false" ht="9.75" hidden="false" customHeight="true" outlineLevel="0" collapsed="false"/>
    <row r="4" customFormat="false" ht="37.5" hidden="false" customHeight="true" outlineLevel="0" collapsed="false">
      <c r="A4" s="99" t="s">
        <v>267</v>
      </c>
      <c r="B4" s="99"/>
      <c r="C4" s="99"/>
      <c r="D4" s="99"/>
      <c r="E4" s="99"/>
      <c r="F4" s="99"/>
      <c r="G4" s="99"/>
      <c r="H4" s="99"/>
      <c r="I4" s="99"/>
      <c r="J4" s="99"/>
    </row>
    <row r="5" customFormat="false" ht="9.75" hidden="false" customHeight="true" outlineLevel="0" collapsed="false"/>
    <row r="6" customFormat="false" ht="43.5" hidden="false" customHeight="true" outlineLevel="0" collapsed="false">
      <c r="A6" s="100" t="s">
        <v>2</v>
      </c>
      <c r="B6" s="100" t="s">
        <v>16</v>
      </c>
      <c r="C6" s="100" t="s">
        <v>268</v>
      </c>
      <c r="D6" s="100" t="s">
        <v>269</v>
      </c>
      <c r="E6" s="100" t="s">
        <v>270</v>
      </c>
      <c r="F6" s="100" t="s">
        <v>271</v>
      </c>
      <c r="G6" s="100" t="s">
        <v>272</v>
      </c>
      <c r="H6" s="100" t="s">
        <v>8</v>
      </c>
      <c r="I6" s="31" t="s">
        <v>273</v>
      </c>
      <c r="J6" s="100" t="s">
        <v>274</v>
      </c>
    </row>
    <row r="7" customFormat="false" ht="69.75" hidden="false" customHeight="true" outlineLevel="0" collapsed="false">
      <c r="A7" s="31" t="s">
        <v>275</v>
      </c>
      <c r="B7" s="101" t="s">
        <v>30</v>
      </c>
      <c r="C7" s="102" t="n">
        <v>1980000</v>
      </c>
      <c r="D7" s="103" t="n">
        <v>0.77</v>
      </c>
      <c r="E7" s="104" t="n">
        <v>1524600</v>
      </c>
      <c r="F7" s="105" t="n">
        <v>1584000</v>
      </c>
      <c r="G7" s="106" t="n">
        <v>1188000</v>
      </c>
      <c r="H7" s="107" t="s">
        <v>238</v>
      </c>
      <c r="I7" s="108" t="s">
        <v>276</v>
      </c>
      <c r="J7" s="109" t="s">
        <v>277</v>
      </c>
    </row>
    <row r="8" customFormat="false" ht="69.75" hidden="false" customHeight="true" outlineLevel="0" collapsed="false">
      <c r="A8" s="100" t="s">
        <v>240</v>
      </c>
      <c r="B8" s="110" t="s">
        <v>278</v>
      </c>
      <c r="C8" s="111" t="n">
        <v>5940000</v>
      </c>
      <c r="D8" s="112" t="n">
        <v>0.4</v>
      </c>
      <c r="E8" s="104" t="n">
        <v>2376000</v>
      </c>
      <c r="F8" s="113" t="n">
        <v>3960000</v>
      </c>
      <c r="G8" s="114" t="n">
        <v>594000</v>
      </c>
      <c r="H8" s="115" t="s">
        <v>243</v>
      </c>
      <c r="I8" s="116" t="s">
        <v>279</v>
      </c>
      <c r="J8" s="109" t="s">
        <v>280</v>
      </c>
    </row>
    <row r="9" customFormat="false" ht="69.75" hidden="false" customHeight="true" outlineLevel="0" collapsed="false">
      <c r="A9" s="100" t="s">
        <v>281</v>
      </c>
      <c r="B9" s="117" t="s">
        <v>282</v>
      </c>
      <c r="C9" s="118" t="n">
        <v>1250000</v>
      </c>
      <c r="D9" s="119" t="n">
        <v>0.28</v>
      </c>
      <c r="E9" s="104" t="n">
        <v>350000</v>
      </c>
      <c r="F9" s="120" t="n">
        <v>500000</v>
      </c>
      <c r="G9" s="121" t="n">
        <v>125000</v>
      </c>
      <c r="H9" s="122" t="s">
        <v>248</v>
      </c>
      <c r="I9" s="123" t="s">
        <v>283</v>
      </c>
      <c r="J9" s="109" t="s">
        <v>284</v>
      </c>
    </row>
    <row r="10" customFormat="false" ht="69.75" hidden="false" customHeight="true" outlineLevel="0" collapsed="false">
      <c r="A10" s="100" t="s">
        <v>285</v>
      </c>
      <c r="B10" s="110" t="s">
        <v>278</v>
      </c>
      <c r="C10" s="111" t="n">
        <v>1333000</v>
      </c>
      <c r="D10" s="112" t="n">
        <v>0.55</v>
      </c>
      <c r="E10" s="104" t="n">
        <v>733150</v>
      </c>
      <c r="F10" s="113" t="n">
        <v>1066400</v>
      </c>
      <c r="G10" s="114" t="n">
        <v>399900</v>
      </c>
      <c r="H10" s="115" t="s">
        <v>253</v>
      </c>
      <c r="I10" s="116" t="s">
        <v>286</v>
      </c>
      <c r="J10" s="109" t="s">
        <v>287</v>
      </c>
    </row>
    <row r="11" customFormat="false" ht="69.75" hidden="false" customHeight="true" outlineLevel="0" collapsed="false">
      <c r="A11" s="100" t="s">
        <v>255</v>
      </c>
      <c r="B11" s="100" t="s">
        <v>288</v>
      </c>
      <c r="C11" s="124" t="n">
        <v>2000000</v>
      </c>
      <c r="D11" s="125" t="n">
        <v>0.43</v>
      </c>
      <c r="E11" s="104" t="n">
        <v>860000</v>
      </c>
      <c r="F11" s="126" t="n">
        <v>1333000</v>
      </c>
      <c r="G11" s="127" t="n">
        <v>400000</v>
      </c>
      <c r="H11" s="128" t="s">
        <v>258</v>
      </c>
      <c r="I11" s="129" t="s">
        <v>289</v>
      </c>
      <c r="J11" s="130" t="s">
        <v>290</v>
      </c>
    </row>
    <row r="12" customFormat="false" ht="69.75" hidden="false" customHeight="true" outlineLevel="0" collapsed="false">
      <c r="A12" s="100" t="s">
        <v>260</v>
      </c>
      <c r="B12" s="100" t="s">
        <v>291</v>
      </c>
      <c r="C12" s="124" t="n">
        <v>2400000</v>
      </c>
      <c r="D12" s="125" t="n">
        <v>0.75</v>
      </c>
      <c r="E12" s="104" t="n">
        <v>1800000</v>
      </c>
      <c r="F12" s="126" t="n">
        <v>1920000</v>
      </c>
      <c r="G12" s="127" t="n">
        <v>1200000</v>
      </c>
      <c r="H12" s="128" t="s">
        <v>238</v>
      </c>
      <c r="I12" s="129" t="s">
        <v>276</v>
      </c>
      <c r="J12" s="109" t="s">
        <v>292</v>
      </c>
    </row>
    <row r="13" customFormat="false" ht="43.5" hidden="false" customHeight="true" outlineLevel="0" collapsed="false">
      <c r="A13" s="131" t="s">
        <v>293</v>
      </c>
      <c r="B13" s="131"/>
      <c r="C13" s="132" t="n">
        <f aca="false">SUM(C7:C12)</f>
        <v>14903000</v>
      </c>
      <c r="D13" s="133"/>
      <c r="E13" s="132" t="n">
        <f aca="false">SUM(E7:E12)</f>
        <v>7643750</v>
      </c>
      <c r="F13" s="132" t="n">
        <f aca="false">SUM(F7:F12)</f>
        <v>10363400</v>
      </c>
      <c r="G13" s="132" t="n">
        <f aca="false">SUM(G7:G12)</f>
        <v>3906900</v>
      </c>
      <c r="H13" s="133"/>
      <c r="I13" s="133"/>
      <c r="J13" s="133"/>
    </row>
    <row r="15" customFormat="false" ht="27.75" hidden="false" customHeight="true" outlineLevel="0" collapsed="false">
      <c r="A15" s="134" t="s">
        <v>294</v>
      </c>
      <c r="B15" s="134"/>
      <c r="C15" s="134"/>
      <c r="D15" s="134"/>
      <c r="E15" s="134"/>
      <c r="F15" s="134"/>
      <c r="G15" s="134"/>
      <c r="H15" s="134"/>
      <c r="I15" s="134"/>
      <c r="J15" s="134"/>
    </row>
    <row r="16" customFormat="false" ht="54" hidden="false" customHeight="true" outlineLevel="0" collapsed="false">
      <c r="A16" s="135" t="s">
        <v>295</v>
      </c>
      <c r="B16" s="135"/>
      <c r="C16" s="136" t="s">
        <v>296</v>
      </c>
      <c r="D16" s="137" t="s">
        <v>297</v>
      </c>
      <c r="E16" s="137"/>
      <c r="F16" s="137"/>
      <c r="G16" s="137"/>
      <c r="H16" s="137"/>
      <c r="I16" s="137"/>
      <c r="J16" s="137"/>
    </row>
    <row r="17" customFormat="false" ht="54" hidden="false" customHeight="true" outlineLevel="0" collapsed="false">
      <c r="A17" s="138" t="s">
        <v>298</v>
      </c>
      <c r="B17" s="138"/>
      <c r="C17" s="139" t="s">
        <v>299</v>
      </c>
      <c r="D17" s="140" t="s">
        <v>300</v>
      </c>
      <c r="E17" s="140"/>
      <c r="F17" s="140"/>
      <c r="G17" s="140"/>
      <c r="H17" s="140"/>
      <c r="I17" s="140"/>
      <c r="J17" s="140"/>
    </row>
    <row r="18" customFormat="false" ht="54" hidden="false" customHeight="true" outlineLevel="0" collapsed="false">
      <c r="A18" s="141" t="s">
        <v>301</v>
      </c>
      <c r="B18" s="141"/>
      <c r="C18" s="142" t="s">
        <v>302</v>
      </c>
      <c r="D18" s="143" t="s">
        <v>303</v>
      </c>
      <c r="E18" s="143"/>
      <c r="F18" s="143"/>
      <c r="G18" s="143"/>
      <c r="H18" s="143"/>
      <c r="I18" s="143"/>
      <c r="J18" s="143"/>
    </row>
    <row r="19" customFormat="false" ht="54" hidden="false" customHeight="true" outlineLevel="0" collapsed="false">
      <c r="A19" s="144" t="s">
        <v>304</v>
      </c>
      <c r="B19" s="144"/>
      <c r="C19" s="145" t="s">
        <v>305</v>
      </c>
      <c r="D19" s="146" t="s">
        <v>306</v>
      </c>
      <c r="E19" s="146"/>
      <c r="F19" s="146"/>
      <c r="G19" s="146"/>
      <c r="H19" s="146"/>
      <c r="I19" s="146"/>
      <c r="J19" s="146"/>
    </row>
  </sheetData>
  <mergeCells count="13">
    <mergeCell ref="A1:J1"/>
    <mergeCell ref="A2:J2"/>
    <mergeCell ref="A4:J4"/>
    <mergeCell ref="A13:B13"/>
    <mergeCell ref="A15:J15"/>
    <mergeCell ref="A16:B16"/>
    <mergeCell ref="D16:J16"/>
    <mergeCell ref="A17:B17"/>
    <mergeCell ref="D17:J17"/>
    <mergeCell ref="A18:B18"/>
    <mergeCell ref="D18:J18"/>
    <mergeCell ref="A19:B19"/>
    <mergeCell ref="D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2026-02-28T01:17:38Z</dcterms:created>
  <dc:creator>openpyxl</dc:creator>
  <dc:description/>
  <dc:language>en-US</dc:language>
  <cp:lastModifiedBy/>
  <dcterms:modified xsi:type="dcterms:W3CDTF">2026-02-28T01:27:42Z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