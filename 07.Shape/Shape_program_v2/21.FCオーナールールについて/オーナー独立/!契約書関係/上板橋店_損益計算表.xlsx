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4"/>
  </sheets>
  <definedNames/>
  <calcPr/>
  <extLst>
    <ext uri="GoogleSheetsCustomDataVersion2">
      <go:sheetsCustomData xmlns:go="http://customooxmlschemas.google.com/" r:id="rId5" roundtripDataChecksum="suwraFfG8bRp/0G005M4TqozuvPa78H2Vm5cwZWEQUo="/>
    </ext>
  </extLst>
</workbook>
</file>

<file path=xl/sharedStrings.xml><?xml version="1.0" encoding="utf-8"?>
<sst xmlns="http://schemas.openxmlformats.org/spreadsheetml/2006/main" count="46" uniqueCount="39">
  <si>
    <t>損益計算表</t>
  </si>
  <si>
    <t>科目名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</si>
  <si>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</si>
  <si>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</si>
  <si>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</si>
  <si>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</si>
  <si>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</si>
  <si>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</si>
  <si>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</si>
  <si>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</si>
  <si>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</si>
  <si>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</si>
  <si>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</si>
  <si>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</si>
  <si>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当期</t>
  </si>
  <si>
    <t>売上高</t>
  </si>
  <si>
    <t>システム</t>
  </si>
  <si>
    <t>店頭</t>
  </si>
  <si>
    <t>合計</t>
  </si>
  <si>
    <t>コスト</t>
  </si>
  <si>
    <t>固定費</t>
  </si>
  <si>
    <t>ロイヤリティ</t>
  </si>
  <si>
    <t>家賃</t>
  </si>
  <si>
    <t>インターネット</t>
  </si>
  <si>
    <t>変動費</t>
  </si>
  <si>
    <t>人件費</t>
  </si>
  <si>
    <t>光熱費</t>
  </si>
  <si>
    <t>広告費</t>
  </si>
  <si>
    <t>Stripe手数料</t>
  </si>
  <si>
    <t>役員報酬</t>
  </si>
  <si>
    <t>純利益</t>
  </si>
  <si>
    <t>返済金</t>
  </si>
  <si>
    <t>ぶーちゃん</t>
  </si>
  <si>
    <t>陽子さん</t>
  </si>
  <si>
    <t>竜陛さん</t>
  </si>
  <si>
    <t>yosipi</t>
  </si>
  <si>
    <t>新規獲得数</t>
  </si>
  <si>
    <t>名前</t>
  </si>
  <si>
    <t>よしぴ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</si>
</sst>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¥-411]#,##0"/>
  </numFmts>
  <fonts count="7">
    <font>
      <sz val="10.0"/>
      <color rgb="FF000000"/>
      <name val="Arial"/>
      <scheme val="minor"/>
    </font>
    <font>
      <color theme="1"/>
      <name val="Arial"/>
    </font>
    <font>
      <b/>
      <sz val="14.0"/>
      <color rgb="FFFFFFFF"/>
      <name val="Arial"/>
    </font>
    <font>
      <color rgb="FFFFFFFF"/>
      <name val="Arial"/>
    </font>
    <font/>
    <font>
      <color theme="1"/>
      <name val="Arial"/>
      <scheme val="minor"/>
    </font>
    <font>
      <color rgb="FF222222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  <fill>
      <patternFill patternType="solid">
        <fgColor rgb="FFFCE5CD"/>
        <bgColor rgb="FFFCE5CD"/>
      </patternFill>
    </fill>
    <fill>
      <patternFill patternType="solid">
        <fgColor rgb="FFF1C232"/>
        <bgColor rgb="FFF1C232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 vertical="center"/>
    </xf>
    <xf borderId="0" fillId="3" fontId="3" numFmtId="0" xfId="0" applyAlignment="1" applyFill="1" applyFont="1">
      <alignment horizontal="center"/>
    </xf>
    <xf borderId="1" fillId="4" fontId="3" numFmtId="0" xfId="0" applyAlignment="1" applyBorder="1" applyFill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3" fillId="4" fontId="3" numFmtId="0" xfId="0" applyAlignment="1" applyBorder="1" applyFont="1">
      <alignment horizontal="center"/>
    </xf>
    <xf borderId="4" fillId="4" fontId="3" numFmtId="0" xfId="0" applyAlignment="1" applyBorder="1" applyFont="1">
      <alignment horizontal="center"/>
    </xf>
    <xf borderId="5" fillId="0" fontId="1" numFmtId="0" xfId="0" applyAlignment="1" applyBorder="1" applyFont="1">
      <alignment horizontal="center" textRotation="255" vertical="center"/>
    </xf>
    <xf borderId="6" fillId="0" fontId="4" numFmtId="0" xfId="0" applyBorder="1" applyFont="1"/>
    <xf borderId="4" fillId="0" fontId="1" numFmtId="0" xfId="0" applyBorder="1" applyFont="1"/>
    <xf borderId="3" fillId="0" fontId="1" numFmtId="164" xfId="0" applyAlignment="1" applyBorder="1" applyFont="1" applyNumberFormat="1">
      <alignment readingOrder="0"/>
    </xf>
    <xf borderId="3" fillId="0" fontId="1" numFmtId="164" xfId="0" applyBorder="1" applyFont="1" applyNumberFormat="1"/>
    <xf borderId="4" fillId="5" fontId="1" numFmtId="164" xfId="0" applyBorder="1" applyFill="1" applyFont="1" applyNumberFormat="1"/>
    <xf borderId="7" fillId="0" fontId="4" numFmtId="0" xfId="0" applyBorder="1" applyFont="1"/>
    <xf borderId="8" fillId="0" fontId="4" numFmtId="0" xfId="0" applyBorder="1" applyFont="1"/>
    <xf borderId="4" fillId="5" fontId="1" numFmtId="0" xfId="0" applyBorder="1" applyFont="1"/>
    <xf borderId="9" fillId="0" fontId="4" numFmtId="0" xfId="0" applyBorder="1" applyFont="1"/>
    <xf borderId="10" fillId="0" fontId="4" numFmtId="0" xfId="0" applyBorder="1" applyFont="1"/>
    <xf borderId="4" fillId="6" fontId="1" numFmtId="0" xfId="0" applyBorder="1" applyFill="1" applyFont="1"/>
    <xf borderId="4" fillId="6" fontId="1" numFmtId="164" xfId="0" applyBorder="1" applyFont="1" applyNumberFormat="1"/>
    <xf borderId="11" fillId="0" fontId="1" numFmtId="0" xfId="0" applyAlignment="1" applyBorder="1" applyFont="1">
      <alignment horizontal="left" textRotation="255" vertical="center"/>
    </xf>
    <xf borderId="4" fillId="0" fontId="1" numFmtId="164" xfId="0" applyBorder="1" applyFont="1" applyNumberFormat="1"/>
    <xf borderId="12" fillId="0" fontId="4" numFmtId="0" xfId="0" applyBorder="1" applyFont="1"/>
    <xf borderId="4" fillId="0" fontId="1" numFmtId="164" xfId="0" applyAlignment="1" applyBorder="1" applyFont="1" applyNumberFormat="1">
      <alignment readingOrder="0"/>
    </xf>
    <xf borderId="13" fillId="0" fontId="4" numFmtId="0" xfId="0" applyBorder="1" applyFont="1"/>
    <xf borderId="0" fillId="0" fontId="5" numFmtId="3" xfId="0" applyAlignment="1" applyFont="1" applyNumberFormat="1">
      <alignment readingOrder="0"/>
    </xf>
    <xf borderId="4" fillId="0" fontId="1" numFmtId="0" xfId="0" applyAlignment="1" applyBorder="1" applyFont="1">
      <alignment readingOrder="0"/>
    </xf>
    <xf borderId="4" fillId="0" fontId="1" numFmtId="3" xfId="0" applyAlignment="1" applyBorder="1" applyFont="1" applyNumberFormat="1">
      <alignment readingOrder="0"/>
    </xf>
    <xf borderId="1" fillId="7" fontId="1" numFmtId="0" xfId="0" applyAlignment="1" applyBorder="1" applyFill="1" applyFont="1">
      <alignment horizontal="center"/>
    </xf>
    <xf borderId="4" fillId="7" fontId="1" numFmtId="164" xfId="0" applyBorder="1" applyFont="1" applyNumberFormat="1"/>
    <xf borderId="4" fillId="3" fontId="6" numFmtId="0" xfId="0" applyBorder="1" applyFont="1"/>
    <xf borderId="8" fillId="0" fontId="1" numFmtId="0" xfId="0" applyBorder="1" applyFont="1"/>
    <xf borderId="11" fillId="0" fontId="1" numFmtId="0" xfId="0" applyBorder="1" applyFont="1"/>
    <xf borderId="14" fillId="0" fontId="1" numFmtId="0" xfId="0" applyBorder="1" applyFont="1"/>
    <xf borderId="15" fillId="0" fontId="1" numFmtId="0" xfId="0" applyBorder="1" applyFont="1"/>
    <xf borderId="6" fillId="0" fontId="1" numFmtId="0" xfId="0" applyBorder="1" applyFont="1"/>
    <xf borderId="2" fillId="0" fontId="1" numFmtId="0" xfId="0" applyBorder="1" applyFont="1"/>
    <xf borderId="13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75"/>
    <col customWidth="1" min="2" max="3" width="9.5"/>
    <col customWidth="1" min="4" max="4" width="18.0"/>
  </cols>
  <sheetData>
    <row r="1" ht="15.7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15.75" customHeight="1">
      <c r="B2" s="2" t="s">
        <v>0</v>
      </c>
    </row>
    <row r="3" ht="6.75" customHeight="1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ht="15.75" customHeight="1">
      <c r="B4" s="4" t="s">
        <v>1</v>
      </c>
      <c r="C4" s="5"/>
      <c r="D4" s="6"/>
      <c r="E4" s="7" t="s">
        <v>2</v>
      </c>
      <c r="F4" s="7" t="s">
        <v>3</v>
      </c>
      <c r="G4" s="7" t="s">
        <v>4</v>
      </c>
      <c r="H4" s="7" t="s">
        <v>5</v>
      </c>
      <c r="I4" s="7" t="s">
        <v>6</v>
      </c>
      <c r="J4" s="7" t="s">
        <v>7</v>
      </c>
      <c r="K4" s="7" t="s">
        <v>8</v>
      </c>
      <c r="L4" s="7" t="s">
        <v>9</v>
      </c>
      <c r="M4" s="7" t="s">
        <v>10</v>
      </c>
      <c r="N4" s="7" t="s">
        <v>11</v>
      </c>
      <c r="O4" s="7" t="s">
        <v>12</v>
      </c>
      <c r="P4" s="7" t="s">
        <v>13</v>
      </c>
      <c r="Q4" s="8" t="s">
        <v>14</v>
      </c>
    </row>
    <row r="5" ht="15.75" customHeight="1">
      <c r="B5" s="9" t="s">
        <v>15</v>
      </c>
      <c r="C5" s="10"/>
      <c r="D5" s="11" t="s">
        <v>16</v>
      </c>
      <c r="E5" s="12">
        <v>2374460.0</v>
      </c>
      <c r="F5" s="12">
        <v>2750368.0</v>
      </c>
      <c r="G5" s="12">
        <v>2751540.0</v>
      </c>
      <c r="H5" s="12">
        <v>2348940.0</v>
      </c>
      <c r="I5" s="12">
        <v>2208580.0</v>
      </c>
      <c r="J5" s="12">
        <v>2534073.0</v>
      </c>
      <c r="K5" s="12">
        <v>3252048.0</v>
      </c>
      <c r="L5" s="12">
        <v>2.3388373E7</v>
      </c>
      <c r="M5" s="13">
        <v>0.0</v>
      </c>
      <c r="N5" s="13"/>
      <c r="O5" s="13"/>
      <c r="P5" s="13"/>
      <c r="Q5" s="14">
        <f t="shared" ref="Q5:Q6" si="1">SUM(E5:P5)</f>
        <v>41608382</v>
      </c>
    </row>
    <row r="6" ht="15.75" customHeight="1">
      <c r="B6" s="15"/>
      <c r="C6" s="16"/>
      <c r="D6" s="11" t="s">
        <v>17</v>
      </c>
      <c r="E6" s="13">
        <v>0.0</v>
      </c>
      <c r="F6" s="13">
        <v>0.0</v>
      </c>
      <c r="G6" s="13">
        <v>0.0</v>
      </c>
      <c r="H6" s="13">
        <v>0.0</v>
      </c>
      <c r="I6" s="13">
        <v>0.0</v>
      </c>
      <c r="J6" s="13">
        <v>0.0</v>
      </c>
      <c r="K6" s="13">
        <v>0.0</v>
      </c>
      <c r="L6" s="13">
        <v>0.0</v>
      </c>
      <c r="M6" s="13">
        <v>0.0</v>
      </c>
      <c r="N6" s="13">
        <v>0.0</v>
      </c>
      <c r="O6" s="13">
        <v>0.0</v>
      </c>
      <c r="P6" s="13">
        <v>0.0</v>
      </c>
      <c r="Q6" s="14">
        <f t="shared" si="1"/>
        <v>0</v>
      </c>
    </row>
    <row r="7" ht="15.75" customHeight="1">
      <c r="B7" s="15"/>
      <c r="C7" s="16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7"/>
    </row>
    <row r="8" ht="15.75" customHeight="1">
      <c r="B8" s="18"/>
      <c r="C8" s="19"/>
      <c r="D8" s="20" t="s">
        <v>18</v>
      </c>
      <c r="E8" s="21">
        <f t="shared" ref="E8:P8" si="2">SUM(E5:E7)</f>
        <v>2374460</v>
      </c>
      <c r="F8" s="21">
        <f t="shared" si="2"/>
        <v>2750368</v>
      </c>
      <c r="G8" s="21">
        <f t="shared" si="2"/>
        <v>2751540</v>
      </c>
      <c r="H8" s="21">
        <f t="shared" si="2"/>
        <v>2348940</v>
      </c>
      <c r="I8" s="21">
        <f t="shared" si="2"/>
        <v>2208580</v>
      </c>
      <c r="J8" s="21">
        <f t="shared" si="2"/>
        <v>2534073</v>
      </c>
      <c r="K8" s="21">
        <f t="shared" si="2"/>
        <v>3252048</v>
      </c>
      <c r="L8" s="21">
        <f t="shared" si="2"/>
        <v>23388373</v>
      </c>
      <c r="M8" s="21">
        <f t="shared" si="2"/>
        <v>0</v>
      </c>
      <c r="N8" s="21">
        <f t="shared" si="2"/>
        <v>0</v>
      </c>
      <c r="O8" s="21">
        <f t="shared" si="2"/>
        <v>0</v>
      </c>
      <c r="P8" s="21">
        <f t="shared" si="2"/>
        <v>0</v>
      </c>
      <c r="Q8" s="14">
        <f t="shared" ref="Q8:Q11" si="4">SUM(E8:P8)</f>
        <v>41608382</v>
      </c>
    </row>
    <row r="9" ht="15.75" customHeight="1">
      <c r="B9" s="22" t="s">
        <v>19</v>
      </c>
      <c r="C9" s="22" t="s">
        <v>20</v>
      </c>
      <c r="D9" s="11" t="s">
        <v>21</v>
      </c>
      <c r="E9" s="23">
        <f t="shared" ref="E9:P9" si="3">E8*0.1</f>
        <v>237446</v>
      </c>
      <c r="F9" s="23">
        <f t="shared" si="3"/>
        <v>275036.8</v>
      </c>
      <c r="G9" s="23">
        <f t="shared" si="3"/>
        <v>275154</v>
      </c>
      <c r="H9" s="23">
        <f t="shared" si="3"/>
        <v>234894</v>
      </c>
      <c r="I9" s="23">
        <f t="shared" si="3"/>
        <v>220858</v>
      </c>
      <c r="J9" s="23">
        <f t="shared" si="3"/>
        <v>253407.3</v>
      </c>
      <c r="K9" s="23">
        <f t="shared" si="3"/>
        <v>325204.8</v>
      </c>
      <c r="L9" s="23">
        <f t="shared" si="3"/>
        <v>2338837.3</v>
      </c>
      <c r="M9" s="23">
        <f t="shared" si="3"/>
        <v>0</v>
      </c>
      <c r="N9" s="23">
        <f t="shared" si="3"/>
        <v>0</v>
      </c>
      <c r="O9" s="23">
        <f t="shared" si="3"/>
        <v>0</v>
      </c>
      <c r="P9" s="23">
        <f t="shared" si="3"/>
        <v>0</v>
      </c>
      <c r="Q9" s="14">
        <f t="shared" si="4"/>
        <v>4160838.2</v>
      </c>
    </row>
    <row r="10" ht="15.75" customHeight="1">
      <c r="B10" s="24"/>
      <c r="C10" s="24"/>
      <c r="D10" s="11" t="s">
        <v>22</v>
      </c>
      <c r="E10" s="23">
        <v>176000.0</v>
      </c>
      <c r="F10" s="23">
        <v>176000.0</v>
      </c>
      <c r="G10" s="23">
        <v>176000.0</v>
      </c>
      <c r="H10" s="23">
        <v>176000.0</v>
      </c>
      <c r="I10" s="23">
        <v>176000.0</v>
      </c>
      <c r="J10" s="23">
        <v>176000.0</v>
      </c>
      <c r="K10" s="23">
        <v>176000.0</v>
      </c>
      <c r="L10" s="23">
        <v>176000.0</v>
      </c>
      <c r="M10" s="23">
        <v>176000.0</v>
      </c>
      <c r="N10" s="23">
        <v>176000.0</v>
      </c>
      <c r="O10" s="23">
        <v>176000.0</v>
      </c>
      <c r="P10" s="23">
        <v>176000.0</v>
      </c>
      <c r="Q10" s="14">
        <f t="shared" si="4"/>
        <v>2112000</v>
      </c>
    </row>
    <row r="11" ht="15.75" customHeight="1">
      <c r="B11" s="24"/>
      <c r="C11" s="24"/>
      <c r="D11" s="11" t="s">
        <v>23</v>
      </c>
      <c r="E11" s="25">
        <v>7615.0</v>
      </c>
      <c r="F11" s="23">
        <v>7615.0</v>
      </c>
      <c r="G11" s="23">
        <v>7615.0</v>
      </c>
      <c r="H11" s="23">
        <v>7615.0</v>
      </c>
      <c r="I11" s="23">
        <v>7615.0</v>
      </c>
      <c r="J11" s="23">
        <v>7615.0</v>
      </c>
      <c r="K11" s="23">
        <v>7615.0</v>
      </c>
      <c r="L11" s="23">
        <v>7615.0</v>
      </c>
      <c r="M11" s="23">
        <v>7615.0</v>
      </c>
      <c r="N11" s="23">
        <v>7615.0</v>
      </c>
      <c r="O11" s="23">
        <v>7615.0</v>
      </c>
      <c r="P11" s="23">
        <v>7615.0</v>
      </c>
      <c r="Q11" s="14">
        <f t="shared" si="4"/>
        <v>91380</v>
      </c>
    </row>
    <row r="12" ht="15.75" customHeight="1">
      <c r="B12" s="24"/>
      <c r="C12" s="24"/>
      <c r="D12" s="11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17"/>
    </row>
    <row r="13" ht="15.75" customHeight="1">
      <c r="B13" s="24"/>
      <c r="C13" s="26"/>
      <c r="D13" s="20" t="s">
        <v>18</v>
      </c>
      <c r="E13" s="21">
        <f t="shared" ref="E13:P13" si="5">SUM(E9:E12)</f>
        <v>421061</v>
      </c>
      <c r="F13" s="21">
        <f t="shared" si="5"/>
        <v>458651.8</v>
      </c>
      <c r="G13" s="21">
        <f t="shared" si="5"/>
        <v>458769</v>
      </c>
      <c r="H13" s="21">
        <f t="shared" si="5"/>
        <v>418509</v>
      </c>
      <c r="I13" s="21">
        <f t="shared" si="5"/>
        <v>404473</v>
      </c>
      <c r="J13" s="21">
        <f t="shared" si="5"/>
        <v>437022.3</v>
      </c>
      <c r="K13" s="21">
        <f t="shared" si="5"/>
        <v>508819.8</v>
      </c>
      <c r="L13" s="21">
        <f t="shared" si="5"/>
        <v>2522452.3</v>
      </c>
      <c r="M13" s="21">
        <f t="shared" si="5"/>
        <v>183615</v>
      </c>
      <c r="N13" s="21">
        <f t="shared" si="5"/>
        <v>183615</v>
      </c>
      <c r="O13" s="21">
        <f t="shared" si="5"/>
        <v>183615</v>
      </c>
      <c r="P13" s="21">
        <f t="shared" si="5"/>
        <v>183615</v>
      </c>
      <c r="Q13" s="14">
        <f t="shared" ref="Q13:Q16" si="6">SUM(E13:P13)</f>
        <v>6364218.2</v>
      </c>
    </row>
    <row r="14" ht="15.75" customHeight="1">
      <c r="B14" s="24"/>
      <c r="C14" s="22" t="s">
        <v>24</v>
      </c>
      <c r="D14" s="11" t="s">
        <v>25</v>
      </c>
      <c r="E14" s="25">
        <v>544219.0</v>
      </c>
      <c r="F14" s="25">
        <v>578609.0</v>
      </c>
      <c r="G14" s="25">
        <v>553490.0</v>
      </c>
      <c r="H14" s="25">
        <v>563141.0</v>
      </c>
      <c r="I14" s="25">
        <v>475492.0</v>
      </c>
      <c r="J14" s="25">
        <v>475492.0</v>
      </c>
      <c r="K14" s="23"/>
      <c r="L14" s="25">
        <v>642557.0</v>
      </c>
      <c r="M14" s="25">
        <v>809824.0</v>
      </c>
      <c r="N14" s="23"/>
      <c r="O14" s="23"/>
      <c r="P14" s="23"/>
      <c r="Q14" s="14">
        <f t="shared" si="6"/>
        <v>4642824</v>
      </c>
    </row>
    <row r="15" ht="15.75" customHeight="1">
      <c r="B15" s="24"/>
      <c r="C15" s="24"/>
      <c r="D15" s="11" t="s">
        <v>26</v>
      </c>
      <c r="E15" s="25">
        <v>17166.0</v>
      </c>
      <c r="F15" s="25">
        <v>28754.0</v>
      </c>
      <c r="G15" s="27">
        <v>35871.0</v>
      </c>
      <c r="H15" s="27">
        <v>28200.0</v>
      </c>
      <c r="I15" s="27">
        <v>27453.0</v>
      </c>
      <c r="J15" s="25">
        <v>16050.0</v>
      </c>
      <c r="K15" s="25">
        <v>22859.0</v>
      </c>
      <c r="L15" s="25">
        <v>26753.0</v>
      </c>
      <c r="M15" s="25">
        <v>192050.0</v>
      </c>
      <c r="N15" s="23"/>
      <c r="O15" s="23"/>
      <c r="P15" s="23">
        <v>25794.0</v>
      </c>
      <c r="Q15" s="14">
        <f t="shared" si="6"/>
        <v>420950</v>
      </c>
    </row>
    <row r="16" ht="15.75" customHeight="1">
      <c r="B16" s="24"/>
      <c r="C16" s="24"/>
      <c r="D16" s="11" t="s">
        <v>27</v>
      </c>
      <c r="E16" s="23">
        <v>0.0</v>
      </c>
      <c r="F16" s="23">
        <v>0.0</v>
      </c>
      <c r="G16" s="23">
        <v>0.0</v>
      </c>
      <c r="H16" s="23">
        <v>0.0</v>
      </c>
      <c r="I16" s="23">
        <v>0.0</v>
      </c>
      <c r="J16" s="23">
        <v>0.0</v>
      </c>
      <c r="K16" s="23">
        <v>0.0</v>
      </c>
      <c r="L16" s="23">
        <v>0.0</v>
      </c>
      <c r="M16" s="23">
        <v>0.0</v>
      </c>
      <c r="Q16" s="14">
        <f t="shared" si="6"/>
        <v>0</v>
      </c>
    </row>
    <row r="17" ht="15.75" customHeight="1">
      <c r="B17" s="24"/>
      <c r="C17" s="24"/>
      <c r="D17" s="11" t="s">
        <v>28</v>
      </c>
      <c r="E17" s="25">
        <v>87160.0</v>
      </c>
      <c r="F17" s="25">
        <v>112757.0</v>
      </c>
      <c r="G17" s="25">
        <v>99541.0</v>
      </c>
      <c r="H17" s="25">
        <v>42209.0</v>
      </c>
      <c r="I17" s="25">
        <v>40220.0</v>
      </c>
      <c r="J17" s="23">
        <v>0.0</v>
      </c>
      <c r="K17" s="23">
        <v>0.0</v>
      </c>
      <c r="L17" s="11"/>
      <c r="M17" s="11"/>
      <c r="N17" s="23">
        <v>113624.0</v>
      </c>
      <c r="O17" s="23">
        <v>68304.0</v>
      </c>
      <c r="P17" s="23">
        <v>92673.0</v>
      </c>
      <c r="Q17" s="17"/>
    </row>
    <row r="18" ht="15.75" customHeight="1">
      <c r="B18" s="24"/>
      <c r="C18" s="24"/>
      <c r="D18" s="28" t="s">
        <v>29</v>
      </c>
      <c r="E18" s="11"/>
      <c r="F18" s="11"/>
      <c r="G18" s="11"/>
      <c r="H18" s="29">
        <v>518938.0</v>
      </c>
      <c r="I18" s="29">
        <v>518938.0</v>
      </c>
      <c r="J18" s="11"/>
      <c r="K18" s="11"/>
      <c r="L18" s="11"/>
      <c r="M18" s="11"/>
      <c r="N18" s="11"/>
      <c r="O18" s="11"/>
      <c r="P18" s="11"/>
      <c r="Q18" s="17"/>
    </row>
    <row r="19" ht="15.75" customHeight="1">
      <c r="B19" s="26"/>
      <c r="C19" s="26"/>
      <c r="D19" s="20" t="s">
        <v>18</v>
      </c>
      <c r="E19" s="21">
        <f t="shared" ref="E19:P19" si="7">SUM(E14:E18)</f>
        <v>648545</v>
      </c>
      <c r="F19" s="21">
        <f t="shared" si="7"/>
        <v>720120</v>
      </c>
      <c r="G19" s="21">
        <f t="shared" si="7"/>
        <v>688902</v>
      </c>
      <c r="H19" s="21">
        <f t="shared" si="7"/>
        <v>1152488</v>
      </c>
      <c r="I19" s="21">
        <f t="shared" si="7"/>
        <v>1062103</v>
      </c>
      <c r="J19" s="21">
        <f t="shared" si="7"/>
        <v>491542</v>
      </c>
      <c r="K19" s="21">
        <f t="shared" si="7"/>
        <v>22859</v>
      </c>
      <c r="L19" s="21">
        <f t="shared" si="7"/>
        <v>669310</v>
      </c>
      <c r="M19" s="21">
        <f t="shared" si="7"/>
        <v>1001874</v>
      </c>
      <c r="N19" s="21">
        <f t="shared" si="7"/>
        <v>113624</v>
      </c>
      <c r="O19" s="21">
        <f t="shared" si="7"/>
        <v>68304</v>
      </c>
      <c r="P19" s="21">
        <f t="shared" si="7"/>
        <v>118467</v>
      </c>
      <c r="Q19" s="14">
        <f>SUM(E19:P19)</f>
        <v>6758138</v>
      </c>
    </row>
    <row r="20" ht="9.0" customHeight="1"/>
    <row r="21" ht="15.75" customHeight="1">
      <c r="B21" s="30" t="s">
        <v>30</v>
      </c>
      <c r="C21" s="5"/>
      <c r="D21" s="6"/>
      <c r="E21" s="31">
        <f t="shared" ref="E21:P21" si="8">E8-(E13+E19)</f>
        <v>1304854</v>
      </c>
      <c r="F21" s="31">
        <f t="shared" si="8"/>
        <v>1571596.2</v>
      </c>
      <c r="G21" s="31">
        <f t="shared" si="8"/>
        <v>1603869</v>
      </c>
      <c r="H21" s="31">
        <f t="shared" si="8"/>
        <v>777943</v>
      </c>
      <c r="I21" s="31">
        <f t="shared" si="8"/>
        <v>742004</v>
      </c>
      <c r="J21" s="31">
        <f t="shared" si="8"/>
        <v>1605508.7</v>
      </c>
      <c r="K21" s="31">
        <f t="shared" si="8"/>
        <v>2720369.2</v>
      </c>
      <c r="L21" s="31">
        <f t="shared" si="8"/>
        <v>20196610.7</v>
      </c>
      <c r="M21" s="31">
        <f t="shared" si="8"/>
        <v>-1185489</v>
      </c>
      <c r="N21" s="31">
        <f t="shared" si="8"/>
        <v>-297239</v>
      </c>
      <c r="O21" s="31">
        <f t="shared" si="8"/>
        <v>-251919</v>
      </c>
      <c r="P21" s="31">
        <f t="shared" si="8"/>
        <v>-302082</v>
      </c>
      <c r="Q21" s="14">
        <f>SUM(E21:P21)</f>
        <v>28486025.8</v>
      </c>
    </row>
    <row r="22" ht="15.75" customHeight="1"/>
    <row r="23" ht="15.75" customHeight="1">
      <c r="C23" s="11" t="s">
        <v>31</v>
      </c>
      <c r="D23" s="11" t="s">
        <v>31</v>
      </c>
      <c r="E23" s="11">
        <v>105166.0</v>
      </c>
      <c r="F23" s="11">
        <v>105166.0</v>
      </c>
      <c r="G23" s="11">
        <v>105166.0</v>
      </c>
      <c r="H23" s="11">
        <v>105166.0</v>
      </c>
      <c r="I23" s="11">
        <v>105166.0</v>
      </c>
      <c r="J23" s="11">
        <v>105166.0</v>
      </c>
      <c r="K23" s="11">
        <v>105166.0</v>
      </c>
      <c r="L23" s="11">
        <v>105166.0</v>
      </c>
      <c r="M23" s="11">
        <v>105166.0</v>
      </c>
      <c r="N23" s="11">
        <v>105166.0</v>
      </c>
      <c r="O23" s="11">
        <v>105166.0</v>
      </c>
      <c r="P23" s="11">
        <v>105166.0</v>
      </c>
      <c r="Q23" s="11">
        <f>SUM(J23:P23)</f>
        <v>736162</v>
      </c>
    </row>
    <row r="24" ht="15.75" customHeight="1">
      <c r="E24" s="23">
        <f t="shared" ref="E24:Q24" si="9">(E21-E23)</f>
        <v>1199688</v>
      </c>
      <c r="F24" s="23">
        <f t="shared" si="9"/>
        <v>1466430.2</v>
      </c>
      <c r="G24" s="23">
        <f t="shared" si="9"/>
        <v>1498703</v>
      </c>
      <c r="H24" s="23">
        <f t="shared" si="9"/>
        <v>672777</v>
      </c>
      <c r="I24" s="23">
        <f t="shared" si="9"/>
        <v>636838</v>
      </c>
      <c r="J24" s="23">
        <f t="shared" si="9"/>
        <v>1500342.7</v>
      </c>
      <c r="K24" s="23">
        <f t="shared" si="9"/>
        <v>2615203.2</v>
      </c>
      <c r="L24" s="23">
        <f t="shared" si="9"/>
        <v>20091444.7</v>
      </c>
      <c r="M24" s="23">
        <f t="shared" si="9"/>
        <v>-1290655</v>
      </c>
      <c r="N24" s="23">
        <f t="shared" si="9"/>
        <v>-402405</v>
      </c>
      <c r="O24" s="23">
        <f t="shared" si="9"/>
        <v>-357085</v>
      </c>
      <c r="P24" s="23">
        <f t="shared" si="9"/>
        <v>-407248</v>
      </c>
      <c r="Q24" s="23">
        <f t="shared" si="9"/>
        <v>27749863.8</v>
      </c>
    </row>
    <row r="25" ht="15.75" customHeight="1"/>
    <row r="26" ht="15.75" customHeight="1">
      <c r="D26" s="32" t="s">
        <v>32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>
        <f t="shared" ref="Q26:Q30" si="10">SUM(E26:P26)</f>
        <v>0</v>
      </c>
    </row>
    <row r="27" ht="15.75" customHeight="1">
      <c r="D27" s="11" t="s">
        <v>33</v>
      </c>
      <c r="E27" s="11"/>
      <c r="F27" s="11"/>
      <c r="G27" s="11"/>
      <c r="H27" s="11"/>
      <c r="I27" s="11"/>
      <c r="J27" s="11"/>
      <c r="K27" s="11">
        <v>103.0</v>
      </c>
      <c r="L27" s="11"/>
      <c r="M27" s="11"/>
      <c r="N27" s="11"/>
      <c r="O27" s="11"/>
      <c r="P27" s="11"/>
      <c r="Q27" s="11">
        <f t="shared" si="10"/>
        <v>103</v>
      </c>
    </row>
    <row r="28" ht="15.75" customHeight="1">
      <c r="C28" s="33"/>
      <c r="D28" s="11" t="s">
        <v>34</v>
      </c>
      <c r="E28" s="11">
        <v>0.0</v>
      </c>
      <c r="F28" s="11">
        <v>0.0</v>
      </c>
      <c r="G28" s="11">
        <v>0.0</v>
      </c>
      <c r="H28" s="11">
        <v>0.0</v>
      </c>
      <c r="I28" s="11">
        <v>0.0</v>
      </c>
      <c r="J28" s="11">
        <v>0.0</v>
      </c>
      <c r="K28" s="11">
        <v>17.0</v>
      </c>
      <c r="L28" s="11">
        <v>0.0</v>
      </c>
      <c r="M28" s="11">
        <v>0.0</v>
      </c>
      <c r="N28" s="11">
        <v>0.0</v>
      </c>
      <c r="O28" s="11">
        <v>0.0</v>
      </c>
      <c r="P28" s="11">
        <v>0.0</v>
      </c>
      <c r="Q28" s="11">
        <f t="shared" si="10"/>
        <v>17</v>
      </c>
    </row>
    <row r="29" ht="15.75" customHeight="1">
      <c r="C29" s="33"/>
      <c r="D29" s="34" t="s">
        <v>35</v>
      </c>
      <c r="E29" s="34"/>
      <c r="F29" s="34"/>
      <c r="G29" s="34"/>
      <c r="H29" s="34"/>
      <c r="I29" s="34"/>
      <c r="J29" s="34"/>
      <c r="K29" s="34">
        <v>32.0</v>
      </c>
      <c r="L29" s="34"/>
      <c r="M29" s="34"/>
      <c r="N29" s="34"/>
      <c r="O29" s="34"/>
      <c r="P29" s="34"/>
      <c r="Q29" s="34">
        <f t="shared" si="10"/>
        <v>32</v>
      </c>
    </row>
    <row r="30" ht="15.75" customHeight="1">
      <c r="C30" s="33"/>
      <c r="D30" s="35" t="s">
        <v>18</v>
      </c>
      <c r="E30" s="36">
        <f t="shared" ref="E30:P30" si="11">SUM(E26:E29)</f>
        <v>0</v>
      </c>
      <c r="F30" s="36">
        <f t="shared" si="11"/>
        <v>0</v>
      </c>
      <c r="G30" s="36">
        <f t="shared" si="11"/>
        <v>0</v>
      </c>
      <c r="H30" s="36">
        <f t="shared" si="11"/>
        <v>0</v>
      </c>
      <c r="I30" s="36">
        <f t="shared" si="11"/>
        <v>0</v>
      </c>
      <c r="J30" s="36">
        <f t="shared" si="11"/>
        <v>0</v>
      </c>
      <c r="K30" s="36">
        <f t="shared" si="11"/>
        <v>152</v>
      </c>
      <c r="L30" s="36">
        <f t="shared" si="11"/>
        <v>0</v>
      </c>
      <c r="M30" s="36">
        <f t="shared" si="11"/>
        <v>0</v>
      </c>
      <c r="N30" s="36">
        <f t="shared" si="11"/>
        <v>0</v>
      </c>
      <c r="O30" s="36">
        <f t="shared" si="11"/>
        <v>0</v>
      </c>
      <c r="P30" s="36">
        <f t="shared" si="11"/>
        <v>0</v>
      </c>
      <c r="Q30" s="36">
        <f t="shared" si="10"/>
        <v>152</v>
      </c>
    </row>
    <row r="31" ht="15.75" customHeight="1">
      <c r="C31" s="33"/>
      <c r="D31" s="37" t="s">
        <v>36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</row>
    <row r="32" ht="15.75" customHeight="1">
      <c r="D32" s="38"/>
    </row>
    <row r="33" ht="15.75" customHeight="1">
      <c r="D33" s="39" t="s">
        <v>37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</row>
    <row r="34" ht="15.75" customHeight="1"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</row>
    <row r="35" ht="15.75" customHeight="1">
      <c r="D35" s="11" t="s">
        <v>33</v>
      </c>
      <c r="E35" s="11">
        <f t="shared" ref="E35:P35" si="12">E27*9000*0.4</f>
        <v>0</v>
      </c>
      <c r="F35" s="11">
        <f t="shared" si="12"/>
        <v>0</v>
      </c>
      <c r="G35" s="11">
        <f t="shared" si="12"/>
        <v>0</v>
      </c>
      <c r="H35" s="11">
        <f t="shared" si="12"/>
        <v>0</v>
      </c>
      <c r="I35" s="11">
        <f t="shared" si="12"/>
        <v>0</v>
      </c>
      <c r="J35" s="11">
        <f t="shared" si="12"/>
        <v>0</v>
      </c>
      <c r="K35" s="11">
        <f t="shared" si="12"/>
        <v>370800</v>
      </c>
      <c r="L35" s="11">
        <f t="shared" si="12"/>
        <v>0</v>
      </c>
      <c r="M35" s="11">
        <f t="shared" si="12"/>
        <v>0</v>
      </c>
      <c r="N35" s="11">
        <f t="shared" si="12"/>
        <v>0</v>
      </c>
      <c r="O35" s="11">
        <f t="shared" si="12"/>
        <v>0</v>
      </c>
      <c r="P35" s="11">
        <f t="shared" si="12"/>
        <v>0</v>
      </c>
      <c r="Q35" s="11">
        <f>Q27*10000*0.4</f>
        <v>412000</v>
      </c>
    </row>
    <row r="36" ht="15.75" customHeight="1">
      <c r="D36" s="11" t="s">
        <v>34</v>
      </c>
      <c r="E36" s="32">
        <f t="shared" ref="E36:P36" si="13">MIN(E28,50)*9000*0.4 + MAX(MIN(E28,80)-50,0)*9000*0.5 + MAX(MIN(E28,100)-80,0)*9000*0.7 + MAX(E28-100,0)*9000*0.9</f>
        <v>0</v>
      </c>
      <c r="F36" s="32">
        <f t="shared" si="13"/>
        <v>0</v>
      </c>
      <c r="G36" s="32">
        <f t="shared" si="13"/>
        <v>0</v>
      </c>
      <c r="H36" s="32">
        <f t="shared" si="13"/>
        <v>0</v>
      </c>
      <c r="I36" s="32">
        <f t="shared" si="13"/>
        <v>0</v>
      </c>
      <c r="J36" s="32">
        <f t="shared" si="13"/>
        <v>0</v>
      </c>
      <c r="K36" s="32">
        <f t="shared" si="13"/>
        <v>61200</v>
      </c>
      <c r="L36" s="32">
        <f t="shared" si="13"/>
        <v>0</v>
      </c>
      <c r="M36" s="32">
        <f t="shared" si="13"/>
        <v>0</v>
      </c>
      <c r="N36" s="32">
        <f t="shared" si="13"/>
        <v>0</v>
      </c>
      <c r="O36" s="32">
        <f t="shared" si="13"/>
        <v>0</v>
      </c>
      <c r="P36" s="32">
        <f t="shared" si="13"/>
        <v>0</v>
      </c>
      <c r="Q36" s="32">
        <f>MIN(Q28,50)*10000*0.4 + MAX(MIN(Q28,80)-50,0)*10000*0.5 + MAX(MIN(Q28,100)-80,0)*10000*0.7 + MAX(Q28-100,0)*10000*0.9</f>
        <v>68000</v>
      </c>
    </row>
    <row r="37" ht="15.75" customHeight="1">
      <c r="D37" s="11" t="s">
        <v>38</v>
      </c>
      <c r="E37" s="11">
        <f t="shared" ref="E37:P37" si="14">E29*9000*0.3</f>
        <v>0</v>
      </c>
      <c r="F37" s="11">
        <f t="shared" si="14"/>
        <v>0</v>
      </c>
      <c r="G37" s="11">
        <f t="shared" si="14"/>
        <v>0</v>
      </c>
      <c r="H37" s="11">
        <f t="shared" si="14"/>
        <v>0</v>
      </c>
      <c r="I37" s="11">
        <f t="shared" si="14"/>
        <v>0</v>
      </c>
      <c r="J37" s="11">
        <f t="shared" si="14"/>
        <v>0</v>
      </c>
      <c r="K37" s="11">
        <f t="shared" si="14"/>
        <v>86400</v>
      </c>
      <c r="L37" s="11">
        <f t="shared" si="14"/>
        <v>0</v>
      </c>
      <c r="M37" s="11">
        <f t="shared" si="14"/>
        <v>0</v>
      </c>
      <c r="N37" s="11">
        <f t="shared" si="14"/>
        <v>0</v>
      </c>
      <c r="O37" s="11">
        <f t="shared" si="14"/>
        <v>0</v>
      </c>
      <c r="P37" s="11">
        <f t="shared" si="14"/>
        <v>0</v>
      </c>
      <c r="Q37" s="11"/>
    </row>
    <row r="38" ht="15.75" customHeight="1">
      <c r="D38" s="1" t="s">
        <v>18</v>
      </c>
      <c r="E38" s="1">
        <f t="shared" ref="E38:Q38" si="15">SUM(E34:E37)</f>
        <v>0</v>
      </c>
      <c r="F38" s="1">
        <f t="shared" si="15"/>
        <v>0</v>
      </c>
      <c r="G38" s="1">
        <f t="shared" si="15"/>
        <v>0</v>
      </c>
      <c r="H38" s="1">
        <f t="shared" si="15"/>
        <v>0</v>
      </c>
      <c r="I38" s="1">
        <f t="shared" si="15"/>
        <v>0</v>
      </c>
      <c r="J38" s="1">
        <f t="shared" si="15"/>
        <v>0</v>
      </c>
      <c r="K38" s="1">
        <f t="shared" si="15"/>
        <v>518400</v>
      </c>
      <c r="L38" s="1">
        <f t="shared" si="15"/>
        <v>0</v>
      </c>
      <c r="M38" s="1">
        <f t="shared" si="15"/>
        <v>0</v>
      </c>
      <c r="N38" s="1">
        <f t="shared" si="15"/>
        <v>0</v>
      </c>
      <c r="O38" s="1">
        <f t="shared" si="15"/>
        <v>0</v>
      </c>
      <c r="P38" s="1">
        <f t="shared" si="15"/>
        <v>0</v>
      </c>
      <c r="Q38" s="1">
        <f t="shared" si="15"/>
        <v>480000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7">
    <mergeCell ref="B2:Q2"/>
    <mergeCell ref="B4:D4"/>
    <mergeCell ref="B5:C8"/>
    <mergeCell ref="B9:B19"/>
    <mergeCell ref="C9:C13"/>
    <mergeCell ref="C14:C19"/>
    <mergeCell ref="B21:D2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