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原本" sheetId="1" r:id="rId5"/>
    <sheet state="visible" name="2024" sheetId="2" r:id="rId6"/>
    <sheet state="visible" name="2025" sheetId="3" r:id="rId7"/>
  </sheets>
  <definedNames/>
  <calcPr/>
</workbook>
</file>

<file path=xl/sharedStrings.xml><?xml version="1.0" encoding="utf-8"?>
<sst xmlns="http://schemas.openxmlformats.org/spreadsheetml/2006/main" count="95" uniqueCount="32">
  <si>
    <t>損益計算表</t>
  </si>
  <si>
    <t>科目名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</si>
  <si>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</si>
  <si>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</si>
  <si>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</si>
  <si>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</si>
  <si>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</si>
  <si>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</si>
  <si>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</si>
  <si>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</si>
  <si>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</si>
  <si>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</si>
  <si>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</si>
  <si>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</si>
  <si>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当期</t>
  </si>
  <si>
    <t>売上高</t>
  </si>
  <si>
    <t>システム</t>
  </si>
  <si>
    <t>店頭</t>
  </si>
  <si>
    <t>合計</t>
  </si>
  <si>
    <t>コスト</t>
  </si>
  <si>
    <t>固定費</t>
  </si>
  <si>
    <t>ロイヤリティ</t>
  </si>
  <si>
    <t>家賃</t>
  </si>
  <si>
    <t>インターネット</t>
  </si>
  <si>
    <t>変動費</t>
  </si>
  <si>
    <t>人件費</t>
  </si>
  <si>
    <t>光熱費</t>
  </si>
  <si>
    <t>広告費</t>
  </si>
  <si>
    <t>Stripe手数料</t>
  </si>
  <si>
    <t>純利益</t>
  </si>
  <si>
    <t>返済金</t>
  </si>
  <si>
    <t>ウオーターサーバー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</si>
</sst>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¥-411]#,##0"/>
    <numFmt numFmtId="165" formatCode="&quot;¥&quot;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FFFF"/>
      <name val="Arial"/>
      <scheme val="minor"/>
    </font>
    <font>
      <color rgb="FFFFFFFF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1" fillId="4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3" fillId="4" fontId="3" numFmtId="0" xfId="0" applyAlignment="1" applyBorder="1" applyFont="1">
      <alignment horizontal="center" readingOrder="0"/>
    </xf>
    <xf borderId="3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textRotation="255" vertical="center"/>
    </xf>
    <xf borderId="6" fillId="0" fontId="4" numFmtId="0" xfId="0" applyBorder="1" applyFont="1"/>
    <xf borderId="4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4" fillId="5" fontId="1" numFmtId="164" xfId="0" applyBorder="1" applyFill="1" applyFont="1" applyNumberFormat="1"/>
    <xf borderId="7" fillId="0" fontId="4" numFmtId="0" xfId="0" applyBorder="1" applyFont="1"/>
    <xf borderId="8" fillId="0" fontId="4" numFmtId="0" xfId="0" applyBorder="1" applyFont="1"/>
    <xf borderId="4" fillId="0" fontId="1" numFmtId="0" xfId="0" applyBorder="1" applyFont="1"/>
    <xf borderId="4" fillId="5" fontId="1" numFmtId="0" xfId="0" applyBorder="1" applyFont="1"/>
    <xf borderId="9" fillId="0" fontId="4" numFmtId="0" xfId="0" applyBorder="1" applyFont="1"/>
    <xf borderId="10" fillId="0" fontId="4" numFmtId="0" xfId="0" applyBorder="1" applyFont="1"/>
    <xf borderId="4" fillId="6" fontId="1" numFmtId="0" xfId="0" applyAlignment="1" applyBorder="1" applyFill="1" applyFont="1">
      <alignment readingOrder="0"/>
    </xf>
    <xf borderId="4" fillId="6" fontId="1" numFmtId="164" xfId="0" applyBorder="1" applyFont="1" applyNumberFormat="1"/>
    <xf borderId="4" fillId="6" fontId="1" numFmtId="164" xfId="0" applyAlignment="1" applyBorder="1" applyFont="1" applyNumberFormat="1">
      <alignment readingOrder="0"/>
    </xf>
    <xf borderId="11" fillId="0" fontId="1" numFmtId="0" xfId="0" applyAlignment="1" applyBorder="1" applyFont="1">
      <alignment horizontal="left" readingOrder="0" textRotation="255" vertical="center"/>
    </xf>
    <xf borderId="4" fillId="0" fontId="1" numFmtId="164" xfId="0" applyAlignment="1" applyBorder="1" applyFont="1" applyNumberFormat="1">
      <alignment readingOrder="0"/>
    </xf>
    <xf borderId="4" fillId="0" fontId="1" numFmtId="164" xfId="0" applyBorder="1" applyFont="1" applyNumberFormat="1"/>
    <xf borderId="4" fillId="0" fontId="1" numFmtId="165" xfId="0" applyAlignment="1" applyBorder="1" applyFont="1" applyNumberFormat="1">
      <alignment readingOrder="0"/>
    </xf>
    <xf borderId="12" fillId="0" fontId="4" numFmtId="0" xfId="0" applyBorder="1" applyFont="1"/>
    <xf borderId="13" fillId="0" fontId="4" numFmtId="0" xfId="0" applyBorder="1" applyFont="1"/>
    <xf borderId="1" fillId="7" fontId="1" numFmtId="0" xfId="0" applyAlignment="1" applyBorder="1" applyFill="1" applyFont="1">
      <alignment horizontal="center" readingOrder="0"/>
    </xf>
    <xf borderId="4" fillId="7" fontId="1" numFmtId="164" xfId="0" applyAlignment="1" applyBorder="1" applyFont="1" applyNumberFormat="1">
      <alignment readingOrder="0"/>
    </xf>
    <xf borderId="4" fillId="7" fontId="1" numFmtId="164" xfId="0" applyBorder="1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.75"/>
    <col customWidth="1" min="4" max="4" width="18.0"/>
  </cols>
  <sheetData>
    <row r="1"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B2" s="3" t="s">
        <v>0</v>
      </c>
    </row>
    <row r="3" ht="6.75" customHeight="1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4"/>
    </row>
    <row r="4">
      <c r="B4" s="7" t="s">
        <v>1</v>
      </c>
      <c r="C4" s="8"/>
      <c r="D4" s="9"/>
      <c r="E4" s="10" t="s">
        <v>2</v>
      </c>
      <c r="F4" s="10" t="s">
        <v>3</v>
      </c>
      <c r="G4" s="10" t="s">
        <v>4</v>
      </c>
      <c r="H4" s="11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  <c r="N4" s="12" t="s">
        <v>11</v>
      </c>
      <c r="O4" s="12" t="s">
        <v>12</v>
      </c>
      <c r="P4" s="13" t="s">
        <v>13</v>
      </c>
      <c r="Q4" s="14" t="s">
        <v>14</v>
      </c>
    </row>
    <row r="5">
      <c r="B5" s="15" t="s">
        <v>15</v>
      </c>
      <c r="C5" s="16"/>
      <c r="D5" s="17" t="s">
        <v>16</v>
      </c>
      <c r="E5" s="18">
        <v>0.0</v>
      </c>
      <c r="F5" s="18"/>
      <c r="G5" s="18"/>
      <c r="H5" s="18">
        <v>0.0</v>
      </c>
      <c r="I5" s="18">
        <v>0.0</v>
      </c>
      <c r="J5" s="18">
        <v>0.0</v>
      </c>
      <c r="K5" s="18">
        <v>0.0</v>
      </c>
      <c r="L5" s="18">
        <v>0.0</v>
      </c>
      <c r="M5" s="18">
        <v>0.0</v>
      </c>
      <c r="N5" s="18">
        <v>0.0</v>
      </c>
      <c r="O5" s="18">
        <v>0.0</v>
      </c>
      <c r="P5" s="18">
        <v>0.0</v>
      </c>
      <c r="Q5" s="19">
        <f t="shared" ref="Q5:Q6" si="1">SUM(H5:P5)</f>
        <v>0</v>
      </c>
    </row>
    <row r="6">
      <c r="B6" s="20"/>
      <c r="C6" s="21"/>
      <c r="D6" s="17" t="s">
        <v>17</v>
      </c>
      <c r="E6" s="18">
        <v>0.0</v>
      </c>
      <c r="F6" s="18">
        <v>0.0</v>
      </c>
      <c r="G6" s="18">
        <v>0.0</v>
      </c>
      <c r="H6" s="18">
        <v>0.0</v>
      </c>
      <c r="I6" s="18">
        <v>0.0</v>
      </c>
      <c r="J6" s="18">
        <v>0.0</v>
      </c>
      <c r="K6" s="18">
        <v>0.0</v>
      </c>
      <c r="L6" s="18">
        <v>0.0</v>
      </c>
      <c r="M6" s="18">
        <v>0.0</v>
      </c>
      <c r="N6" s="18">
        <v>0.0</v>
      </c>
      <c r="O6" s="18">
        <v>0.0</v>
      </c>
      <c r="P6" s="18">
        <v>0.0</v>
      </c>
      <c r="Q6" s="19">
        <f t="shared" si="1"/>
        <v>0</v>
      </c>
    </row>
    <row r="7">
      <c r="B7" s="20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7"/>
      <c r="P7" s="22"/>
      <c r="Q7" s="23"/>
    </row>
    <row r="8">
      <c r="B8" s="24"/>
      <c r="C8" s="25"/>
      <c r="D8" s="26" t="s">
        <v>18</v>
      </c>
      <c r="E8" s="27">
        <f>SUM(E5,E6)</f>
        <v>0</v>
      </c>
      <c r="F8" s="27">
        <f t="shared" ref="F8:G8" si="2">SUM(F5:F6)</f>
        <v>0</v>
      </c>
      <c r="G8" s="27">
        <f t="shared" si="2"/>
        <v>0</v>
      </c>
      <c r="H8" s="27">
        <f t="shared" ref="H8:N8" si="3">SUM(H5:H7)</f>
        <v>0</v>
      </c>
      <c r="I8" s="27">
        <f t="shared" si="3"/>
        <v>0</v>
      </c>
      <c r="J8" s="27">
        <f t="shared" si="3"/>
        <v>0</v>
      </c>
      <c r="K8" s="27">
        <f t="shared" si="3"/>
        <v>0</v>
      </c>
      <c r="L8" s="27">
        <f t="shared" si="3"/>
        <v>0</v>
      </c>
      <c r="M8" s="27">
        <f t="shared" si="3"/>
        <v>0</v>
      </c>
      <c r="N8" s="27">
        <f t="shared" si="3"/>
        <v>0</v>
      </c>
      <c r="O8" s="28">
        <v>0.0</v>
      </c>
      <c r="P8" s="27">
        <f>SUM(P5:P7)</f>
        <v>0</v>
      </c>
      <c r="Q8" s="19">
        <f t="shared" ref="Q8:Q11" si="5">SUM(H8:P8)</f>
        <v>0</v>
      </c>
    </row>
    <row r="9">
      <c r="B9" s="29" t="s">
        <v>19</v>
      </c>
      <c r="C9" s="29" t="s">
        <v>20</v>
      </c>
      <c r="D9" s="17" t="s">
        <v>21</v>
      </c>
      <c r="E9" s="30">
        <f t="shared" ref="E9:N9" si="4">E8*0.1</f>
        <v>0</v>
      </c>
      <c r="F9" s="31">
        <f t="shared" si="4"/>
        <v>0</v>
      </c>
      <c r="G9" s="31">
        <f t="shared" si="4"/>
        <v>0</v>
      </c>
      <c r="H9" s="31">
        <f t="shared" si="4"/>
        <v>0</v>
      </c>
      <c r="I9" s="31">
        <f t="shared" si="4"/>
        <v>0</v>
      </c>
      <c r="J9" s="31">
        <f t="shared" si="4"/>
        <v>0</v>
      </c>
      <c r="K9" s="31">
        <f t="shared" si="4"/>
        <v>0</v>
      </c>
      <c r="L9" s="31">
        <f t="shared" si="4"/>
        <v>0</v>
      </c>
      <c r="M9" s="31">
        <f t="shared" si="4"/>
        <v>0</v>
      </c>
      <c r="N9" s="31">
        <f t="shared" si="4"/>
        <v>0</v>
      </c>
      <c r="O9" s="32">
        <v>0.0</v>
      </c>
      <c r="P9" s="31">
        <f>P8*0.1</f>
        <v>0</v>
      </c>
      <c r="Q9" s="19">
        <f t="shared" si="5"/>
        <v>0</v>
      </c>
    </row>
    <row r="10">
      <c r="B10" s="33"/>
      <c r="C10" s="33"/>
      <c r="D10" s="17" t="s">
        <v>22</v>
      </c>
      <c r="E10" s="30">
        <v>0.0</v>
      </c>
      <c r="F10" s="30">
        <v>0.0</v>
      </c>
      <c r="G10" s="30"/>
      <c r="H10" s="30">
        <v>0.0</v>
      </c>
      <c r="I10" s="30">
        <v>0.0</v>
      </c>
      <c r="J10" s="30">
        <v>0.0</v>
      </c>
      <c r="K10" s="30">
        <v>0.0</v>
      </c>
      <c r="L10" s="30">
        <v>0.0</v>
      </c>
      <c r="M10" s="30">
        <v>0.0</v>
      </c>
      <c r="N10" s="30">
        <v>0.0</v>
      </c>
      <c r="O10" s="30">
        <v>0.0</v>
      </c>
      <c r="P10" s="30">
        <v>0.0</v>
      </c>
      <c r="Q10" s="19">
        <f t="shared" si="5"/>
        <v>0</v>
      </c>
    </row>
    <row r="11">
      <c r="B11" s="33"/>
      <c r="C11" s="33"/>
      <c r="D11" s="17" t="s">
        <v>23</v>
      </c>
      <c r="E11" s="30">
        <v>0.0</v>
      </c>
      <c r="F11" s="30">
        <v>0.0</v>
      </c>
      <c r="G11" s="30"/>
      <c r="H11" s="30">
        <v>0.0</v>
      </c>
      <c r="I11" s="30">
        <v>0.0</v>
      </c>
      <c r="J11" s="30">
        <v>0.0</v>
      </c>
      <c r="K11" s="30">
        <v>0.0</v>
      </c>
      <c r="L11" s="30">
        <v>0.0</v>
      </c>
      <c r="M11" s="30">
        <v>0.0</v>
      </c>
      <c r="N11" s="30">
        <v>0.0</v>
      </c>
      <c r="O11" s="30">
        <v>0.0</v>
      </c>
      <c r="P11" s="30">
        <v>0.0</v>
      </c>
      <c r="Q11" s="19">
        <f t="shared" si="5"/>
        <v>0</v>
      </c>
    </row>
    <row r="12">
      <c r="B12" s="33"/>
      <c r="C12" s="33"/>
      <c r="D12" s="22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0"/>
      <c r="P12" s="31"/>
      <c r="Q12" s="23"/>
    </row>
    <row r="13">
      <c r="B13" s="33"/>
      <c r="C13" s="34"/>
      <c r="D13" s="26" t="s">
        <v>18</v>
      </c>
      <c r="E13" s="27">
        <f t="shared" ref="E13:G13" si="6">SUM(E9,E12)</f>
        <v>0</v>
      </c>
      <c r="F13" s="27">
        <f t="shared" si="6"/>
        <v>0</v>
      </c>
      <c r="G13" s="27">
        <f t="shared" si="6"/>
        <v>0</v>
      </c>
      <c r="H13" s="27">
        <f t="shared" ref="H13:L13" si="7">SUM(H9:H12)</f>
        <v>0</v>
      </c>
      <c r="I13" s="27">
        <f t="shared" si="7"/>
        <v>0</v>
      </c>
      <c r="J13" s="27">
        <f t="shared" si="7"/>
        <v>0</v>
      </c>
      <c r="K13" s="27">
        <f t="shared" si="7"/>
        <v>0</v>
      </c>
      <c r="L13" s="27">
        <f t="shared" si="7"/>
        <v>0</v>
      </c>
      <c r="M13" s="28">
        <v>0.0</v>
      </c>
      <c r="N13" s="28">
        <v>0.0</v>
      </c>
      <c r="O13" s="28">
        <v>0.0</v>
      </c>
      <c r="P13" s="27">
        <f>SUM(P9:P12)</f>
        <v>0</v>
      </c>
      <c r="Q13" s="19">
        <f t="shared" ref="Q13:Q16" si="8">SUM(H13:P13)</f>
        <v>0</v>
      </c>
    </row>
    <row r="14">
      <c r="B14" s="33"/>
      <c r="C14" s="29" t="s">
        <v>24</v>
      </c>
      <c r="D14" s="17" t="s">
        <v>25</v>
      </c>
      <c r="E14" s="30">
        <v>0.0</v>
      </c>
      <c r="F14" s="30">
        <v>0.0</v>
      </c>
      <c r="G14" s="30">
        <v>0.0</v>
      </c>
      <c r="H14" s="30">
        <v>0.0</v>
      </c>
      <c r="I14" s="30">
        <v>0.0</v>
      </c>
      <c r="J14" s="30">
        <v>0.0</v>
      </c>
      <c r="K14" s="30">
        <v>0.0</v>
      </c>
      <c r="L14" s="30">
        <v>0.0</v>
      </c>
      <c r="M14" s="30">
        <v>0.0</v>
      </c>
      <c r="N14" s="30">
        <v>0.0</v>
      </c>
      <c r="O14" s="30">
        <v>0.0</v>
      </c>
      <c r="P14" s="30">
        <v>0.0</v>
      </c>
      <c r="Q14" s="19">
        <f t="shared" si="8"/>
        <v>0</v>
      </c>
    </row>
    <row r="15">
      <c r="B15" s="33"/>
      <c r="C15" s="33"/>
      <c r="D15" s="17" t="s">
        <v>26</v>
      </c>
      <c r="E15" s="30">
        <v>0.0</v>
      </c>
      <c r="F15" s="30"/>
      <c r="G15" s="30"/>
      <c r="H15" s="30">
        <v>0.0</v>
      </c>
      <c r="I15" s="30">
        <v>0.0</v>
      </c>
      <c r="J15" s="30">
        <v>0.0</v>
      </c>
      <c r="K15" s="30">
        <v>0.0</v>
      </c>
      <c r="L15" s="30">
        <v>0.0</v>
      </c>
      <c r="M15" s="30">
        <v>0.0</v>
      </c>
      <c r="N15" s="30">
        <v>0.0</v>
      </c>
      <c r="O15" s="30">
        <v>0.0</v>
      </c>
      <c r="P15" s="30">
        <v>0.0</v>
      </c>
      <c r="Q15" s="19">
        <f t="shared" si="8"/>
        <v>0</v>
      </c>
    </row>
    <row r="16">
      <c r="B16" s="33"/>
      <c r="C16" s="33"/>
      <c r="D16" s="17" t="s">
        <v>27</v>
      </c>
      <c r="E16" s="30">
        <v>0.0</v>
      </c>
      <c r="F16" s="30">
        <v>0.0</v>
      </c>
      <c r="G16" s="30">
        <v>0.0</v>
      </c>
      <c r="H16" s="30">
        <v>0.0</v>
      </c>
      <c r="I16" s="30">
        <v>0.0</v>
      </c>
      <c r="J16" s="30">
        <v>0.0</v>
      </c>
      <c r="K16" s="30">
        <v>0.0</v>
      </c>
      <c r="L16" s="30">
        <v>0.0</v>
      </c>
      <c r="M16" s="30">
        <v>0.0</v>
      </c>
      <c r="N16" s="30">
        <v>0.0</v>
      </c>
      <c r="O16" s="30">
        <v>0.0</v>
      </c>
      <c r="P16" s="30">
        <v>0.0</v>
      </c>
      <c r="Q16" s="19">
        <f t="shared" si="8"/>
        <v>0</v>
      </c>
    </row>
    <row r="17">
      <c r="B17" s="33"/>
      <c r="C17" s="33"/>
      <c r="D17" s="17" t="s">
        <v>28</v>
      </c>
      <c r="E17" s="30">
        <v>0.0</v>
      </c>
      <c r="F17" s="30"/>
      <c r="G17" s="30"/>
      <c r="H17" s="30">
        <v>0.0</v>
      </c>
      <c r="I17" s="30">
        <v>0.0</v>
      </c>
      <c r="J17" s="30">
        <v>0.0</v>
      </c>
      <c r="K17" s="30">
        <v>0.0</v>
      </c>
      <c r="L17" s="30">
        <v>0.0</v>
      </c>
      <c r="M17" s="30">
        <v>0.0</v>
      </c>
      <c r="N17" s="30">
        <v>0.0</v>
      </c>
      <c r="O17" s="30">
        <v>0.0</v>
      </c>
      <c r="P17" s="30">
        <v>0.0</v>
      </c>
      <c r="Q17" s="23"/>
    </row>
    <row r="18">
      <c r="B18" s="33"/>
      <c r="C18" s="33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17"/>
      <c r="O18" s="17"/>
      <c r="P18" s="22"/>
      <c r="Q18" s="23"/>
    </row>
    <row r="19">
      <c r="B19" s="34"/>
      <c r="C19" s="34"/>
      <c r="D19" s="26" t="s">
        <v>18</v>
      </c>
      <c r="E19" s="27">
        <f t="shared" ref="E19:G19" si="9">SUM(E14,E18)</f>
        <v>0</v>
      </c>
      <c r="F19" s="27">
        <f t="shared" si="9"/>
        <v>0</v>
      </c>
      <c r="G19" s="27">
        <f t="shared" si="9"/>
        <v>0</v>
      </c>
      <c r="H19" s="27">
        <f t="shared" ref="H19:P19" si="10">SUM(H14:H18)</f>
        <v>0</v>
      </c>
      <c r="I19" s="27">
        <f t="shared" si="10"/>
        <v>0</v>
      </c>
      <c r="J19" s="27">
        <f t="shared" si="10"/>
        <v>0</v>
      </c>
      <c r="K19" s="27">
        <f t="shared" si="10"/>
        <v>0</v>
      </c>
      <c r="L19" s="27">
        <f t="shared" si="10"/>
        <v>0</v>
      </c>
      <c r="M19" s="27">
        <f t="shared" si="10"/>
        <v>0</v>
      </c>
      <c r="N19" s="27">
        <f t="shared" si="10"/>
        <v>0</v>
      </c>
      <c r="O19" s="27">
        <f t="shared" si="10"/>
        <v>0</v>
      </c>
      <c r="P19" s="27">
        <f t="shared" si="10"/>
        <v>0</v>
      </c>
      <c r="Q19" s="19">
        <f>SUM(H19:P19)</f>
        <v>0</v>
      </c>
    </row>
    <row r="20" ht="9.0" customHeight="1"/>
    <row r="21">
      <c r="B21" s="35" t="s">
        <v>29</v>
      </c>
      <c r="C21" s="8"/>
      <c r="D21" s="9"/>
      <c r="E21" s="36">
        <f t="shared" ref="E21:P21" si="11">E8-(E13+E19)</f>
        <v>0</v>
      </c>
      <c r="F21" s="37">
        <f t="shared" si="11"/>
        <v>0</v>
      </c>
      <c r="G21" s="37">
        <f t="shared" si="11"/>
        <v>0</v>
      </c>
      <c r="H21" s="37">
        <f t="shared" si="11"/>
        <v>0</v>
      </c>
      <c r="I21" s="37">
        <f t="shared" si="11"/>
        <v>0</v>
      </c>
      <c r="J21" s="37">
        <f t="shared" si="11"/>
        <v>0</v>
      </c>
      <c r="K21" s="37">
        <f t="shared" si="11"/>
        <v>0</v>
      </c>
      <c r="L21" s="37">
        <f t="shared" si="11"/>
        <v>0</v>
      </c>
      <c r="M21" s="37">
        <f t="shared" si="11"/>
        <v>0</v>
      </c>
      <c r="N21" s="37">
        <f t="shared" si="11"/>
        <v>0</v>
      </c>
      <c r="O21" s="37">
        <f t="shared" si="11"/>
        <v>0</v>
      </c>
      <c r="P21" s="37">
        <f t="shared" si="11"/>
        <v>0</v>
      </c>
      <c r="Q21" s="19">
        <f>SUM(H21:P21)</f>
        <v>0</v>
      </c>
    </row>
    <row r="23">
      <c r="N23" s="38" t="str">
        <f>N21/N8</f>
        <v>#DIV/0!</v>
      </c>
    </row>
  </sheetData>
  <mergeCells count="7">
    <mergeCell ref="B2:Q2"/>
    <mergeCell ref="B4:D4"/>
    <mergeCell ref="B5:C8"/>
    <mergeCell ref="B9:B19"/>
    <mergeCell ref="C9:C13"/>
    <mergeCell ref="C14:C19"/>
    <mergeCell ref="B21:D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.75"/>
    <col customWidth="1" min="4" max="4" width="18.0"/>
  </cols>
  <sheetData>
    <row r="1"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>
      <c r="B2" s="3" t="s">
        <v>0</v>
      </c>
    </row>
    <row r="3" ht="6.75" customHeight="1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6"/>
      <c r="N3" s="4"/>
    </row>
    <row r="4">
      <c r="B4" s="7" t="s">
        <v>1</v>
      </c>
      <c r="C4" s="8"/>
      <c r="D4" s="9"/>
      <c r="E4" s="11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3" t="s">
        <v>13</v>
      </c>
      <c r="N4" s="14" t="s">
        <v>14</v>
      </c>
    </row>
    <row r="5">
      <c r="B5" s="15" t="s">
        <v>15</v>
      </c>
      <c r="C5" s="16"/>
      <c r="D5" s="17" t="s">
        <v>16</v>
      </c>
      <c r="E5" s="18">
        <v>0.0</v>
      </c>
      <c r="F5" s="18">
        <v>0.0</v>
      </c>
      <c r="G5" s="18">
        <v>0.0</v>
      </c>
      <c r="H5" s="18">
        <v>0.0</v>
      </c>
      <c r="I5" s="18">
        <v>0.0</v>
      </c>
      <c r="J5" s="18">
        <v>93060.0</v>
      </c>
      <c r="K5" s="18">
        <v>339020.0</v>
      </c>
      <c r="L5" s="18">
        <v>428340.0</v>
      </c>
      <c r="M5" s="18">
        <v>666820.0</v>
      </c>
      <c r="N5" s="19">
        <f t="shared" ref="N5:N6" si="1">SUM(E5:M5)</f>
        <v>1527240</v>
      </c>
    </row>
    <row r="6">
      <c r="B6" s="20"/>
      <c r="C6" s="21"/>
      <c r="D6" s="17" t="s">
        <v>17</v>
      </c>
      <c r="E6" s="18">
        <v>0.0</v>
      </c>
      <c r="F6" s="18">
        <v>0.0</v>
      </c>
      <c r="G6" s="18">
        <v>0.0</v>
      </c>
      <c r="H6" s="18">
        <v>0.0</v>
      </c>
      <c r="I6" s="18">
        <v>0.0</v>
      </c>
      <c r="J6" s="18">
        <v>0.0</v>
      </c>
      <c r="K6" s="18">
        <v>0.0</v>
      </c>
      <c r="L6" s="18">
        <v>0.0</v>
      </c>
      <c r="M6" s="18">
        <v>0.0</v>
      </c>
      <c r="N6" s="19">
        <f t="shared" si="1"/>
        <v>0</v>
      </c>
    </row>
    <row r="7">
      <c r="B7" s="20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23"/>
    </row>
    <row r="8">
      <c r="B8" s="24"/>
      <c r="C8" s="25"/>
      <c r="D8" s="26" t="s">
        <v>18</v>
      </c>
      <c r="E8" s="27">
        <f t="shared" ref="E8:K8" si="2">SUM(E5:E7)</f>
        <v>0</v>
      </c>
      <c r="F8" s="27">
        <f t="shared" si="2"/>
        <v>0</v>
      </c>
      <c r="G8" s="27">
        <f t="shared" si="2"/>
        <v>0</v>
      </c>
      <c r="H8" s="27">
        <f t="shared" si="2"/>
        <v>0</v>
      </c>
      <c r="I8" s="27">
        <f t="shared" si="2"/>
        <v>0</v>
      </c>
      <c r="J8" s="27">
        <f t="shared" si="2"/>
        <v>93060</v>
      </c>
      <c r="K8" s="27">
        <f t="shared" si="2"/>
        <v>339020</v>
      </c>
      <c r="L8" s="28">
        <v>428340.0</v>
      </c>
      <c r="M8" s="27">
        <f>SUM(M5:M7)</f>
        <v>666820</v>
      </c>
      <c r="N8" s="19">
        <f t="shared" ref="N8:N11" si="4">SUM(E8:M8)</f>
        <v>1527240</v>
      </c>
    </row>
    <row r="9">
      <c r="B9" s="29" t="s">
        <v>19</v>
      </c>
      <c r="C9" s="29" t="s">
        <v>20</v>
      </c>
      <c r="D9" s="17" t="s">
        <v>21</v>
      </c>
      <c r="E9" s="31">
        <f t="shared" ref="E9:K9" si="3">E8*0.1</f>
        <v>0</v>
      </c>
      <c r="F9" s="31">
        <f t="shared" si="3"/>
        <v>0</v>
      </c>
      <c r="G9" s="31">
        <f t="shared" si="3"/>
        <v>0</v>
      </c>
      <c r="H9" s="31">
        <f t="shared" si="3"/>
        <v>0</v>
      </c>
      <c r="I9" s="31">
        <f t="shared" si="3"/>
        <v>0</v>
      </c>
      <c r="J9" s="31">
        <f t="shared" si="3"/>
        <v>9306</v>
      </c>
      <c r="K9" s="32">
        <f t="shared" si="3"/>
        <v>33902</v>
      </c>
      <c r="L9" s="32">
        <v>42834.0</v>
      </c>
      <c r="M9" s="31">
        <f>M8*0.1</f>
        <v>66682</v>
      </c>
      <c r="N9" s="19">
        <f t="shared" si="4"/>
        <v>152724</v>
      </c>
    </row>
    <row r="10">
      <c r="B10" s="33"/>
      <c r="C10" s="33"/>
      <c r="D10" s="17" t="s">
        <v>22</v>
      </c>
      <c r="E10" s="30">
        <v>0.0</v>
      </c>
      <c r="F10" s="30">
        <v>0.0</v>
      </c>
      <c r="G10" s="30">
        <v>0.0</v>
      </c>
      <c r="H10" s="30">
        <v>0.0</v>
      </c>
      <c r="I10" s="30">
        <v>0.0</v>
      </c>
      <c r="J10" s="30">
        <v>253330.0</v>
      </c>
      <c r="K10" s="30">
        <v>253330.0</v>
      </c>
      <c r="L10" s="30">
        <v>253330.0</v>
      </c>
      <c r="M10" s="30">
        <v>253330.0</v>
      </c>
      <c r="N10" s="19">
        <f t="shared" si="4"/>
        <v>1013320</v>
      </c>
    </row>
    <row r="11">
      <c r="B11" s="33"/>
      <c r="C11" s="33"/>
      <c r="D11" s="17" t="s">
        <v>23</v>
      </c>
      <c r="E11" s="30">
        <v>0.0</v>
      </c>
      <c r="F11" s="30">
        <v>0.0</v>
      </c>
      <c r="G11" s="30">
        <v>0.0</v>
      </c>
      <c r="H11" s="30">
        <v>0.0</v>
      </c>
      <c r="I11" s="30">
        <v>0.0</v>
      </c>
      <c r="J11" s="30">
        <v>0.0</v>
      </c>
      <c r="K11" s="30">
        <v>4950.0</v>
      </c>
      <c r="L11" s="30">
        <v>4950.0</v>
      </c>
      <c r="M11" s="30">
        <v>4950.0</v>
      </c>
      <c r="N11" s="19">
        <f t="shared" si="4"/>
        <v>14850</v>
      </c>
    </row>
    <row r="12">
      <c r="B12" s="33"/>
      <c r="C12" s="33"/>
      <c r="D12" s="17" t="s">
        <v>30</v>
      </c>
      <c r="E12" s="31"/>
      <c r="F12" s="31"/>
      <c r="G12" s="31"/>
      <c r="H12" s="31"/>
      <c r="I12" s="31"/>
      <c r="J12" s="30">
        <v>101527.0</v>
      </c>
      <c r="K12" s="30">
        <v>101527.0</v>
      </c>
      <c r="L12" s="30">
        <v>101527.0</v>
      </c>
      <c r="M12" s="30">
        <v>101527.0</v>
      </c>
      <c r="N12" s="23"/>
    </row>
    <row r="13">
      <c r="B13" s="33"/>
      <c r="C13" s="34"/>
      <c r="D13" s="26" t="s">
        <v>18</v>
      </c>
      <c r="E13" s="27">
        <f t="shared" ref="E13:K13" si="5">SUM(E9:E12)</f>
        <v>0</v>
      </c>
      <c r="F13" s="27">
        <f t="shared" si="5"/>
        <v>0</v>
      </c>
      <c r="G13" s="27">
        <f t="shared" si="5"/>
        <v>0</v>
      </c>
      <c r="H13" s="27">
        <f t="shared" si="5"/>
        <v>0</v>
      </c>
      <c r="I13" s="27">
        <f t="shared" si="5"/>
        <v>0</v>
      </c>
      <c r="J13" s="27">
        <f t="shared" si="5"/>
        <v>364163</v>
      </c>
      <c r="K13" s="27">
        <f t="shared" si="5"/>
        <v>393709</v>
      </c>
      <c r="L13" s="28">
        <v>402641.0</v>
      </c>
      <c r="M13" s="27">
        <f>SUM(M9:M12)</f>
        <v>426489</v>
      </c>
      <c r="N13" s="19">
        <f t="shared" ref="N13:N16" si="6">SUM(E13:M13)</f>
        <v>1587002</v>
      </c>
    </row>
    <row r="14">
      <c r="B14" s="33"/>
      <c r="C14" s="29" t="s">
        <v>24</v>
      </c>
      <c r="D14" s="17" t="s">
        <v>25</v>
      </c>
      <c r="E14" s="30">
        <v>0.0</v>
      </c>
      <c r="F14" s="30">
        <v>0.0</v>
      </c>
      <c r="G14" s="30">
        <v>0.0</v>
      </c>
      <c r="H14" s="30">
        <v>0.0</v>
      </c>
      <c r="I14" s="30">
        <v>0.0</v>
      </c>
      <c r="J14" s="30">
        <v>0.0</v>
      </c>
      <c r="K14" s="30">
        <v>0.0</v>
      </c>
      <c r="L14" s="30">
        <v>0.0</v>
      </c>
      <c r="M14" s="30">
        <v>0.0</v>
      </c>
      <c r="N14" s="19">
        <f t="shared" si="6"/>
        <v>0</v>
      </c>
    </row>
    <row r="15">
      <c r="B15" s="33"/>
      <c r="C15" s="33"/>
      <c r="D15" s="17" t="s">
        <v>26</v>
      </c>
      <c r="E15" s="30">
        <v>0.0</v>
      </c>
      <c r="F15" s="30">
        <v>0.0</v>
      </c>
      <c r="G15" s="30">
        <v>0.0</v>
      </c>
      <c r="H15" s="30">
        <v>0.0</v>
      </c>
      <c r="I15" s="30">
        <v>0.0</v>
      </c>
      <c r="J15" s="30">
        <v>8000.0</v>
      </c>
      <c r="K15" s="30">
        <v>8000.0</v>
      </c>
      <c r="L15" s="30">
        <v>8921.0</v>
      </c>
      <c r="M15" s="30">
        <v>10994.0</v>
      </c>
      <c r="N15" s="19">
        <f t="shared" si="6"/>
        <v>35915</v>
      </c>
    </row>
    <row r="16">
      <c r="B16" s="33"/>
      <c r="C16" s="33"/>
      <c r="D16" s="17" t="s">
        <v>27</v>
      </c>
      <c r="E16" s="30">
        <v>0.0</v>
      </c>
      <c r="F16" s="30">
        <v>0.0</v>
      </c>
      <c r="G16" s="30">
        <v>0.0</v>
      </c>
      <c r="H16" s="30">
        <v>0.0</v>
      </c>
      <c r="I16" s="30">
        <v>0.0</v>
      </c>
      <c r="J16" s="30">
        <v>0.0</v>
      </c>
      <c r="K16" s="30">
        <v>0.0</v>
      </c>
      <c r="L16" s="30">
        <v>12458.0</v>
      </c>
      <c r="M16" s="30">
        <v>0.0</v>
      </c>
      <c r="N16" s="19">
        <f t="shared" si="6"/>
        <v>12458</v>
      </c>
    </row>
    <row r="17">
      <c r="B17" s="33"/>
      <c r="C17" s="33"/>
      <c r="D17" s="17" t="s">
        <v>28</v>
      </c>
      <c r="E17" s="30">
        <v>0.0</v>
      </c>
      <c r="F17" s="30">
        <v>0.0</v>
      </c>
      <c r="G17" s="30">
        <v>0.0</v>
      </c>
      <c r="H17" s="30">
        <v>0.0</v>
      </c>
      <c r="I17" s="30">
        <v>0.0</v>
      </c>
      <c r="J17" s="30">
        <v>921.0</v>
      </c>
      <c r="K17" s="30">
        <v>4692.0</v>
      </c>
      <c r="L17" s="30">
        <v>4485.0</v>
      </c>
      <c r="M17" s="30">
        <v>7377.0</v>
      </c>
      <c r="N17" s="23"/>
    </row>
    <row r="18">
      <c r="B18" s="33"/>
      <c r="C18" s="33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/>
    </row>
    <row r="19">
      <c r="B19" s="34"/>
      <c r="C19" s="34"/>
      <c r="D19" s="26" t="s">
        <v>18</v>
      </c>
      <c r="E19" s="27">
        <f t="shared" ref="E19:M19" si="7">SUM(E14:E18)</f>
        <v>0</v>
      </c>
      <c r="F19" s="27">
        <f t="shared" si="7"/>
        <v>0</v>
      </c>
      <c r="G19" s="27">
        <f t="shared" si="7"/>
        <v>0</v>
      </c>
      <c r="H19" s="27">
        <f t="shared" si="7"/>
        <v>0</v>
      </c>
      <c r="I19" s="27">
        <f t="shared" si="7"/>
        <v>0</v>
      </c>
      <c r="J19" s="27">
        <f t="shared" si="7"/>
        <v>8921</v>
      </c>
      <c r="K19" s="27">
        <f t="shared" si="7"/>
        <v>12692</v>
      </c>
      <c r="L19" s="27">
        <f t="shared" si="7"/>
        <v>25864</v>
      </c>
      <c r="M19" s="27">
        <f t="shared" si="7"/>
        <v>18371</v>
      </c>
      <c r="N19" s="19">
        <f>SUM(E19:M19)</f>
        <v>65848</v>
      </c>
    </row>
    <row r="20" ht="9.0" customHeight="1"/>
    <row r="21">
      <c r="B21" s="35" t="s">
        <v>29</v>
      </c>
      <c r="C21" s="8"/>
      <c r="D21" s="9"/>
      <c r="E21" s="37">
        <f t="shared" ref="E21:M21" si="8">E8-(E13+E19)</f>
        <v>0</v>
      </c>
      <c r="F21" s="37">
        <f t="shared" si="8"/>
        <v>0</v>
      </c>
      <c r="G21" s="37">
        <f t="shared" si="8"/>
        <v>0</v>
      </c>
      <c r="H21" s="37">
        <f t="shared" si="8"/>
        <v>0</v>
      </c>
      <c r="I21" s="37">
        <f t="shared" si="8"/>
        <v>0</v>
      </c>
      <c r="J21" s="37">
        <f t="shared" si="8"/>
        <v>-280024</v>
      </c>
      <c r="K21" s="37">
        <f t="shared" si="8"/>
        <v>-67381</v>
      </c>
      <c r="L21" s="37">
        <f t="shared" si="8"/>
        <v>-165</v>
      </c>
      <c r="M21" s="37">
        <f t="shared" si="8"/>
        <v>221960</v>
      </c>
      <c r="N21" s="19">
        <f>SUM(E21:M21)</f>
        <v>-125610</v>
      </c>
    </row>
  </sheetData>
  <mergeCells count="7">
    <mergeCell ref="B2:N2"/>
    <mergeCell ref="B4:D4"/>
    <mergeCell ref="B5:C8"/>
    <mergeCell ref="B9:B19"/>
    <mergeCell ref="C9:C13"/>
    <mergeCell ref="C14:C19"/>
    <mergeCell ref="B21:D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.75"/>
    <col customWidth="1" min="4" max="4" width="18.0"/>
  </cols>
  <sheetData>
    <row r="1"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B2" s="3" t="s">
        <v>0</v>
      </c>
    </row>
    <row r="3" ht="6.75" customHeight="1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4"/>
    </row>
    <row r="4">
      <c r="B4" s="7" t="s">
        <v>1</v>
      </c>
      <c r="C4" s="8"/>
      <c r="D4" s="9"/>
      <c r="E4" s="10" t="s">
        <v>2</v>
      </c>
      <c r="F4" s="10" t="s">
        <v>3</v>
      </c>
      <c r="G4" s="10" t="s">
        <v>4</v>
      </c>
      <c r="H4" s="11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  <c r="N4" s="12" t="s">
        <v>11</v>
      </c>
      <c r="O4" s="12" t="s">
        <v>12</v>
      </c>
      <c r="P4" s="13" t="s">
        <v>13</v>
      </c>
      <c r="Q4" s="14" t="s">
        <v>14</v>
      </c>
    </row>
    <row r="5">
      <c r="B5" s="15" t="s">
        <v>15</v>
      </c>
      <c r="C5" s="16"/>
      <c r="D5" s="17" t="s">
        <v>16</v>
      </c>
      <c r="E5" s="18">
        <v>913000.0</v>
      </c>
      <c r="F5" s="18">
        <v>1091420.0</v>
      </c>
      <c r="G5" s="18">
        <v>1182280.0</v>
      </c>
      <c r="H5" s="18">
        <v>1208900.0</v>
      </c>
      <c r="I5" s="18">
        <v>1511400.0</v>
      </c>
      <c r="J5" s="18">
        <v>2184600.0</v>
      </c>
      <c r="K5" s="18">
        <v>2043360.0</v>
      </c>
      <c r="L5" s="18">
        <v>1405580.0</v>
      </c>
      <c r="M5" s="18">
        <v>1574540.0</v>
      </c>
      <c r="N5" s="18">
        <v>1319120.0</v>
      </c>
      <c r="O5" s="18">
        <v>0.0</v>
      </c>
      <c r="P5" s="18">
        <v>0.0</v>
      </c>
      <c r="Q5" s="19">
        <f>SUM(E5:P5)</f>
        <v>14434200</v>
      </c>
    </row>
    <row r="6">
      <c r="B6" s="20"/>
      <c r="C6" s="21"/>
      <c r="D6" s="17" t="s">
        <v>17</v>
      </c>
      <c r="E6" s="18">
        <v>0.0</v>
      </c>
      <c r="F6" s="18">
        <v>0.0</v>
      </c>
      <c r="G6" s="18">
        <v>0.0</v>
      </c>
      <c r="H6" s="18">
        <v>0.0</v>
      </c>
      <c r="I6" s="18">
        <v>0.0</v>
      </c>
      <c r="J6" s="18">
        <v>0.0</v>
      </c>
      <c r="K6" s="18">
        <v>0.0</v>
      </c>
      <c r="L6" s="18">
        <v>0.0</v>
      </c>
      <c r="M6" s="18">
        <v>0.0</v>
      </c>
      <c r="N6" s="18">
        <v>0.0</v>
      </c>
      <c r="O6" s="18">
        <v>0.0</v>
      </c>
      <c r="P6" s="18">
        <v>0.0</v>
      </c>
      <c r="Q6" s="19">
        <f>SUM(H6:P6)</f>
        <v>0</v>
      </c>
    </row>
    <row r="7">
      <c r="B7" s="20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7"/>
      <c r="P7" s="22"/>
      <c r="Q7" s="23"/>
    </row>
    <row r="8">
      <c r="B8" s="24"/>
      <c r="C8" s="25"/>
      <c r="D8" s="26" t="s">
        <v>18</v>
      </c>
      <c r="E8" s="27">
        <f>SUM(E5,E6)</f>
        <v>913000</v>
      </c>
      <c r="F8" s="27">
        <f t="shared" ref="F8:G8" si="1">SUM(F5:F6)</f>
        <v>1091420</v>
      </c>
      <c r="G8" s="27">
        <f t="shared" si="1"/>
        <v>1182280</v>
      </c>
      <c r="H8" s="27">
        <f t="shared" ref="H8:N8" si="2">SUM(H5:H7)</f>
        <v>1208900</v>
      </c>
      <c r="I8" s="27">
        <f t="shared" si="2"/>
        <v>1511400</v>
      </c>
      <c r="J8" s="27">
        <f t="shared" si="2"/>
        <v>2184600</v>
      </c>
      <c r="K8" s="27">
        <f t="shared" si="2"/>
        <v>2043360</v>
      </c>
      <c r="L8" s="27">
        <f t="shared" si="2"/>
        <v>1405580</v>
      </c>
      <c r="M8" s="27">
        <f t="shared" si="2"/>
        <v>1574540</v>
      </c>
      <c r="N8" s="27">
        <f t="shared" si="2"/>
        <v>1319120</v>
      </c>
      <c r="O8" s="28">
        <v>0.0</v>
      </c>
      <c r="P8" s="27">
        <f>SUM(P5:P7)</f>
        <v>0</v>
      </c>
      <c r="Q8" s="19">
        <f t="shared" ref="Q8:Q11" si="4">SUM(E8:P8)</f>
        <v>14434200</v>
      </c>
    </row>
    <row r="9">
      <c r="B9" s="29" t="s">
        <v>19</v>
      </c>
      <c r="C9" s="29" t="s">
        <v>20</v>
      </c>
      <c r="D9" s="17" t="s">
        <v>21</v>
      </c>
      <c r="E9" s="30">
        <f t="shared" ref="E9:N9" si="3">E8*0.1</f>
        <v>91300</v>
      </c>
      <c r="F9" s="31">
        <f t="shared" si="3"/>
        <v>109142</v>
      </c>
      <c r="G9" s="31">
        <f t="shared" si="3"/>
        <v>118228</v>
      </c>
      <c r="H9" s="31">
        <f t="shared" si="3"/>
        <v>120890</v>
      </c>
      <c r="I9" s="31">
        <f t="shared" si="3"/>
        <v>151140</v>
      </c>
      <c r="J9" s="31">
        <f t="shared" si="3"/>
        <v>218460</v>
      </c>
      <c r="K9" s="31">
        <f t="shared" si="3"/>
        <v>204336</v>
      </c>
      <c r="L9" s="31">
        <f t="shared" si="3"/>
        <v>140558</v>
      </c>
      <c r="M9" s="31">
        <f t="shared" si="3"/>
        <v>157454</v>
      </c>
      <c r="N9" s="31">
        <f t="shared" si="3"/>
        <v>131912</v>
      </c>
      <c r="O9" s="32">
        <v>0.0</v>
      </c>
      <c r="P9" s="31">
        <f>P8*0.1</f>
        <v>0</v>
      </c>
      <c r="Q9" s="19">
        <f t="shared" si="4"/>
        <v>1443420</v>
      </c>
    </row>
    <row r="10">
      <c r="B10" s="33"/>
      <c r="C10" s="33"/>
      <c r="D10" s="17" t="s">
        <v>22</v>
      </c>
      <c r="E10" s="30">
        <v>253330.0</v>
      </c>
      <c r="F10" s="30">
        <v>253330.0</v>
      </c>
      <c r="G10" s="30">
        <v>253330.0</v>
      </c>
      <c r="H10" s="30">
        <v>253330.0</v>
      </c>
      <c r="I10" s="30">
        <v>253330.0</v>
      </c>
      <c r="J10" s="30">
        <v>253330.0</v>
      </c>
      <c r="K10" s="30">
        <v>253330.0</v>
      </c>
      <c r="L10" s="30">
        <v>253330.0</v>
      </c>
      <c r="M10" s="30">
        <v>253330.0</v>
      </c>
      <c r="N10" s="30">
        <v>25330.0</v>
      </c>
      <c r="O10" s="30">
        <v>0.0</v>
      </c>
      <c r="P10" s="30">
        <v>0.0</v>
      </c>
      <c r="Q10" s="19">
        <f t="shared" si="4"/>
        <v>2305300</v>
      </c>
    </row>
    <row r="11">
      <c r="B11" s="33"/>
      <c r="C11" s="33"/>
      <c r="D11" s="17" t="s">
        <v>23</v>
      </c>
      <c r="E11" s="30">
        <v>4950.0</v>
      </c>
      <c r="F11" s="30">
        <v>4950.0</v>
      </c>
      <c r="G11" s="30">
        <v>4950.0</v>
      </c>
      <c r="H11" s="30">
        <v>4950.0</v>
      </c>
      <c r="I11" s="30">
        <v>4950.0</v>
      </c>
      <c r="J11" s="30">
        <v>4950.0</v>
      </c>
      <c r="K11" s="30">
        <v>4950.0</v>
      </c>
      <c r="L11" s="30">
        <v>4950.0</v>
      </c>
      <c r="M11" s="30">
        <v>4940.0</v>
      </c>
      <c r="N11" s="30">
        <v>4940.0</v>
      </c>
      <c r="O11" s="30">
        <v>0.0</v>
      </c>
      <c r="P11" s="30">
        <v>0.0</v>
      </c>
      <c r="Q11" s="19">
        <f t="shared" si="4"/>
        <v>49480</v>
      </c>
    </row>
    <row r="12">
      <c r="B12" s="33"/>
      <c r="C12" s="33"/>
      <c r="D12" s="17" t="s">
        <v>31</v>
      </c>
      <c r="E12" s="31"/>
      <c r="F12" s="31"/>
      <c r="G12" s="31"/>
      <c r="H12" s="31"/>
      <c r="I12" s="31"/>
      <c r="J12" s="30">
        <v>2484.0</v>
      </c>
      <c r="K12" s="30">
        <v>2200.0</v>
      </c>
      <c r="L12" s="30">
        <v>2200.0</v>
      </c>
      <c r="M12" s="30">
        <v>4400.0</v>
      </c>
      <c r="N12" s="30">
        <v>4400.0</v>
      </c>
      <c r="O12" s="30"/>
      <c r="P12" s="31"/>
      <c r="Q12" s="23"/>
    </row>
    <row r="13">
      <c r="B13" s="33"/>
      <c r="C13" s="34"/>
      <c r="D13" s="26" t="s">
        <v>18</v>
      </c>
      <c r="E13" s="27">
        <f t="shared" ref="E13:F13" si="5">SUM(E9:E12)</f>
        <v>349580</v>
      </c>
      <c r="F13" s="27">
        <f t="shared" si="5"/>
        <v>367422</v>
      </c>
      <c r="G13" s="27">
        <f>SUM(G9:G11)</f>
        <v>376508</v>
      </c>
      <c r="H13" s="27">
        <f t="shared" ref="H13:M13" si="6">SUM(H9:H12)</f>
        <v>379170</v>
      </c>
      <c r="I13" s="27">
        <f t="shared" si="6"/>
        <v>409420</v>
      </c>
      <c r="J13" s="27">
        <f t="shared" si="6"/>
        <v>479224</v>
      </c>
      <c r="K13" s="27">
        <f t="shared" si="6"/>
        <v>464816</v>
      </c>
      <c r="L13" s="27">
        <f t="shared" si="6"/>
        <v>401038</v>
      </c>
      <c r="M13" s="28">
        <f t="shared" si="6"/>
        <v>420124</v>
      </c>
      <c r="N13" s="28">
        <v>0.0</v>
      </c>
      <c r="O13" s="28">
        <v>0.0</v>
      </c>
      <c r="P13" s="27">
        <f>SUM(P9:P12)</f>
        <v>0</v>
      </c>
      <c r="Q13" s="19">
        <f>SUM(E13:P13)</f>
        <v>3647302</v>
      </c>
    </row>
    <row r="14">
      <c r="B14" s="33"/>
      <c r="C14" s="29" t="s">
        <v>24</v>
      </c>
      <c r="D14" s="17" t="s">
        <v>25</v>
      </c>
      <c r="E14" s="30">
        <v>0.0</v>
      </c>
      <c r="F14" s="30">
        <v>0.0</v>
      </c>
      <c r="G14" s="30">
        <v>0.0</v>
      </c>
      <c r="H14" s="30">
        <v>0.0</v>
      </c>
      <c r="I14" s="30">
        <v>0.0</v>
      </c>
      <c r="J14" s="30">
        <v>0.0</v>
      </c>
      <c r="K14" s="30">
        <v>0.0</v>
      </c>
      <c r="L14" s="30">
        <v>0.0</v>
      </c>
      <c r="M14" s="30">
        <v>0.0</v>
      </c>
      <c r="N14" s="30">
        <v>0.0</v>
      </c>
      <c r="O14" s="30">
        <v>0.0</v>
      </c>
      <c r="P14" s="30">
        <v>0.0</v>
      </c>
      <c r="Q14" s="19">
        <f t="shared" ref="Q14:Q16" si="7">SUM(H14:P14)</f>
        <v>0</v>
      </c>
    </row>
    <row r="15">
      <c r="B15" s="33"/>
      <c r="C15" s="33"/>
      <c r="D15" s="17" t="s">
        <v>26</v>
      </c>
      <c r="E15" s="30">
        <v>11993.0</v>
      </c>
      <c r="F15" s="30">
        <v>11149.0</v>
      </c>
      <c r="G15" s="30">
        <v>14867.0</v>
      </c>
      <c r="H15" s="30">
        <v>15866.0</v>
      </c>
      <c r="I15" s="30">
        <v>16109.0</v>
      </c>
      <c r="J15" s="30">
        <v>16145.0</v>
      </c>
      <c r="K15" s="30">
        <v>21161.0</v>
      </c>
      <c r="L15" s="30">
        <v>23978.0</v>
      </c>
      <c r="M15" s="30">
        <v>0.0</v>
      </c>
      <c r="N15" s="30">
        <v>0.0</v>
      </c>
      <c r="O15" s="30">
        <v>0.0</v>
      </c>
      <c r="P15" s="30">
        <v>0.0</v>
      </c>
      <c r="Q15" s="19">
        <f t="shared" si="7"/>
        <v>93259</v>
      </c>
    </row>
    <row r="16">
      <c r="B16" s="33"/>
      <c r="C16" s="33"/>
      <c r="D16" s="17" t="s">
        <v>27</v>
      </c>
      <c r="E16" s="30">
        <v>0.0</v>
      </c>
      <c r="F16" s="30">
        <v>0.0</v>
      </c>
      <c r="G16" s="30">
        <v>0.0</v>
      </c>
      <c r="H16" s="30">
        <v>0.0</v>
      </c>
      <c r="I16" s="30">
        <v>0.0</v>
      </c>
      <c r="J16" s="30">
        <v>0.0</v>
      </c>
      <c r="K16" s="30">
        <v>0.0</v>
      </c>
      <c r="L16" s="30">
        <v>0.0</v>
      </c>
      <c r="M16" s="30">
        <v>0.0</v>
      </c>
      <c r="N16" s="30">
        <v>0.0</v>
      </c>
      <c r="O16" s="30">
        <v>0.0</v>
      </c>
      <c r="P16" s="30">
        <v>0.0</v>
      </c>
      <c r="Q16" s="19">
        <f t="shared" si="7"/>
        <v>0</v>
      </c>
    </row>
    <row r="17">
      <c r="B17" s="33"/>
      <c r="C17" s="33"/>
      <c r="D17" s="17" t="s">
        <v>28</v>
      </c>
      <c r="E17" s="30">
        <v>10889.0</v>
      </c>
      <c r="F17" s="30">
        <v>12794.0</v>
      </c>
      <c r="G17" s="30">
        <v>11130.0</v>
      </c>
      <c r="H17" s="30">
        <v>15670.0</v>
      </c>
      <c r="I17" s="30">
        <v>23033.0</v>
      </c>
      <c r="J17" s="30">
        <v>21664.0</v>
      </c>
      <c r="K17" s="30">
        <v>26301.0</v>
      </c>
      <c r="L17" s="30">
        <v>16632.0</v>
      </c>
      <c r="M17" s="30">
        <v>21180.0</v>
      </c>
      <c r="N17" s="30">
        <v>15275.0</v>
      </c>
      <c r="O17" s="30">
        <v>0.0</v>
      </c>
      <c r="P17" s="30">
        <v>0.0</v>
      </c>
      <c r="Q17" s="23"/>
    </row>
    <row r="18">
      <c r="B18" s="33"/>
      <c r="C18" s="33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17"/>
      <c r="O18" s="17"/>
      <c r="P18" s="22"/>
      <c r="Q18" s="23"/>
    </row>
    <row r="19">
      <c r="B19" s="34"/>
      <c r="C19" s="34"/>
      <c r="D19" s="26" t="s">
        <v>18</v>
      </c>
      <c r="E19" s="27">
        <f t="shared" ref="E19:P19" si="8">SUM(E14:E18)</f>
        <v>22882</v>
      </c>
      <c r="F19" s="27">
        <f t="shared" si="8"/>
        <v>23943</v>
      </c>
      <c r="G19" s="27">
        <f t="shared" si="8"/>
        <v>25997</v>
      </c>
      <c r="H19" s="27">
        <f t="shared" si="8"/>
        <v>31536</v>
      </c>
      <c r="I19" s="27">
        <f t="shared" si="8"/>
        <v>39142</v>
      </c>
      <c r="J19" s="27">
        <f t="shared" si="8"/>
        <v>37809</v>
      </c>
      <c r="K19" s="27">
        <f t="shared" si="8"/>
        <v>47462</v>
      </c>
      <c r="L19" s="27">
        <f t="shared" si="8"/>
        <v>40610</v>
      </c>
      <c r="M19" s="27">
        <f t="shared" si="8"/>
        <v>21180</v>
      </c>
      <c r="N19" s="27">
        <f t="shared" si="8"/>
        <v>15275</v>
      </c>
      <c r="O19" s="27">
        <f t="shared" si="8"/>
        <v>0</v>
      </c>
      <c r="P19" s="27">
        <f t="shared" si="8"/>
        <v>0</v>
      </c>
      <c r="Q19" s="19">
        <f>SUM(E19:P19)</f>
        <v>305836</v>
      </c>
    </row>
    <row r="20" ht="9.0" customHeight="1"/>
    <row r="21">
      <c r="B21" s="35" t="s">
        <v>29</v>
      </c>
      <c r="C21" s="8"/>
      <c r="D21" s="9"/>
      <c r="E21" s="36">
        <f t="shared" ref="E21:P21" si="9">E8-(E13+E19)</f>
        <v>540538</v>
      </c>
      <c r="F21" s="37">
        <f t="shared" si="9"/>
        <v>700055</v>
      </c>
      <c r="G21" s="37">
        <f t="shared" si="9"/>
        <v>779775</v>
      </c>
      <c r="H21" s="37">
        <f t="shared" si="9"/>
        <v>798194</v>
      </c>
      <c r="I21" s="37">
        <f t="shared" si="9"/>
        <v>1062838</v>
      </c>
      <c r="J21" s="37">
        <f t="shared" si="9"/>
        <v>1667567</v>
      </c>
      <c r="K21" s="37">
        <f t="shared" si="9"/>
        <v>1531082</v>
      </c>
      <c r="L21" s="37">
        <f t="shared" si="9"/>
        <v>963932</v>
      </c>
      <c r="M21" s="37">
        <f t="shared" si="9"/>
        <v>1133236</v>
      </c>
      <c r="N21" s="37">
        <f t="shared" si="9"/>
        <v>1303845</v>
      </c>
      <c r="O21" s="37">
        <f t="shared" si="9"/>
        <v>0</v>
      </c>
      <c r="P21" s="37">
        <f t="shared" si="9"/>
        <v>0</v>
      </c>
      <c r="Q21" s="19">
        <f>SUM(E21:P21)</f>
        <v>10481062</v>
      </c>
    </row>
  </sheetData>
  <mergeCells count="7">
    <mergeCell ref="B2:Q2"/>
    <mergeCell ref="B4:D4"/>
    <mergeCell ref="B5:C8"/>
    <mergeCell ref="B9:B19"/>
    <mergeCell ref="C9:C13"/>
    <mergeCell ref="C14:C19"/>
    <mergeCell ref="B21:D21"/>
  </mergeCells>
  <drawing r:id="rId1"/>
</worksheet>
</file>