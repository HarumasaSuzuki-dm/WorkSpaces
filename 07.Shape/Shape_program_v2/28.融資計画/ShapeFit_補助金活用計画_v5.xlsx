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補助金比較・意思決定" sheetId="1" r:id="rId5"/>
    <sheet state="visible" name="融資比較・意思決定" sheetId="2" r:id="rId6"/>
    <sheet state="visible" name="受給額シミュレーション" sheetId="3" r:id="rId7"/>
    <sheet state="visible" name="期待値サマリー" sheetId="4" r:id="rId8"/>
    <sheet state="visible" name="ガントチャート（2026.3〜）" sheetId="5" r:id="rId9"/>
    <sheet state="visible" name="前提条件チェックリスト" sheetId="6" r:id="rId10"/>
  </sheets>
  <definedNames/>
  <calcPr/>
</workbook>
</file>

<file path=xl/sharedStrings.xml><?xml version="1.0" encoding="utf-8"?>
<sst xmlns="http://schemas.openxmlformats.org/spreadsheetml/2006/main" count="711" uniqueCount="559">
  <si>
    <r>
      <rPr>
        <rFont val="Arial"/>
        <b/>
        <color rgb="FFFFFFFF"/>
        <sz val="16.0"/>
      </rPr>
      <t xml:space="preserve">ShapeFit </t>
    </r>
    <r>
      <rPr>
        <rFont val="Noto Sans CJK SC"/>
        <b/>
        <color rgb="FFFFFFFF"/>
        <sz val="16.0"/>
      </rPr>
      <t>補助金・助成金 比較・意思決定シート</t>
    </r>
  </si>
  <si>
    <t>■ 各補助金の特徴・受給可能性・工数を比較し、優先順位を判断する</t>
  </si>
  <si>
    <t>補助金名</t>
  </si>
  <si>
    <r>
      <rPr>
        <rFont val="Noto Sans CJK SC"/>
        <b/>
        <color rgb="FFFFFFFF"/>
        <sz val="11.0"/>
      </rPr>
      <t>対象事業
（</t>
    </r>
    <r>
      <rPr>
        <rFont val="Noto Sans"/>
        <b/>
        <color rgb="FFFFFFFF"/>
        <sz val="11.0"/>
      </rPr>
      <t>ShapeFit</t>
    </r>
    <r>
      <rPr>
        <rFont val="Noto Sans CJK SC"/>
        <b/>
        <color rgb="FFFFFFFF"/>
        <sz val="11.0"/>
      </rPr>
      <t>）</t>
    </r>
  </si>
  <si>
    <t>補助上限額
（概算）</t>
  </si>
  <si>
    <t>補助率</t>
  </si>
  <si>
    <t>推定
受給額目安</t>
  </si>
  <si>
    <t>採択
可能性</t>
  </si>
  <si>
    <t>申請
難易度</t>
  </si>
  <si>
    <t>工数・手間</t>
  </si>
  <si>
    <t>スピード
（採択まで）</t>
  </si>
  <si>
    <t>必要な
主な書類</t>
  </si>
  <si>
    <t>最大の
リスク・注意点</t>
  </si>
  <si>
    <r>
      <rPr>
        <rFont val="Arial"/>
        <b/>
        <color rgb="FFFFFFFF"/>
        <sz val="11.0"/>
      </rPr>
      <t>ShapeFit</t>
    </r>
    <r>
      <rPr>
        <rFont val="Noto Sans CJK SC"/>
        <b/>
        <color rgb="FFFFFFFF"/>
        <sz val="11.0"/>
      </rPr>
      <t>への
活用例（具体）</t>
    </r>
  </si>
  <si>
    <t>前提確認事項</t>
  </si>
  <si>
    <r>
      <rPr>
        <rFont val="Noto Sans CJK SC"/>
        <b/>
        <color rgb="FFFFFFFF"/>
        <sz val="11.0"/>
      </rPr>
      <t>総合スコア
（</t>
    </r>
    <r>
      <rPr>
        <rFont val="Noto Sans"/>
        <b/>
        <color rgb="FFFFFFFF"/>
        <sz val="11.0"/>
      </rPr>
      <t>10</t>
    </r>
    <r>
      <rPr>
        <rFont val="Noto Sans CJK SC"/>
        <b/>
        <color rgb="FFFFFFFF"/>
        <sz val="11.0"/>
      </rPr>
      <t>点満点）</t>
    </r>
  </si>
  <si>
    <t>優先度</t>
  </si>
  <si>
    <t>① IT導入補助金
（デジタル化・AI導入）</t>
  </si>
  <si>
    <r>
      <rPr>
        <rFont val="Noto Sans CJK SC"/>
        <color rgb="FF000000"/>
        <sz val="9.0"/>
      </rPr>
      <t>・</t>
    </r>
    <r>
      <rPr>
        <rFont val="Noto Sans"/>
        <color rgb="FF000000"/>
        <sz val="9.0"/>
      </rPr>
      <t>SFF</t>
    </r>
    <r>
      <rPr>
        <rFont val="Noto Sans CJK SC"/>
        <color rgb="FF000000"/>
        <sz val="9.0"/>
      </rPr>
      <t>：</t>
    </r>
    <r>
      <rPr>
        <rFont val="Noto Sans"/>
        <color rgb="FF000000"/>
        <sz val="9.0"/>
      </rPr>
      <t>Salesforce</t>
    </r>
    <r>
      <rPr>
        <rFont val="Noto Sans CJK SC"/>
        <color rgb="FF000000"/>
        <sz val="9.0"/>
      </rPr>
      <t>（協賛</t>
    </r>
    <r>
      <rPr>
        <rFont val="Noto Sans"/>
        <color rgb="FF000000"/>
        <sz val="9.0"/>
      </rPr>
      <t>CRM</t>
    </r>
    <r>
      <rPr>
        <rFont val="Noto Sans CJK SC"/>
        <color rgb="FF000000"/>
        <sz val="9.0"/>
      </rPr>
      <t>）
・</t>
    </r>
    <r>
      <rPr>
        <rFont val="Noto Sans"/>
        <color rgb="FF000000"/>
        <sz val="9.0"/>
      </rPr>
      <t>MYS</t>
    </r>
    <r>
      <rPr>
        <rFont val="Noto Sans CJK SC"/>
        <color rgb="FF000000"/>
        <sz val="9.0"/>
      </rPr>
      <t>オンライン：</t>
    </r>
    <r>
      <rPr>
        <rFont val="Noto Sans"/>
        <color rgb="FF000000"/>
        <sz val="9.0"/>
      </rPr>
      <t>UTAGE/LINE</t>
    </r>
    <r>
      <rPr>
        <rFont val="Noto Sans CJK SC"/>
        <color rgb="FF000000"/>
        <sz val="9.0"/>
      </rPr>
      <t>公式</t>
    </r>
    <r>
      <rPr>
        <rFont val="Noto Sans"/>
        <color rgb="FF000000"/>
        <sz val="9.0"/>
      </rPr>
      <t xml:space="preserve">/Zoom
</t>
    </r>
    <r>
      <rPr>
        <rFont val="Noto Sans CJK SC"/>
        <color rgb="FF000000"/>
        <sz val="9.0"/>
      </rPr>
      <t>・コミュニティ：</t>
    </r>
    <r>
      <rPr>
        <rFont val="Noto Sans"/>
        <color rgb="FF000000"/>
        <sz val="9.0"/>
      </rPr>
      <t>Stripe/</t>
    </r>
    <r>
      <rPr>
        <rFont val="Noto Sans CJK SC"/>
        <color rgb="FF000000"/>
        <sz val="9.0"/>
      </rPr>
      <t>会員管理</t>
    </r>
  </si>
  <si>
    <r>
      <rPr>
        <rFont val="Noto Sans CJK SC"/>
        <color rgb="FF000000"/>
        <sz val="9.0"/>
      </rPr>
      <t>最大</t>
    </r>
    <r>
      <rPr>
        <rFont val="Noto Sans"/>
        <color rgb="FF000000"/>
        <sz val="9.0"/>
      </rPr>
      <t>450</t>
    </r>
    <r>
      <rPr>
        <rFont val="Noto Sans CJK SC"/>
        <color rgb="FF000000"/>
        <sz val="9.0"/>
      </rPr>
      <t>万円
（</t>
    </r>
    <r>
      <rPr>
        <rFont val="Noto Sans"/>
        <color rgb="FF000000"/>
        <sz val="9.0"/>
      </rPr>
      <t>1</t>
    </r>
    <r>
      <rPr>
        <rFont val="Noto Sans CJK SC"/>
        <color rgb="FF000000"/>
        <sz val="9.0"/>
      </rPr>
      <t>申請あたり）</t>
    </r>
  </si>
  <si>
    <r>
      <rPr>
        <rFont val="Arial"/>
        <color rgb="FF000000"/>
        <sz val="9.0"/>
      </rPr>
      <t>50</t>
    </r>
    <r>
      <rPr>
        <rFont val="Noto Sans CJK SC"/>
        <color rgb="FF000000"/>
        <sz val="9.0"/>
      </rPr>
      <t>〜</t>
    </r>
    <r>
      <rPr>
        <rFont val="Arial"/>
        <color rgb="FF000000"/>
        <sz val="9.0"/>
      </rPr>
      <t xml:space="preserve">66%
</t>
    </r>
    <r>
      <rPr>
        <rFont val="Noto Sans CJK SC"/>
        <color rgb="FF000000"/>
        <sz val="9.0"/>
      </rPr>
      <t>（通常枠）</t>
    </r>
  </si>
  <si>
    <r>
      <rPr>
        <rFont val="Arial"/>
        <color rgb="FF000000"/>
        <sz val="9.0"/>
      </rPr>
      <t>150</t>
    </r>
    <r>
      <rPr>
        <rFont val="Noto Sans CJK SC"/>
        <color rgb="FF000000"/>
        <sz val="9.0"/>
      </rPr>
      <t>〜</t>
    </r>
    <r>
      <rPr>
        <rFont val="Arial"/>
        <color rgb="FF000000"/>
        <sz val="9.0"/>
      </rPr>
      <t>250</t>
    </r>
    <r>
      <rPr>
        <rFont val="Noto Sans CJK SC"/>
        <color rgb="FF000000"/>
        <sz val="9.0"/>
      </rPr>
      <t>万円
（</t>
    </r>
    <r>
      <rPr>
        <rFont val="Arial"/>
        <color rgb="FF000000"/>
        <sz val="9.0"/>
      </rPr>
      <t>Salesforce</t>
    </r>
    <r>
      <rPr>
        <rFont val="Noto Sans CJK SC"/>
        <color rgb="FF000000"/>
        <sz val="9.0"/>
      </rPr>
      <t>＋</t>
    </r>
    <r>
      <rPr>
        <rFont val="Arial"/>
        <color rgb="FF000000"/>
        <sz val="9.0"/>
      </rPr>
      <t>UTAGE</t>
    </r>
    <r>
      <rPr>
        <rFont val="Noto Sans CJK SC"/>
        <color rgb="FF000000"/>
        <sz val="9.0"/>
      </rPr>
      <t>等で試算）</t>
    </r>
  </si>
  <si>
    <t>高
（★★★★☆）</t>
  </si>
  <si>
    <t>低〜中
（★★☆☆☆）</t>
  </si>
  <si>
    <r>
      <rPr>
        <rFont val="Noto Sans CJK SC"/>
        <color rgb="FF000000"/>
        <sz val="9.0"/>
      </rPr>
      <t>中程度
・</t>
    </r>
    <r>
      <rPr>
        <rFont val="Noto Sans"/>
        <color rgb="FF000000"/>
        <sz val="9.0"/>
      </rPr>
      <t>IT</t>
    </r>
    <r>
      <rPr>
        <rFont val="Noto Sans CJK SC"/>
        <color rgb="FF000000"/>
        <sz val="9.0"/>
      </rPr>
      <t>導入支援事業者との連携必須
・</t>
    </r>
    <r>
      <rPr>
        <rFont val="Noto Sans"/>
        <color rgb="FF000000"/>
        <sz val="9.0"/>
      </rPr>
      <t>gBizID</t>
    </r>
    <r>
      <rPr>
        <rFont val="Noto Sans CJK SC"/>
        <color rgb="FF000000"/>
        <sz val="9.0"/>
      </rPr>
      <t>プライム取得（</t>
    </r>
    <r>
      <rPr>
        <rFont val="Noto Sans"/>
        <color rgb="FF000000"/>
        <sz val="9.0"/>
      </rPr>
      <t>2</t>
    </r>
    <r>
      <rPr>
        <rFont val="Noto Sans CJK SC"/>
        <color rgb="FF000000"/>
        <sz val="9.0"/>
      </rPr>
      <t>〜</t>
    </r>
    <r>
      <rPr>
        <rFont val="Noto Sans"/>
        <color rgb="FF000000"/>
        <sz val="9.0"/>
      </rPr>
      <t>3</t>
    </r>
    <r>
      <rPr>
        <rFont val="Noto Sans CJK SC"/>
        <color rgb="FF000000"/>
        <sz val="9.0"/>
      </rPr>
      <t>週間）
・事務局登録ツール確認作業あり
・書類は比較的シンプル</t>
    </r>
  </si>
  <si>
    <r>
      <rPr>
        <rFont val="Noto Sans CJK SC"/>
        <color rgb="FF000000"/>
        <sz val="9.0"/>
      </rPr>
      <t>約</t>
    </r>
    <r>
      <rPr>
        <rFont val="Noto Sans"/>
        <color rgb="FF000000"/>
        <sz val="9.0"/>
      </rPr>
      <t>1</t>
    </r>
    <r>
      <rPr>
        <rFont val="Noto Sans CJK SC"/>
        <color rgb="FF000000"/>
        <sz val="9.0"/>
      </rPr>
      <t>〜</t>
    </r>
    <r>
      <rPr>
        <rFont val="Noto Sans"/>
        <color rgb="FF000000"/>
        <sz val="9.0"/>
      </rPr>
      <t>2</t>
    </r>
    <r>
      <rPr>
        <rFont val="Noto Sans CJK SC"/>
        <color rgb="FF000000"/>
        <sz val="9.0"/>
      </rPr>
      <t>ヶ月
（申請→交付決定）</t>
    </r>
  </si>
  <si>
    <r>
      <rPr>
        <rFont val="Noto Sans CJK SC"/>
        <color rgb="FF000000"/>
        <sz val="9.0"/>
      </rPr>
      <t>・</t>
    </r>
    <r>
      <rPr>
        <rFont val="Noto Sans"/>
        <color rgb="FF000000"/>
        <sz val="9.0"/>
      </rPr>
      <t>gBizID</t>
    </r>
    <r>
      <rPr>
        <rFont val="Noto Sans CJK SC"/>
        <color rgb="FF000000"/>
        <sz val="9.0"/>
      </rPr>
      <t>プライム
・</t>
    </r>
    <r>
      <rPr>
        <rFont val="Noto Sans"/>
        <color rgb="FF000000"/>
        <sz val="9.0"/>
      </rPr>
      <t>SECURITY ACTION</t>
    </r>
    <r>
      <rPr>
        <rFont val="Noto Sans CJK SC"/>
        <color rgb="FF000000"/>
        <sz val="9.0"/>
      </rPr>
      <t>宣言
・みらデジ経営チェック
・</t>
    </r>
    <r>
      <rPr>
        <rFont val="Noto Sans"/>
        <color rgb="FF000000"/>
        <sz val="9.0"/>
      </rPr>
      <t>IT</t>
    </r>
    <r>
      <rPr>
        <rFont val="Noto Sans CJK SC"/>
        <color rgb="FF000000"/>
        <sz val="9.0"/>
      </rPr>
      <t>導入支援事業者との合意書</t>
    </r>
  </si>
  <si>
    <r>
      <rPr>
        <rFont val="Noto Sans CJK SC"/>
        <color rgb="FF000000"/>
        <sz val="9.0"/>
      </rPr>
      <t xml:space="preserve">【最重要】交付決定前に
ツールを契約すると全額対象外。
</t>
    </r>
    <r>
      <rPr>
        <rFont val="Noto Sans"/>
        <color rgb="FF000000"/>
        <sz val="9.0"/>
      </rPr>
      <t>Salesforce</t>
    </r>
    <r>
      <rPr>
        <rFont val="Noto Sans CJK SC"/>
        <color rgb="FF000000"/>
        <sz val="9.0"/>
      </rPr>
      <t>・</t>
    </r>
    <r>
      <rPr>
        <rFont val="Noto Sans"/>
        <color rgb="FF000000"/>
        <sz val="9.0"/>
      </rPr>
      <t>UTAGE</t>
    </r>
    <r>
      <rPr>
        <rFont val="Noto Sans CJK SC"/>
        <color rgb="FF000000"/>
        <sz val="9.0"/>
      </rPr>
      <t>等の
契約タイミングに要注意</t>
    </r>
  </si>
  <si>
    <r>
      <rPr>
        <rFont val="Noto Sans CJK SC"/>
        <color rgb="FF000000"/>
        <sz val="9.0"/>
      </rPr>
      <t>・</t>
    </r>
    <r>
      <rPr>
        <rFont val="Noto Sans"/>
        <color rgb="FF000000"/>
        <sz val="9.0"/>
      </rPr>
      <t>Salesforce</t>
    </r>
    <r>
      <rPr>
        <rFont val="Noto Sans CJK SC"/>
        <color rgb="FF000000"/>
        <sz val="9.0"/>
      </rPr>
      <t>導入費</t>
    </r>
    <r>
      <rPr>
        <rFont val="Noto Sans"/>
        <color rgb="FF000000"/>
        <sz val="9.0"/>
      </rPr>
      <t>200</t>
    </r>
    <r>
      <rPr>
        <rFont val="Noto Sans CJK SC"/>
        <color rgb="FF000000"/>
        <sz val="9.0"/>
      </rPr>
      <t>万円→
 補助</t>
    </r>
    <r>
      <rPr>
        <rFont val="Noto Sans"/>
        <color rgb="FF000000"/>
        <sz val="9.0"/>
      </rPr>
      <t>66%≒132</t>
    </r>
    <r>
      <rPr>
        <rFont val="Noto Sans CJK SC"/>
        <color rgb="FF000000"/>
        <sz val="9.0"/>
      </rPr>
      <t>万円
・</t>
    </r>
    <r>
      <rPr>
        <rFont val="Noto Sans"/>
        <color rgb="FF000000"/>
        <sz val="9.0"/>
      </rPr>
      <t>UTAGE+LINE</t>
    </r>
    <r>
      <rPr>
        <rFont val="Noto Sans CJK SC"/>
        <color rgb="FF000000"/>
        <sz val="9.0"/>
      </rPr>
      <t>公式</t>
    </r>
    <r>
      <rPr>
        <rFont val="Noto Sans"/>
        <color rgb="FF000000"/>
        <sz val="9.0"/>
      </rPr>
      <t xml:space="preserve">+Zoom
 </t>
    </r>
    <r>
      <rPr>
        <rFont val="Noto Sans CJK SC"/>
        <color rgb="FF000000"/>
        <sz val="9.0"/>
      </rPr>
      <t>年間費</t>
    </r>
    <r>
      <rPr>
        <rFont val="Noto Sans"/>
        <color rgb="FF000000"/>
        <sz val="9.0"/>
      </rPr>
      <t>30</t>
    </r>
    <r>
      <rPr>
        <rFont val="Noto Sans CJK SC"/>
        <color rgb="FF000000"/>
        <sz val="9.0"/>
      </rPr>
      <t>万円→補助約</t>
    </r>
    <r>
      <rPr>
        <rFont val="Noto Sans"/>
        <color rgb="FF000000"/>
        <sz val="9.0"/>
      </rPr>
      <t>15</t>
    </r>
    <r>
      <rPr>
        <rFont val="Noto Sans CJK SC"/>
        <color rgb="FF000000"/>
        <sz val="9.0"/>
      </rPr>
      <t>〜</t>
    </r>
    <r>
      <rPr>
        <rFont val="Noto Sans"/>
        <color rgb="FF000000"/>
        <sz val="9.0"/>
      </rPr>
      <t>20</t>
    </r>
    <r>
      <rPr>
        <rFont val="Noto Sans CJK SC"/>
        <color rgb="FF000000"/>
        <sz val="9.0"/>
      </rPr>
      <t>万円</t>
    </r>
  </si>
  <si>
    <r>
      <rPr>
        <rFont val="Noto Sans CJK SC"/>
        <color rgb="FF000000"/>
        <sz val="9.0"/>
      </rPr>
      <t>・</t>
    </r>
    <r>
      <rPr>
        <rFont val="Noto Sans"/>
        <color rgb="FF000000"/>
        <sz val="9.0"/>
      </rPr>
      <t>Salesforce/UTAGE</t>
    </r>
    <r>
      <rPr>
        <rFont val="Noto Sans CJK SC"/>
        <color rgb="FF000000"/>
        <sz val="9.0"/>
      </rPr>
      <t>をすでに
 契約済みか否か（←最重要）
・</t>
    </r>
    <r>
      <rPr>
        <rFont val="Noto Sans"/>
        <color rgb="FF000000"/>
        <sz val="9.0"/>
      </rPr>
      <t>gBizID</t>
    </r>
    <r>
      <rPr>
        <rFont val="Noto Sans CJK SC"/>
        <color rgb="FF000000"/>
        <sz val="9.0"/>
      </rPr>
      <t>プライム取得済みか
・</t>
    </r>
    <r>
      <rPr>
        <rFont val="Noto Sans"/>
        <color rgb="FF000000"/>
        <sz val="9.0"/>
      </rPr>
      <t>IT</t>
    </r>
    <r>
      <rPr>
        <rFont val="Noto Sans CJK SC"/>
        <color rgb="FF000000"/>
        <sz val="9.0"/>
      </rPr>
      <t>導入支援事業者の選定</t>
    </r>
  </si>
  <si>
    <t>★★★ 最優先</t>
  </si>
  <si>
    <t>② ものづくり補助金
（製品・サービス高付加価値化枠）</t>
  </si>
  <si>
    <r>
      <rPr>
        <rFont val="Arial"/>
        <color rgb="FF000000"/>
        <sz val="9.0"/>
      </rPr>
      <t>・</t>
    </r>
    <r>
      <rPr>
        <rFont val="Noto Sans"/>
        <color rgb="FF000000"/>
        <sz val="9.0"/>
      </rPr>
      <t>MYS</t>
    </r>
    <r>
      <rPr>
        <rFont val="Arial"/>
        <color rgb="FF000000"/>
        <sz val="9.0"/>
      </rPr>
      <t>オンラインコーチング
  サービス開発全体
・カリキュラム動画制作
・マネージャー育成システム</t>
    </r>
  </si>
  <si>
    <r>
      <rPr>
        <rFont val="Arial"/>
        <color rgb="FF000000"/>
        <sz val="9.0"/>
      </rPr>
      <t>750</t>
    </r>
    <r>
      <rPr>
        <rFont val="Noto Sans CJK SC"/>
        <color rgb="FF000000"/>
        <sz val="9.0"/>
      </rPr>
      <t>万〜</t>
    </r>
    <r>
      <rPr>
        <rFont val="Arial"/>
        <color rgb="FF000000"/>
        <sz val="9.0"/>
      </rPr>
      <t>1,250</t>
    </r>
    <r>
      <rPr>
        <rFont val="Noto Sans CJK SC"/>
        <color rgb="FF000000"/>
        <sz val="9.0"/>
      </rPr>
      <t>万円
（賃上げ加点で増額）</t>
    </r>
  </si>
  <si>
    <r>
      <rPr>
        <rFont val="Arial"/>
        <color rgb="FF000000"/>
        <sz val="9.0"/>
      </rPr>
      <t>1/2</t>
    </r>
    <r>
      <rPr>
        <rFont val="Noto Sans CJK SC"/>
        <color rgb="FF000000"/>
        <sz val="9.0"/>
      </rPr>
      <t>〜</t>
    </r>
    <r>
      <rPr>
        <rFont val="Arial"/>
        <color rgb="FF000000"/>
        <sz val="9.0"/>
      </rPr>
      <t>2/3</t>
    </r>
  </si>
  <si>
    <r>
      <rPr>
        <rFont val="Arial"/>
        <color rgb="FF000000"/>
        <sz val="9.0"/>
      </rPr>
      <t>300</t>
    </r>
    <r>
      <rPr>
        <rFont val="Noto Sans CJK SC"/>
        <color rgb="FF000000"/>
        <sz val="9.0"/>
      </rPr>
      <t>〜</t>
    </r>
    <r>
      <rPr>
        <rFont val="Arial"/>
        <color rgb="FF000000"/>
        <sz val="9.0"/>
      </rPr>
      <t>600</t>
    </r>
    <r>
      <rPr>
        <rFont val="Noto Sans CJK SC"/>
        <color rgb="FF000000"/>
        <sz val="9.0"/>
      </rPr>
      <t>万円
（</t>
    </r>
    <r>
      <rPr>
        <rFont val="Arial"/>
        <color rgb="FF000000"/>
        <sz val="9.0"/>
      </rPr>
      <t>MYS</t>
    </r>
    <r>
      <rPr>
        <rFont val="Noto Sans CJK SC"/>
        <color rgb="FF000000"/>
        <sz val="9.0"/>
      </rPr>
      <t>開発費</t>
    </r>
    <r>
      <rPr>
        <rFont val="Arial"/>
        <color rgb="FF000000"/>
        <sz val="9.0"/>
      </rPr>
      <t>500</t>
    </r>
    <r>
      <rPr>
        <rFont val="Noto Sans CJK SC"/>
        <color rgb="FF000000"/>
        <sz val="9.0"/>
      </rPr>
      <t>〜</t>
    </r>
    <r>
      <rPr>
        <rFont val="Arial"/>
        <color rgb="FF000000"/>
        <sz val="9.0"/>
      </rPr>
      <t>900</t>
    </r>
    <r>
      <rPr>
        <rFont val="Noto Sans CJK SC"/>
        <color rgb="FF000000"/>
        <sz val="9.0"/>
      </rPr>
      <t>万円の
 約</t>
    </r>
    <r>
      <rPr>
        <rFont val="Arial"/>
        <color rgb="FF000000"/>
        <sz val="9.0"/>
      </rPr>
      <t>50</t>
    </r>
    <r>
      <rPr>
        <rFont val="Noto Sans CJK SC"/>
        <color rgb="FF000000"/>
        <sz val="9.0"/>
      </rPr>
      <t>〜</t>
    </r>
    <r>
      <rPr>
        <rFont val="Arial"/>
        <color rgb="FF000000"/>
        <sz val="9.0"/>
      </rPr>
      <t>66%</t>
    </r>
    <r>
      <rPr>
        <rFont val="Noto Sans CJK SC"/>
        <color rgb="FF000000"/>
        <sz val="9.0"/>
      </rPr>
      <t>）</t>
    </r>
  </si>
  <si>
    <t>中
（★★★☆☆）</t>
  </si>
  <si>
    <r>
      <rPr>
        <rFont val="Noto Sans CJK SC"/>
        <color rgb="FF000000"/>
        <sz val="9.0"/>
      </rPr>
      <t>高
・事業計画書（</t>
    </r>
    <r>
      <rPr>
        <rFont val="Noto Sans"/>
        <color rgb="FF000000"/>
        <sz val="9.0"/>
      </rPr>
      <t>15</t>
    </r>
    <r>
      <rPr>
        <rFont val="Noto Sans CJK SC"/>
        <color rgb="FF000000"/>
        <sz val="9.0"/>
      </rPr>
      <t>〜</t>
    </r>
    <r>
      <rPr>
        <rFont val="Noto Sans"/>
        <color rgb="FF000000"/>
        <sz val="9.0"/>
      </rPr>
      <t>20</t>
    </r>
    <r>
      <rPr>
        <rFont val="Noto Sans CJK SC"/>
        <color rgb="FF000000"/>
        <sz val="9.0"/>
      </rPr>
      <t>頁程度）
・革新性の定量的説明が必要
・認定支援機関（税理士等）の
  確認書が必要
・申請〜採択まで</t>
    </r>
    <r>
      <rPr>
        <rFont val="Noto Sans"/>
        <color rgb="FF000000"/>
        <sz val="9.0"/>
      </rPr>
      <t>3</t>
    </r>
    <r>
      <rPr>
        <rFont val="Noto Sans CJK SC"/>
        <color rgb="FF000000"/>
        <sz val="9.0"/>
      </rPr>
      <t>〜</t>
    </r>
    <r>
      <rPr>
        <rFont val="Noto Sans"/>
        <color rgb="FF000000"/>
        <sz val="9.0"/>
      </rPr>
      <t>4</t>
    </r>
    <r>
      <rPr>
        <rFont val="Noto Sans CJK SC"/>
        <color rgb="FF000000"/>
        <sz val="9.0"/>
      </rPr>
      <t>ヶ月</t>
    </r>
  </si>
  <si>
    <r>
      <rPr>
        <rFont val="Noto Sans CJK SC"/>
        <color rgb="FF000000"/>
        <sz val="9.0"/>
      </rPr>
      <t>約</t>
    </r>
    <r>
      <rPr>
        <rFont val="Noto Sans"/>
        <color rgb="FF000000"/>
        <sz val="9.0"/>
      </rPr>
      <t>3</t>
    </r>
    <r>
      <rPr>
        <rFont val="Noto Sans CJK SC"/>
        <color rgb="FF000000"/>
        <sz val="9.0"/>
      </rPr>
      <t>〜</t>
    </r>
    <r>
      <rPr>
        <rFont val="Noto Sans"/>
        <color rgb="FF000000"/>
        <sz val="9.0"/>
      </rPr>
      <t>4</t>
    </r>
    <r>
      <rPr>
        <rFont val="Noto Sans CJK SC"/>
        <color rgb="FF000000"/>
        <sz val="9.0"/>
      </rPr>
      <t>ヶ月
（公募→採択通知）</t>
    </r>
  </si>
  <si>
    <r>
      <rPr>
        <rFont val="Noto Sans CJK SC"/>
        <color rgb="FF000000"/>
        <sz val="9.0"/>
      </rPr>
      <t>・事業計画書（詳細）
・決算書（直近</t>
    </r>
    <r>
      <rPr>
        <rFont val="Noto Sans"/>
        <color rgb="FF000000"/>
        <sz val="9.0"/>
      </rPr>
      <t>2</t>
    </r>
    <r>
      <rPr>
        <rFont val="Noto Sans CJK SC"/>
        <color rgb="FF000000"/>
        <sz val="9.0"/>
      </rPr>
      <t>期）
・認定支援機関確認書
・賃金台帳</t>
    </r>
  </si>
  <si>
    <r>
      <rPr>
        <rFont val="Noto Sans CJK SC"/>
        <color rgb="FF000000"/>
        <sz val="9.0"/>
      </rPr>
      <t>・「革新性」の証明が核心。
  既存コーチング事業の延長と
  みなされると不採択
・採択率は近年低下傾向
  （</t>
    </r>
    <r>
      <rPr>
        <rFont val="Noto Sans"/>
        <color rgb="FF000000"/>
        <sz val="9.0"/>
      </rPr>
      <t>30</t>
    </r>
    <r>
      <rPr>
        <rFont val="Noto Sans CJK SC"/>
        <color rgb="FF000000"/>
        <sz val="9.0"/>
      </rPr>
      <t>〜</t>
    </r>
    <r>
      <rPr>
        <rFont val="Noto Sans"/>
        <color rgb="FF000000"/>
        <sz val="9.0"/>
      </rPr>
      <t>40%</t>
    </r>
    <r>
      <rPr>
        <rFont val="Noto Sans CJK SC"/>
        <color rgb="FF000000"/>
        <sz val="9.0"/>
      </rPr>
      <t>程度）
・事業化後の報告義務あり</t>
    </r>
  </si>
  <si>
    <r>
      <rPr>
        <rFont val="Noto Sans CJK SC"/>
        <color rgb="FF000000"/>
        <sz val="9.0"/>
      </rPr>
      <t>・</t>
    </r>
    <r>
      <rPr>
        <rFont val="Noto Sans"/>
        <color rgb="FF000000"/>
        <sz val="9.0"/>
      </rPr>
      <t>MYS</t>
    </r>
    <r>
      <rPr>
        <rFont val="Noto Sans CJK SC"/>
        <color rgb="FF000000"/>
        <sz val="9.0"/>
      </rPr>
      <t>動画制作費</t>
    </r>
    <r>
      <rPr>
        <rFont val="Noto Sans"/>
        <color rgb="FF000000"/>
        <sz val="9.0"/>
      </rPr>
      <t>49</t>
    </r>
    <r>
      <rPr>
        <rFont val="Noto Sans CJK SC"/>
        <color rgb="FF000000"/>
        <sz val="9.0"/>
      </rPr>
      <t>万円
・</t>
    </r>
    <r>
      <rPr>
        <rFont val="Noto Sans"/>
        <color rgb="FF000000"/>
        <sz val="9.0"/>
      </rPr>
      <t>LP</t>
    </r>
    <r>
      <rPr>
        <rFont val="Noto Sans CJK SC"/>
        <color rgb="FF000000"/>
        <sz val="9.0"/>
      </rPr>
      <t>制作</t>
    </r>
    <r>
      <rPr>
        <rFont val="Noto Sans"/>
        <color rgb="FF000000"/>
        <sz val="9.0"/>
      </rPr>
      <t>30</t>
    </r>
    <r>
      <rPr>
        <rFont val="Noto Sans CJK SC"/>
        <color rgb="FF000000"/>
        <sz val="9.0"/>
      </rPr>
      <t>万円
・マネージャー育成費</t>
    </r>
    <r>
      <rPr>
        <rFont val="Noto Sans"/>
        <color rgb="FF000000"/>
        <sz val="9.0"/>
      </rPr>
      <t>15</t>
    </r>
    <r>
      <rPr>
        <rFont val="Noto Sans CJK SC"/>
        <color rgb="FF000000"/>
        <sz val="9.0"/>
      </rPr>
      <t>万円
・システム構築費</t>
    </r>
    <r>
      <rPr>
        <rFont val="Noto Sans"/>
        <color rgb="FF000000"/>
        <sz val="9.0"/>
      </rPr>
      <t>50</t>
    </r>
    <r>
      <rPr>
        <rFont val="Noto Sans CJK SC"/>
        <color rgb="FF000000"/>
        <sz val="9.0"/>
      </rPr>
      <t>万円
 合計約</t>
    </r>
    <r>
      <rPr>
        <rFont val="Noto Sans"/>
        <color rgb="FF000000"/>
        <sz val="9.0"/>
      </rPr>
      <t>150</t>
    </r>
    <r>
      <rPr>
        <rFont val="Noto Sans CJK SC"/>
        <color rgb="FF000000"/>
        <sz val="9.0"/>
      </rPr>
      <t>万円→補助約</t>
    </r>
    <r>
      <rPr>
        <rFont val="Noto Sans"/>
        <color rgb="FF000000"/>
        <sz val="9.0"/>
      </rPr>
      <t>75</t>
    </r>
    <r>
      <rPr>
        <rFont val="Noto Sans CJK SC"/>
        <color rgb="FF000000"/>
        <sz val="9.0"/>
      </rPr>
      <t>〜</t>
    </r>
    <r>
      <rPr>
        <rFont val="Noto Sans"/>
        <color rgb="FF000000"/>
        <sz val="9.0"/>
      </rPr>
      <t>100</t>
    </r>
    <r>
      <rPr>
        <rFont val="Noto Sans CJK SC"/>
        <color rgb="FF000000"/>
        <sz val="9.0"/>
      </rPr>
      <t>万円
（補助対象経費全体では最大</t>
    </r>
    <r>
      <rPr>
        <rFont val="Noto Sans"/>
        <color rgb="FF000000"/>
        <sz val="9.0"/>
      </rPr>
      <t>600</t>
    </r>
    <r>
      <rPr>
        <rFont val="Noto Sans CJK SC"/>
        <color rgb="FF000000"/>
        <sz val="9.0"/>
      </rPr>
      <t>万円）</t>
    </r>
  </si>
  <si>
    <r>
      <rPr>
        <rFont val="Noto Sans CJK SC"/>
        <color rgb="FF000000"/>
        <sz val="9.0"/>
      </rPr>
      <t>・</t>
    </r>
    <r>
      <rPr>
        <rFont val="Noto Sans"/>
        <color rgb="FF000000"/>
        <sz val="9.0"/>
      </rPr>
      <t>MYS</t>
    </r>
    <r>
      <rPr>
        <rFont val="Noto Sans CJK SC"/>
        <color rgb="FF000000"/>
        <sz val="9.0"/>
      </rPr>
      <t>テストの進捗（</t>
    </r>
    <r>
      <rPr>
        <rFont val="Noto Sans"/>
        <color rgb="FF000000"/>
        <sz val="9.0"/>
      </rPr>
      <t>3</t>
    </r>
    <r>
      <rPr>
        <rFont val="Noto Sans CJK SC"/>
        <color rgb="FF000000"/>
        <sz val="9.0"/>
      </rPr>
      <t>月〜）を
  実績として盛り込めるか
・認定支援機関（税理士・診断士）
  との連携
・賃上げ計画の策定可否</t>
    </r>
  </si>
  <si>
    <r>
      <rPr>
        <rFont val="Noto Sans CJK SC"/>
        <b/>
        <color rgb="FFFFFFFF"/>
        <sz val="10.0"/>
      </rPr>
      <t>★★ 準優先
（</t>
    </r>
    <r>
      <rPr>
        <rFont val="Noto Sans"/>
        <b/>
        <color rgb="FFFFFFFF"/>
        <sz val="10.0"/>
      </rPr>
      <t>MYS</t>
    </r>
    <r>
      <rPr>
        <rFont val="Noto Sans CJK SC"/>
        <b/>
        <color rgb="FFFFFFFF"/>
        <sz val="10.0"/>
      </rPr>
      <t>テスト結果後）</t>
    </r>
  </si>
  <si>
    <t>③ 中小企業
新事業進出補助金</t>
  </si>
  <si>
    <r>
      <rPr>
        <rFont val="Noto Sans CJK SC"/>
        <color rgb="FF000000"/>
        <sz val="9.0"/>
      </rPr>
      <t>・</t>
    </r>
    <r>
      <rPr>
        <rFont val="Noto Sans"/>
        <color rgb="FF000000"/>
        <sz val="9.0"/>
      </rPr>
      <t>MYS</t>
    </r>
    <r>
      <rPr>
        <rFont val="Noto Sans CJK SC"/>
        <color rgb="FF000000"/>
        <sz val="9.0"/>
      </rPr>
      <t>オフラインコーチング
  （新事業として申請）
・</t>
    </r>
    <r>
      <rPr>
        <rFont val="Noto Sans"/>
        <color rgb="FF000000"/>
        <sz val="9.0"/>
      </rPr>
      <t>Shape</t>
    </r>
    <r>
      <rPr>
        <rFont val="Noto Sans CJK SC"/>
        <color rgb="FF000000"/>
        <sz val="9.0"/>
      </rPr>
      <t>コミュニティ
  （新事業として申請）</t>
    </r>
  </si>
  <si>
    <r>
      <rPr>
        <rFont val="Noto Sans CJK SC"/>
        <color rgb="FF000000"/>
        <sz val="9.0"/>
      </rPr>
      <t>最大</t>
    </r>
    <r>
      <rPr>
        <rFont val="Noto Sans"/>
        <color rgb="FF000000"/>
        <sz val="9.0"/>
      </rPr>
      <t>9,000</t>
    </r>
    <r>
      <rPr>
        <rFont val="Noto Sans CJK SC"/>
        <color rgb="FF000000"/>
        <sz val="9.0"/>
      </rPr>
      <t>万円
（</t>
    </r>
    <r>
      <rPr>
        <rFont val="Noto Sans"/>
        <color rgb="FF000000"/>
        <sz val="9.0"/>
      </rPr>
      <t>ShapeFit</t>
    </r>
    <r>
      <rPr>
        <rFont val="Noto Sans CJK SC"/>
        <color rgb="FF000000"/>
        <sz val="9.0"/>
      </rPr>
      <t xml:space="preserve">規模では
 </t>
    </r>
    <r>
      <rPr>
        <rFont val="Noto Sans"/>
        <color rgb="FF000000"/>
        <sz val="9.0"/>
      </rPr>
      <t>500</t>
    </r>
    <r>
      <rPr>
        <rFont val="Noto Sans CJK SC"/>
        <color rgb="FF000000"/>
        <sz val="9.0"/>
      </rPr>
      <t>〜</t>
    </r>
    <r>
      <rPr>
        <rFont val="Noto Sans"/>
        <color rgb="FF000000"/>
        <sz val="9.0"/>
      </rPr>
      <t>2,000</t>
    </r>
    <r>
      <rPr>
        <rFont val="Noto Sans CJK SC"/>
        <color rgb="FF000000"/>
        <sz val="9.0"/>
      </rPr>
      <t>万円が現実的）</t>
    </r>
  </si>
  <si>
    <t>1/2</t>
  </si>
  <si>
    <t>100〜400万円
（オフライン立ち上げ費
 200〜500万円の50%）</t>
  </si>
  <si>
    <t>中〜低
（★★☆☆☆）</t>
  </si>
  <si>
    <t>高
（★★★★★）</t>
  </si>
  <si>
    <r>
      <rPr>
        <rFont val="Noto Sans CJK SC"/>
        <color rgb="FF000000"/>
        <sz val="9.0"/>
      </rPr>
      <t>非常に高
・大型補助金のため書類量が多い
・「既存事業との差別化」証明
  に最も時間がかかる
・採択まで</t>
    </r>
    <r>
      <rPr>
        <rFont val="Noto Sans"/>
        <color rgb="FF000000"/>
        <sz val="9.0"/>
      </rPr>
      <t>4</t>
    </r>
    <r>
      <rPr>
        <rFont val="Noto Sans CJK SC"/>
        <color rgb="FF000000"/>
        <sz val="9.0"/>
      </rPr>
      <t>〜</t>
    </r>
    <r>
      <rPr>
        <rFont val="Noto Sans"/>
        <color rgb="FF000000"/>
        <sz val="9.0"/>
      </rPr>
      <t>6</t>
    </r>
    <r>
      <rPr>
        <rFont val="Noto Sans CJK SC"/>
        <color rgb="FF000000"/>
        <sz val="9.0"/>
      </rPr>
      <t>ヶ月
・採択後も事業化報告が継続</t>
    </r>
  </si>
  <si>
    <r>
      <rPr>
        <rFont val="Noto Sans CJK SC"/>
        <color rgb="FF000000"/>
        <sz val="9.0"/>
      </rPr>
      <t>約</t>
    </r>
    <r>
      <rPr>
        <rFont val="Noto Sans"/>
        <color rgb="FF000000"/>
        <sz val="9.0"/>
      </rPr>
      <t>4</t>
    </r>
    <r>
      <rPr>
        <rFont val="Noto Sans CJK SC"/>
        <color rgb="FF000000"/>
        <sz val="9.0"/>
      </rPr>
      <t>〜</t>
    </r>
    <r>
      <rPr>
        <rFont val="Noto Sans"/>
        <color rgb="FF000000"/>
        <sz val="9.0"/>
      </rPr>
      <t>6</t>
    </r>
    <r>
      <rPr>
        <rFont val="Noto Sans CJK SC"/>
        <color rgb="FF000000"/>
        <sz val="9.0"/>
      </rPr>
      <t>ヶ月
（公募→採択通知）</t>
    </r>
  </si>
  <si>
    <t>・事業計画書（詳細）
・認定支援機関確認書
・決算書
・既存事業との差別化説明資料</t>
  </si>
  <si>
    <t>・既存フィットネス事業の延長と
  みなされると不採択
・コーチング事業・コミュニティ事業
  を「新事業」として定義する
  ロジック設計が必要
・採択率は低い</t>
  </si>
  <si>
    <r>
      <rPr>
        <rFont val="Noto Sans CJK SC"/>
        <color rgb="FF000000"/>
        <sz val="9.0"/>
      </rPr>
      <t>・コーチ育成プログラム開発費</t>
    </r>
    <r>
      <rPr>
        <rFont val="Noto Sans"/>
        <color rgb="FF000000"/>
        <sz val="9.0"/>
      </rPr>
      <t>50</t>
    </r>
    <r>
      <rPr>
        <rFont val="Noto Sans CJK SC"/>
        <color rgb="FF000000"/>
        <sz val="9.0"/>
      </rPr>
      <t>万円
・予約管理システム構築</t>
    </r>
    <r>
      <rPr>
        <rFont val="Noto Sans"/>
        <color rgb="FF000000"/>
        <sz val="9.0"/>
      </rPr>
      <t>15</t>
    </r>
    <r>
      <rPr>
        <rFont val="Noto Sans CJK SC"/>
        <color rgb="FF000000"/>
        <sz val="9.0"/>
      </rPr>
      <t>万円
・設備投資（既存拠点追加分）
  合計約</t>
    </r>
    <r>
      <rPr>
        <rFont val="Noto Sans"/>
        <color rgb="FF000000"/>
        <sz val="9.0"/>
      </rPr>
      <t>100</t>
    </r>
    <r>
      <rPr>
        <rFont val="Noto Sans CJK SC"/>
        <color rgb="FF000000"/>
        <sz val="9.0"/>
      </rPr>
      <t>〜</t>
    </r>
    <r>
      <rPr>
        <rFont val="Noto Sans"/>
        <color rgb="FF000000"/>
        <sz val="9.0"/>
      </rPr>
      <t>200</t>
    </r>
    <r>
      <rPr>
        <rFont val="Noto Sans CJK SC"/>
        <color rgb="FF000000"/>
        <sz val="9.0"/>
      </rPr>
      <t>万円→補助</t>
    </r>
    <r>
      <rPr>
        <rFont val="Noto Sans"/>
        <color rgb="FF000000"/>
        <sz val="9.0"/>
      </rPr>
      <t>50</t>
    </r>
    <r>
      <rPr>
        <rFont val="Noto Sans CJK SC"/>
        <color rgb="FF000000"/>
        <sz val="9.0"/>
      </rPr>
      <t>〜</t>
    </r>
    <r>
      <rPr>
        <rFont val="Noto Sans"/>
        <color rgb="FF000000"/>
        <sz val="9.0"/>
      </rPr>
      <t>100</t>
    </r>
    <r>
      <rPr>
        <rFont val="Noto Sans CJK SC"/>
        <color rgb="FF000000"/>
        <sz val="9.0"/>
      </rPr>
      <t>万円
（</t>
    </r>
    <r>
      <rPr>
        <rFont val="Noto Sans"/>
        <color rgb="FF000000"/>
        <sz val="9.0"/>
      </rPr>
      <t>Shape</t>
    </r>
    <r>
      <rPr>
        <rFont val="Noto Sans CJK SC"/>
        <color rgb="FF000000"/>
        <sz val="9.0"/>
      </rPr>
      <t>コミュニティの
  初期投資</t>
    </r>
    <r>
      <rPr>
        <rFont val="Noto Sans"/>
        <color rgb="FF000000"/>
        <sz val="9.0"/>
      </rPr>
      <t>48</t>
    </r>
    <r>
      <rPr>
        <rFont val="Noto Sans CJK SC"/>
        <color rgb="FF000000"/>
        <sz val="9.0"/>
      </rPr>
      <t>〜</t>
    </r>
    <r>
      <rPr>
        <rFont val="Noto Sans"/>
        <color rgb="FF000000"/>
        <sz val="9.0"/>
      </rPr>
      <t>58</t>
    </r>
    <r>
      <rPr>
        <rFont val="Noto Sans CJK SC"/>
        <color rgb="FF000000"/>
        <sz val="9.0"/>
      </rPr>
      <t>万円も対象）</t>
    </r>
  </si>
  <si>
    <t>・「新事業性」のロジック設計
  （フィットネスではなく
   コーチング市場参入として整理）
・他補助金との申請の重複整理
・事業再構築補助金との違い確認</t>
  </si>
  <si>
    <t>△ 条件付き
（ロジック設計次第）</t>
  </si>
  <si>
    <t>④ 小規模事業者
持続化補助金</t>
  </si>
  <si>
    <r>
      <rPr>
        <rFont val="Noto Sans CJK SC"/>
        <color rgb="FF000000"/>
        <sz val="9.0"/>
      </rPr>
      <t>・</t>
    </r>
    <r>
      <rPr>
        <rFont val="Noto Sans"/>
        <color rgb="FF000000"/>
        <sz val="9.0"/>
      </rPr>
      <t>SFF</t>
    </r>
    <r>
      <rPr>
        <rFont val="Noto Sans CJK SC"/>
        <color rgb="FF000000"/>
        <sz val="9.0"/>
      </rPr>
      <t>：</t>
    </r>
    <r>
      <rPr>
        <rFont val="Noto Sans"/>
        <color rgb="FF000000"/>
        <sz val="9.0"/>
      </rPr>
      <t>LP</t>
    </r>
    <r>
      <rPr>
        <rFont val="Noto Sans CJK SC"/>
        <color rgb="FF000000"/>
        <sz val="9.0"/>
      </rPr>
      <t>・マイページ改善
・</t>
    </r>
    <r>
      <rPr>
        <rFont val="Noto Sans"/>
        <color rgb="FF000000"/>
        <sz val="9.0"/>
      </rPr>
      <t>MYS</t>
    </r>
    <r>
      <rPr>
        <rFont val="Noto Sans CJK SC"/>
        <color rgb="FF000000"/>
        <sz val="9.0"/>
      </rPr>
      <t>：</t>
    </r>
    <r>
      <rPr>
        <rFont val="Noto Sans"/>
        <color rgb="FF000000"/>
        <sz val="9.0"/>
      </rPr>
      <t>Instagram</t>
    </r>
    <r>
      <rPr>
        <rFont val="Noto Sans CJK SC"/>
        <color rgb="FF000000"/>
        <sz val="9.0"/>
      </rPr>
      <t>広告費
・コミュニティ：ロゴ・
  デザイン制作費（</t>
    </r>
    <r>
      <rPr>
        <rFont val="Noto Sans"/>
        <color rgb="FF000000"/>
        <sz val="9.0"/>
      </rPr>
      <t>IDA</t>
    </r>
    <r>
      <rPr>
        <rFont val="Noto Sans CJK SC"/>
        <color rgb="FF000000"/>
        <sz val="9.0"/>
      </rPr>
      <t>委託）</t>
    </r>
  </si>
  <si>
    <r>
      <rPr>
        <rFont val="Noto Sans CJK SC"/>
        <color rgb="FF000000"/>
        <sz val="9.0"/>
      </rPr>
      <t>通常枠：</t>
    </r>
    <r>
      <rPr>
        <rFont val="Noto Sans"/>
        <color rgb="FF000000"/>
        <sz val="9.0"/>
      </rPr>
      <t>50</t>
    </r>
    <r>
      <rPr>
        <rFont val="Noto Sans CJK SC"/>
        <color rgb="FF000000"/>
        <sz val="9.0"/>
      </rPr>
      <t>万円
特例枠：</t>
    </r>
    <r>
      <rPr>
        <rFont val="Noto Sans"/>
        <color rgb="FF000000"/>
        <sz val="9.0"/>
      </rPr>
      <t>200</t>
    </r>
    <r>
      <rPr>
        <rFont val="Noto Sans CJK SC"/>
        <color rgb="FF000000"/>
        <sz val="9.0"/>
      </rPr>
      <t>万円</t>
    </r>
  </si>
  <si>
    <t>2/3</t>
  </si>
  <si>
    <r>
      <rPr>
        <rFont val="Arial"/>
        <color rgb="FF000000"/>
        <sz val="9.0"/>
      </rPr>
      <t>33</t>
    </r>
    <r>
      <rPr>
        <rFont val="Noto Sans CJK SC"/>
        <color rgb="FF000000"/>
        <sz val="9.0"/>
      </rPr>
      <t>〜</t>
    </r>
    <r>
      <rPr>
        <rFont val="Arial"/>
        <color rgb="FF000000"/>
        <sz val="9.0"/>
      </rPr>
      <t>130</t>
    </r>
    <r>
      <rPr>
        <rFont val="Noto Sans CJK SC"/>
        <color rgb="FF000000"/>
        <sz val="9.0"/>
      </rPr>
      <t>万円
（対象経費</t>
    </r>
    <r>
      <rPr>
        <rFont val="Arial"/>
        <color rgb="FF000000"/>
        <sz val="9.0"/>
      </rPr>
      <t>50</t>
    </r>
    <r>
      <rPr>
        <rFont val="Noto Sans CJK SC"/>
        <color rgb="FF000000"/>
        <sz val="9.0"/>
      </rPr>
      <t>〜</t>
    </r>
    <r>
      <rPr>
        <rFont val="Arial"/>
        <color rgb="FF000000"/>
        <sz val="9.0"/>
      </rPr>
      <t>200</t>
    </r>
    <r>
      <rPr>
        <rFont val="Noto Sans CJK SC"/>
        <color rgb="FF000000"/>
        <sz val="9.0"/>
      </rPr>
      <t>万円の</t>
    </r>
    <r>
      <rPr>
        <rFont val="Arial"/>
        <color rgb="FF000000"/>
        <sz val="9.0"/>
      </rPr>
      <t>2/3</t>
    </r>
    <r>
      <rPr>
        <rFont val="Noto Sans CJK SC"/>
        <color rgb="FF000000"/>
        <sz val="9.0"/>
      </rPr>
      <t>）</t>
    </r>
  </si>
  <si>
    <t>中〜高
（★★★☆☆）</t>
  </si>
  <si>
    <t>低
（★☆☆☆☆）</t>
  </si>
  <si>
    <r>
      <rPr>
        <rFont val="Noto Sans CJK SC"/>
        <color rgb="FF000000"/>
        <sz val="9.0"/>
      </rPr>
      <t>低
・書類が比較的少ない
・商工会議所への相談が
  スムーズな申請につながる
・申請期間は</t>
    </r>
    <r>
      <rPr>
        <rFont val="Noto Sans"/>
        <color rgb="FF000000"/>
        <sz val="9.0"/>
      </rPr>
      <t>2</t>
    </r>
    <r>
      <rPr>
        <rFont val="Noto Sans CJK SC"/>
        <color rgb="FF000000"/>
        <sz val="9.0"/>
      </rPr>
      <t>〜</t>
    </r>
    <r>
      <rPr>
        <rFont val="Noto Sans"/>
        <color rgb="FF000000"/>
        <sz val="9.0"/>
      </rPr>
      <t>3</t>
    </r>
    <r>
      <rPr>
        <rFont val="Noto Sans CJK SC"/>
        <color rgb="FF000000"/>
        <sz val="9.0"/>
      </rPr>
      <t>ヶ月ごと</t>
    </r>
  </si>
  <si>
    <r>
      <rPr>
        <rFont val="Noto Sans CJK SC"/>
        <color rgb="FF000000"/>
        <sz val="9.0"/>
      </rPr>
      <t>約</t>
    </r>
    <r>
      <rPr>
        <rFont val="Noto Sans"/>
        <color rgb="FF000000"/>
        <sz val="9.0"/>
      </rPr>
      <t>2</t>
    </r>
    <r>
      <rPr>
        <rFont val="Noto Sans CJK SC"/>
        <color rgb="FF000000"/>
        <sz val="9.0"/>
      </rPr>
      <t>〜</t>
    </r>
    <r>
      <rPr>
        <rFont val="Noto Sans"/>
        <color rgb="FF000000"/>
        <sz val="9.0"/>
      </rPr>
      <t>3</t>
    </r>
    <r>
      <rPr>
        <rFont val="Noto Sans CJK SC"/>
        <color rgb="FF000000"/>
        <sz val="9.0"/>
      </rPr>
      <t>ヶ月
（公募→採択）</t>
    </r>
  </si>
  <si>
    <t>・経営計画書
・補助事業計画書
・見積書
・商工会議所の確認書</t>
  </si>
  <si>
    <r>
      <rPr>
        <rFont val="Noto Sans CJK SC"/>
        <color rgb="FF000000"/>
        <sz val="9.0"/>
      </rPr>
      <t>【前提確認が最優先】
従業員</t>
    </r>
    <r>
      <rPr>
        <rFont val="Noto Sans"/>
        <color rgb="FF000000"/>
        <sz val="9.0"/>
      </rPr>
      <t>5</t>
    </r>
    <r>
      <rPr>
        <rFont val="Noto Sans CJK SC"/>
        <color rgb="FF000000"/>
        <sz val="9.0"/>
      </rPr>
      <t>名以下（サービス業）
の要件を満たすか確認必須。
補助上限が低いため、
大型投資には向かない</t>
    </r>
  </si>
  <si>
    <r>
      <rPr>
        <rFont val="Noto Sans CJK SC"/>
        <color rgb="FF000000"/>
        <sz val="9.0"/>
      </rPr>
      <t>・</t>
    </r>
    <r>
      <rPr>
        <rFont val="Noto Sans"/>
        <color rgb="FF000000"/>
        <sz val="9.0"/>
      </rPr>
      <t>SFF LP</t>
    </r>
    <r>
      <rPr>
        <rFont val="Noto Sans CJK SC"/>
        <color rgb="FF000000"/>
        <sz val="9.0"/>
      </rPr>
      <t xml:space="preserve">改善（デザイン会社委託）
  </t>
    </r>
    <r>
      <rPr>
        <rFont val="Noto Sans"/>
        <color rgb="FF000000"/>
        <sz val="9.0"/>
      </rPr>
      <t>50</t>
    </r>
    <r>
      <rPr>
        <rFont val="Noto Sans CJK SC"/>
        <color rgb="FF000000"/>
        <sz val="9.0"/>
      </rPr>
      <t>万円→補助約</t>
    </r>
    <r>
      <rPr>
        <rFont val="Noto Sans"/>
        <color rgb="FF000000"/>
        <sz val="9.0"/>
      </rPr>
      <t>33</t>
    </r>
    <r>
      <rPr>
        <rFont val="Noto Sans CJK SC"/>
        <color rgb="FF000000"/>
        <sz val="9.0"/>
      </rPr>
      <t>万円
・コミュニティ ロゴ制作</t>
    </r>
    <r>
      <rPr>
        <rFont val="Noto Sans"/>
        <color rgb="FF000000"/>
        <sz val="9.0"/>
      </rPr>
      <t>35</t>
    </r>
    <r>
      <rPr>
        <rFont val="Noto Sans CJK SC"/>
        <color rgb="FF000000"/>
        <sz val="9.0"/>
      </rPr>
      <t>万円
  →補助約</t>
    </r>
    <r>
      <rPr>
        <rFont val="Noto Sans"/>
        <color rgb="FF000000"/>
        <sz val="9.0"/>
      </rPr>
      <t>23</t>
    </r>
    <r>
      <rPr>
        <rFont val="Noto Sans CJK SC"/>
        <color rgb="FF000000"/>
        <sz val="9.0"/>
      </rPr>
      <t>万円
・</t>
    </r>
    <r>
      <rPr>
        <rFont val="Noto Sans"/>
        <color rgb="FF000000"/>
        <sz val="9.0"/>
      </rPr>
      <t>Instagram</t>
    </r>
    <r>
      <rPr>
        <rFont val="Noto Sans CJK SC"/>
        <color rgb="FF000000"/>
        <sz val="9.0"/>
      </rPr>
      <t>広告費</t>
    </r>
    <r>
      <rPr>
        <rFont val="Noto Sans"/>
        <color rgb="FF000000"/>
        <sz val="9.0"/>
      </rPr>
      <t>100</t>
    </r>
    <r>
      <rPr>
        <rFont val="Noto Sans CJK SC"/>
        <color rgb="FF000000"/>
        <sz val="9.0"/>
      </rPr>
      <t>万円
  →補助約</t>
    </r>
    <r>
      <rPr>
        <rFont val="Noto Sans"/>
        <color rgb="FF000000"/>
        <sz val="9.0"/>
      </rPr>
      <t>67</t>
    </r>
    <r>
      <rPr>
        <rFont val="Noto Sans CJK SC"/>
        <color rgb="FF000000"/>
        <sz val="9.0"/>
      </rPr>
      <t>万円</t>
    </r>
  </si>
  <si>
    <r>
      <rPr>
        <rFont val="Arial"/>
        <color rgb="FF000000"/>
        <sz val="9.0"/>
      </rPr>
      <t>・</t>
    </r>
    <r>
      <rPr>
        <rFont val="Arial"/>
        <color rgb="FFFF0000"/>
        <sz val="9.0"/>
      </rPr>
      <t>【最重要】常時雇用</t>
    </r>
    <r>
      <rPr>
        <rFont val="Noto Sans"/>
        <color rgb="FFFF0000"/>
        <sz val="9.0"/>
      </rPr>
      <t>5</t>
    </r>
    <r>
      <rPr>
        <rFont val="Arial"/>
        <color rgb="FFFF0000"/>
        <sz val="9.0"/>
      </rPr>
      <t>名以下か</t>
    </r>
    <r>
      <rPr>
        <rFont val="Arial"/>
        <color rgb="FF000000"/>
        <sz val="9.0"/>
      </rPr>
      <t xml:space="preserve">
・同一事業で複数申請できないため
  優先する事業を絞る</t>
    </r>
  </si>
  <si>
    <t>★★ 準優先
（規模確認後）</t>
  </si>
  <si>
    <r>
      <rPr>
        <rFont val="Arial"/>
        <b/>
        <color rgb="FF1155CC"/>
        <sz val="10.0"/>
        <u/>
      </rPr>
      <t>⑤ スポーツ振興
くじ（</t>
    </r>
    <r>
      <rPr>
        <rFont val="Noto Sans"/>
        <b/>
        <color rgb="FF1155CC"/>
        <sz val="10.0"/>
        <u/>
      </rPr>
      <t>toto</t>
    </r>
    <r>
      <rPr>
        <rFont val="Arial"/>
        <b/>
        <color rgb="FF1155CC"/>
        <sz val="10.0"/>
        <u/>
      </rPr>
      <t>）助成</t>
    </r>
  </si>
  <si>
    <r>
      <rPr>
        <rFont val="Noto Sans CJK SC"/>
        <color rgb="FF000000"/>
        <sz val="9.0"/>
      </rPr>
      <t>・</t>
    </r>
    <r>
      <rPr>
        <rFont val="Noto Sans"/>
        <color rgb="FF000000"/>
        <sz val="9.0"/>
      </rPr>
      <t>SFF2026/2027</t>
    </r>
    <r>
      <rPr>
        <rFont val="Noto Sans CJK SC"/>
        <color rgb="FF000000"/>
        <sz val="9.0"/>
      </rPr>
      <t>大会開催費
  （会場費・用具費・謝金等）</t>
    </r>
  </si>
  <si>
    <t>数十〜数百万円
（事業規模による）</t>
  </si>
  <si>
    <r>
      <rPr>
        <rFont val="Noto Sans CJK SC"/>
        <color rgb="FF000000"/>
        <sz val="9.0"/>
      </rPr>
      <t>対象経費の</t>
    </r>
    <r>
      <rPr>
        <rFont val="Noto Sans"/>
        <color rgb="FF000000"/>
        <sz val="9.0"/>
      </rPr>
      <t>2/3</t>
    </r>
  </si>
  <si>
    <r>
      <rPr>
        <rFont val="Arial"/>
        <color rgb="FF000000"/>
        <sz val="9.0"/>
      </rPr>
      <t>50</t>
    </r>
    <r>
      <rPr>
        <rFont val="Noto Sans CJK SC"/>
        <color rgb="FF000000"/>
        <sz val="9.0"/>
      </rPr>
      <t>〜</t>
    </r>
    <r>
      <rPr>
        <rFont val="Arial"/>
        <color rgb="FF000000"/>
        <sz val="9.0"/>
      </rPr>
      <t>200</t>
    </r>
    <r>
      <rPr>
        <rFont val="Noto Sans CJK SC"/>
        <color rgb="FF000000"/>
        <sz val="9.0"/>
      </rPr>
      <t>万円
（大会運営費の</t>
    </r>
    <r>
      <rPr>
        <rFont val="Arial"/>
        <color rgb="FF000000"/>
        <sz val="9.0"/>
      </rPr>
      <t>2/3</t>
    </r>
    <r>
      <rPr>
        <rFont val="Noto Sans CJK SC"/>
        <color rgb="FF000000"/>
        <sz val="9.0"/>
      </rPr>
      <t>）</t>
    </r>
  </si>
  <si>
    <r>
      <rPr>
        <rFont val="Arial"/>
        <color rgb="FF000000"/>
        <sz val="9.0"/>
      </rPr>
      <t>中
・申請主体が「スポーツ団体」
  であることの確認・対応が必要
・</t>
    </r>
    <r>
      <rPr>
        <rFont val="Noto Sans"/>
        <color rgb="FF000000"/>
        <sz val="9.0"/>
      </rPr>
      <t>Japan Sport Council</t>
    </r>
    <r>
      <rPr>
        <rFont val="Arial"/>
        <color rgb="FF000000"/>
        <sz val="9.0"/>
      </rPr>
      <t>（</t>
    </r>
    <r>
      <rPr>
        <rFont val="Noto Sans"/>
        <color rgb="FF000000"/>
        <sz val="9.0"/>
      </rPr>
      <t>JSC</t>
    </r>
    <r>
      <rPr>
        <rFont val="Arial"/>
        <color rgb="FF000000"/>
        <sz val="9.0"/>
      </rPr>
      <t>）
  への照会・申請</t>
    </r>
  </si>
  <si>
    <r>
      <rPr>
        <rFont val="Noto Sans CJK SC"/>
        <color rgb="FF000000"/>
        <sz val="9.0"/>
      </rPr>
      <t>約</t>
    </r>
    <r>
      <rPr>
        <rFont val="Noto Sans"/>
        <color rgb="FF000000"/>
        <sz val="9.0"/>
      </rPr>
      <t>3</t>
    </r>
    <r>
      <rPr>
        <rFont val="Noto Sans CJK SC"/>
        <color rgb="FF000000"/>
        <sz val="9.0"/>
      </rPr>
      <t>〜</t>
    </r>
    <r>
      <rPr>
        <rFont val="Noto Sans"/>
        <color rgb="FF000000"/>
        <sz val="9.0"/>
      </rPr>
      <t>5</t>
    </r>
    <r>
      <rPr>
        <rFont val="Noto Sans CJK SC"/>
        <color rgb="FF000000"/>
        <sz val="9.0"/>
      </rPr>
      <t>ヶ月
（申請→交付）</t>
    </r>
  </si>
  <si>
    <t>・事業計画書
・収支予算書
・団体の規約・定款
・活動実績報告</t>
  </si>
  <si>
    <r>
      <rPr>
        <rFont val="Noto Sans CJK SC"/>
        <color rgb="FF000000"/>
        <sz val="9.0"/>
      </rPr>
      <t>・申請主体「スポーツ団体」要件が
  株式会社に適用されるか確認必須
・</t>
    </r>
    <r>
      <rPr>
        <rFont val="Noto Sans"/>
        <color rgb="FF000000"/>
        <sz val="9.0"/>
      </rPr>
      <t>JSC</t>
    </r>
    <r>
      <rPr>
        <rFont val="Noto Sans CJK SC"/>
        <color rgb="FF000000"/>
        <sz val="9.0"/>
      </rPr>
      <t>への事前照会が必要
・一般社団法人等との共催を
  検討する場合も</t>
    </r>
  </si>
  <si>
    <r>
      <rPr>
        <rFont val="Noto Sans CJK SC"/>
        <color rgb="FF000000"/>
        <sz val="9.0"/>
      </rPr>
      <t>・</t>
    </r>
    <r>
      <rPr>
        <rFont val="Noto Sans"/>
        <color rgb="FF000000"/>
        <sz val="9.0"/>
      </rPr>
      <t>SFF2026/2027</t>
    </r>
    <r>
      <rPr>
        <rFont val="Noto Sans CJK SC"/>
        <color rgb="FF000000"/>
        <sz val="9.0"/>
      </rPr>
      <t>の会場費
・大会用具・備品費
・選手・審判謝金
・運営スタッフ交通費
合計</t>
    </r>
    <r>
      <rPr>
        <rFont val="Noto Sans"/>
        <color rgb="FF000000"/>
        <sz val="9.0"/>
      </rPr>
      <t>200</t>
    </r>
    <r>
      <rPr>
        <rFont val="Noto Sans CJK SC"/>
        <color rgb="FF000000"/>
        <sz val="9.0"/>
      </rPr>
      <t>〜</t>
    </r>
    <r>
      <rPr>
        <rFont val="Noto Sans"/>
        <color rgb="FF000000"/>
        <sz val="9.0"/>
      </rPr>
      <t>300</t>
    </r>
    <r>
      <rPr>
        <rFont val="Noto Sans CJK SC"/>
        <color rgb="FF000000"/>
        <sz val="9.0"/>
      </rPr>
      <t>万円の</t>
    </r>
    <r>
      <rPr>
        <rFont val="Noto Sans"/>
        <color rgb="FF000000"/>
        <sz val="9.0"/>
      </rPr>
      <t xml:space="preserve">2/3
</t>
    </r>
    <r>
      <rPr>
        <rFont val="Noto Sans CJK SC"/>
        <color rgb="FF000000"/>
        <sz val="9.0"/>
      </rPr>
      <t>＝約</t>
    </r>
    <r>
      <rPr>
        <rFont val="Noto Sans"/>
        <color rgb="FF000000"/>
        <sz val="9.0"/>
      </rPr>
      <t>133</t>
    </r>
    <r>
      <rPr>
        <rFont val="Noto Sans CJK SC"/>
        <color rgb="FF000000"/>
        <sz val="9.0"/>
      </rPr>
      <t>〜</t>
    </r>
    <r>
      <rPr>
        <rFont val="Noto Sans"/>
        <color rgb="FF000000"/>
        <sz val="9.0"/>
      </rPr>
      <t>200</t>
    </r>
    <r>
      <rPr>
        <rFont val="Noto Sans CJK SC"/>
        <color rgb="FF000000"/>
        <sz val="9.0"/>
      </rPr>
      <t>万円の助成</t>
    </r>
  </si>
  <si>
    <r>
      <rPr>
        <rFont val="Noto Sans CJK SC"/>
        <color rgb="FF000000"/>
        <sz val="9.0"/>
      </rPr>
      <t>・株式会社での申請可否
  （</t>
    </r>
    <r>
      <rPr>
        <rFont val="Noto Sans"/>
        <color rgb="FF000000"/>
        <sz val="9.0"/>
      </rPr>
      <t>JSC</t>
    </r>
    <r>
      <rPr>
        <rFont val="Noto Sans CJK SC"/>
        <color rgb="FF000000"/>
        <sz val="9.0"/>
      </rPr>
      <t>に事前確認）
・</t>
    </r>
    <r>
      <rPr>
        <rFont val="Noto Sans"/>
        <color rgb="FF000000"/>
        <sz val="9.0"/>
      </rPr>
      <t>SFF</t>
    </r>
    <r>
      <rPr>
        <rFont val="Noto Sans CJK SC"/>
        <color rgb="FF000000"/>
        <sz val="9.0"/>
      </rPr>
      <t>が「スポーツ競技大会」
  として認定されるか
・一般社団法人化の検討可否</t>
    </r>
  </si>
  <si>
    <r>
      <rPr>
        <rFont val="Noto Sans CJK SC"/>
        <b/>
        <color rgb="FFFFFFFF"/>
        <sz val="10.0"/>
      </rPr>
      <t>★ 要確認後検討
（</t>
    </r>
    <r>
      <rPr>
        <rFont val="Noto Sans"/>
        <b/>
        <color rgb="FFFFFFFF"/>
        <sz val="10.0"/>
      </rPr>
      <t>JSC</t>
    </r>
    <r>
      <rPr>
        <rFont val="Noto Sans CJK SC"/>
        <b/>
        <color rgb="FFFFFFFF"/>
        <sz val="10.0"/>
      </rPr>
      <t>照会先行）</t>
    </r>
  </si>
  <si>
    <t>⑥ キャリアアップ
助成金</t>
  </si>
  <si>
    <r>
      <rPr>
        <rFont val="Arial"/>
        <color rgb="FF000000"/>
        <sz val="9.0"/>
      </rPr>
      <t>・</t>
    </r>
    <r>
      <rPr>
        <rFont val="Noto Sans"/>
        <color rgb="FF000000"/>
        <sz val="9.0"/>
      </rPr>
      <t>MYS</t>
    </r>
    <r>
      <rPr>
        <rFont val="Arial"/>
        <color rgb="FF000000"/>
        <sz val="9.0"/>
      </rPr>
      <t>オンライン：
  マネージャー正社員化
・コミュニティ：
  スタッフ正社員化</t>
    </r>
  </si>
  <si>
    <r>
      <rPr>
        <rFont val="Arial"/>
        <color rgb="FF000000"/>
        <sz val="9.0"/>
      </rPr>
      <t>1</t>
    </r>
    <r>
      <rPr>
        <rFont val="Noto Sans CJK SC"/>
        <color rgb="FF000000"/>
        <sz val="9.0"/>
      </rPr>
      <t>名あたり最大</t>
    </r>
    <r>
      <rPr>
        <rFont val="Arial"/>
        <color rgb="FF000000"/>
        <sz val="9.0"/>
      </rPr>
      <t>80</t>
    </r>
    <r>
      <rPr>
        <rFont val="Noto Sans CJK SC"/>
        <color rgb="FF000000"/>
        <sz val="9.0"/>
      </rPr>
      <t>万円
（</t>
    </r>
    <r>
      <rPr>
        <rFont val="Arial"/>
        <color rgb="FF000000"/>
        <sz val="9.0"/>
      </rPr>
      <t>40</t>
    </r>
    <r>
      <rPr>
        <rFont val="Noto Sans CJK SC"/>
        <color rgb="FF000000"/>
        <sz val="9.0"/>
      </rPr>
      <t>万円</t>
    </r>
    <r>
      <rPr>
        <rFont val="Arial"/>
        <color rgb="FF000000"/>
        <sz val="9.0"/>
      </rPr>
      <t>×2</t>
    </r>
    <r>
      <rPr>
        <rFont val="Noto Sans CJK SC"/>
        <color rgb="FF000000"/>
        <sz val="9.0"/>
      </rPr>
      <t>期）</t>
    </r>
  </si>
  <si>
    <t>定額支給
（審査後確定）</t>
  </si>
  <si>
    <r>
      <rPr>
        <rFont val="Arial"/>
        <color rgb="FF000000"/>
        <sz val="9.0"/>
      </rPr>
      <t>80</t>
    </r>
    <r>
      <rPr>
        <rFont val="Noto Sans CJK SC"/>
        <color rgb="FF000000"/>
        <sz val="9.0"/>
      </rPr>
      <t>〜</t>
    </r>
    <r>
      <rPr>
        <rFont val="Arial"/>
        <color rgb="FF000000"/>
        <sz val="9.0"/>
      </rPr>
      <t>240</t>
    </r>
    <r>
      <rPr>
        <rFont val="Noto Sans CJK SC"/>
        <color rgb="FF000000"/>
        <sz val="9.0"/>
      </rPr>
      <t>万円
（</t>
    </r>
    <r>
      <rPr>
        <rFont val="Arial"/>
        <color rgb="FF000000"/>
        <sz val="9.0"/>
      </rPr>
      <t>3</t>
    </r>
    <r>
      <rPr>
        <rFont val="Noto Sans CJK SC"/>
        <color rgb="FF000000"/>
        <sz val="9.0"/>
      </rPr>
      <t>名正社員化の場合）</t>
    </r>
  </si>
  <si>
    <r>
      <rPr>
        <rFont val="Noto Sans CJK SC"/>
        <color rgb="FF000000"/>
        <sz val="9.0"/>
      </rPr>
      <t>中
・正社員化計画書の作成
・転換前後の勤務記録管理
・賃金増額（</t>
    </r>
    <r>
      <rPr>
        <rFont val="Noto Sans"/>
        <color rgb="FF000000"/>
        <sz val="9.0"/>
      </rPr>
      <t>5%</t>
    </r>
    <r>
      <rPr>
        <rFont val="Noto Sans CJK SC"/>
        <color rgb="FF000000"/>
        <sz val="9.0"/>
      </rPr>
      <t>以上）が条件
・採択後も報告義務あり</t>
    </r>
  </si>
  <si>
    <r>
      <rPr>
        <rFont val="Noto Sans CJK SC"/>
        <color rgb="FF000000"/>
        <sz val="9.0"/>
      </rPr>
      <t>約</t>
    </r>
    <r>
      <rPr>
        <rFont val="Noto Sans"/>
        <color rgb="FF000000"/>
        <sz val="9.0"/>
      </rPr>
      <t>4</t>
    </r>
    <r>
      <rPr>
        <rFont val="Noto Sans CJK SC"/>
        <color rgb="FF000000"/>
        <sz val="9.0"/>
      </rPr>
      <t>〜</t>
    </r>
    <r>
      <rPr>
        <rFont val="Noto Sans"/>
        <color rgb="FF000000"/>
        <sz val="9.0"/>
      </rPr>
      <t>6</t>
    </r>
    <r>
      <rPr>
        <rFont val="Noto Sans CJK SC"/>
        <color rgb="FF000000"/>
        <sz val="9.0"/>
      </rPr>
      <t>ヶ月
（転換後の申請→支給）</t>
    </r>
  </si>
  <si>
    <t>・就業規則（改定が必要な場合も）
・雇用契約書
・賃金台帳
・正社員転換計画書</t>
  </si>
  <si>
    <r>
      <rPr>
        <rFont val="Noto Sans CJK SC"/>
        <color rgb="FF000000"/>
        <sz val="9.0"/>
      </rPr>
      <t>・転換前に就業規則に
  正社員転換規定がないと
  申請不可
・転換後</t>
    </r>
    <r>
      <rPr>
        <rFont val="Noto Sans"/>
        <color rgb="FF000000"/>
        <sz val="9.0"/>
      </rPr>
      <t>6</t>
    </r>
    <r>
      <rPr>
        <rFont val="Noto Sans CJK SC"/>
        <color rgb="FF000000"/>
        <sz val="9.0"/>
      </rPr>
      <t>ヶ月以上継続雇用が条件
・先に就業規則整備が必要</t>
    </r>
  </si>
  <si>
    <r>
      <rPr>
        <rFont val="Noto Sans CJK SC"/>
        <color rgb="FF000000"/>
        <sz val="9.0"/>
      </rPr>
      <t>・</t>
    </r>
    <r>
      <rPr>
        <rFont val="Noto Sans"/>
        <color rgb="FF000000"/>
        <sz val="9.0"/>
      </rPr>
      <t>MYS</t>
    </r>
    <r>
      <rPr>
        <rFont val="Noto Sans CJK SC"/>
        <color rgb="FF000000"/>
        <sz val="9.0"/>
      </rPr>
      <t>マネージャー</t>
    </r>
    <r>
      <rPr>
        <rFont val="Noto Sans"/>
        <color rgb="FF000000"/>
        <sz val="9.0"/>
      </rPr>
      <t>3</t>
    </r>
    <r>
      <rPr>
        <rFont val="Noto Sans CJK SC"/>
        <color rgb="FF000000"/>
        <sz val="9.0"/>
      </rPr>
      <t xml:space="preserve">名を
  業務委託→正社員化
  </t>
    </r>
    <r>
      <rPr>
        <rFont val="Noto Sans"/>
        <color rgb="FF000000"/>
        <sz val="9.0"/>
      </rPr>
      <t>3</t>
    </r>
    <r>
      <rPr>
        <rFont val="Noto Sans CJK SC"/>
        <color rgb="FF000000"/>
        <sz val="9.0"/>
      </rPr>
      <t>名</t>
    </r>
    <r>
      <rPr>
        <rFont val="Noto Sans"/>
        <color rgb="FF000000"/>
        <sz val="9.0"/>
      </rPr>
      <t>×80</t>
    </r>
    <r>
      <rPr>
        <rFont val="Noto Sans CJK SC"/>
        <color rgb="FF000000"/>
        <sz val="9.0"/>
      </rPr>
      <t>万円＝</t>
    </r>
    <r>
      <rPr>
        <rFont val="Noto Sans"/>
        <color rgb="FF000000"/>
        <sz val="9.0"/>
      </rPr>
      <t>240</t>
    </r>
    <r>
      <rPr>
        <rFont val="Noto Sans CJK SC"/>
        <color rgb="FF000000"/>
        <sz val="9.0"/>
      </rPr>
      <t>万円
（拡大期・マネージャー増員時）</t>
    </r>
  </si>
  <si>
    <t>・現在のマネージャーが
  業務委託か雇用か
・就業規則の整備状況
・賃上げ計画との連動</t>
  </si>
  <si>
    <t>★ 中長期で検討
（拡大期向け）</t>
  </si>
  <si>
    <r>
      <rPr>
        <rFont val="Noto Sans CJK SC"/>
        <i/>
        <color rgb="FF595959"/>
        <sz val="9.0"/>
      </rPr>
      <t xml:space="preserve">【総合スコア凡例】 </t>
    </r>
    <r>
      <rPr>
        <rFont val="Noto Sans"/>
        <i/>
        <color rgb="FF595959"/>
        <sz val="9.0"/>
      </rPr>
      <t>9</t>
    </r>
    <r>
      <rPr>
        <rFont val="Noto Sans CJK SC"/>
        <i/>
        <color rgb="FF595959"/>
        <sz val="9.0"/>
      </rPr>
      <t>〜</t>
    </r>
    <r>
      <rPr>
        <rFont val="Noto Sans"/>
        <i/>
        <color rgb="FF595959"/>
        <sz val="9.0"/>
      </rPr>
      <t>10</t>
    </r>
    <r>
      <rPr>
        <rFont val="Noto Sans CJK SC"/>
        <i/>
        <color rgb="FF595959"/>
        <sz val="9.0"/>
      </rPr>
      <t xml:space="preserve">点：最優先で動く  </t>
    </r>
    <r>
      <rPr>
        <rFont val="Noto Sans"/>
        <i/>
        <color rgb="FF595959"/>
        <sz val="9.0"/>
      </rPr>
      <t>7</t>
    </r>
    <r>
      <rPr>
        <rFont val="Noto Sans CJK SC"/>
        <i/>
        <color rgb="FF595959"/>
        <sz val="9.0"/>
      </rPr>
      <t>〜</t>
    </r>
    <r>
      <rPr>
        <rFont val="Noto Sans"/>
        <i/>
        <color rgb="FF595959"/>
        <sz val="9.0"/>
      </rPr>
      <t>8</t>
    </r>
    <r>
      <rPr>
        <rFont val="Noto Sans CJK SC"/>
        <i/>
        <color rgb="FF595959"/>
        <sz val="9.0"/>
      </rPr>
      <t xml:space="preserve">点：準優先（条件確認後）  </t>
    </r>
    <r>
      <rPr>
        <rFont val="Noto Sans"/>
        <i/>
        <color rgb="FF595959"/>
        <sz val="9.0"/>
      </rPr>
      <t>5</t>
    </r>
    <r>
      <rPr>
        <rFont val="Noto Sans CJK SC"/>
        <i/>
        <color rgb="FF595959"/>
        <sz val="9.0"/>
      </rPr>
      <t>〜</t>
    </r>
    <r>
      <rPr>
        <rFont val="Noto Sans"/>
        <i/>
        <color rgb="FF595959"/>
        <sz val="9.0"/>
      </rPr>
      <t>6</t>
    </r>
    <r>
      <rPr>
        <rFont val="Noto Sans CJK SC"/>
        <i/>
        <color rgb="FF595959"/>
        <sz val="9.0"/>
      </rPr>
      <t>点：状況次第で検討  ～</t>
    </r>
    <r>
      <rPr>
        <rFont val="Noto Sans"/>
        <i/>
        <color rgb="FF595959"/>
        <sz val="9.0"/>
      </rPr>
      <t>4</t>
    </r>
    <r>
      <rPr>
        <rFont val="Noto Sans CJK SC"/>
        <i/>
        <color rgb="FF595959"/>
        <sz val="9.0"/>
      </rPr>
      <t>点：中長期的検討</t>
    </r>
  </si>
  <si>
    <r>
      <rPr>
        <rFont val="Noto Sans CJK SC"/>
        <b/>
        <color rgb="FFFFFFFF"/>
        <sz val="12.0"/>
      </rPr>
      <t>■ 意思決定前に確認すべき</t>
    </r>
    <r>
      <rPr>
        <rFont val="Noto Sans"/>
        <b/>
        <color rgb="FFFFFFFF"/>
        <sz val="12.0"/>
      </rPr>
      <t>3</t>
    </r>
    <r>
      <rPr>
        <rFont val="Noto Sans CJK SC"/>
        <b/>
        <color rgb="FFFFFFFF"/>
        <sz val="12.0"/>
      </rPr>
      <t>つの最重要事項</t>
    </r>
  </si>
  <si>
    <t>確認① 既存ツール・発注の契約状況</t>
  </si>
  <si>
    <r>
      <rPr>
        <rFont val="Arial"/>
        <color rgb="FF000000"/>
        <sz val="10.0"/>
      </rPr>
      <t>IT</t>
    </r>
    <r>
      <rPr>
        <rFont val="Noto Sans CJK SC"/>
        <color rgb="FF000000"/>
        <sz val="10.0"/>
      </rPr>
      <t>導入補助金は「交付決定前の契約は全額対象外」。</t>
    </r>
    <r>
      <rPr>
        <rFont val="Arial"/>
        <color rgb="FF000000"/>
        <sz val="10.0"/>
      </rPr>
      <t>Salesforce</t>
    </r>
    <r>
      <rPr>
        <rFont val="Noto Sans CJK SC"/>
        <color rgb="FF000000"/>
        <sz val="10.0"/>
      </rPr>
      <t>・</t>
    </r>
    <r>
      <rPr>
        <rFont val="Arial"/>
        <color rgb="FF000000"/>
        <sz val="10.0"/>
      </rPr>
      <t>UTAGE</t>
    </r>
    <r>
      <rPr>
        <rFont val="Noto Sans CJK SC"/>
        <color rgb="FF000000"/>
        <sz val="10.0"/>
      </rPr>
      <t>・デザイン会社への発注がすでに済んでいないか今すぐ確認する。</t>
    </r>
  </si>
  <si>
    <t>確認② 従業員数（常時雇用）の確認</t>
  </si>
  <si>
    <r>
      <rPr>
        <rFont val="Noto Sans CJK SC"/>
        <color rgb="FF000000"/>
        <sz val="10.0"/>
      </rPr>
      <t>小規模事業者持続化補助金は「サービス業</t>
    </r>
    <r>
      <rPr>
        <rFont val="Noto Sans"/>
        <color rgb="FF000000"/>
        <sz val="10.0"/>
      </rPr>
      <t>5</t>
    </r>
    <r>
      <rPr>
        <rFont val="Noto Sans CJK SC"/>
        <color rgb="FF000000"/>
        <sz val="10.0"/>
      </rPr>
      <t xml:space="preserve">名以下」が条件。なーすけ・かおん・鈴木さん等の雇用形態（業務委託 </t>
    </r>
    <r>
      <rPr>
        <rFont val="Noto Sans"/>
        <color rgb="FF000000"/>
        <sz val="10.0"/>
      </rPr>
      <t xml:space="preserve">vs </t>
    </r>
    <r>
      <rPr>
        <rFont val="Noto Sans CJK SC"/>
        <color rgb="FF000000"/>
        <sz val="10.0"/>
      </rPr>
      <t>雇用）と人数を整理する。</t>
    </r>
  </si>
  <si>
    <t>確認③ 申請する「新事業」の定義整理</t>
  </si>
  <si>
    <r>
      <rPr>
        <rFont val="Noto Sans CJK SC"/>
        <color rgb="FF000000"/>
        <sz val="10.0"/>
      </rPr>
      <t>ものづくり補助金・新事業進出補助金は同一の投資内容を重複申請できない。</t>
    </r>
    <r>
      <rPr>
        <rFont val="Noto Sans"/>
        <color rgb="FF000000"/>
        <sz val="10.0"/>
      </rPr>
      <t>MYS</t>
    </r>
    <r>
      <rPr>
        <rFont val="Noto Sans CJK SC"/>
        <color rgb="FF000000"/>
        <sz val="10.0"/>
      </rPr>
      <t>オンライン（ものづくり）と</t>
    </r>
    <r>
      <rPr>
        <rFont val="Noto Sans"/>
        <color rgb="FF000000"/>
        <sz val="10.0"/>
      </rPr>
      <t>MYS</t>
    </r>
    <r>
      <rPr>
        <rFont val="Noto Sans CJK SC"/>
        <color rgb="FF000000"/>
        <sz val="10.0"/>
      </rPr>
      <t>オフライン・コミュニティ（新事業進出）を明確に切り分けて申請戦略を確定する。</t>
    </r>
  </si>
  <si>
    <r>
      <rPr>
        <rFont val="Noto Sans"/>
        <b/>
        <color rgb="FFFFFFFF"/>
        <sz val="16.0"/>
      </rPr>
      <t xml:space="preserve">ShapeFit </t>
    </r>
    <r>
      <rPr>
        <rFont val="Noto Sans CJK SC"/>
        <b/>
        <color rgb="FFFFFFFF"/>
        <sz val="16.0"/>
      </rPr>
      <t>融資 比較・意思決定シート</t>
    </r>
  </si>
  <si>
    <t>■ 各融資制度の特徴・調達可能性・工数を比較し、優先順位を判断する（融資は返済義務あり・補助金とは別管理）</t>
  </si>
  <si>
    <t>融資名</t>
  </si>
  <si>
    <r>
      <rPr>
        <rFont val="Noto Sans CJK SC"/>
        <b/>
        <color rgb="FFFFFFFF"/>
        <sz val="11.0"/>
      </rPr>
      <t>対象事業
（</t>
    </r>
    <r>
      <rPr>
        <rFont val="Noto Sans"/>
        <b/>
        <color rgb="FFFFFFFF"/>
        <sz val="11.0"/>
      </rPr>
      <t>ShapeFit</t>
    </r>
    <r>
      <rPr>
        <rFont val="Noto Sans CJK SC"/>
        <b/>
        <color rgb="FFFFFFFF"/>
        <sz val="11.0"/>
      </rPr>
      <t>）</t>
    </r>
  </si>
  <si>
    <t>融資上限額
（概算）</t>
  </si>
  <si>
    <t>金利目安
（年）</t>
  </si>
  <si>
    <t>推定調達額
目安</t>
  </si>
  <si>
    <t>承認
可能性</t>
  </si>
  <si>
    <t>スピード
（着金まで）</t>
  </si>
  <si>
    <r>
      <rPr>
        <rFont val="Noto Sans"/>
        <b/>
        <color rgb="FFFFFFFF"/>
        <sz val="11.0"/>
      </rPr>
      <t>ShapeFit</t>
    </r>
    <r>
      <rPr>
        <rFont val="Noto Sans CJK SC"/>
        <b/>
        <color rgb="FFFFFFFF"/>
        <sz val="11.0"/>
      </rPr>
      <t>への
活用例（具体）</t>
    </r>
  </si>
  <si>
    <r>
      <rPr>
        <rFont val="Noto Sans CJK SC"/>
        <b/>
        <color rgb="FFFFFFFF"/>
        <sz val="11.0"/>
      </rPr>
      <t>総合スコア
（</t>
    </r>
    <r>
      <rPr>
        <rFont val="Noto Sans"/>
        <b/>
        <color rgb="FFFFFFFF"/>
        <sz val="11.0"/>
      </rPr>
      <t>10</t>
    </r>
    <r>
      <rPr>
        <rFont val="Noto Sans CJK SC"/>
        <b/>
        <color rgb="FFFFFFFF"/>
        <sz val="11.0"/>
      </rPr>
      <t>点満点）</t>
    </r>
  </si>
  <si>
    <t>① 日本政策金融公庫
「新規開業・スタートアップ
支援資金」</t>
  </si>
  <si>
    <r>
      <rPr>
        <rFont val="Noto Sans CJK SC"/>
        <color rgb="FF000000"/>
        <sz val="9.0"/>
      </rPr>
      <t>・</t>
    </r>
    <r>
      <rPr>
        <rFont val="Noto Sans"/>
        <color rgb="FF000000"/>
        <sz val="9.0"/>
      </rPr>
      <t>MYS</t>
    </r>
    <r>
      <rPr>
        <rFont val="Noto Sans CJK SC"/>
        <color rgb="FF000000"/>
        <sz val="9.0"/>
      </rPr>
      <t>オフライン正式展開
  （初期投資・コーチ育成費等）
・</t>
    </r>
    <r>
      <rPr>
        <rFont val="Noto Sans"/>
        <color rgb="FF000000"/>
        <sz val="9.0"/>
      </rPr>
      <t>Shape</t>
    </r>
    <r>
      <rPr>
        <rFont val="Noto Sans CJK SC"/>
        <color rgb="FF000000"/>
        <sz val="9.0"/>
      </rPr>
      <t>コミュニティ立上げ
・事業運転資金（</t>
    </r>
    <r>
      <rPr>
        <rFont val="Noto Sans"/>
        <color rgb="FF000000"/>
        <sz val="9.0"/>
      </rPr>
      <t>3</t>
    </r>
    <r>
      <rPr>
        <rFont val="Noto Sans CJK SC"/>
        <color rgb="FF000000"/>
        <sz val="9.0"/>
      </rPr>
      <t>〜</t>
    </r>
    <r>
      <rPr>
        <rFont val="Noto Sans"/>
        <color rgb="FF000000"/>
        <sz val="9.0"/>
      </rPr>
      <t>6</t>
    </r>
    <r>
      <rPr>
        <rFont val="Noto Sans CJK SC"/>
        <color rgb="FF000000"/>
        <sz val="9.0"/>
      </rPr>
      <t>ヶ月分）</t>
    </r>
  </si>
  <si>
    <r>
      <rPr>
        <rFont val="Noto Sans CJK SC"/>
        <color rgb="FF000000"/>
        <sz val="9.0"/>
      </rPr>
      <t>最大</t>
    </r>
    <r>
      <rPr>
        <rFont val="Noto Sans"/>
        <color rgb="FF000000"/>
        <sz val="9.0"/>
      </rPr>
      <t>7,200</t>
    </r>
    <r>
      <rPr>
        <rFont val="Noto Sans CJK SC"/>
        <color rgb="FF000000"/>
        <sz val="9.0"/>
      </rPr>
      <t>万円
（うち運転資金</t>
    </r>
    <r>
      <rPr>
        <rFont val="Noto Sans"/>
        <color rgb="FF000000"/>
        <sz val="9.0"/>
      </rPr>
      <t>4,800</t>
    </r>
    <r>
      <rPr>
        <rFont val="Noto Sans CJK SC"/>
        <color rgb="FF000000"/>
        <sz val="9.0"/>
      </rPr>
      <t>万円）
※</t>
    </r>
    <r>
      <rPr>
        <rFont val="Noto Sans"/>
        <color rgb="FF000000"/>
        <sz val="9.0"/>
      </rPr>
      <t>ShapeFit</t>
    </r>
    <r>
      <rPr>
        <rFont val="Noto Sans CJK SC"/>
        <color rgb="FF000000"/>
        <sz val="9.0"/>
      </rPr>
      <t xml:space="preserve">規模では
 </t>
    </r>
    <r>
      <rPr>
        <rFont val="Noto Sans"/>
        <color rgb="FF000000"/>
        <sz val="9.0"/>
      </rPr>
      <t>100</t>
    </r>
    <r>
      <rPr>
        <rFont val="Noto Sans CJK SC"/>
        <color rgb="FF000000"/>
        <sz val="9.0"/>
      </rPr>
      <t>〜</t>
    </r>
    <r>
      <rPr>
        <rFont val="Noto Sans"/>
        <color rgb="FF000000"/>
        <sz val="9.0"/>
      </rPr>
      <t>300</t>
    </r>
    <r>
      <rPr>
        <rFont val="Noto Sans CJK SC"/>
        <color rgb="FF000000"/>
        <sz val="9.0"/>
      </rPr>
      <t>万円が現実的</t>
    </r>
  </si>
  <si>
    <r>
      <rPr>
        <rFont val="Noto Sans CJK SC"/>
        <color rgb="FF000000"/>
        <sz val="9.0"/>
      </rPr>
      <t>年</t>
    </r>
    <r>
      <rPr>
        <rFont val="Noto Sans"/>
        <color rgb="FF000000"/>
        <sz val="9.0"/>
      </rPr>
      <t>1.5</t>
    </r>
    <r>
      <rPr>
        <rFont val="Noto Sans CJK SC"/>
        <color rgb="FF000000"/>
        <sz val="9.0"/>
      </rPr>
      <t>〜</t>
    </r>
    <r>
      <rPr>
        <rFont val="Noto Sans"/>
        <color rgb="FF000000"/>
        <sz val="9.0"/>
      </rPr>
      <t xml:space="preserve">3.0%
</t>
    </r>
    <r>
      <rPr>
        <rFont val="Noto Sans CJK SC"/>
        <color rgb="FF000000"/>
        <sz val="9.0"/>
      </rPr>
      <t>（基準利率。
 要件次第で優遇あり）</t>
    </r>
  </si>
  <si>
    <r>
      <rPr>
        <rFont val="Noto Sans"/>
        <b/>
        <color rgb="FFFFFFFF"/>
        <sz val="9.0"/>
      </rPr>
      <t>100</t>
    </r>
    <r>
      <rPr>
        <rFont val="Noto Sans CJK SC"/>
        <b/>
        <color rgb="FFFFFFFF"/>
        <sz val="9.0"/>
      </rPr>
      <t>〜</t>
    </r>
    <r>
      <rPr>
        <rFont val="Noto Sans"/>
        <b/>
        <color rgb="FFFFFFFF"/>
        <sz val="9.0"/>
      </rPr>
      <t>300</t>
    </r>
    <r>
      <rPr>
        <rFont val="Noto Sans CJK SC"/>
        <b/>
        <color rgb="FFFFFFFF"/>
        <sz val="9.0"/>
      </rPr>
      <t>万円
（事業計画の説得力次第）</t>
    </r>
  </si>
  <si>
    <r>
      <rPr>
        <rFont val="Noto Sans CJK SC"/>
        <color rgb="FF000000"/>
        <sz val="9.0"/>
      </rPr>
      <t>中程度
・事業計画書（</t>
    </r>
    <r>
      <rPr>
        <rFont val="Noto Sans"/>
        <color rgb="FF000000"/>
        <sz val="9.0"/>
      </rPr>
      <t>4</t>
    </r>
    <r>
      <rPr>
        <rFont val="Noto Sans CJK SC"/>
        <color rgb="FF000000"/>
        <sz val="9.0"/>
      </rPr>
      <t>〜</t>
    </r>
    <r>
      <rPr>
        <rFont val="Noto Sans"/>
        <color rgb="FF000000"/>
        <sz val="9.0"/>
      </rPr>
      <t>8</t>
    </r>
    <r>
      <rPr>
        <rFont val="Noto Sans CJK SC"/>
        <color rgb="FF000000"/>
        <sz val="9.0"/>
      </rPr>
      <t>頁）作成
・窓口面談</t>
    </r>
    <r>
      <rPr>
        <rFont val="Noto Sans"/>
        <color rgb="FF000000"/>
        <sz val="9.0"/>
      </rPr>
      <t>1</t>
    </r>
    <r>
      <rPr>
        <rFont val="Noto Sans CJK SC"/>
        <color rgb="FF000000"/>
        <sz val="9.0"/>
      </rPr>
      <t>〜</t>
    </r>
    <r>
      <rPr>
        <rFont val="Noto Sans"/>
        <color rgb="FF000000"/>
        <sz val="9.0"/>
      </rPr>
      <t>2</t>
    </r>
    <r>
      <rPr>
        <rFont val="Noto Sans CJK SC"/>
        <color rgb="FF000000"/>
        <sz val="9.0"/>
      </rPr>
      <t>回
・資金繰り表の作成が必要
・書類は比較的シンプル</t>
    </r>
  </si>
  <si>
    <r>
      <rPr>
        <rFont val="Noto Sans CJK SC"/>
        <color rgb="FF000000"/>
        <sz val="9.0"/>
      </rPr>
      <t>約</t>
    </r>
    <r>
      <rPr>
        <rFont val="Noto Sans"/>
        <color rgb="FF000000"/>
        <sz val="9.0"/>
      </rPr>
      <t>1</t>
    </r>
    <r>
      <rPr>
        <rFont val="Noto Sans CJK SC"/>
        <color rgb="FF000000"/>
        <sz val="9.0"/>
      </rPr>
      <t>〜</t>
    </r>
    <r>
      <rPr>
        <rFont val="Noto Sans"/>
        <color rgb="FF000000"/>
        <sz val="9.0"/>
      </rPr>
      <t>2</t>
    </r>
    <r>
      <rPr>
        <rFont val="Noto Sans CJK SC"/>
        <color rgb="FF000000"/>
        <sz val="9.0"/>
      </rPr>
      <t>ヶ月
（申請→融資実行）</t>
    </r>
  </si>
  <si>
    <t>・借入申込書
・創業計画書（収支計画込み）
・資金繰り表
・代表者の確定申告書</t>
  </si>
  <si>
    <r>
      <rPr>
        <rFont val="Noto Sans CJK SC"/>
        <color rgb="FF000000"/>
        <sz val="9.0"/>
      </rPr>
      <t xml:space="preserve">【返済義務】補助金と異なり全額返済が必要。
</t>
    </r>
    <r>
      <rPr>
        <rFont val="Noto Sans"/>
        <color rgb="FF000000"/>
        <sz val="9.0"/>
      </rPr>
      <t>MYS</t>
    </r>
    <r>
      <rPr>
        <rFont val="Noto Sans CJK SC"/>
        <color rgb="FF000000"/>
        <sz val="9.0"/>
      </rPr>
      <t>が軌道に乗らない場合の返済負担を試算しておく。
過大申請による信用毀損リスクにも注意。</t>
    </r>
  </si>
  <si>
    <r>
      <rPr>
        <rFont val="Noto Sans CJK SC"/>
        <color rgb="FF000000"/>
        <sz val="9.0"/>
      </rPr>
      <t>・</t>
    </r>
    <r>
      <rPr>
        <rFont val="Noto Sans"/>
        <color rgb="FF000000"/>
        <sz val="9.0"/>
      </rPr>
      <t>MYS</t>
    </r>
    <r>
      <rPr>
        <rFont val="Noto Sans CJK SC"/>
        <color rgb="FF000000"/>
        <sz val="9.0"/>
      </rPr>
      <t xml:space="preserve">オフライン初期投資
  </t>
    </r>
    <r>
      <rPr>
        <rFont val="Noto Sans"/>
        <color rgb="FF000000"/>
        <sz val="9.0"/>
      </rPr>
      <t>50</t>
    </r>
    <r>
      <rPr>
        <rFont val="Noto Sans CJK SC"/>
        <color rgb="FF000000"/>
        <sz val="9.0"/>
      </rPr>
      <t>〜</t>
    </r>
    <r>
      <rPr>
        <rFont val="Noto Sans"/>
        <color rgb="FF000000"/>
        <sz val="9.0"/>
      </rPr>
      <t>100</t>
    </r>
    <r>
      <rPr>
        <rFont val="Noto Sans CJK SC"/>
        <color rgb="FF000000"/>
        <sz val="9.0"/>
      </rPr>
      <t>万円の全額充当
・コーチ採用・研修費</t>
    </r>
    <r>
      <rPr>
        <rFont val="Noto Sans"/>
        <color rgb="FF000000"/>
        <sz val="9.0"/>
      </rPr>
      <t>10</t>
    </r>
    <r>
      <rPr>
        <rFont val="Noto Sans CJK SC"/>
        <color rgb="FF000000"/>
        <sz val="9.0"/>
      </rPr>
      <t>〜</t>
    </r>
    <r>
      <rPr>
        <rFont val="Noto Sans"/>
        <color rgb="FF000000"/>
        <sz val="9.0"/>
      </rPr>
      <t>20</t>
    </r>
    <r>
      <rPr>
        <rFont val="Noto Sans CJK SC"/>
        <color rgb="FF000000"/>
        <sz val="9.0"/>
      </rPr>
      <t>万円
・運転資金</t>
    </r>
    <r>
      <rPr>
        <rFont val="Noto Sans"/>
        <color rgb="FF000000"/>
        <sz val="9.0"/>
      </rPr>
      <t>3</t>
    </r>
    <r>
      <rPr>
        <rFont val="Noto Sans CJK SC"/>
        <color rgb="FF000000"/>
        <sz val="9.0"/>
      </rPr>
      <t>〜</t>
    </r>
    <r>
      <rPr>
        <rFont val="Noto Sans"/>
        <color rgb="FF000000"/>
        <sz val="9.0"/>
      </rPr>
      <t>6</t>
    </r>
    <r>
      <rPr>
        <rFont val="Noto Sans CJK SC"/>
        <color rgb="FF000000"/>
        <sz val="9.0"/>
      </rPr>
      <t>ヶ月分
  合計</t>
    </r>
    <r>
      <rPr>
        <rFont val="Noto Sans"/>
        <color rgb="FF000000"/>
        <sz val="9.0"/>
      </rPr>
      <t>100</t>
    </r>
    <r>
      <rPr>
        <rFont val="Noto Sans CJK SC"/>
        <color rgb="FF000000"/>
        <sz val="9.0"/>
      </rPr>
      <t>〜</t>
    </r>
    <r>
      <rPr>
        <rFont val="Noto Sans"/>
        <color rgb="FF000000"/>
        <sz val="9.0"/>
      </rPr>
      <t>200</t>
    </r>
    <r>
      <rPr>
        <rFont val="Noto Sans CJK SC"/>
        <color rgb="FF000000"/>
        <sz val="9.0"/>
      </rPr>
      <t>万円</t>
    </r>
  </si>
  <si>
    <r>
      <rPr>
        <rFont val="Noto Sans CJK SC"/>
        <color rgb="FF000000"/>
        <sz val="9.0"/>
      </rPr>
      <t>・</t>
    </r>
    <r>
      <rPr>
        <rFont val="Noto Sans"/>
        <color rgb="FF000000"/>
        <sz val="9.0"/>
      </rPr>
      <t>Shape Fit</t>
    </r>
    <r>
      <rPr>
        <rFont val="Noto Sans CJK SC"/>
        <color rgb="FF000000"/>
        <sz val="9.0"/>
      </rPr>
      <t>としての事業実績の整理
  （</t>
    </r>
    <r>
      <rPr>
        <rFont val="Noto Sans"/>
        <color rgb="FF000000"/>
        <sz val="9.0"/>
      </rPr>
      <t>SFF/</t>
    </r>
    <r>
      <rPr>
        <rFont val="Noto Sans CJK SC"/>
        <color rgb="FF000000"/>
        <sz val="9.0"/>
      </rPr>
      <t>ジム実績が有利）
・事業計画書の精度
  （収支予測の根拠）
・代表者の個人信用情報</t>
    </r>
  </si>
  <si>
    <t>② 東京都制度融資「創業」
（東京信用保証協会）</t>
  </si>
  <si>
    <r>
      <rPr>
        <rFont val="Noto Sans CJK SC"/>
        <color rgb="FF000000"/>
        <sz val="9.0"/>
      </rPr>
      <t>・</t>
    </r>
    <r>
      <rPr>
        <rFont val="Noto Sans"/>
        <color rgb="FF000000"/>
        <sz val="9.0"/>
      </rPr>
      <t>MYS</t>
    </r>
    <r>
      <rPr>
        <rFont val="Noto Sans CJK SC"/>
        <color rgb="FF000000"/>
        <sz val="9.0"/>
      </rPr>
      <t>オフライン・コミュニティ
  立ち上げ費用
・公庫融資の補完的調達
  （公庫と併用可）</t>
    </r>
  </si>
  <si>
    <r>
      <rPr>
        <rFont val="Noto Sans CJK SC"/>
        <color rgb="FF000000"/>
        <sz val="9.0"/>
      </rPr>
      <t>最大</t>
    </r>
    <r>
      <rPr>
        <rFont val="Noto Sans"/>
        <color rgb="FF000000"/>
        <sz val="9.0"/>
      </rPr>
      <t>3,500</t>
    </r>
    <r>
      <rPr>
        <rFont val="Noto Sans CJK SC"/>
        <color rgb="FF000000"/>
        <sz val="9.0"/>
      </rPr>
      <t>万円
（</t>
    </r>
    <r>
      <rPr>
        <rFont val="Noto Sans"/>
        <color rgb="FF000000"/>
        <sz val="9.0"/>
      </rPr>
      <t>ShapeFit</t>
    </r>
    <r>
      <rPr>
        <rFont val="Noto Sans CJK SC"/>
        <color rgb="FF000000"/>
        <sz val="9.0"/>
      </rPr>
      <t xml:space="preserve">規模では
 </t>
    </r>
    <r>
      <rPr>
        <rFont val="Noto Sans"/>
        <color rgb="FF000000"/>
        <sz val="9.0"/>
      </rPr>
      <t>200</t>
    </r>
    <r>
      <rPr>
        <rFont val="Noto Sans CJK SC"/>
        <color rgb="FF000000"/>
        <sz val="9.0"/>
      </rPr>
      <t>〜</t>
    </r>
    <r>
      <rPr>
        <rFont val="Noto Sans"/>
        <color rgb="FF000000"/>
        <sz val="9.0"/>
      </rPr>
      <t>500</t>
    </r>
    <r>
      <rPr>
        <rFont val="Noto Sans CJK SC"/>
        <color rgb="FF000000"/>
        <sz val="9.0"/>
      </rPr>
      <t>万円が現実的）</t>
    </r>
  </si>
  <si>
    <r>
      <rPr>
        <rFont val="Noto Sans CJK SC"/>
        <color rgb="FF000000"/>
        <sz val="9.0"/>
      </rPr>
      <t>年</t>
    </r>
    <r>
      <rPr>
        <rFont val="Noto Sans"/>
        <color rgb="FF000000"/>
        <sz val="9.0"/>
      </rPr>
      <t>1.5</t>
    </r>
    <r>
      <rPr>
        <rFont val="Noto Sans CJK SC"/>
        <color rgb="FF000000"/>
        <sz val="9.0"/>
      </rPr>
      <t>〜</t>
    </r>
    <r>
      <rPr>
        <rFont val="Noto Sans"/>
        <color rgb="FF000000"/>
        <sz val="9.0"/>
      </rPr>
      <t xml:space="preserve">2.2%
</t>
    </r>
    <r>
      <rPr>
        <rFont val="Noto Sans CJK SC"/>
        <color rgb="FF000000"/>
        <sz val="9.0"/>
      </rPr>
      <t xml:space="preserve">（信用保証料込みは
 </t>
    </r>
    <r>
      <rPr>
        <rFont val="Noto Sans"/>
        <color rgb="FF000000"/>
        <sz val="9.0"/>
      </rPr>
      <t>+0.5</t>
    </r>
    <r>
      <rPr>
        <rFont val="Noto Sans CJK SC"/>
        <color rgb="FF000000"/>
        <sz val="9.0"/>
      </rPr>
      <t>〜</t>
    </r>
    <r>
      <rPr>
        <rFont val="Noto Sans"/>
        <color rgb="FF000000"/>
        <sz val="9.0"/>
      </rPr>
      <t>1%</t>
    </r>
    <r>
      <rPr>
        <rFont val="Noto Sans CJK SC"/>
        <color rgb="FF000000"/>
        <sz val="9.0"/>
      </rPr>
      <t>程度追加）</t>
    </r>
  </si>
  <si>
    <r>
      <rPr>
        <rFont val="Noto Sans"/>
        <b/>
        <color rgb="FFFFFFFF"/>
        <sz val="9.0"/>
      </rPr>
      <t>200</t>
    </r>
    <r>
      <rPr>
        <rFont val="Noto Sans CJK SC"/>
        <b/>
        <color rgb="FFFFFFFF"/>
        <sz val="9.0"/>
      </rPr>
      <t>〜</t>
    </r>
    <r>
      <rPr>
        <rFont val="Noto Sans"/>
        <b/>
        <color rgb="FFFFFFFF"/>
        <sz val="9.0"/>
      </rPr>
      <t>500</t>
    </r>
    <r>
      <rPr>
        <rFont val="Noto Sans CJK SC"/>
        <b/>
        <color rgb="FFFFFFFF"/>
        <sz val="9.0"/>
      </rPr>
      <t>万円
（公庫と合算した
 総調達額として活用）</t>
    </r>
  </si>
  <si>
    <t>高め
・金融機関と信用保証協会の
  二重審査が必要
・商工会議所への相談が
  承認率を上げやすい</t>
  </si>
  <si>
    <r>
      <rPr>
        <rFont val="Noto Sans CJK SC"/>
        <color rgb="FF000000"/>
        <sz val="9.0"/>
      </rPr>
      <t>約</t>
    </r>
    <r>
      <rPr>
        <rFont val="Noto Sans"/>
        <color rgb="FF000000"/>
        <sz val="9.0"/>
      </rPr>
      <t>2</t>
    </r>
    <r>
      <rPr>
        <rFont val="Noto Sans CJK SC"/>
        <color rgb="FF000000"/>
        <sz val="9.0"/>
      </rPr>
      <t>〜</t>
    </r>
    <r>
      <rPr>
        <rFont val="Noto Sans"/>
        <color rgb="FF000000"/>
        <sz val="9.0"/>
      </rPr>
      <t>3</t>
    </r>
    <r>
      <rPr>
        <rFont val="Noto Sans CJK SC"/>
        <color rgb="FF000000"/>
        <sz val="9.0"/>
      </rPr>
      <t>ヶ月
（申請→融資実行）</t>
    </r>
  </si>
  <si>
    <t>・創業計画書（添付書含む）
・確定申告書（直近）
・見積書
・信用保証委託申込書</t>
  </si>
  <si>
    <t>信用保証料が追加コストになる。
公庫より審査期間が長く
「今すぐ資金が必要」な場面には向かない。
金融機関選びで条件差が出るため複数比較推奨。</t>
  </si>
  <si>
    <r>
      <rPr>
        <rFont val="Noto Sans CJK SC"/>
        <color rgb="FF000000"/>
        <sz val="9.0"/>
      </rPr>
      <t>・コーチ育成プログラム開発費</t>
    </r>
    <r>
      <rPr>
        <rFont val="Noto Sans"/>
        <color rgb="FF000000"/>
        <sz val="9.0"/>
      </rPr>
      <t>50</t>
    </r>
    <r>
      <rPr>
        <rFont val="Noto Sans CJK SC"/>
        <color rgb="FF000000"/>
        <sz val="9.0"/>
      </rPr>
      <t>万円
・予約管理システム構築</t>
    </r>
    <r>
      <rPr>
        <rFont val="Noto Sans"/>
        <color rgb="FF000000"/>
        <sz val="9.0"/>
      </rPr>
      <t>15</t>
    </r>
    <r>
      <rPr>
        <rFont val="Noto Sans CJK SC"/>
        <color rgb="FF000000"/>
        <sz val="9.0"/>
      </rPr>
      <t>万円
・コミュニティ初期投資</t>
    </r>
    <r>
      <rPr>
        <rFont val="Noto Sans"/>
        <color rgb="FF000000"/>
        <sz val="9.0"/>
      </rPr>
      <t>48</t>
    </r>
    <r>
      <rPr>
        <rFont val="Noto Sans CJK SC"/>
        <color rgb="FF000000"/>
        <sz val="9.0"/>
      </rPr>
      <t>〜</t>
    </r>
    <r>
      <rPr>
        <rFont val="Noto Sans"/>
        <color rgb="FF000000"/>
        <sz val="9.0"/>
      </rPr>
      <t>58</t>
    </r>
    <r>
      <rPr>
        <rFont val="Noto Sans CJK SC"/>
        <color rgb="FF000000"/>
        <sz val="9.0"/>
      </rPr>
      <t>万円
・運転資金</t>
    </r>
    <r>
      <rPr>
        <rFont val="Noto Sans"/>
        <color rgb="FF000000"/>
        <sz val="9.0"/>
      </rPr>
      <t>100</t>
    </r>
    <r>
      <rPr>
        <rFont val="Noto Sans CJK SC"/>
        <color rgb="FF000000"/>
        <sz val="9.0"/>
      </rPr>
      <t>〜</t>
    </r>
    <r>
      <rPr>
        <rFont val="Noto Sans"/>
        <color rgb="FF000000"/>
        <sz val="9.0"/>
      </rPr>
      <t>300</t>
    </r>
    <r>
      <rPr>
        <rFont val="Noto Sans CJK SC"/>
        <color rgb="FF000000"/>
        <sz val="9.0"/>
      </rPr>
      <t>万円</t>
    </r>
  </si>
  <si>
    <r>
      <rPr>
        <rFont val="Noto Sans CJK SC"/>
        <color rgb="FF000000"/>
        <sz val="9.0"/>
      </rPr>
      <t>・都内事業所の確認
・創業</t>
    </r>
    <r>
      <rPr>
        <rFont val="Noto Sans"/>
        <color rgb="FF000000"/>
        <sz val="9.0"/>
      </rPr>
      <t>5</t>
    </r>
    <r>
      <rPr>
        <rFont val="Noto Sans CJK SC"/>
        <color rgb="FF000000"/>
        <sz val="9.0"/>
      </rPr>
      <t>年未満の確認
・商工会議所の相談実績で
  金利優遇（▲</t>
    </r>
    <r>
      <rPr>
        <rFont val="Noto Sans"/>
        <color rgb="FF000000"/>
        <sz val="9.0"/>
      </rPr>
      <t>0.4%</t>
    </r>
    <r>
      <rPr>
        <rFont val="Noto Sans CJK SC"/>
        <color rgb="FF000000"/>
        <sz val="9.0"/>
      </rPr>
      <t>）あり</t>
    </r>
  </si>
  <si>
    <t>★★ 準優先
（公庫と並行または補完）</t>
  </si>
  <si>
    <t>③ 信用保証協会
「創業関連保証」
（単体利用）</t>
  </si>
  <si>
    <t>・①②の補完的調達
・公庫融資と組み合わせて
  総調達額を増やす目的
・銀行取引関係の構築</t>
  </si>
  <si>
    <r>
      <rPr>
        <rFont val="Noto Sans CJK SC"/>
        <color rgb="FF000000"/>
        <sz val="9.0"/>
      </rPr>
      <t>最大</t>
    </r>
    <r>
      <rPr>
        <rFont val="Noto Sans"/>
        <color rgb="FF000000"/>
        <sz val="9.0"/>
      </rPr>
      <t>3,500</t>
    </r>
    <r>
      <rPr>
        <rFont val="Noto Sans CJK SC"/>
        <color rgb="FF000000"/>
        <sz val="9.0"/>
      </rPr>
      <t>万円
（②東京都制度融資との
 合計上限として管理）</t>
    </r>
  </si>
  <si>
    <t>金融機関所定金利
＋信用保証料
（金融機関により異なる）</t>
  </si>
  <si>
    <r>
      <rPr>
        <rFont val="Noto Sans"/>
        <b/>
        <color rgb="FFFFFFFF"/>
        <sz val="9.0"/>
      </rPr>
      <t>100</t>
    </r>
    <r>
      <rPr>
        <rFont val="Noto Sans CJK SC"/>
        <b/>
        <color rgb="FFFFFFFF"/>
        <sz val="9.0"/>
      </rPr>
      <t>〜</t>
    </r>
    <r>
      <rPr>
        <rFont val="Noto Sans"/>
        <b/>
        <color rgb="FFFFFFFF"/>
        <sz val="9.0"/>
      </rPr>
      <t>300</t>
    </r>
    <r>
      <rPr>
        <rFont val="Noto Sans CJK SC"/>
        <b/>
        <color rgb="FFFFFFFF"/>
        <sz val="9.0"/>
      </rPr>
      <t>万円
（①②との組み合わせ次第）</t>
    </r>
  </si>
  <si>
    <t>中程度
・②とほぼ同じ手続き
・取引銀行経由で申請</t>
  </si>
  <si>
    <r>
      <rPr>
        <rFont val="Noto Sans CJK SC"/>
        <color rgb="FF000000"/>
        <sz val="9.0"/>
      </rPr>
      <t>約</t>
    </r>
    <r>
      <rPr>
        <rFont val="Noto Sans"/>
        <color rgb="FF000000"/>
        <sz val="9.0"/>
      </rPr>
      <t>1</t>
    </r>
    <r>
      <rPr>
        <rFont val="Noto Sans CJK SC"/>
        <color rgb="FF000000"/>
        <sz val="9.0"/>
      </rPr>
      <t>〜</t>
    </r>
    <r>
      <rPr>
        <rFont val="Noto Sans"/>
        <color rgb="FF000000"/>
        <sz val="9.0"/>
      </rPr>
      <t>2</t>
    </r>
    <r>
      <rPr>
        <rFont val="Noto Sans CJK SC"/>
        <color rgb="FF000000"/>
        <sz val="9.0"/>
      </rPr>
      <t>ヶ月</t>
    </r>
  </si>
  <si>
    <t>・信用保証委託申込書
・創業計画書
・財務資料・見積書</t>
  </si>
  <si>
    <r>
      <rPr>
        <rFont val="Noto Sans CJK SC"/>
        <color rgb="FF000000"/>
        <sz val="9.0"/>
      </rPr>
      <t>②東京都制度融資と実質重複するため
通常はどちらかを選ぶ。
両制度の上限合算が</t>
    </r>
    <r>
      <rPr>
        <rFont val="Noto Sans"/>
        <color rgb="FF000000"/>
        <sz val="9.0"/>
      </rPr>
      <t>3,500</t>
    </r>
    <r>
      <rPr>
        <rFont val="Noto Sans CJK SC"/>
        <color rgb="FF000000"/>
        <sz val="9.0"/>
      </rPr>
      <t>万円のため
過大申請に注意。</t>
    </r>
  </si>
  <si>
    <t>・①公庫融資で足りない分の補填
・銀行取引関係強化
  （将来のプロパー融資へのステップ）</t>
  </si>
  <si>
    <t>・取引金融機関の早期選定
・②と重複しないよう
  資金用途の切り分けを書面で整理</t>
  </si>
  <si>
    <t>△ 補完的
（①②上乗せ時のみ）</t>
  </si>
  <si>
    <r>
      <rPr>
        <rFont val="Noto Sans CJK SC"/>
        <color rgb="FF000000"/>
        <sz val="10.0"/>
      </rPr>
      <t xml:space="preserve">【総合スコア凡例】 </t>
    </r>
    <r>
      <rPr>
        <rFont val="Noto Sans"/>
        <color rgb="FF000000"/>
        <sz val="10.0"/>
      </rPr>
      <t>9</t>
    </r>
    <r>
      <rPr>
        <rFont val="Noto Sans CJK SC"/>
        <color rgb="FF000000"/>
        <sz val="10.0"/>
      </rPr>
      <t>〜</t>
    </r>
    <r>
      <rPr>
        <rFont val="Noto Sans"/>
        <color rgb="FF000000"/>
        <sz val="10.0"/>
      </rPr>
      <t>10</t>
    </r>
    <r>
      <rPr>
        <rFont val="Noto Sans CJK SC"/>
        <color rgb="FF000000"/>
        <sz val="10.0"/>
      </rPr>
      <t xml:space="preserve">点：最優先で動く  </t>
    </r>
    <r>
      <rPr>
        <rFont val="Noto Sans"/>
        <color rgb="FF000000"/>
        <sz val="10.0"/>
      </rPr>
      <t>7</t>
    </r>
    <r>
      <rPr>
        <rFont val="Noto Sans CJK SC"/>
        <color rgb="FF000000"/>
        <sz val="10.0"/>
      </rPr>
      <t>〜</t>
    </r>
    <r>
      <rPr>
        <rFont val="Noto Sans"/>
        <color rgb="FF000000"/>
        <sz val="10.0"/>
      </rPr>
      <t>8</t>
    </r>
    <r>
      <rPr>
        <rFont val="Noto Sans CJK SC"/>
        <color rgb="FF000000"/>
        <sz val="10.0"/>
      </rPr>
      <t xml:space="preserve">点：準優先（条件確認後）  </t>
    </r>
    <r>
      <rPr>
        <rFont val="Noto Sans"/>
        <color rgb="FF000000"/>
        <sz val="10.0"/>
      </rPr>
      <t>5</t>
    </r>
    <r>
      <rPr>
        <rFont val="Noto Sans CJK SC"/>
        <color rgb="FF000000"/>
        <sz val="10.0"/>
      </rPr>
      <t>〜</t>
    </r>
    <r>
      <rPr>
        <rFont val="Noto Sans"/>
        <color rgb="FF000000"/>
        <sz val="10.0"/>
      </rPr>
      <t>6</t>
    </r>
    <r>
      <rPr>
        <rFont val="Noto Sans CJK SC"/>
        <color rgb="FF000000"/>
        <sz val="10.0"/>
      </rPr>
      <t>点：状況次第で検討  ～</t>
    </r>
    <r>
      <rPr>
        <rFont val="Noto Sans"/>
        <color rgb="FF000000"/>
        <sz val="10.0"/>
      </rPr>
      <t>4</t>
    </r>
    <r>
      <rPr>
        <rFont val="Noto Sans CJK SC"/>
        <color rgb="FF000000"/>
        <sz val="10.0"/>
      </rPr>
      <t>点：中長期的検討</t>
    </r>
  </si>
  <si>
    <t>■ 融資意思決定前に確認すべき重要事項</t>
  </si>
  <si>
    <t>確認①
融資と補助金のタイミング整合</t>
  </si>
  <si>
    <t>補助金の「交付決定前の契約禁止」ルールと融資の資金調達タイミングを整合させる。
例：融資で先に運転資金を確保→補助金採択後に設備・ツール投資 という流れが安全。
融資で補助金対象経費を先払いしてしまうと補助対象外になるリスクがある。</t>
  </si>
  <si>
    <t>確認②
事業計画書の共通化</t>
  </si>
  <si>
    <t>日本政策金融公庫への融資申請に使う事業計画書は、ものづくり補助金・新事業進出補助金の申請書類にも転用できる。
最初から「補助金申請にも使える品質」で作ることで、将来的な申請工数を大幅削減できる。</t>
  </si>
  <si>
    <t>確認③
月次返済能力の事前試算</t>
  </si>
  <si>
    <r>
      <rPr>
        <rFont val="Arial"/>
        <color rgb="FF000000"/>
        <sz val="10.0"/>
      </rPr>
      <t>融資は全額返済義務がある。</t>
    </r>
    <r>
      <rPr>
        <rFont val="Noto Sans"/>
        <color rgb="FF000000"/>
        <sz val="10.0"/>
      </rPr>
      <t>200</t>
    </r>
    <r>
      <rPr>
        <rFont val="Arial"/>
        <color rgb="FF000000"/>
        <sz val="10.0"/>
      </rPr>
      <t>万円を年</t>
    </r>
    <r>
      <rPr>
        <rFont val="Noto Sans"/>
        <color rgb="FF000000"/>
        <sz val="10.0"/>
      </rPr>
      <t>2%</t>
    </r>
    <r>
      <rPr>
        <rFont val="Arial"/>
        <color rgb="FF000000"/>
        <sz val="10.0"/>
      </rPr>
      <t>・</t>
    </r>
    <r>
      <rPr>
        <rFont val="Noto Sans"/>
        <color rgb="FF000000"/>
        <sz val="10.0"/>
      </rPr>
      <t>10</t>
    </r>
    <r>
      <rPr>
        <rFont val="Arial"/>
        <color rgb="FF000000"/>
        <sz val="10.0"/>
      </rPr>
      <t>年返済 → 月次約</t>
    </r>
    <r>
      <rPr>
        <rFont val="Noto Sans"/>
        <color rgb="FF000000"/>
        <sz val="10.0"/>
      </rPr>
      <t>1.8</t>
    </r>
    <r>
      <rPr>
        <rFont val="Arial"/>
        <color rgb="FF000000"/>
        <sz val="10.0"/>
      </rPr>
      <t>万円。</t>
    </r>
    <r>
      <rPr>
        <rFont val="Noto Sans"/>
        <color rgb="FF000000"/>
        <sz val="10.0"/>
      </rPr>
      <t>300</t>
    </r>
    <r>
      <rPr>
        <rFont val="Arial"/>
        <color rgb="FF000000"/>
        <sz val="10.0"/>
      </rPr>
      <t>万円の場合 → 月次約</t>
    </r>
    <r>
      <rPr>
        <rFont val="Noto Sans"/>
        <color rgb="FF000000"/>
        <sz val="10.0"/>
      </rPr>
      <t>2.8</t>
    </r>
    <r>
      <rPr>
        <rFont val="Arial"/>
        <color rgb="FF000000"/>
        <sz val="10.0"/>
      </rPr>
      <t xml:space="preserve">万円。
</t>
    </r>
    <r>
      <rPr>
        <rFont val="Noto Sans"/>
        <color rgb="FF000000"/>
        <sz val="10.0"/>
      </rPr>
      <t>MYS</t>
    </r>
    <r>
      <rPr>
        <rFont val="Arial"/>
        <color rgb="FF000000"/>
        <sz val="10.0"/>
      </rPr>
      <t>が軌道に乗るまでの期間（〜</t>
    </r>
    <r>
      <rPr>
        <rFont val="Noto Sans"/>
        <color rgb="FF000000"/>
        <sz val="10.0"/>
      </rPr>
      <t>2027</t>
    </r>
    <r>
      <rPr>
        <rFont val="Arial"/>
        <color rgb="FF000000"/>
        <sz val="10.0"/>
      </rPr>
      <t>年）の返済負担がキャッシュフローに与える影響を先に試算しておくこと。</t>
    </r>
  </si>
  <si>
    <r>
      <rPr>
        <rFont val="Arial"/>
        <b/>
        <color rgb="FFFFFFFF"/>
        <sz val="15.0"/>
      </rPr>
      <t xml:space="preserve">ShapeFit </t>
    </r>
    <r>
      <rPr>
        <rFont val="Noto Sans CJK SC"/>
        <b/>
        <color rgb="FFFFFFFF"/>
        <sz val="15.0"/>
      </rPr>
      <t>補助金 受給額シミュレーション</t>
    </r>
  </si>
  <si>
    <r>
      <rPr>
        <rFont val="Noto Sans CJK SC"/>
        <i/>
        <color rgb="FF595959"/>
        <sz val="9.0"/>
      </rPr>
      <t>※ 数値は</t>
    </r>
    <r>
      <rPr>
        <rFont val="Noto Sans"/>
        <i/>
        <color rgb="FF595959"/>
        <sz val="9.0"/>
      </rPr>
      <t>ShapeFit</t>
    </r>
    <r>
      <rPr>
        <rFont val="Noto Sans CJK SC"/>
        <i/>
        <color rgb="FF595959"/>
        <sz val="9.0"/>
      </rPr>
      <t>の各事業の投資計画（事業情報シート記載値）をベースにした試算。実際の補助額は審査結果・経費認定状況により変動します。</t>
    </r>
  </si>
  <si>
    <t>対象となる主な投資内容</t>
  </si>
  <si>
    <t>投資想定額（円）</t>
  </si>
  <si>
    <t>推定補助額（円）</t>
  </si>
  <si>
    <t>自己負担額（円）</t>
  </si>
  <si>
    <t>申請難易度</t>
  </si>
  <si>
    <t>総評・ポイント</t>
  </si>
  <si>
    <r>
      <rPr>
        <rFont val="Arial"/>
        <b/>
        <color rgb="FFFFFFFF"/>
        <sz val="10.0"/>
      </rPr>
      <t>① IT</t>
    </r>
    <r>
      <rPr>
        <rFont val="Noto Sans CJK SC"/>
        <b/>
        <color rgb="FFFFFFFF"/>
        <sz val="10.0"/>
      </rPr>
      <t>導入補助金</t>
    </r>
  </si>
  <si>
    <r>
      <rPr>
        <rFont val="Noto Sans CJK SC"/>
        <color theme="1"/>
        <sz val="9.0"/>
      </rPr>
      <t>・</t>
    </r>
    <r>
      <rPr>
        <rFont val="Noto Sans"/>
        <color theme="1"/>
        <sz val="9.0"/>
      </rPr>
      <t>Salesforce</t>
    </r>
    <r>
      <rPr>
        <rFont val="Noto Sans CJK SC"/>
        <color theme="1"/>
        <sz val="9.0"/>
      </rPr>
      <t>（</t>
    </r>
    <r>
      <rPr>
        <rFont val="Noto Sans"/>
        <color theme="1"/>
        <sz val="9.0"/>
      </rPr>
      <t>SFF</t>
    </r>
    <r>
      <rPr>
        <rFont val="Noto Sans CJK SC"/>
        <color theme="1"/>
        <sz val="9.0"/>
      </rPr>
      <t>協賛</t>
    </r>
    <r>
      <rPr>
        <rFont val="Noto Sans"/>
        <color theme="1"/>
        <sz val="9.0"/>
      </rPr>
      <t>CRM</t>
    </r>
    <r>
      <rPr>
        <rFont val="Noto Sans CJK SC"/>
        <color theme="1"/>
        <sz val="9.0"/>
      </rPr>
      <t>）
・</t>
    </r>
    <r>
      <rPr>
        <rFont val="Noto Sans"/>
        <color theme="1"/>
        <sz val="9.0"/>
      </rPr>
      <t>UTAGE</t>
    </r>
    <r>
      <rPr>
        <rFont val="Noto Sans CJK SC"/>
        <color theme="1"/>
        <sz val="9.0"/>
      </rPr>
      <t>（</t>
    </r>
    <r>
      <rPr>
        <rFont val="Noto Sans"/>
        <color theme="1"/>
        <sz val="9.0"/>
      </rPr>
      <t>MYS</t>
    </r>
    <r>
      <rPr>
        <rFont val="Noto Sans CJK SC"/>
        <color theme="1"/>
        <sz val="9.0"/>
      </rPr>
      <t>動画・受講者管理）
・</t>
    </r>
    <r>
      <rPr>
        <rFont val="Noto Sans"/>
        <color theme="1"/>
        <sz val="9.0"/>
      </rPr>
      <t>LINE</t>
    </r>
    <r>
      <rPr>
        <rFont val="Noto Sans CJK SC"/>
        <color theme="1"/>
        <sz val="9.0"/>
      </rPr>
      <t>公式・</t>
    </r>
    <r>
      <rPr>
        <rFont val="Noto Sans"/>
        <color theme="1"/>
        <sz val="9.0"/>
      </rPr>
      <t>Zoom</t>
    </r>
    <r>
      <rPr>
        <rFont val="Noto Sans CJK SC"/>
        <color theme="1"/>
        <sz val="9.0"/>
      </rPr>
      <t>年間費
・</t>
    </r>
    <r>
      <rPr>
        <rFont val="Noto Sans"/>
        <color theme="1"/>
        <sz val="9.0"/>
      </rPr>
      <t>Stripe</t>
    </r>
    <r>
      <rPr>
        <rFont val="Noto Sans CJK SC"/>
        <color theme="1"/>
        <sz val="9.0"/>
      </rPr>
      <t>等決済ツール</t>
    </r>
  </si>
  <si>
    <r>
      <rPr>
        <rFont val="Arial"/>
        <b/>
        <color rgb="FFBF8F00"/>
        <sz val="10.0"/>
      </rPr>
      <t>66%</t>
    </r>
    <r>
      <rPr>
        <rFont val="Noto Sans CJK SC"/>
        <b/>
        <color rgb="FFBF8F00"/>
        <sz val="10.0"/>
      </rPr>
      <t>（通常枠上限）</t>
    </r>
  </si>
  <si>
    <t>低〜中</t>
  </si>
  <si>
    <r>
      <rPr>
        <rFont val="Noto Sans CJK SC"/>
        <color rgb="FF595959"/>
        <sz val="9.0"/>
      </rPr>
      <t>最も確実かつ手間が少ない。</t>
    </r>
    <r>
      <rPr>
        <rFont val="Noto Sans"/>
        <color rgb="FF595959"/>
        <sz val="9.0"/>
      </rPr>
      <t>Salesforce</t>
    </r>
    <r>
      <rPr>
        <rFont val="Noto Sans CJK SC"/>
        <color rgb="FF595959"/>
        <sz val="9.0"/>
      </rPr>
      <t>導入</t>
    </r>
    <r>
      <rPr>
        <rFont val="Noto Sans"/>
        <color rgb="FF595959"/>
        <sz val="9.0"/>
      </rPr>
      <t>200</t>
    </r>
    <r>
      <rPr>
        <rFont val="Noto Sans CJK SC"/>
        <color rgb="FF595959"/>
        <sz val="9.0"/>
      </rPr>
      <t>万</t>
    </r>
    <r>
      <rPr>
        <rFont val="Noto Sans"/>
        <color rgb="FF595959"/>
        <sz val="9.0"/>
      </rPr>
      <t>+UTAGE</t>
    </r>
    <r>
      <rPr>
        <rFont val="Noto Sans CJK SC"/>
        <color rgb="FF595959"/>
        <sz val="9.0"/>
      </rPr>
      <t>等</t>
    </r>
    <r>
      <rPr>
        <rFont val="Noto Sans"/>
        <color rgb="FF595959"/>
        <sz val="9.0"/>
      </rPr>
      <t>100</t>
    </r>
    <r>
      <rPr>
        <rFont val="Noto Sans CJK SC"/>
        <color rgb="FF595959"/>
        <sz val="9.0"/>
      </rPr>
      <t>万で合計</t>
    </r>
    <r>
      <rPr>
        <rFont val="Noto Sans"/>
        <color rgb="FF595959"/>
        <sz val="9.0"/>
      </rPr>
      <t>300</t>
    </r>
    <r>
      <rPr>
        <rFont val="Noto Sans CJK SC"/>
        <color rgb="FF595959"/>
        <sz val="9.0"/>
      </rPr>
      <t>万円投資→約</t>
    </r>
    <r>
      <rPr>
        <rFont val="Noto Sans"/>
        <color rgb="FF595959"/>
        <sz val="9.0"/>
      </rPr>
      <t>198</t>
    </r>
    <r>
      <rPr>
        <rFont val="Noto Sans CJK SC"/>
        <color rgb="FF595959"/>
        <sz val="9.0"/>
      </rPr>
      <t>万円補助が試算の根拠。
【最重要】交付決定前に契約しないこと。</t>
    </r>
  </si>
  <si>
    <t>② ものづくり補助金</t>
  </si>
  <si>
    <r>
      <rPr>
        <rFont val="Noto Sans CJK SC"/>
        <color theme="1"/>
        <sz val="9.0"/>
      </rPr>
      <t>・</t>
    </r>
    <r>
      <rPr>
        <rFont val="Noto Sans"/>
        <color theme="1"/>
        <sz val="9.0"/>
      </rPr>
      <t>MYS</t>
    </r>
    <r>
      <rPr>
        <rFont val="Noto Sans CJK SC"/>
        <color theme="1"/>
        <sz val="9.0"/>
      </rPr>
      <t>カリキュラム動画制作（テスト用</t>
    </r>
    <r>
      <rPr>
        <rFont val="Noto Sans"/>
        <color theme="1"/>
        <sz val="9.0"/>
      </rPr>
      <t>27</t>
    </r>
    <r>
      <rPr>
        <rFont val="Noto Sans CJK SC"/>
        <color theme="1"/>
        <sz val="9.0"/>
      </rPr>
      <t>本）
・</t>
    </r>
    <r>
      <rPr>
        <rFont val="Noto Sans"/>
        <color theme="1"/>
        <sz val="9.0"/>
      </rPr>
      <t>LP</t>
    </r>
    <r>
      <rPr>
        <rFont val="Noto Sans CJK SC"/>
        <color theme="1"/>
        <sz val="9.0"/>
      </rPr>
      <t>制作・フォーム・決済導線構築
・マネージャー育成プログラム開発
・ツール初期設定費</t>
    </r>
  </si>
  <si>
    <r>
      <rPr>
        <rFont val="Arial"/>
        <b/>
        <color rgb="FFBF8F00"/>
        <sz val="10.0"/>
      </rPr>
      <t>66%</t>
    </r>
    <r>
      <rPr>
        <rFont val="Noto Sans CJK SC"/>
        <b/>
        <color rgb="FFBF8F00"/>
        <sz val="10.0"/>
      </rPr>
      <t>（賃上げ加点適用時）</t>
    </r>
  </si>
  <si>
    <t>高</t>
  </si>
  <si>
    <r>
      <rPr>
        <rFont val="Arial"/>
        <color rgb="FF595959"/>
        <sz val="9.0"/>
      </rPr>
      <t>MYS</t>
    </r>
    <r>
      <rPr>
        <rFont val="Noto Sans CJK SC"/>
        <color rgb="FF595959"/>
        <sz val="9.0"/>
      </rPr>
      <t>開発費の合計（</t>
    </r>
    <r>
      <rPr>
        <rFont val="Arial"/>
        <color rgb="FF595959"/>
        <sz val="9.0"/>
      </rPr>
      <t>94</t>
    </r>
    <r>
      <rPr>
        <rFont val="Noto Sans CJK SC"/>
        <color rgb="FF595959"/>
        <sz val="9.0"/>
      </rPr>
      <t>〜</t>
    </r>
    <r>
      <rPr>
        <rFont val="Arial"/>
        <color rgb="FF595959"/>
        <sz val="9.0"/>
      </rPr>
      <t>161</t>
    </r>
    <r>
      <rPr>
        <rFont val="Noto Sans CJK SC"/>
        <color rgb="FF595959"/>
        <sz val="9.0"/>
      </rPr>
      <t>万円の初期投資＋運転資金）を補助対象経費として整理すれば最大補助上限</t>
    </r>
    <r>
      <rPr>
        <rFont val="Arial"/>
        <color rgb="FF595959"/>
        <sz val="9.0"/>
      </rPr>
      <t>750</t>
    </r>
    <r>
      <rPr>
        <rFont val="Noto Sans CJK SC"/>
        <color rgb="FF595959"/>
        <sz val="9.0"/>
      </rPr>
      <t>〜</t>
    </r>
    <r>
      <rPr>
        <rFont val="Arial"/>
        <color rgb="FF595959"/>
        <sz val="9.0"/>
      </rPr>
      <t>1,250</t>
    </r>
    <r>
      <rPr>
        <rFont val="Noto Sans CJK SC"/>
        <color rgb="FF595959"/>
        <sz val="9.0"/>
      </rPr>
      <t>万円まで可能。「フィットネス</t>
    </r>
    <r>
      <rPr>
        <rFont val="Arial"/>
        <color rgb="FF595959"/>
        <sz val="9.0"/>
      </rPr>
      <t>×</t>
    </r>
    <r>
      <rPr>
        <rFont val="Noto Sans CJK SC"/>
        <color rgb="FF595959"/>
        <sz val="9.0"/>
      </rPr>
      <t>ライフコーチングの新カテゴリ開発」として革新性を証明できれば高い補助が期待できる。</t>
    </r>
  </si>
  <si>
    <t>③ 中小企業新事業進出補助金</t>
  </si>
  <si>
    <r>
      <rPr>
        <rFont val="Noto Sans CJK SC"/>
        <color theme="1"/>
        <sz val="9.0"/>
      </rPr>
      <t>・</t>
    </r>
    <r>
      <rPr>
        <rFont val="Noto Sans"/>
        <color theme="1"/>
        <sz val="9.0"/>
      </rPr>
      <t>MYS</t>
    </r>
    <r>
      <rPr>
        <rFont val="Noto Sans CJK SC"/>
        <color theme="1"/>
        <sz val="9.0"/>
      </rPr>
      <t>オフラインコーチング立ち上げ費
  （コーチ育成</t>
    </r>
    <r>
      <rPr>
        <rFont val="Noto Sans"/>
        <color theme="1"/>
        <sz val="9.0"/>
      </rPr>
      <t>50</t>
    </r>
    <r>
      <rPr>
        <rFont val="Noto Sans CJK SC"/>
        <color theme="1"/>
        <sz val="9.0"/>
      </rPr>
      <t>万</t>
    </r>
    <r>
      <rPr>
        <rFont val="Noto Sans"/>
        <color theme="1"/>
        <sz val="9.0"/>
      </rPr>
      <t>+</t>
    </r>
    <r>
      <rPr>
        <rFont val="Noto Sans CJK SC"/>
        <color theme="1"/>
        <sz val="9.0"/>
      </rPr>
      <t>システム</t>
    </r>
    <r>
      <rPr>
        <rFont val="Noto Sans"/>
        <color theme="1"/>
        <sz val="9.0"/>
      </rPr>
      <t>15</t>
    </r>
    <r>
      <rPr>
        <rFont val="Noto Sans CJK SC"/>
        <color theme="1"/>
        <sz val="9.0"/>
      </rPr>
      <t>万等）
・</t>
    </r>
    <r>
      <rPr>
        <rFont val="Noto Sans"/>
        <color theme="1"/>
        <sz val="9.0"/>
      </rPr>
      <t>Shape</t>
    </r>
    <r>
      <rPr>
        <rFont val="Noto Sans CJK SC"/>
        <color theme="1"/>
        <sz val="9.0"/>
      </rPr>
      <t>コミュニティ初期投資
  （ロゴ</t>
    </r>
    <r>
      <rPr>
        <rFont val="Noto Sans"/>
        <color theme="1"/>
        <sz val="9.0"/>
      </rPr>
      <t>35</t>
    </r>
    <r>
      <rPr>
        <rFont val="Noto Sans CJK SC"/>
        <color theme="1"/>
        <sz val="9.0"/>
      </rPr>
      <t>万</t>
    </r>
    <r>
      <rPr>
        <rFont val="Noto Sans"/>
        <color theme="1"/>
        <sz val="9.0"/>
      </rPr>
      <t>+Discord</t>
    </r>
    <r>
      <rPr>
        <rFont val="Noto Sans CJK SC"/>
        <color theme="1"/>
        <sz val="9.0"/>
      </rPr>
      <t>設定</t>
    </r>
    <r>
      <rPr>
        <rFont val="Noto Sans"/>
        <color theme="1"/>
        <sz val="9.0"/>
      </rPr>
      <t>5</t>
    </r>
    <r>
      <rPr>
        <rFont val="Noto Sans CJK SC"/>
        <color theme="1"/>
        <sz val="9.0"/>
      </rPr>
      <t>万等）</t>
    </r>
  </si>
  <si>
    <t>50%</t>
  </si>
  <si>
    <t>非常に高</t>
  </si>
  <si>
    <r>
      <rPr>
        <rFont val="Noto Sans CJK SC"/>
        <color rgb="FF595959"/>
        <sz val="9.0"/>
      </rPr>
      <t>オフライン・コミュニティの立ち上げ費合計（</t>
    </r>
    <r>
      <rPr>
        <rFont val="Noto Sans"/>
        <color rgb="FF595959"/>
        <sz val="9.0"/>
      </rPr>
      <t>230</t>
    </r>
    <r>
      <rPr>
        <rFont val="Noto Sans CJK SC"/>
        <color rgb="FF595959"/>
        <sz val="9.0"/>
      </rPr>
      <t>〜</t>
    </r>
    <r>
      <rPr>
        <rFont val="Noto Sans"/>
        <color rgb="FF595959"/>
        <sz val="9.0"/>
      </rPr>
      <t>280</t>
    </r>
    <r>
      <rPr>
        <rFont val="Noto Sans CJK SC"/>
        <color rgb="FF595959"/>
        <sz val="9.0"/>
      </rPr>
      <t>万</t>
    </r>
    <r>
      <rPr>
        <rFont val="Noto Sans"/>
        <color rgb="FF595959"/>
        <sz val="9.0"/>
      </rPr>
      <t>+48</t>
    </r>
    <r>
      <rPr>
        <rFont val="Noto Sans CJK SC"/>
        <color rgb="FF595959"/>
        <sz val="9.0"/>
      </rPr>
      <t>〜</t>
    </r>
    <r>
      <rPr>
        <rFont val="Noto Sans"/>
        <color rgb="FF595959"/>
        <sz val="9.0"/>
      </rPr>
      <t>58</t>
    </r>
    <r>
      <rPr>
        <rFont val="Noto Sans CJK SC"/>
        <color rgb="FF595959"/>
        <sz val="9.0"/>
      </rPr>
      <t>万）の</t>
    </r>
    <r>
      <rPr>
        <rFont val="Noto Sans"/>
        <color rgb="FF595959"/>
        <sz val="9.0"/>
      </rPr>
      <t>50%</t>
    </r>
    <r>
      <rPr>
        <rFont val="Noto Sans CJK SC"/>
        <color rgb="FF595959"/>
        <sz val="9.0"/>
      </rPr>
      <t>が補助対象。ただし「新事業性」の証明が採否の分かれ目。労力に対して受給額が小さい可能性もあり、他補助金との比較検討が必要。</t>
    </r>
  </si>
  <si>
    <t>④ 小規模事業者持続化補助金</t>
  </si>
  <si>
    <r>
      <rPr>
        <rFont val="Noto Sans CJK SC"/>
        <color theme="1"/>
        <sz val="9.0"/>
      </rPr>
      <t>・</t>
    </r>
    <r>
      <rPr>
        <rFont val="Noto Sans"/>
        <color theme="1"/>
        <sz val="9.0"/>
      </rPr>
      <t>SFF LP</t>
    </r>
    <r>
      <rPr>
        <rFont val="Noto Sans CJK SC"/>
        <color theme="1"/>
        <sz val="9.0"/>
      </rPr>
      <t>・マイページ改善
・コミュニティ ロゴ・デザイン（</t>
    </r>
    <r>
      <rPr>
        <rFont val="Noto Sans"/>
        <color theme="1"/>
        <sz val="9.0"/>
      </rPr>
      <t>IDA</t>
    </r>
    <r>
      <rPr>
        <rFont val="Noto Sans CJK SC"/>
        <color theme="1"/>
        <sz val="9.0"/>
      </rPr>
      <t>委託）
・</t>
    </r>
    <r>
      <rPr>
        <rFont val="Noto Sans"/>
        <color theme="1"/>
        <sz val="9.0"/>
      </rPr>
      <t>Instagram</t>
    </r>
    <r>
      <rPr>
        <rFont val="Noto Sans CJK SC"/>
        <color theme="1"/>
        <sz val="9.0"/>
      </rPr>
      <t>広告費（</t>
    </r>
    <r>
      <rPr>
        <rFont val="Noto Sans"/>
        <color theme="1"/>
        <sz val="9.0"/>
      </rPr>
      <t>MYS</t>
    </r>
    <r>
      <rPr>
        <rFont val="Noto Sans CJK SC"/>
        <color theme="1"/>
        <sz val="9.0"/>
      </rPr>
      <t>・コミュニティ）</t>
    </r>
  </si>
  <si>
    <r>
      <rPr>
        <rFont val="Arial"/>
        <b/>
        <color rgb="FFBF8F00"/>
        <sz val="10.0"/>
      </rPr>
      <t>66%</t>
    </r>
    <r>
      <rPr>
        <rFont val="Noto Sans CJK SC"/>
        <b/>
        <color rgb="FFBF8F00"/>
        <sz val="10.0"/>
      </rPr>
      <t>（特例枠：上限</t>
    </r>
    <r>
      <rPr>
        <rFont val="Arial"/>
        <b/>
        <color rgb="FFBF8F00"/>
        <sz val="10.0"/>
      </rPr>
      <t>200</t>
    </r>
    <r>
      <rPr>
        <rFont val="Noto Sans CJK SC"/>
        <b/>
        <color rgb="FFBF8F00"/>
        <sz val="10.0"/>
      </rPr>
      <t>万円）</t>
    </r>
  </si>
  <si>
    <t>低</t>
  </si>
  <si>
    <r>
      <rPr>
        <rFont val="Noto Sans CJK SC"/>
        <color rgb="FF595959"/>
        <sz val="9.0"/>
      </rPr>
      <t>補助上限</t>
    </r>
    <r>
      <rPr>
        <rFont val="Noto Sans"/>
        <color rgb="FF595959"/>
        <sz val="9.0"/>
      </rPr>
      <t>200</t>
    </r>
    <r>
      <rPr>
        <rFont val="Noto Sans CJK SC"/>
        <color rgb="FF595959"/>
        <sz val="9.0"/>
      </rPr>
      <t>万円の特例枠に当てはまれば、</t>
    </r>
    <r>
      <rPr>
        <rFont val="Noto Sans"/>
        <color rgb="FF595959"/>
        <sz val="9.0"/>
      </rPr>
      <t>150</t>
    </r>
    <r>
      <rPr>
        <rFont val="Noto Sans CJK SC"/>
        <color rgb="FF595959"/>
        <sz val="9.0"/>
      </rPr>
      <t>万円の投資に対し約</t>
    </r>
    <r>
      <rPr>
        <rFont val="Noto Sans"/>
        <color rgb="FF595959"/>
        <sz val="9.0"/>
      </rPr>
      <t>133</t>
    </r>
    <r>
      <rPr>
        <rFont val="Noto Sans CJK SC"/>
        <color rgb="FF595959"/>
        <sz val="9.0"/>
      </rPr>
      <t>万円の補助。申請難易度が最も低く、初回申請に最適。従業員</t>
    </r>
    <r>
      <rPr>
        <rFont val="Noto Sans"/>
        <color rgb="FF595959"/>
        <sz val="9.0"/>
      </rPr>
      <t>5</t>
    </r>
    <r>
      <rPr>
        <rFont val="Noto Sans CJK SC"/>
        <color rgb="FF595959"/>
        <sz val="9.0"/>
      </rPr>
      <t>名以下の要件確認が先決。</t>
    </r>
  </si>
  <si>
    <t>⑤ スポーツ振興くじ助成</t>
  </si>
  <si>
    <r>
      <rPr>
        <rFont val="Noto Sans CJK SC"/>
        <color theme="1"/>
        <sz val="9.0"/>
      </rPr>
      <t>・</t>
    </r>
    <r>
      <rPr>
        <rFont val="Noto Sans"/>
        <color theme="1"/>
        <sz val="9.0"/>
      </rPr>
      <t>SFF2026</t>
    </r>
    <r>
      <rPr>
        <rFont val="Noto Sans CJK SC"/>
        <color theme="1"/>
        <sz val="9.0"/>
      </rPr>
      <t>大会会場費
・大会用具・備品費
・選手・審判謝金
・運営スタッフ交通費</t>
    </r>
  </si>
  <si>
    <r>
      <rPr>
        <rFont val="Arial"/>
        <b/>
        <color rgb="FFBF8F00"/>
        <sz val="10.0"/>
      </rPr>
      <t>66.6%</t>
    </r>
    <r>
      <rPr>
        <rFont val="Noto Sans CJK SC"/>
        <b/>
        <color rgb="FFBF8F00"/>
        <sz val="10.0"/>
      </rPr>
      <t>（</t>
    </r>
    <r>
      <rPr>
        <rFont val="Arial"/>
        <b/>
        <color rgb="FFBF8F00"/>
        <sz val="10.0"/>
      </rPr>
      <t>2/3</t>
    </r>
    <r>
      <rPr>
        <rFont val="Noto Sans CJK SC"/>
        <b/>
        <color rgb="FFBF8F00"/>
        <sz val="10.0"/>
      </rPr>
      <t>）</t>
    </r>
  </si>
  <si>
    <t>中</t>
  </si>
  <si>
    <r>
      <rPr>
        <rFont val="Arial"/>
        <color rgb="FF595959"/>
        <sz val="9.0"/>
      </rPr>
      <t>SFF</t>
    </r>
    <r>
      <rPr>
        <rFont val="Noto Sans CJK SC"/>
        <color rgb="FF595959"/>
        <sz val="9.0"/>
      </rPr>
      <t>大会運営費</t>
    </r>
    <r>
      <rPr>
        <rFont val="Arial"/>
        <color rgb="FF595959"/>
        <sz val="9.0"/>
      </rPr>
      <t>300</t>
    </r>
    <r>
      <rPr>
        <rFont val="Noto Sans CJK SC"/>
        <color rgb="FF595959"/>
        <sz val="9.0"/>
      </rPr>
      <t>万円の</t>
    </r>
    <r>
      <rPr>
        <rFont val="Arial"/>
        <color rgb="FF595959"/>
        <sz val="9.0"/>
      </rPr>
      <t>2/3</t>
    </r>
    <r>
      <rPr>
        <rFont val="Noto Sans CJK SC"/>
        <color rgb="FF595959"/>
        <sz val="9.0"/>
      </rPr>
      <t>＝約</t>
    </r>
    <r>
      <rPr>
        <rFont val="Arial"/>
        <color rgb="FF595959"/>
        <sz val="9.0"/>
      </rPr>
      <t>200</t>
    </r>
    <r>
      <rPr>
        <rFont val="Noto Sans CJK SC"/>
        <color rgb="FF595959"/>
        <sz val="9.0"/>
      </rPr>
      <t>万円の助成が期待できる。ただし株式会社での申請可否の確認が最優先。</t>
    </r>
    <r>
      <rPr>
        <rFont val="Arial"/>
        <color rgb="FF595959"/>
        <sz val="9.0"/>
      </rPr>
      <t>JSC</t>
    </r>
    <r>
      <rPr>
        <rFont val="Noto Sans CJK SC"/>
        <color rgb="FF595959"/>
        <sz val="9.0"/>
      </rPr>
      <t>への事前照会なしに準備を進めないこと。</t>
    </r>
  </si>
  <si>
    <t>⑥ キャリアアップ助成金</t>
  </si>
  <si>
    <r>
      <rPr>
        <rFont val="Noto Sans CJK SC"/>
        <color theme="1"/>
        <sz val="9.0"/>
      </rPr>
      <t>・</t>
    </r>
    <r>
      <rPr>
        <rFont val="Noto Sans"/>
        <color theme="1"/>
        <sz val="9.0"/>
      </rPr>
      <t>MYS</t>
    </r>
    <r>
      <rPr>
        <rFont val="Noto Sans CJK SC"/>
        <color theme="1"/>
        <sz val="9.0"/>
      </rPr>
      <t>マネージャー</t>
    </r>
    <r>
      <rPr>
        <rFont val="Noto Sans"/>
        <color theme="1"/>
        <sz val="9.0"/>
      </rPr>
      <t>3</t>
    </r>
    <r>
      <rPr>
        <rFont val="Noto Sans CJK SC"/>
        <color theme="1"/>
        <sz val="9.0"/>
      </rPr>
      <t>名の
  業務委託→正社員化</t>
    </r>
  </si>
  <si>
    <r>
      <rPr>
        <rFont val="Noto Sans CJK SC"/>
        <b/>
        <color rgb="FFBF8F00"/>
        <sz val="10.0"/>
      </rPr>
      <t>定額（</t>
    </r>
    <r>
      <rPr>
        <rFont val="Noto Sans"/>
        <b/>
        <color rgb="FFBF8F00"/>
        <sz val="10.0"/>
      </rPr>
      <t>1</t>
    </r>
    <r>
      <rPr>
        <rFont val="Noto Sans CJK SC"/>
        <b/>
        <color rgb="FFBF8F00"/>
        <sz val="10.0"/>
      </rPr>
      <t>名</t>
    </r>
    <r>
      <rPr>
        <rFont val="Noto Sans"/>
        <b/>
        <color rgb="FFBF8F00"/>
        <sz val="10.0"/>
      </rPr>
      <t>80</t>
    </r>
    <r>
      <rPr>
        <rFont val="Noto Sans CJK SC"/>
        <b/>
        <color rgb="FFBF8F00"/>
        <sz val="10.0"/>
      </rPr>
      <t>万円）</t>
    </r>
  </si>
  <si>
    <r>
      <rPr>
        <rFont val="Arial"/>
        <color rgb="FF595959"/>
        <sz val="9.0"/>
      </rPr>
      <t>3</t>
    </r>
    <r>
      <rPr>
        <rFont val="Noto Sans CJK SC"/>
        <color rgb="FF595959"/>
        <sz val="9.0"/>
      </rPr>
      <t>名正社員化で計</t>
    </r>
    <r>
      <rPr>
        <rFont val="Arial"/>
        <color rgb="FF595959"/>
        <sz val="9.0"/>
      </rPr>
      <t>240</t>
    </r>
    <r>
      <rPr>
        <rFont val="Noto Sans CJK SC"/>
        <color rgb="FF595959"/>
        <sz val="9.0"/>
      </rPr>
      <t>万円の助成。投資コスト</t>
    </r>
    <r>
      <rPr>
        <rFont val="Arial"/>
        <color rgb="FF595959"/>
        <sz val="9.0"/>
      </rPr>
      <t>0</t>
    </r>
    <r>
      <rPr>
        <rFont val="Noto Sans CJK SC"/>
        <color rgb="FF595959"/>
        <sz val="9.0"/>
      </rPr>
      <t>円（正社員化の賃上げ分は必要）。拡大期（</t>
    </r>
    <r>
      <rPr>
        <rFont val="Arial"/>
        <color rgb="FF595959"/>
        <sz val="9.0"/>
      </rPr>
      <t>MYS</t>
    </r>
    <r>
      <rPr>
        <rFont val="Noto Sans CJK SC"/>
        <color rgb="FF595959"/>
        <sz val="9.0"/>
      </rPr>
      <t>本ローンチ後）に就業規則整備とセットで実行する。</t>
    </r>
  </si>
  <si>
    <t>合計（全補助金獲得時の試算合計）</t>
  </si>
  <si>
    <t>■ 融資シミュレーション（返済義務あり ※補助金とは別管理）</t>
  </si>
  <si>
    <r>
      <rPr>
        <rFont val="Noto Sans CJK SC"/>
        <color rgb="FF000000"/>
        <sz val="10.0"/>
      </rPr>
      <t>※ 融資は全額返済義務あり。「推定融資額」は承認時の調達額目安。月次返済額は元利均等・</t>
    </r>
    <r>
      <rPr>
        <rFont val="Noto Sans"/>
        <color rgb="FF000000"/>
        <sz val="10.0"/>
      </rPr>
      <t>10</t>
    </r>
    <r>
      <rPr>
        <rFont val="Noto Sans CJK SC"/>
        <color rgb="FF000000"/>
        <sz val="10.0"/>
      </rPr>
      <t>年返済の概算。</t>
    </r>
  </si>
  <si>
    <r>
      <rPr>
        <rFont val="Noto Sans CJK SC"/>
        <b/>
        <color rgb="FFFFFFFF"/>
        <sz val="11.0"/>
      </rPr>
      <t>主な資金用途（</t>
    </r>
    <r>
      <rPr>
        <rFont val="Noto Sans"/>
        <b/>
        <color rgb="FFFFFFFF"/>
        <sz val="11.0"/>
      </rPr>
      <t>ShapeFit</t>
    </r>
    <r>
      <rPr>
        <rFont val="Noto Sans CJK SC"/>
        <b/>
        <color rgb="FFFFFFFF"/>
        <sz val="11.0"/>
      </rPr>
      <t>）</t>
    </r>
  </si>
  <si>
    <t>申請予定額（円）</t>
  </si>
  <si>
    <t>金利目安（年）</t>
  </si>
  <si>
    <t>推定融資額（円）</t>
  </si>
  <si>
    <r>
      <rPr>
        <rFont val="Noto Sans CJK SC"/>
        <b/>
        <color rgb="FFFFFFFF"/>
        <sz val="11.0"/>
      </rPr>
      <t>月次返済額目安（円）
※</t>
    </r>
    <r>
      <rPr>
        <rFont val="Noto Sans"/>
        <b/>
        <color rgb="FFFFFFFF"/>
        <sz val="11.0"/>
      </rPr>
      <t>10</t>
    </r>
    <r>
      <rPr>
        <rFont val="Noto Sans CJK SC"/>
        <b/>
        <color rgb="FFFFFFFF"/>
        <sz val="11.0"/>
      </rPr>
      <t>年・元利均等</t>
    </r>
  </si>
  <si>
    <t>審査難易度</t>
  </si>
  <si>
    <t>① 日本政策金融公庫
「新規開業・スタートアップ支援資金」</t>
  </si>
  <si>
    <r>
      <rPr>
        <rFont val="Noto Sans CJK SC"/>
        <color rgb="FF000000"/>
        <sz val="11.0"/>
      </rPr>
      <t>・</t>
    </r>
    <r>
      <rPr>
        <rFont val="Noto Sans"/>
        <color rgb="FF000000"/>
        <sz val="11.0"/>
      </rPr>
      <t>MYS</t>
    </r>
    <r>
      <rPr>
        <rFont val="Noto Sans CJK SC"/>
        <color rgb="FF000000"/>
        <sz val="11.0"/>
      </rPr>
      <t>オフライン初期投資
  （コーチ育成</t>
    </r>
    <r>
      <rPr>
        <rFont val="Noto Sans"/>
        <color rgb="FF000000"/>
        <sz val="11.0"/>
      </rPr>
      <t>+</t>
    </r>
    <r>
      <rPr>
        <rFont val="Noto Sans CJK SC"/>
        <color rgb="FF000000"/>
        <sz val="11.0"/>
      </rPr>
      <t>システム構築）
・</t>
    </r>
    <r>
      <rPr>
        <rFont val="Noto Sans"/>
        <color rgb="FF000000"/>
        <sz val="11.0"/>
      </rPr>
      <t>Shape</t>
    </r>
    <r>
      <rPr>
        <rFont val="Noto Sans CJK SC"/>
        <color rgb="FF000000"/>
        <sz val="11.0"/>
      </rPr>
      <t>コミュニティ立上費
・事業運転資金</t>
    </r>
  </si>
  <si>
    <r>
      <rPr>
        <rFont val="Noto Sans CJK SC"/>
        <color rgb="FF000000"/>
        <sz val="11.0"/>
      </rPr>
      <t>年</t>
    </r>
    <r>
      <rPr>
        <rFont val="Noto Sans"/>
        <color rgb="FF000000"/>
        <sz val="11.0"/>
      </rPr>
      <t>2.0%</t>
    </r>
    <r>
      <rPr>
        <rFont val="Noto Sans CJK SC"/>
        <color rgb="FF000000"/>
        <sz val="11.0"/>
      </rPr>
      <t>（基準利率目安）</t>
    </r>
  </si>
  <si>
    <r>
      <rPr>
        <rFont val="Noto Sans CJK SC"/>
        <color rgb="FF000000"/>
        <sz val="11.0"/>
      </rPr>
      <t>最も審査が通りやすく着金も早い（</t>
    </r>
    <r>
      <rPr>
        <rFont val="Noto Sans"/>
        <color rgb="FF000000"/>
        <sz val="11.0"/>
      </rPr>
      <t>1</t>
    </r>
    <r>
      <rPr>
        <rFont val="Noto Sans CJK SC"/>
        <color rgb="FF000000"/>
        <sz val="11.0"/>
      </rPr>
      <t>〜</t>
    </r>
    <r>
      <rPr>
        <rFont val="Noto Sans"/>
        <color rgb="FF000000"/>
        <sz val="11.0"/>
      </rPr>
      <t>2</t>
    </r>
    <r>
      <rPr>
        <rFont val="Noto Sans CJK SC"/>
        <color rgb="FF000000"/>
        <sz val="11.0"/>
      </rPr>
      <t>ヶ月）。既存の</t>
    </r>
    <r>
      <rPr>
        <rFont val="Noto Sans"/>
        <color rgb="FF000000"/>
        <sz val="11.0"/>
      </rPr>
      <t>Shape Fit</t>
    </r>
    <r>
      <rPr>
        <rFont val="Noto Sans CJK SC"/>
        <color rgb="FF000000"/>
        <sz val="11.0"/>
      </rPr>
      <t>事業実績＋</t>
    </r>
    <r>
      <rPr>
        <rFont val="Noto Sans"/>
        <color rgb="FF000000"/>
        <sz val="11.0"/>
      </rPr>
      <t>MYS</t>
    </r>
    <r>
      <rPr>
        <rFont val="Noto Sans CJK SC"/>
        <color rgb="FF000000"/>
        <sz val="11.0"/>
      </rPr>
      <t>テスト計画を事業計画書にまとめれば採択確度は高い。月次返済約</t>
    </r>
    <r>
      <rPr>
        <rFont val="Noto Sans"/>
        <color rgb="FF000000"/>
        <sz val="11.0"/>
      </rPr>
      <t>1.8</t>
    </r>
    <r>
      <rPr>
        <rFont val="Noto Sans CJK SC"/>
        <color rgb="FF000000"/>
        <sz val="11.0"/>
      </rPr>
      <t>万円（</t>
    </r>
    <r>
      <rPr>
        <rFont val="Noto Sans"/>
        <color rgb="FF000000"/>
        <sz val="11.0"/>
      </rPr>
      <t>200</t>
    </r>
    <r>
      <rPr>
        <rFont val="Noto Sans CJK SC"/>
        <color rgb="FF000000"/>
        <sz val="11.0"/>
      </rPr>
      <t>万・</t>
    </r>
    <r>
      <rPr>
        <rFont val="Noto Sans"/>
        <color rgb="FF000000"/>
        <sz val="11.0"/>
      </rPr>
      <t>2%</t>
    </r>
    <r>
      <rPr>
        <rFont val="Noto Sans CJK SC"/>
        <color rgb="FF000000"/>
        <sz val="11.0"/>
      </rPr>
      <t>・</t>
    </r>
    <r>
      <rPr>
        <rFont val="Noto Sans"/>
        <color rgb="FF000000"/>
        <sz val="11.0"/>
      </rPr>
      <t>10</t>
    </r>
    <r>
      <rPr>
        <rFont val="Noto Sans CJK SC"/>
        <color rgb="FF000000"/>
        <sz val="11.0"/>
      </rPr>
      <t>年）は現実的な水準。</t>
    </r>
  </si>
  <si>
    <r>
      <rPr>
        <rFont val="Noto Sans CJK SC"/>
        <color rgb="FF000000"/>
        <sz val="11.0"/>
      </rPr>
      <t>・</t>
    </r>
    <r>
      <rPr>
        <rFont val="Noto Sans"/>
        <color rgb="FF000000"/>
        <sz val="11.0"/>
      </rPr>
      <t>MYS</t>
    </r>
    <r>
      <rPr>
        <rFont val="Noto Sans CJK SC"/>
        <color rgb="FF000000"/>
        <sz val="11.0"/>
      </rPr>
      <t>オフライン</t>
    </r>
    <r>
      <rPr>
        <rFont val="Noto Sans"/>
        <color rgb="FF000000"/>
        <sz val="11.0"/>
      </rPr>
      <t>+</t>
    </r>
    <r>
      <rPr>
        <rFont val="Noto Sans CJK SC"/>
        <color rgb="FF000000"/>
        <sz val="11.0"/>
      </rPr>
      <t>コミュニティ初期費用
  （①の補完）
・運転資金</t>
    </r>
  </si>
  <si>
    <r>
      <rPr>
        <rFont val="Noto Sans CJK SC"/>
        <color rgb="FF000000"/>
        <sz val="11.0"/>
      </rPr>
      <t>年</t>
    </r>
    <r>
      <rPr>
        <rFont val="Noto Sans"/>
        <color rgb="FF000000"/>
        <sz val="11.0"/>
      </rPr>
      <t>1.7%</t>
    </r>
    <r>
      <rPr>
        <rFont val="Noto Sans CJK SC"/>
        <color rgb="FF000000"/>
        <sz val="11.0"/>
      </rPr>
      <t>（都補助後目安）</t>
    </r>
  </si>
  <si>
    <r>
      <rPr>
        <rFont val="Noto Sans CJK SC"/>
        <color rgb="FF000000"/>
        <sz val="11.0"/>
      </rPr>
      <t>金利が比較的低い（信用保証料込みでも年</t>
    </r>
    <r>
      <rPr>
        <rFont val="Noto Sans"/>
        <color rgb="FF000000"/>
        <sz val="11.0"/>
      </rPr>
      <t>2.2</t>
    </r>
    <r>
      <rPr>
        <rFont val="Noto Sans CJK SC"/>
        <color rgb="FF000000"/>
        <sz val="11.0"/>
      </rPr>
      <t>〜</t>
    </r>
    <r>
      <rPr>
        <rFont val="Noto Sans"/>
        <color rgb="FF000000"/>
        <sz val="11.0"/>
      </rPr>
      <t>2.5%</t>
    </r>
    <r>
      <rPr>
        <rFont val="Noto Sans CJK SC"/>
        <color rgb="FF000000"/>
        <sz val="11.0"/>
      </rPr>
      <t>程度）。商工会議所相談実績で▲</t>
    </r>
    <r>
      <rPr>
        <rFont val="Noto Sans"/>
        <color rgb="FF000000"/>
        <sz val="11.0"/>
      </rPr>
      <t>0.4%</t>
    </r>
    <r>
      <rPr>
        <rFont val="Noto Sans CJK SC"/>
        <color rgb="FF000000"/>
        <sz val="11.0"/>
      </rPr>
      <t>優遇あり。公庫と合算して最大</t>
    </r>
    <r>
      <rPr>
        <rFont val="Noto Sans"/>
        <color rgb="FF000000"/>
        <sz val="11.0"/>
      </rPr>
      <t>500</t>
    </r>
    <r>
      <rPr>
        <rFont val="Noto Sans CJK SC"/>
        <color rgb="FF000000"/>
        <sz val="11.0"/>
      </rPr>
      <t>万円の調達が可能。月次返済約</t>
    </r>
    <r>
      <rPr>
        <rFont val="Noto Sans"/>
        <color rgb="FF000000"/>
        <sz val="11.0"/>
      </rPr>
      <t>1.7</t>
    </r>
    <r>
      <rPr>
        <rFont val="Noto Sans CJK SC"/>
        <color rgb="FF000000"/>
        <sz val="11.0"/>
      </rPr>
      <t>万円（</t>
    </r>
    <r>
      <rPr>
        <rFont val="Noto Sans"/>
        <color rgb="FF000000"/>
        <sz val="11.0"/>
      </rPr>
      <t>300</t>
    </r>
    <r>
      <rPr>
        <rFont val="Noto Sans CJK SC"/>
        <color rgb="FF000000"/>
        <sz val="11.0"/>
      </rPr>
      <t>万・</t>
    </r>
    <r>
      <rPr>
        <rFont val="Noto Sans"/>
        <color rgb="FF000000"/>
        <sz val="11.0"/>
      </rPr>
      <t>1.7%</t>
    </r>
    <r>
      <rPr>
        <rFont val="Noto Sans CJK SC"/>
        <color rgb="FF000000"/>
        <sz val="11.0"/>
      </rPr>
      <t>・</t>
    </r>
    <r>
      <rPr>
        <rFont val="Noto Sans"/>
        <color rgb="FF000000"/>
        <sz val="11.0"/>
      </rPr>
      <t>10</t>
    </r>
    <r>
      <rPr>
        <rFont val="Noto Sans CJK SC"/>
        <color rgb="FF000000"/>
        <sz val="11.0"/>
      </rPr>
      <t>年）。</t>
    </r>
  </si>
  <si>
    <t>③ 信用保証協会
「創業関連保証」（補完的利用）</t>
  </si>
  <si>
    <t>・①②の上乗せ補完
・銀行取引関係の構築</t>
  </si>
  <si>
    <r>
      <rPr>
        <rFont val="Noto Sans CJK SC"/>
        <color rgb="FF000000"/>
        <sz val="11.0"/>
      </rPr>
      <t>金融機関所定</t>
    </r>
    <r>
      <rPr>
        <rFont val="Noto Sans"/>
        <color rgb="FF000000"/>
        <sz val="11.0"/>
      </rPr>
      <t>+</t>
    </r>
    <r>
      <rPr>
        <rFont val="Noto Sans CJK SC"/>
        <color rgb="FF000000"/>
        <sz val="11.0"/>
      </rPr>
      <t>保証料</t>
    </r>
  </si>
  <si>
    <t>①②で足りない場合の補完手段。単独活用より①②を先行させることを推奨。銀行融資の実績を作ることで将来のプロパー融資（無保証）へのステップになる。</t>
  </si>
  <si>
    <t>合計（全融資調達時の試算合計）</t>
  </si>
  <si>
    <r>
      <rPr>
        <rFont val="Arial"/>
        <b/>
        <color rgb="FFFFFFFF"/>
        <sz val="16.0"/>
      </rPr>
      <t xml:space="preserve">ShapeFit </t>
    </r>
    <r>
      <rPr>
        <rFont val="Noto Sans CJK SC"/>
        <b/>
        <color rgb="FFFFFFFF"/>
        <sz val="16.0"/>
      </rPr>
      <t>補助金 期待値（</t>
    </r>
    <r>
      <rPr>
        <rFont val="Arial"/>
        <b/>
        <color rgb="FFFFFFFF"/>
        <sz val="16.0"/>
      </rPr>
      <t>EV</t>
    </r>
    <r>
      <rPr>
        <rFont val="Noto Sans CJK SC"/>
        <b/>
        <color rgb="FFFFFFFF"/>
        <sz val="16.0"/>
      </rPr>
      <t>）サマリー</t>
    </r>
  </si>
  <si>
    <r>
      <rPr>
        <rFont val="Noto Sans CJK SC"/>
        <i/>
        <color rgb="FF595959"/>
        <sz val="10.0"/>
      </rPr>
      <t xml:space="preserve">期待値 ＝ 推定補助額 </t>
    </r>
    <r>
      <rPr>
        <rFont val="Noto Sans"/>
        <i/>
        <color rgb="FF595959"/>
        <sz val="10.0"/>
      </rPr>
      <t xml:space="preserve">× </t>
    </r>
    <r>
      <rPr>
        <rFont val="Noto Sans CJK SC"/>
        <i/>
        <color rgb="FF595959"/>
        <sz val="10.0"/>
      </rPr>
      <t>採択確率。各補助金の「確実性加重ベース」での資金獲得見込みを可視化します。</t>
    </r>
  </si>
  <si>
    <r>
      <rPr>
        <rFont val="Noto Sans CJK SC"/>
        <i/>
        <color rgb="FF595959"/>
        <sz val="8.0"/>
      </rPr>
      <t>【採択確率の根拠】</t>
    </r>
    <r>
      <rPr>
        <rFont val="Noto Sans"/>
        <i/>
        <color rgb="FF595959"/>
        <sz val="8.0"/>
      </rPr>
      <t>IT</t>
    </r>
    <r>
      <rPr>
        <rFont val="Noto Sans CJK SC"/>
        <i/>
        <color rgb="FF595959"/>
        <sz val="8.0"/>
      </rPr>
      <t>導入補助金：直近採択率</t>
    </r>
    <r>
      <rPr>
        <rFont val="Noto Sans"/>
        <i/>
        <color rgb="FF595959"/>
        <sz val="8.0"/>
      </rPr>
      <t>75</t>
    </r>
    <r>
      <rPr>
        <rFont val="Noto Sans CJK SC"/>
        <i/>
        <color rgb="FF595959"/>
        <sz val="8.0"/>
      </rPr>
      <t>〜</t>
    </r>
    <r>
      <rPr>
        <rFont val="Noto Sans"/>
        <i/>
        <color rgb="FF595959"/>
        <sz val="8.0"/>
      </rPr>
      <t>80%</t>
    </r>
    <r>
      <rPr>
        <rFont val="Noto Sans CJK SC"/>
        <i/>
        <color rgb="FF595959"/>
        <sz val="8.0"/>
      </rPr>
      <t>（難易度低・実績多数）　ものづくり補助金：採択率</t>
    </r>
    <r>
      <rPr>
        <rFont val="Noto Sans"/>
        <i/>
        <color rgb="FF595959"/>
        <sz val="8.0"/>
      </rPr>
      <t>35</t>
    </r>
    <r>
      <rPr>
        <rFont val="Noto Sans CJK SC"/>
        <i/>
        <color rgb="FF595959"/>
        <sz val="8.0"/>
      </rPr>
      <t>〜</t>
    </r>
    <r>
      <rPr>
        <rFont val="Noto Sans"/>
        <i/>
        <color rgb="FF595959"/>
        <sz val="8.0"/>
      </rPr>
      <t>45%</t>
    </r>
    <r>
      <rPr>
        <rFont val="Noto Sans CJK SC"/>
        <i/>
        <color rgb="FF595959"/>
        <sz val="8.0"/>
      </rPr>
      <t>（審査厳格化・革新性証明が必要）　新事業進出補助金：採択率</t>
    </r>
    <r>
      <rPr>
        <rFont val="Noto Sans"/>
        <i/>
        <color rgb="FF595959"/>
        <sz val="8.0"/>
      </rPr>
      <t>25</t>
    </r>
    <r>
      <rPr>
        <rFont val="Noto Sans CJK SC"/>
        <i/>
        <color rgb="FF595959"/>
        <sz val="8.0"/>
      </rPr>
      <t>〜</t>
    </r>
    <r>
      <rPr>
        <rFont val="Noto Sans"/>
        <i/>
        <color rgb="FF595959"/>
        <sz val="8.0"/>
      </rPr>
      <t>35%</t>
    </r>
    <r>
      <rPr>
        <rFont val="Noto Sans CJK SC"/>
        <i/>
        <color rgb="FF595959"/>
        <sz val="8.0"/>
      </rPr>
      <t>（大型・新制度）　持続化補助金：採択率</t>
    </r>
    <r>
      <rPr>
        <rFont val="Noto Sans"/>
        <i/>
        <color rgb="FF595959"/>
        <sz val="8.0"/>
      </rPr>
      <t>50</t>
    </r>
    <r>
      <rPr>
        <rFont val="Noto Sans CJK SC"/>
        <i/>
        <color rgb="FF595959"/>
        <sz val="8.0"/>
      </rPr>
      <t>〜</t>
    </r>
    <r>
      <rPr>
        <rFont val="Noto Sans"/>
        <i/>
        <color rgb="FF595959"/>
        <sz val="8.0"/>
      </rPr>
      <t>60%</t>
    </r>
    <r>
      <rPr>
        <rFont val="Noto Sans CJK SC"/>
        <i/>
        <color rgb="FF595959"/>
        <sz val="8.0"/>
      </rPr>
      <t>（申請要件を満たす前提）　スポーツ振興くじ：採択率</t>
    </r>
    <r>
      <rPr>
        <rFont val="Noto Sans"/>
        <i/>
        <color rgb="FF595959"/>
        <sz val="8.0"/>
      </rPr>
      <t>40</t>
    </r>
    <r>
      <rPr>
        <rFont val="Noto Sans CJK SC"/>
        <i/>
        <color rgb="FF595959"/>
        <sz val="8.0"/>
      </rPr>
      <t>〜</t>
    </r>
    <r>
      <rPr>
        <rFont val="Noto Sans"/>
        <i/>
        <color rgb="FF595959"/>
        <sz val="8.0"/>
      </rPr>
      <t>50%</t>
    </r>
    <r>
      <rPr>
        <rFont val="Noto Sans CJK SC"/>
        <i/>
        <color rgb="FF595959"/>
        <sz val="8.0"/>
      </rPr>
      <t>（株式会社要件確認後）　キャリアアップ助成金：採択率</t>
    </r>
    <r>
      <rPr>
        <rFont val="Noto Sans"/>
        <i/>
        <color rgb="FF595959"/>
        <sz val="8.0"/>
      </rPr>
      <t>70</t>
    </r>
    <r>
      <rPr>
        <rFont val="Noto Sans CJK SC"/>
        <i/>
        <color rgb="FF595959"/>
        <sz val="8.0"/>
      </rPr>
      <t>〜</t>
    </r>
    <r>
      <rPr>
        <rFont val="Noto Sans"/>
        <i/>
        <color rgb="FF595959"/>
        <sz val="8.0"/>
      </rPr>
      <t>80%</t>
    </r>
    <r>
      <rPr>
        <rFont val="Noto Sans CJK SC"/>
        <i/>
        <color rgb="FF595959"/>
        <sz val="8.0"/>
      </rPr>
      <t>（要件を満たせばほぼ確実）</t>
    </r>
  </si>
  <si>
    <t>推定補助額
（上限ケース）</t>
  </si>
  <si>
    <t>採択確率
（中央値）</t>
  </si>
  <si>
    <r>
      <rPr>
        <rFont val="Noto Sans CJK SC"/>
        <b/>
        <color rgb="FFFFFFFF"/>
        <sz val="9.0"/>
      </rPr>
      <t>期待値
（</t>
    </r>
    <r>
      <rPr>
        <rFont val="Noto Sans"/>
        <b/>
        <color rgb="FFFFFFFF"/>
        <sz val="9.0"/>
      </rPr>
      <t>EV</t>
    </r>
    <r>
      <rPr>
        <rFont val="Noto Sans CJK SC"/>
        <b/>
        <color rgb="FFFFFFFF"/>
        <sz val="9.0"/>
      </rPr>
      <t>）</t>
    </r>
  </si>
  <si>
    <r>
      <rPr>
        <rFont val="Noto Sans CJK SC"/>
        <b/>
        <color rgb="FFFFFFFF"/>
        <sz val="9.0"/>
      </rPr>
      <t>楽観ケース
補助額</t>
    </r>
    <r>
      <rPr>
        <rFont val="Noto Sans"/>
        <b/>
        <color rgb="FFFFFFFF"/>
        <sz val="9.0"/>
      </rPr>
      <t>×</t>
    </r>
    <r>
      <rPr>
        <rFont val="Noto Sans CJK SC"/>
        <b/>
        <color rgb="FFFFFFFF"/>
        <sz val="9.0"/>
      </rPr>
      <t>採択率高</t>
    </r>
  </si>
  <si>
    <r>
      <rPr>
        <rFont val="Noto Sans CJK SC"/>
        <b/>
        <color rgb="FFFFFFFF"/>
        <sz val="9.0"/>
      </rPr>
      <t>悲観ケース
補助額</t>
    </r>
    <r>
      <rPr>
        <rFont val="Noto Sans"/>
        <b/>
        <color rgb="FFFFFFFF"/>
        <sz val="9.0"/>
      </rPr>
      <t>×</t>
    </r>
    <r>
      <rPr>
        <rFont val="Noto Sans CJK SC"/>
        <b/>
        <color rgb="FFFFFFFF"/>
        <sz val="9.0"/>
      </rPr>
      <t>採択率低</t>
    </r>
  </si>
  <si>
    <r>
      <rPr>
        <rFont val="Arial"/>
        <b/>
        <color rgb="FFFFFFFF"/>
        <sz val="9.0"/>
      </rPr>
      <t>EV/</t>
    </r>
    <r>
      <rPr>
        <rFont val="Noto Sans CJK SC"/>
        <b/>
        <color rgb="FFFFFFFF"/>
        <sz val="9.0"/>
      </rPr>
      <t>工数
効率スコア</t>
    </r>
  </si>
  <si>
    <t>判断コメント</t>
  </si>
  <si>
    <r>
      <rPr>
        <rFont val="Arial"/>
        <b/>
        <color rgb="FFFFFFFF"/>
        <sz val="9.0"/>
      </rPr>
      <t>① IT</t>
    </r>
    <r>
      <rPr>
        <rFont val="Noto Sans CJK SC"/>
        <b/>
        <color rgb="FFFFFFFF"/>
        <sz val="9.0"/>
      </rPr>
      <t>導入補助金</t>
    </r>
  </si>
  <si>
    <t>◎ 非常に高い</t>
  </si>
  <si>
    <r>
      <rPr>
        <rFont val="Noto Sans CJK SC"/>
        <color rgb="FF333333"/>
        <sz val="9.0"/>
      </rPr>
      <t>難易度が最も低く、採択率も高い。</t>
    </r>
    <r>
      <rPr>
        <rFont val="Noto Sans"/>
        <color rgb="FF333333"/>
        <sz val="9.0"/>
      </rPr>
      <t>Salesforce</t>
    </r>
    <r>
      <rPr>
        <rFont val="Noto Sans CJK SC"/>
        <color rgb="FF333333"/>
        <sz val="9.0"/>
      </rPr>
      <t>・</t>
    </r>
    <r>
      <rPr>
        <rFont val="Noto Sans"/>
        <color rgb="FF333333"/>
        <sz val="9.0"/>
      </rPr>
      <t>UTAGE</t>
    </r>
    <r>
      <rPr>
        <rFont val="Noto Sans CJK SC"/>
        <color rgb="FF333333"/>
        <sz val="9.0"/>
      </rPr>
      <t>の契約前申請さえ守れば最も確実。工数少＆</t>
    </r>
    <r>
      <rPr>
        <rFont val="Noto Sans"/>
        <color rgb="FF333333"/>
        <sz val="9.0"/>
      </rPr>
      <t>EV</t>
    </r>
    <r>
      <rPr>
        <rFont val="Noto Sans CJK SC"/>
        <color rgb="FF333333"/>
        <sz val="9.0"/>
      </rPr>
      <t>高の最優先補助金。</t>
    </r>
  </si>
  <si>
    <t>★★ 準優先</t>
  </si>
  <si>
    <t>△ 中程度</t>
  </si>
  <si>
    <r>
      <rPr>
        <rFont val="Noto Sans CJK SC"/>
        <color rgb="FF333333"/>
        <sz val="9.0"/>
      </rPr>
      <t>採択されれば最大の補助額。ただし審査が厳しく事業計画書の質が採否を分ける。</t>
    </r>
    <r>
      <rPr>
        <rFont val="Noto Sans"/>
        <color rgb="FF333333"/>
        <sz val="9.0"/>
      </rPr>
      <t>MYS</t>
    </r>
    <r>
      <rPr>
        <rFont val="Noto Sans CJK SC"/>
        <color rgb="FF333333"/>
        <sz val="9.0"/>
      </rPr>
      <t>テスト実績（</t>
    </r>
    <r>
      <rPr>
        <rFont val="Noto Sans"/>
        <color rgb="FF333333"/>
        <sz val="9.0"/>
      </rPr>
      <t>3</t>
    </r>
    <r>
      <rPr>
        <rFont val="Noto Sans CJK SC"/>
        <color rgb="FF333333"/>
        <sz val="9.0"/>
      </rPr>
      <t>月〜）を根拠に組み込める</t>
    </r>
    <r>
      <rPr>
        <rFont val="Noto Sans"/>
        <color rgb="FF333333"/>
        <sz val="9.0"/>
      </rPr>
      <t>2026</t>
    </r>
    <r>
      <rPr>
        <rFont val="Noto Sans CJK SC"/>
        <color rgb="FF333333"/>
        <sz val="9.0"/>
      </rPr>
      <t>年秋が申請の最適タイミング。</t>
    </r>
  </si>
  <si>
    <t>③ 新事業進出補助金</t>
  </si>
  <si>
    <t>△ 条件次第</t>
  </si>
  <si>
    <t>△ 低い</t>
  </si>
  <si>
    <r>
      <rPr>
        <rFont val="Noto Sans CJK SC"/>
        <color rgb="FF333333"/>
        <sz val="9.0"/>
      </rPr>
      <t>工数対</t>
    </r>
    <r>
      <rPr>
        <rFont val="Noto Sans"/>
        <color rgb="FF333333"/>
        <sz val="9.0"/>
      </rPr>
      <t>EV</t>
    </r>
    <r>
      <rPr>
        <rFont val="Noto Sans CJK SC"/>
        <color rgb="FF333333"/>
        <sz val="9.0"/>
      </rPr>
      <t>効率が最も低い。新事業性のロジック設計が採否の鍵。他補助金との二重申請ができないため、ものづくり補助金との棲み分けを整理してから判断する。</t>
    </r>
  </si>
  <si>
    <t>④ 持続化補助金</t>
  </si>
  <si>
    <t>○ 高い</t>
  </si>
  <si>
    <r>
      <rPr>
        <rFont val="Noto Sans CJK SC"/>
        <color rgb="FF333333"/>
        <sz val="9.0"/>
      </rPr>
      <t>工数が最も少なく確実性も高い。従業員</t>
    </r>
    <r>
      <rPr>
        <rFont val="Noto Sans"/>
        <color rgb="FF333333"/>
        <sz val="9.0"/>
      </rPr>
      <t>5</t>
    </r>
    <r>
      <rPr>
        <rFont val="Noto Sans CJK SC"/>
        <color rgb="FF333333"/>
        <sz val="9.0"/>
      </rPr>
      <t>名以下の要件さえ満たせばすぐ動ける。</t>
    </r>
    <r>
      <rPr>
        <rFont val="Noto Sans"/>
        <color rgb="FF333333"/>
        <sz val="9.0"/>
      </rPr>
      <t>LP</t>
    </r>
    <r>
      <rPr>
        <rFont val="Noto Sans CJK SC"/>
        <color rgb="FF333333"/>
        <sz val="9.0"/>
      </rPr>
      <t>改善・広告費・ロゴ制作費に使えて即効性あり。</t>
    </r>
  </si>
  <si>
    <t>★ 要確認</t>
  </si>
  <si>
    <t>○ 中程度</t>
  </si>
  <si>
    <r>
      <rPr>
        <rFont val="Arial"/>
        <color rgb="FF333333"/>
        <sz val="9.0"/>
      </rPr>
      <t>JSC</t>
    </r>
    <r>
      <rPr>
        <rFont val="Noto Sans CJK SC"/>
        <color rgb="FF333333"/>
        <sz val="9.0"/>
      </rPr>
      <t>への事前照会が先決。株式会社での申請可否が確定すれば期待値は高い。</t>
    </r>
    <r>
      <rPr>
        <rFont val="Arial"/>
        <color rgb="FF333333"/>
        <sz val="9.0"/>
      </rPr>
      <t>SFF</t>
    </r>
    <r>
      <rPr>
        <rFont val="Noto Sans CJK SC"/>
        <color rgb="FF333333"/>
        <sz val="9.0"/>
      </rPr>
      <t>大会費</t>
    </r>
    <r>
      <rPr>
        <rFont val="Arial"/>
        <color rgb="FF333333"/>
        <sz val="9.0"/>
      </rPr>
      <t>300</t>
    </r>
    <r>
      <rPr>
        <rFont val="Noto Sans CJK SC"/>
        <color rgb="FF333333"/>
        <sz val="9.0"/>
      </rPr>
      <t>万円の</t>
    </r>
    <r>
      <rPr>
        <rFont val="Arial"/>
        <color rgb="FF333333"/>
        <sz val="9.0"/>
      </rPr>
      <t>2/3</t>
    </r>
    <r>
      <rPr>
        <rFont val="Noto Sans CJK SC"/>
        <color rgb="FF333333"/>
        <sz val="9.0"/>
      </rPr>
      <t>助成は財務インパクト大。</t>
    </r>
  </si>
  <si>
    <t>★ 中長期</t>
  </si>
  <si>
    <r>
      <rPr>
        <rFont val="Noto Sans CJK SC"/>
        <color rgb="FF333333"/>
        <sz val="9.0"/>
      </rPr>
      <t>要件（就業規則整備＋正社員転換）を満たせばほぼ確実に受給。拡大期にマネージャー</t>
    </r>
    <r>
      <rPr>
        <rFont val="Noto Sans"/>
        <color rgb="FF333333"/>
        <sz val="9.0"/>
      </rPr>
      <t>3</t>
    </r>
    <r>
      <rPr>
        <rFont val="Noto Sans CJK SC"/>
        <color rgb="FF333333"/>
        <sz val="9.0"/>
      </rPr>
      <t>名を正社員化する際に自動的に対象となる。今から就業規則を整備しておくことが重要。</t>
    </r>
  </si>
  <si>
    <t>合計（全件採択想定）</t>
  </si>
  <si>
    <t>■ 融資 期待値サマリー（返済義務あり ※補助金とは別管理・参考値）</t>
  </si>
  <si>
    <r>
      <rPr>
        <rFont val="Noto Sans CJK SC"/>
        <color rgb="FF000000"/>
        <sz val="10.0"/>
      </rPr>
      <t>【融資の期待値の考え方】融資は補助金と異なり全額返済が前提。ここでの「期待値（</t>
    </r>
    <r>
      <rPr>
        <rFont val="Noto Sans"/>
        <color rgb="FF000000"/>
        <sz val="10.0"/>
      </rPr>
      <t>EV</t>
    </r>
    <r>
      <rPr>
        <rFont val="Noto Sans CJK SC"/>
        <color rgb="FF000000"/>
        <sz val="10.0"/>
      </rPr>
      <t xml:space="preserve">）」は「承認確率 </t>
    </r>
    <r>
      <rPr>
        <rFont val="Noto Sans"/>
        <color rgb="FF000000"/>
        <sz val="10.0"/>
      </rPr>
      <t xml:space="preserve">× </t>
    </r>
    <r>
      <rPr>
        <rFont val="Noto Sans CJK SC"/>
        <color rgb="FF000000"/>
        <sz val="10.0"/>
      </rPr>
      <t>推定融資額」＝ 調達確実性の指標。実際の財務インパクトは金利・返済期間で別途試算する。</t>
    </r>
  </si>
  <si>
    <t>推定融資額
（申請予定額）</t>
  </si>
  <si>
    <t>承認確率
（中央値）</t>
  </si>
  <si>
    <t>① 日本政策金融公庫</t>
  </si>
  <si>
    <t>② 東京都制度融資「創業」</t>
  </si>
  <si>
    <t>③ 信用保証協会（創業関連保証）</t>
  </si>
  <si>
    <t>合計（全融資・期待値ベース）</t>
  </si>
  <si>
    <r>
      <rPr>
        <rFont val="Noto Sans CJK SC"/>
        <b/>
        <color rgb="FFFFFFFF"/>
        <sz val="12.0"/>
      </rPr>
      <t>■ 期待値（</t>
    </r>
    <r>
      <rPr>
        <rFont val="Noto Sans"/>
        <b/>
        <color rgb="FFFFFFFF"/>
        <sz val="12.0"/>
      </rPr>
      <t>EV</t>
    </r>
    <r>
      <rPr>
        <rFont val="Noto Sans CJK SC"/>
        <b/>
        <color rgb="FFFFFFFF"/>
        <sz val="12.0"/>
      </rPr>
      <t>）サマリー：意思決定のポイント</t>
    </r>
  </si>
  <si>
    <t>楽観シナリオ（全件高確率採択）</t>
  </si>
  <si>
    <t>¥10,363,400</t>
  </si>
  <si>
    <t>全補助金を最高確率で採択した場合。可能性は低いが理論的な上限値。</t>
  </si>
  <si>
    <t>標準シナリオ（期待値ベース）</t>
  </si>
  <si>
    <t>¥7,643,750</t>
  </si>
  <si>
    <t>各補助金の採択確率中央値で加重した現実的な期待値。意思決定の基準にすべき数値。</t>
  </si>
  <si>
    <t>悲観シナリオ（全件低確率採択）</t>
  </si>
  <si>
    <t>¥3,906,900</t>
  </si>
  <si>
    <t>全補助金が低確率で採択された場合。最低限確保できる水準の目安。</t>
  </si>
  <si>
    <t>【推奨】まず確実に狙う組み合わせ</t>
  </si>
  <si>
    <t>¥4,057,750</t>
  </si>
  <si>
    <r>
      <rPr>
        <rFont val="Arial"/>
        <color rgb="FF333333"/>
        <sz val="10.0"/>
      </rPr>
      <t>IT</t>
    </r>
    <r>
      <rPr>
        <rFont val="Noto Sans CJK SC"/>
        <color rgb="FF333333"/>
        <sz val="10.0"/>
      </rPr>
      <t>導入補助金（</t>
    </r>
    <r>
      <rPr>
        <rFont val="Arial"/>
        <color rgb="FF333333"/>
        <sz val="10.0"/>
      </rPr>
      <t>EV152</t>
    </r>
    <r>
      <rPr>
        <rFont val="Noto Sans CJK SC"/>
        <color rgb="FF333333"/>
        <sz val="10.0"/>
      </rPr>
      <t>万）＋持続化補助金（</t>
    </r>
    <r>
      <rPr>
        <rFont val="Arial"/>
        <color rgb="FF333333"/>
        <sz val="10.0"/>
      </rPr>
      <t>EV73</t>
    </r>
    <r>
      <rPr>
        <rFont val="Noto Sans CJK SC"/>
        <color rgb="FF333333"/>
        <sz val="10.0"/>
      </rPr>
      <t>万）＋キャリアアップ助成金（</t>
    </r>
    <r>
      <rPr>
        <rFont val="Arial"/>
        <color rgb="FF333333"/>
        <sz val="10.0"/>
      </rPr>
      <t>EV180</t>
    </r>
    <r>
      <rPr>
        <rFont val="Noto Sans CJK SC"/>
        <color rgb="FF333333"/>
        <sz val="10.0"/>
      </rPr>
      <t>万）の</t>
    </r>
    <r>
      <rPr>
        <rFont val="Arial"/>
        <color rgb="FF333333"/>
        <sz val="10.0"/>
      </rPr>
      <t>3</t>
    </r>
    <r>
      <rPr>
        <rFont val="Noto Sans CJK SC"/>
        <color rgb="FF333333"/>
        <sz val="10.0"/>
      </rPr>
      <t>本。
工数少・確実性高の組み合わせ。合計</t>
    </r>
    <r>
      <rPr>
        <rFont val="Arial"/>
        <color rgb="FF333333"/>
        <sz val="10.0"/>
      </rPr>
      <t>EV</t>
    </r>
    <r>
      <rPr>
        <rFont val="Noto Sans CJK SC"/>
        <color rgb="FF333333"/>
        <sz val="10.0"/>
      </rPr>
      <t>約</t>
    </r>
    <r>
      <rPr>
        <rFont val="Arial"/>
        <color rgb="FF333333"/>
        <sz val="10.0"/>
      </rPr>
      <t>405</t>
    </r>
    <r>
      <rPr>
        <rFont val="Noto Sans CJK SC"/>
        <color rgb="FF333333"/>
        <sz val="10.0"/>
      </rPr>
      <t>万円が最もコスパが高い。</t>
    </r>
  </si>
  <si>
    <r>
      <rPr>
        <rFont val="Arial"/>
        <b/>
        <color rgb="FFFFFFFF"/>
        <sz val="14.0"/>
      </rPr>
      <t xml:space="preserve">ShapeFit </t>
    </r>
    <r>
      <rPr>
        <rFont val="Noto Sans CJK SC"/>
        <b/>
        <color rgb="FFFFFFFF"/>
        <sz val="14.0"/>
      </rPr>
      <t>補助金申請 ガントチャート（完全版）</t>
    </r>
    <r>
      <rPr>
        <rFont val="Arial"/>
        <b/>
        <color rgb="FFFFFFFF"/>
        <sz val="14.0"/>
      </rPr>
      <t>2026.3</t>
    </r>
    <r>
      <rPr>
        <rFont val="Noto Sans CJK SC"/>
        <b/>
        <color rgb="FFFFFFFF"/>
        <sz val="14.0"/>
      </rPr>
      <t>〜</t>
    </r>
    <r>
      <rPr>
        <rFont val="Arial"/>
        <b/>
        <color rgb="FFFFFFFF"/>
        <sz val="14.0"/>
      </rPr>
      <t>2027.3</t>
    </r>
  </si>
  <si>
    <t>凡例：  🟩 準備フェーズ  🟦 申請・審査フェーズ  🟧 交付決定・実行フェーズ  🟥 報告・完了フェーズ  ⚠ 前提確認必須  ★ マイルストーン</t>
  </si>
  <si>
    <t>タスク／補助金</t>
  </si>
  <si>
    <t>カテゴリ</t>
  </si>
  <si>
    <t>担当・メモ</t>
  </si>
  <si>
    <t>ステータス</t>
  </si>
  <si>
    <t>2026/3</t>
  </si>
  <si>
    <t>2026/4</t>
  </si>
  <si>
    <t>2026/5</t>
  </si>
  <si>
    <t>2026/6</t>
  </si>
  <si>
    <t>2026/7</t>
  </si>
  <si>
    <t>2026/8</t>
  </si>
  <si>
    <t>2026/9</t>
  </si>
  <si>
    <t>2026/10</t>
  </si>
  <si>
    <t>2026/11</t>
  </si>
  <si>
    <t>2026/12</t>
  </si>
  <si>
    <t>2027/1</t>
  </si>
  <si>
    <t>2027/2</t>
  </si>
  <si>
    <t>2027/3</t>
  </si>
  <si>
    <r>
      <rPr>
        <rFont val="Arial"/>
        <b/>
        <color rgb="FFFFFFFF"/>
        <sz val="10.0"/>
      </rPr>
      <t>■ ① IT</t>
    </r>
    <r>
      <rPr>
        <rFont val="Noto Sans CJK SC"/>
        <b/>
        <color rgb="FFFFFFFF"/>
        <sz val="10.0"/>
      </rPr>
      <t>導入補助金（最優先）</t>
    </r>
  </si>
  <si>
    <r>
      <rPr>
        <rFont val="Arial"/>
        <color rgb="FF000000"/>
        <sz val="9.0"/>
      </rPr>
      <t>gBizID</t>
    </r>
    <r>
      <rPr>
        <rFont val="Noto Sans CJK SC"/>
        <color rgb="FF000000"/>
        <sz val="9.0"/>
      </rPr>
      <t>プライム 取得申請</t>
    </r>
  </si>
  <si>
    <r>
      <rPr>
        <rFont val="Arial"/>
        <color rgb="FF000000"/>
        <sz val="8.0"/>
      </rPr>
      <t>IT</t>
    </r>
    <r>
      <rPr>
        <rFont val="Noto Sans CJK SC"/>
        <color rgb="FF000000"/>
        <sz val="8.0"/>
      </rPr>
      <t>導入補助金</t>
    </r>
  </si>
  <si>
    <r>
      <rPr>
        <rFont val="Noto Sans CJK SC"/>
        <color rgb="FF000000"/>
        <sz val="8.0"/>
      </rPr>
      <t xml:space="preserve">なーすけ </t>
    </r>
    <r>
      <rPr>
        <rFont val="Noto Sans"/>
        <color rgb="FF000000"/>
        <sz val="8.0"/>
      </rPr>
      <t xml:space="preserve">or </t>
    </r>
    <r>
      <rPr>
        <rFont val="Noto Sans CJK SC"/>
        <color rgb="FF000000"/>
        <sz val="8.0"/>
      </rPr>
      <t>担当者</t>
    </r>
  </si>
  <si>
    <t>⚠ 今すぐ</t>
  </si>
  <si>
    <t>🟩 取得申請</t>
  </si>
  <si>
    <t>🟩 完了</t>
  </si>
  <si>
    <r>
      <rPr>
        <rFont val="Arial"/>
        <color rgb="FF000000"/>
        <sz val="9.0"/>
      </rPr>
      <t>Salesforce/UTAGE</t>
    </r>
    <r>
      <rPr>
        <rFont val="Noto Sans CJK SC"/>
        <color rgb="FF000000"/>
        <sz val="9.0"/>
      </rPr>
      <t>等 契約状況確認
（交付決定前の契約は全額対象外）</t>
    </r>
  </si>
  <si>
    <r>
      <rPr>
        <rFont val="Arial"/>
        <color rgb="FF000000"/>
        <sz val="8.0"/>
      </rPr>
      <t>IT</t>
    </r>
    <r>
      <rPr>
        <rFont val="Noto Sans CJK SC"/>
        <color rgb="FF000000"/>
        <sz val="8.0"/>
      </rPr>
      <t>導入補助金</t>
    </r>
  </si>
  <si>
    <t>既契約があると対象外 → 最優先で確認</t>
  </si>
  <si>
    <t>⚠ 要確認</t>
  </si>
  <si>
    <r>
      <rPr>
        <rFont val="Arial"/>
        <color rgb="FF000000"/>
        <sz val="9.0"/>
      </rPr>
      <t>IT</t>
    </r>
    <r>
      <rPr>
        <rFont val="Noto Sans CJK SC"/>
        <color rgb="FF000000"/>
        <sz val="9.0"/>
      </rPr>
      <t>導入支援事業者の選定・連携</t>
    </r>
  </si>
  <si>
    <r>
      <rPr>
        <rFont val="Arial"/>
        <color rgb="FF000000"/>
        <sz val="8.0"/>
      </rPr>
      <t>IT</t>
    </r>
    <r>
      <rPr>
        <rFont val="Noto Sans CJK SC"/>
        <color rgb="FF000000"/>
        <sz val="8.0"/>
      </rPr>
      <t>導入補助金</t>
    </r>
  </si>
  <si>
    <r>
      <rPr>
        <rFont val="Arial"/>
        <color rgb="FF000000"/>
        <sz val="8.0"/>
      </rPr>
      <t>Salesforce</t>
    </r>
    <r>
      <rPr>
        <rFont val="Noto Sans CJK SC"/>
        <color rgb="FF000000"/>
        <sz val="8.0"/>
      </rPr>
      <t xml:space="preserve">正規パートナー </t>
    </r>
    <r>
      <rPr>
        <rFont val="Arial"/>
        <color rgb="FF000000"/>
        <sz val="8.0"/>
      </rPr>
      <t>or UTAGE</t>
    </r>
    <r>
      <rPr>
        <rFont val="Noto Sans CJK SC"/>
        <color rgb="FF000000"/>
        <sz val="8.0"/>
      </rPr>
      <t>対応事業者</t>
    </r>
  </si>
  <si>
    <t>🟩 選定</t>
  </si>
  <si>
    <t>🟩 連携</t>
  </si>
  <si>
    <r>
      <rPr>
        <rFont val="Arial"/>
        <color rgb="FF000000"/>
        <sz val="9.0"/>
      </rPr>
      <t>SECURITY ACTION</t>
    </r>
    <r>
      <rPr>
        <rFont val="Noto Sans CJK SC"/>
        <color rgb="FF000000"/>
        <sz val="9.0"/>
      </rPr>
      <t>宣言・みらデジ経営チェック</t>
    </r>
  </si>
  <si>
    <r>
      <rPr>
        <rFont val="Arial"/>
        <color rgb="FF000000"/>
        <sz val="8.0"/>
      </rPr>
      <t>IT</t>
    </r>
    <r>
      <rPr>
        <rFont val="Noto Sans CJK SC"/>
        <color rgb="FF000000"/>
        <sz val="8.0"/>
      </rPr>
      <t>導入補助金</t>
    </r>
  </si>
  <si>
    <t>申請書類として必須</t>
  </si>
  <si>
    <t>今すぐ</t>
  </si>
  <si>
    <t>🟩 実施</t>
  </si>
  <si>
    <r>
      <rPr>
        <rFont val="Arial"/>
        <color rgb="FF000000"/>
        <sz val="9.0"/>
      </rPr>
      <t>IT</t>
    </r>
    <r>
      <rPr>
        <rFont val="Noto Sans CJK SC"/>
        <color rgb="FF000000"/>
        <sz val="9.0"/>
      </rPr>
      <t>導入補助金 申請書類準備・申請</t>
    </r>
  </si>
  <si>
    <r>
      <rPr>
        <rFont val="Arial"/>
        <color rgb="FF000000"/>
        <sz val="8.0"/>
      </rPr>
      <t>IT</t>
    </r>
    <r>
      <rPr>
        <rFont val="Noto Sans CJK SC"/>
        <color rgb="FF000000"/>
        <sz val="8.0"/>
      </rPr>
      <t>導入補助金</t>
    </r>
  </si>
  <si>
    <t>支援事業者と連携して提出</t>
  </si>
  <si>
    <t>🟦 準備</t>
  </si>
  <si>
    <t>🟦 申請</t>
  </si>
  <si>
    <t>★ 交付決定通知（ここまで契約禁止）</t>
  </si>
  <si>
    <r>
      <rPr>
        <rFont val="Arial"/>
        <color rgb="FF000000"/>
        <sz val="8.0"/>
      </rPr>
      <t>IT</t>
    </r>
    <r>
      <rPr>
        <rFont val="Noto Sans CJK SC"/>
        <color rgb="FF000000"/>
        <sz val="8.0"/>
      </rPr>
      <t>導入補助金</t>
    </r>
  </si>
  <si>
    <t>交付決定後にツール契約・支払いを実施</t>
  </si>
  <si>
    <t>★</t>
  </si>
  <si>
    <t>★ 交付決定見込</t>
  </si>
  <si>
    <r>
      <rPr>
        <rFont val="Arial"/>
        <color rgb="FF000000"/>
        <sz val="9.0"/>
      </rPr>
      <t>Salesforce</t>
    </r>
    <r>
      <rPr>
        <rFont val="Noto Sans CJK SC"/>
        <color rgb="FF000000"/>
        <sz val="9.0"/>
      </rPr>
      <t>・</t>
    </r>
    <r>
      <rPr>
        <rFont val="Arial"/>
        <color rgb="FF000000"/>
        <sz val="9.0"/>
      </rPr>
      <t>UTAGE</t>
    </r>
    <r>
      <rPr>
        <rFont val="Noto Sans CJK SC"/>
        <color rgb="FF000000"/>
        <sz val="9.0"/>
      </rPr>
      <t>等 契約・導入・設定</t>
    </r>
  </si>
  <si>
    <r>
      <rPr>
        <rFont val="Arial"/>
        <color rgb="FF000000"/>
        <sz val="8.0"/>
      </rPr>
      <t>IT</t>
    </r>
    <r>
      <rPr>
        <rFont val="Noto Sans CJK SC"/>
        <color rgb="FF000000"/>
        <sz val="8.0"/>
      </rPr>
      <t>導入補助金</t>
    </r>
  </si>
  <si>
    <r>
      <rPr>
        <rFont val="Arial"/>
        <color rgb="FF000000"/>
        <sz val="8.0"/>
      </rPr>
      <t>SFF</t>
    </r>
    <r>
      <rPr>
        <rFont val="Noto Sans CJK SC"/>
        <color rgb="FF000000"/>
        <sz val="8.0"/>
      </rPr>
      <t>協賛</t>
    </r>
    <r>
      <rPr>
        <rFont val="Arial"/>
        <color rgb="FF000000"/>
        <sz val="8.0"/>
      </rPr>
      <t>CRM</t>
    </r>
    <r>
      <rPr>
        <rFont val="Noto Sans CJK SC"/>
        <color rgb="FF000000"/>
        <sz val="8.0"/>
      </rPr>
      <t>・</t>
    </r>
    <r>
      <rPr>
        <rFont val="Arial"/>
        <color rgb="FF000000"/>
        <sz val="8.0"/>
      </rPr>
      <t>MYS</t>
    </r>
    <r>
      <rPr>
        <rFont val="Noto Sans CJK SC"/>
        <color rgb="FF000000"/>
        <sz val="8.0"/>
      </rPr>
      <t>受講者管理に活用</t>
    </r>
  </si>
  <si>
    <t>交付決定後</t>
  </si>
  <si>
    <t>🟧 導入・設定</t>
  </si>
  <si>
    <t>🟧 継続</t>
  </si>
  <si>
    <r>
      <rPr>
        <rFont val="Arial"/>
        <color rgb="FF000000"/>
        <sz val="9.0"/>
      </rPr>
      <t>IT</t>
    </r>
    <r>
      <rPr>
        <rFont val="Noto Sans CJK SC"/>
        <color rgb="FF000000"/>
        <sz val="9.0"/>
      </rPr>
      <t>導入補助金 実績報告・精算</t>
    </r>
  </si>
  <si>
    <r>
      <rPr>
        <rFont val="Arial"/>
        <color rgb="FF000000"/>
        <sz val="8.0"/>
      </rPr>
      <t>IT</t>
    </r>
    <r>
      <rPr>
        <rFont val="Noto Sans CJK SC"/>
        <color rgb="FF000000"/>
        <sz val="8.0"/>
      </rPr>
      <t>導入補助金</t>
    </r>
  </si>
  <si>
    <r>
      <rPr>
        <rFont val="Arial"/>
        <color rgb="FF000000"/>
        <sz val="8.0"/>
      </rPr>
      <t>KPI</t>
    </r>
    <r>
      <rPr>
        <rFont val="Noto Sans CJK SC"/>
        <color rgb="FF000000"/>
        <sz val="8.0"/>
      </rPr>
      <t>達成状況・導入効果の報告</t>
    </r>
  </si>
  <si>
    <t>🟥 実績報告</t>
  </si>
  <si>
    <t>■ ② 小規模事業者持続化補助金（準優先）</t>
  </si>
  <si>
    <r>
      <rPr>
        <rFont val="Noto Sans CJK SC"/>
        <color rgb="FF000000"/>
        <sz val="9.0"/>
      </rPr>
      <t>⚠ 常時雇用</t>
    </r>
    <r>
      <rPr>
        <rFont val="Noto Sans"/>
        <color rgb="FF000000"/>
        <sz val="9.0"/>
      </rPr>
      <t>5</t>
    </r>
    <r>
      <rPr>
        <rFont val="Noto Sans CJK SC"/>
        <color rgb="FF000000"/>
        <sz val="9.0"/>
      </rPr>
      <t>名以下の要件確認
（雇用形態・人数の整理）</t>
    </r>
  </si>
  <si>
    <t>持続化補助金</t>
  </si>
  <si>
    <t>なーすけ・かおん・鈴木さん等の雇用形態確認</t>
  </si>
  <si>
    <t>商工会議所へ相談（申請支援）</t>
  </si>
  <si>
    <t>事業計画書のアドバイスを受ける</t>
  </si>
  <si>
    <t>準優先</t>
  </si>
  <si>
    <t>🟩 相談</t>
  </si>
  <si>
    <r>
      <rPr>
        <rFont val="Noto Sans CJK SC"/>
        <color rgb="FF000000"/>
        <sz val="9.0"/>
      </rPr>
      <t>経営計画書・補助事業計画書 作成
（</t>
    </r>
    <r>
      <rPr>
        <rFont val="Noto Sans"/>
        <color rgb="FF000000"/>
        <sz val="9.0"/>
      </rPr>
      <t>LP</t>
    </r>
    <r>
      <rPr>
        <rFont val="Noto Sans CJK SC"/>
        <color rgb="FF000000"/>
        <sz val="9.0"/>
      </rPr>
      <t>改善・広告・ロゴ等の経費整理）</t>
    </r>
  </si>
  <si>
    <r>
      <rPr>
        <rFont val="Noto Sans CJK SC"/>
        <color rgb="FF000000"/>
        <sz val="8.0"/>
      </rPr>
      <t>対象経費：</t>
    </r>
    <r>
      <rPr>
        <rFont val="Noto Sans"/>
        <color rgb="FF000000"/>
        <sz val="8.0"/>
      </rPr>
      <t>SFF LP</t>
    </r>
    <r>
      <rPr>
        <rFont val="Noto Sans CJK SC"/>
        <color rgb="FF000000"/>
        <sz val="8.0"/>
      </rPr>
      <t>・広告・コミュニティロゴ</t>
    </r>
  </si>
  <si>
    <t>🟩 計画書作成</t>
  </si>
  <si>
    <t>持続化補助金 申請・採択</t>
  </si>
  <si>
    <r>
      <rPr>
        <rFont val="Noto Sans CJK SC"/>
        <color rgb="FF000000"/>
        <sz val="8.0"/>
      </rPr>
      <t>申請→採択まで約</t>
    </r>
    <r>
      <rPr>
        <rFont val="Noto Sans"/>
        <color rgb="FF000000"/>
        <sz val="8.0"/>
      </rPr>
      <t>2</t>
    </r>
    <r>
      <rPr>
        <rFont val="Noto Sans CJK SC"/>
        <color rgb="FF000000"/>
        <sz val="8.0"/>
      </rPr>
      <t>〜</t>
    </r>
    <r>
      <rPr>
        <rFont val="Noto Sans"/>
        <color rgb="FF000000"/>
        <sz val="8.0"/>
      </rPr>
      <t>3</t>
    </r>
    <r>
      <rPr>
        <rFont val="Noto Sans CJK SC"/>
        <color rgb="FF000000"/>
        <sz val="8.0"/>
      </rPr>
      <t>ヶ月</t>
    </r>
  </si>
  <si>
    <t>🟦 採択</t>
  </si>
  <si>
    <r>
      <rPr>
        <rFont val="Noto Sans CJK SC"/>
        <color rgb="FF000000"/>
        <sz val="9.0"/>
      </rPr>
      <t>対象経費の執行
（</t>
    </r>
    <r>
      <rPr>
        <rFont val="Noto Sans"/>
        <color rgb="FF000000"/>
        <sz val="9.0"/>
      </rPr>
      <t>LP</t>
    </r>
    <r>
      <rPr>
        <rFont val="Noto Sans CJK SC"/>
        <color rgb="FF000000"/>
        <sz val="9.0"/>
      </rPr>
      <t>改善・</t>
    </r>
    <r>
      <rPr>
        <rFont val="Noto Sans"/>
        <color rgb="FF000000"/>
        <sz val="9.0"/>
      </rPr>
      <t>Instagram</t>
    </r>
    <r>
      <rPr>
        <rFont val="Noto Sans CJK SC"/>
        <color rgb="FF000000"/>
        <sz val="9.0"/>
      </rPr>
      <t>広告・ロゴ制作）</t>
    </r>
  </si>
  <si>
    <r>
      <rPr>
        <rFont val="Noto Sans CJK SC"/>
        <color rgb="FF000000"/>
        <sz val="8.0"/>
      </rPr>
      <t>採択後に対象経費を実行。</t>
    </r>
    <r>
      <rPr>
        <rFont val="Noto Sans"/>
        <color rgb="FF000000"/>
        <sz val="8.0"/>
      </rPr>
      <t>IDA</t>
    </r>
    <r>
      <rPr>
        <rFont val="Noto Sans CJK SC"/>
        <color rgb="FF000000"/>
        <sz val="8.0"/>
      </rPr>
      <t>への発注はここから</t>
    </r>
  </si>
  <si>
    <t>採択後</t>
  </si>
  <si>
    <t>🟧 経費執行</t>
  </si>
  <si>
    <t>持続化補助金 実績報告・精算</t>
  </si>
  <si>
    <t>経費執行後に実績報告</t>
  </si>
  <si>
    <r>
      <rPr>
        <rFont val="Noto Sans CJK SC"/>
        <b/>
        <color rgb="FFFFFFFF"/>
        <sz val="10.0"/>
      </rPr>
      <t>■ ③ スポーツ振興くじ助成（</t>
    </r>
    <r>
      <rPr>
        <rFont val="Noto Sans"/>
        <b/>
        <color rgb="FFFFFFFF"/>
        <sz val="10.0"/>
      </rPr>
      <t>SFF2026 ※JSC</t>
    </r>
    <r>
      <rPr>
        <rFont val="Noto Sans CJK SC"/>
        <b/>
        <color rgb="FFFFFFFF"/>
        <sz val="10.0"/>
      </rPr>
      <t>照会先行）</t>
    </r>
  </si>
  <si>
    <r>
      <rPr>
        <rFont val="Arial"/>
        <color rgb="FF000000"/>
        <sz val="9.0"/>
      </rPr>
      <t>⚠ Japan Sport Council</t>
    </r>
    <r>
      <rPr>
        <rFont val="Noto Sans CJK SC"/>
        <color rgb="FF000000"/>
        <sz val="9.0"/>
      </rPr>
      <t>（</t>
    </r>
    <r>
      <rPr>
        <rFont val="Arial"/>
        <color rgb="FF000000"/>
        <sz val="9.0"/>
      </rPr>
      <t>JSC</t>
    </r>
    <r>
      <rPr>
        <rFont val="Noto Sans CJK SC"/>
        <color rgb="FF000000"/>
        <sz val="9.0"/>
      </rPr>
      <t>）へ事前照会
（株式会社での申請可否・要件確認）</t>
    </r>
  </si>
  <si>
    <t>スポーツ振興くじ</t>
  </si>
  <si>
    <t>株式会社での申請可否 → 要件確認が最優先</t>
  </si>
  <si>
    <r>
      <rPr>
        <rFont val="Arial"/>
        <b/>
        <color rgb="FFFFFFFF"/>
        <sz val="8.0"/>
      </rPr>
      <t>⚠ JSC</t>
    </r>
    <r>
      <rPr>
        <rFont val="Noto Sans CJK SC"/>
        <b/>
        <color rgb="FFFFFFFF"/>
        <sz val="8.0"/>
      </rPr>
      <t>照会</t>
    </r>
  </si>
  <si>
    <t>申請要件クリア判断・申請書類作成</t>
  </si>
  <si>
    <t>可能なら申請書・収支予算書・団体規約等作成</t>
  </si>
  <si>
    <r>
      <rPr>
        <rFont val="Arial"/>
        <color rgb="FF000000"/>
        <sz val="8.0"/>
      </rPr>
      <t>JSC</t>
    </r>
    <r>
      <rPr>
        <rFont val="Noto Sans CJK SC"/>
        <color rgb="FF000000"/>
        <sz val="8.0"/>
      </rPr>
      <t>回答後</t>
    </r>
  </si>
  <si>
    <t>🟩 書類作成</t>
  </si>
  <si>
    <t>🟩 継続</t>
  </si>
  <si>
    <t>スポーツ振興くじ助成 申請</t>
  </si>
  <si>
    <t>大会費（会場・用具・謝金）が対象経費</t>
  </si>
  <si>
    <r>
      <rPr>
        <rFont val="Arial"/>
        <color rgb="FF000000"/>
        <sz val="8.0"/>
      </rPr>
      <t>JSC</t>
    </r>
    <r>
      <rPr>
        <rFont val="Noto Sans CJK SC"/>
        <color rgb="FF000000"/>
        <sz val="8.0"/>
      </rPr>
      <t>回答後</t>
    </r>
  </si>
  <si>
    <r>
      <rPr>
        <rFont val="Arial"/>
        <color rgb="FF000000"/>
        <sz val="9.0"/>
      </rPr>
      <t xml:space="preserve">SFF2026 </t>
    </r>
    <r>
      <rPr>
        <rFont val="Noto Sans CJK SC"/>
        <color rgb="FF000000"/>
        <sz val="9.0"/>
      </rPr>
      <t>大会開催・経費執行</t>
    </r>
  </si>
  <si>
    <r>
      <rPr>
        <rFont val="Noto Sans CJK SC"/>
        <color rgb="FF000000"/>
        <sz val="8.0"/>
      </rPr>
      <t>関西大会</t>
    </r>
    <r>
      <rPr>
        <rFont val="Noto Sans"/>
        <color rgb="FF000000"/>
        <sz val="8.0"/>
      </rPr>
      <t>8/15</t>
    </r>
    <r>
      <rPr>
        <rFont val="Noto Sans CJK SC"/>
        <color rgb="FF000000"/>
        <sz val="8.0"/>
      </rPr>
      <t>〜</t>
    </r>
    <r>
      <rPr>
        <rFont val="Noto Sans"/>
        <color rgb="FF000000"/>
        <sz val="8.0"/>
      </rPr>
      <t>16</t>
    </r>
    <r>
      <rPr>
        <rFont val="Noto Sans CJK SC"/>
        <color rgb="FF000000"/>
        <sz val="8.0"/>
      </rPr>
      <t>・関東大会</t>
    </r>
    <r>
      <rPr>
        <rFont val="Noto Sans"/>
        <color rgb="FF000000"/>
        <sz val="8.0"/>
      </rPr>
      <t>9/22</t>
    </r>
    <r>
      <rPr>
        <rFont val="Noto Sans CJK SC"/>
        <color rgb="FF000000"/>
        <sz val="8.0"/>
      </rPr>
      <t>〜</t>
    </r>
    <r>
      <rPr>
        <rFont val="Noto Sans"/>
        <color rgb="FF000000"/>
        <sz val="8.0"/>
      </rPr>
      <t>23</t>
    </r>
  </si>
  <si>
    <t>★ 関西大会</t>
  </si>
  <si>
    <t>★ 関東大会</t>
  </si>
  <si>
    <t>スポーツ振興くじ助成 実績報告</t>
  </si>
  <si>
    <t>大会終了後に実績報告</t>
  </si>
  <si>
    <r>
      <rPr>
        <rFont val="Noto Sans CJK SC"/>
        <b/>
        <color rgb="FFFFFFFF"/>
        <sz val="10.0"/>
      </rPr>
      <t>■ ④ ものづくり補助金（</t>
    </r>
    <r>
      <rPr>
        <rFont val="Noto Sans"/>
        <b/>
        <color rgb="FFFFFFFF"/>
        <sz val="10.0"/>
      </rPr>
      <t>MYS</t>
    </r>
    <r>
      <rPr>
        <rFont val="Noto Sans CJK SC"/>
        <b/>
        <color rgb="FFFFFFFF"/>
        <sz val="10.0"/>
      </rPr>
      <t>オンライン開発 ※テスト実績が根拠）</t>
    </r>
  </si>
  <si>
    <r>
      <rPr>
        <rFont val="Arial"/>
        <color rgb="FF000000"/>
        <sz val="9.0"/>
      </rPr>
      <t>MYS</t>
    </r>
    <r>
      <rPr>
        <rFont val="Noto Sans CJK SC"/>
        <color rgb="FF000000"/>
        <sz val="9.0"/>
      </rPr>
      <t>オフラインテスト開始・</t>
    </r>
    <r>
      <rPr>
        <rFont val="Arial"/>
        <color rgb="FF000000"/>
        <sz val="9.0"/>
      </rPr>
      <t>KPI</t>
    </r>
    <r>
      <rPr>
        <rFont val="Noto Sans CJK SC"/>
        <color rgb="FF000000"/>
        <sz val="9.0"/>
      </rPr>
      <t>計測
（申請根拠に活用）</t>
    </r>
  </si>
  <si>
    <t>ものづくり補助金</t>
  </si>
  <si>
    <t>テスト実績が革新性の証明材料になる</t>
  </si>
  <si>
    <t>進行中</t>
  </si>
  <si>
    <t>🟩 テスト開始</t>
  </si>
  <si>
    <t>🟩 計測</t>
  </si>
  <si>
    <t>認定支援機関（税理士・診断士）の選定</t>
  </si>
  <si>
    <t>確認書が必要。早めに候補を押さえる</t>
  </si>
  <si>
    <r>
      <rPr>
        <rFont val="Arial"/>
        <color rgb="FF000000"/>
        <sz val="8.0"/>
      </rPr>
      <t>6</t>
    </r>
    <r>
      <rPr>
        <rFont val="Noto Sans CJK SC"/>
        <color rgb="FF000000"/>
        <sz val="8.0"/>
      </rPr>
      <t>月まで</t>
    </r>
  </si>
  <si>
    <t>🟩 候補選定</t>
  </si>
  <si>
    <t>🟩 連携確定</t>
  </si>
  <si>
    <r>
      <rPr>
        <rFont val="Noto Sans CJK SC"/>
        <color rgb="FF000000"/>
        <sz val="9.0"/>
      </rPr>
      <t>事業計画書 作成
（革新性・市場性・</t>
    </r>
    <r>
      <rPr>
        <rFont val="Noto Sans"/>
        <color rgb="FF000000"/>
        <sz val="9.0"/>
      </rPr>
      <t>MYS</t>
    </r>
    <r>
      <rPr>
        <rFont val="Noto Sans CJK SC"/>
        <color rgb="FF000000"/>
        <sz val="9.0"/>
      </rPr>
      <t>テスト実績の組み込み）</t>
    </r>
  </si>
  <si>
    <r>
      <rPr>
        <rFont val="Arial"/>
        <color rgb="FF000000"/>
        <sz val="8.0"/>
      </rPr>
      <t>SFF</t>
    </r>
    <r>
      <rPr>
        <rFont val="Noto Sans CJK SC"/>
        <color rgb="FF000000"/>
        <sz val="8.0"/>
      </rPr>
      <t>後に集中して作成。</t>
    </r>
    <r>
      <rPr>
        <rFont val="Arial"/>
        <color rgb="FF000000"/>
        <sz val="8.0"/>
      </rPr>
      <t>20</t>
    </r>
    <r>
      <rPr>
        <rFont val="Noto Sans CJK SC"/>
        <color rgb="FF000000"/>
        <sz val="8.0"/>
      </rPr>
      <t>頁程度</t>
    </r>
  </si>
  <si>
    <r>
      <rPr>
        <rFont val="Arial"/>
        <color rgb="FF000000"/>
        <sz val="8.0"/>
      </rPr>
      <t>SFF</t>
    </r>
    <r>
      <rPr>
        <rFont val="Noto Sans CJK SC"/>
        <color rgb="FF000000"/>
        <sz val="8.0"/>
      </rPr>
      <t>後</t>
    </r>
  </si>
  <si>
    <t>🟩 骨子作成</t>
  </si>
  <si>
    <t>🟩 作成</t>
  </si>
  <si>
    <t>🟩 仕上げ</t>
  </si>
  <si>
    <t>ものづくり補助金 申請
（公募回スケジュール確認後）</t>
  </si>
  <si>
    <r>
      <rPr>
        <rFont val="Arial"/>
        <color rgb="FF000000"/>
        <sz val="8.0"/>
      </rPr>
      <t>9</t>
    </r>
    <r>
      <rPr>
        <rFont val="Noto Sans CJK SC"/>
        <color rgb="FF000000"/>
        <sz val="8.0"/>
      </rPr>
      <t>〜</t>
    </r>
    <r>
      <rPr>
        <rFont val="Arial"/>
        <color rgb="FF000000"/>
        <sz val="8.0"/>
      </rPr>
      <t>10</t>
    </r>
    <r>
      <rPr>
        <rFont val="Noto Sans CJK SC"/>
        <color rgb="FF000000"/>
        <sz val="8.0"/>
      </rPr>
      <t>月の公募回を狙う</t>
    </r>
  </si>
  <si>
    <r>
      <rPr>
        <rFont val="Arial"/>
        <color rgb="FF000000"/>
        <sz val="8.0"/>
      </rPr>
      <t>SFF</t>
    </r>
    <r>
      <rPr>
        <rFont val="Noto Sans CJK SC"/>
        <color rgb="FF000000"/>
        <sz val="8.0"/>
      </rPr>
      <t>後</t>
    </r>
  </si>
  <si>
    <t>🟦 審査</t>
  </si>
  <si>
    <r>
      <rPr>
        <rFont val="Noto Sans CJK SC"/>
        <color rgb="FF000000"/>
        <sz val="9.0"/>
      </rPr>
      <t>★ 交付決定・</t>
    </r>
    <r>
      <rPr>
        <rFont val="Noto Sans"/>
        <color rgb="FF000000"/>
        <sz val="9.0"/>
      </rPr>
      <t>MYS</t>
    </r>
    <r>
      <rPr>
        <rFont val="Noto Sans CJK SC"/>
        <color rgb="FF000000"/>
        <sz val="9.0"/>
      </rPr>
      <t>本ローンチ対応経費の執行</t>
    </r>
  </si>
  <si>
    <r>
      <rPr>
        <rFont val="Noto Sans CJK SC"/>
        <color rgb="FF000000"/>
        <sz val="8.0"/>
      </rPr>
      <t>動画制作・</t>
    </r>
    <r>
      <rPr>
        <rFont val="Noto Sans"/>
        <color rgb="FF000000"/>
        <sz val="8.0"/>
      </rPr>
      <t>LP</t>
    </r>
    <r>
      <rPr>
        <rFont val="Noto Sans CJK SC"/>
        <color rgb="FF000000"/>
        <sz val="8.0"/>
      </rPr>
      <t>・システム等（採択後に発注）</t>
    </r>
  </si>
  <si>
    <t>ものづくり補助金 実績報告</t>
  </si>
  <si>
    <r>
      <rPr>
        <rFont val="Arial"/>
        <color rgb="FF000000"/>
        <sz val="8.0"/>
      </rPr>
      <t>MYS</t>
    </r>
    <r>
      <rPr>
        <rFont val="Noto Sans CJK SC"/>
        <color rgb="FF000000"/>
        <sz val="8.0"/>
      </rPr>
      <t>本ローンチ後の事業化実績を報告</t>
    </r>
  </si>
  <si>
    <t>🟥 報告</t>
  </si>
  <si>
    <t>■ ⑤ 中小企業新事業進出補助金（条件付き・中長期）</t>
  </si>
  <si>
    <t>新事業性ロジックの設計
（コーチング市場参入として整理）</t>
  </si>
  <si>
    <t>新事業進出補助金</t>
  </si>
  <si>
    <r>
      <rPr>
        <rFont val="Arial"/>
        <color rgb="FF000000"/>
        <sz val="8.0"/>
      </rPr>
      <t>MYS</t>
    </r>
    <r>
      <rPr>
        <rFont val="Noto Sans CJK SC"/>
        <color rgb="FF000000"/>
        <sz val="8.0"/>
      </rPr>
      <t>オフライン・コミュニティを「新事業」として定義</t>
    </r>
  </si>
  <si>
    <t>中長期</t>
  </si>
  <si>
    <t>🟩 ロジック設計</t>
  </si>
  <si>
    <t>ものづくり補助金との経費棲み分け整理</t>
  </si>
  <si>
    <t>二重申請不可のため対象経費を明確に切り分ける</t>
  </si>
  <si>
    <t>🟩 整理</t>
  </si>
  <si>
    <t>新事業進出補助金 申請検討</t>
  </si>
  <si>
    <r>
      <rPr>
        <rFont val="Arial"/>
        <color rgb="FF000000"/>
        <sz val="8.0"/>
      </rPr>
      <t>MYS</t>
    </r>
    <r>
      <rPr>
        <rFont val="Noto Sans CJK SC"/>
        <color rgb="FF000000"/>
        <sz val="8.0"/>
      </rPr>
      <t>テスト実績を根拠に条件が揃ったら申請</t>
    </r>
  </si>
  <si>
    <t>🟦 申請検討</t>
  </si>
  <si>
    <t>🟦 検討</t>
  </si>
  <si>
    <t>■ ⑥ キャリアアップ助成金（拡大期向け・中長期）</t>
  </si>
  <si>
    <t>就業規則 整備
（正社員転換規定の追加）</t>
  </si>
  <si>
    <t>キャリアアップ助成金</t>
  </si>
  <si>
    <t>正社員化の前提条件。採用開始前に必ず完了</t>
  </si>
  <si>
    <r>
      <rPr>
        <rFont val="Arial"/>
        <color rgb="FF000000"/>
        <sz val="8.0"/>
      </rPr>
      <t>10</t>
    </r>
    <r>
      <rPr>
        <rFont val="Noto Sans CJK SC"/>
        <color rgb="FF000000"/>
        <sz val="8.0"/>
      </rPr>
      <t>月まで</t>
    </r>
  </si>
  <si>
    <t>🟩 就業規則整備</t>
  </si>
  <si>
    <t>マネージャー 正社員化・助成金申請</t>
  </si>
  <si>
    <r>
      <rPr>
        <rFont val="Arial"/>
        <color rgb="FF000000"/>
        <sz val="8.0"/>
      </rPr>
      <t>MYS</t>
    </r>
    <r>
      <rPr>
        <rFont val="Noto Sans CJK SC"/>
        <color rgb="FF000000"/>
        <sz val="8.0"/>
      </rPr>
      <t>本ローンチ後の拡大期に転換。</t>
    </r>
    <r>
      <rPr>
        <rFont val="Arial"/>
        <color rgb="FF000000"/>
        <sz val="8.0"/>
      </rPr>
      <t>3</t>
    </r>
    <r>
      <rPr>
        <rFont val="Noto Sans CJK SC"/>
        <color rgb="FF000000"/>
        <sz val="8.0"/>
      </rPr>
      <t>名</t>
    </r>
    <r>
      <rPr>
        <rFont val="Arial"/>
        <color rgb="FF000000"/>
        <sz val="8.0"/>
      </rPr>
      <t>×80</t>
    </r>
    <r>
      <rPr>
        <rFont val="Noto Sans CJK SC"/>
        <color rgb="FF000000"/>
        <sz val="8.0"/>
      </rPr>
      <t>万円</t>
    </r>
  </si>
  <si>
    <t>拡大期</t>
  </si>
  <si>
    <t>🟧 正社員化</t>
  </si>
  <si>
    <t>🟦 助成金申請</t>
  </si>
  <si>
    <r>
      <rPr>
        <rFont val="Arial"/>
        <b/>
        <color rgb="FFFFFFFF"/>
        <sz val="10.0"/>
      </rPr>
      <t xml:space="preserve">■ ShapeFit </t>
    </r>
    <r>
      <rPr>
        <rFont val="Noto Sans CJK SC"/>
        <b/>
        <color rgb="FFFFFFFF"/>
        <sz val="10.0"/>
      </rPr>
      <t>主要マイルストーン</t>
    </r>
  </si>
  <si>
    <r>
      <rPr>
        <rFont val="Arial"/>
        <color rgb="FF000000"/>
        <sz val="9.0"/>
      </rPr>
      <t>★ MYS</t>
    </r>
    <r>
      <rPr>
        <rFont val="Noto Sans CJK SC"/>
        <color rgb="FF000000"/>
        <sz val="9.0"/>
      </rPr>
      <t>オフライン テスト開始（</t>
    </r>
    <r>
      <rPr>
        <rFont val="Arial"/>
        <color rgb="FF000000"/>
        <sz val="9.0"/>
      </rPr>
      <t>2</t>
    </r>
    <r>
      <rPr>
        <rFont val="Noto Sans CJK SC"/>
        <color rgb="FF000000"/>
        <sz val="9.0"/>
      </rPr>
      <t>〜</t>
    </r>
    <r>
      <rPr>
        <rFont val="Arial"/>
        <color rgb="FF000000"/>
        <sz val="9.0"/>
      </rPr>
      <t>5</t>
    </r>
    <r>
      <rPr>
        <rFont val="Noto Sans CJK SC"/>
        <color rgb="FF000000"/>
        <sz val="9.0"/>
      </rPr>
      <t>名）</t>
    </r>
  </si>
  <si>
    <t>マイルストーン</t>
  </si>
  <si>
    <t>コーチング判断基準の抽出・記録開始</t>
  </si>
  <si>
    <r>
      <rPr>
        <rFont val="Arial"/>
        <color rgb="FF000000"/>
        <sz val="8.0"/>
      </rPr>
      <t>3</t>
    </r>
    <r>
      <rPr>
        <rFont val="Noto Sans CJK SC"/>
        <color rgb="FF000000"/>
        <sz val="8.0"/>
      </rPr>
      <t>月</t>
    </r>
  </si>
  <si>
    <t>★ テスト開始</t>
  </si>
  <si>
    <r>
      <rPr>
        <rFont val="Arial"/>
        <color rgb="FF000000"/>
        <sz val="9.0"/>
      </rPr>
      <t>★ MYS</t>
    </r>
    <r>
      <rPr>
        <rFont val="Noto Sans CJK SC"/>
        <color rgb="FF000000"/>
        <sz val="9.0"/>
      </rPr>
      <t>オンライン コンセプト設計スタート</t>
    </r>
  </si>
  <si>
    <t>オフラインの知見をオンライン設計に転用</t>
  </si>
  <si>
    <r>
      <rPr>
        <rFont val="Arial"/>
        <color rgb="FF000000"/>
        <sz val="8.0"/>
      </rPr>
      <t>3</t>
    </r>
    <r>
      <rPr>
        <rFont val="Noto Sans CJK SC"/>
        <color rgb="FF000000"/>
        <sz val="8.0"/>
      </rPr>
      <t>月</t>
    </r>
  </si>
  <si>
    <t>★ 設計開始</t>
  </si>
  <si>
    <r>
      <rPr>
        <rFont val="Arial"/>
        <color rgb="FF000000"/>
        <sz val="9.0"/>
      </rPr>
      <t>★ Shape</t>
    </r>
    <r>
      <rPr>
        <rFont val="Noto Sans CJK SC"/>
        <color rgb="FF000000"/>
        <sz val="9.0"/>
      </rPr>
      <t xml:space="preserve">コミュニティ </t>
    </r>
    <r>
      <rPr>
        <rFont val="Arial"/>
        <color rgb="FF000000"/>
        <sz val="9.0"/>
      </rPr>
      <t>5</t>
    </r>
    <r>
      <rPr>
        <rFont val="Noto Sans CJK SC"/>
        <color rgb="FF000000"/>
        <sz val="9.0"/>
      </rPr>
      <t>ヶ月テスト開始</t>
    </r>
  </si>
  <si>
    <r>
      <rPr>
        <rFont val="Noto Sans CJK SC"/>
        <color rgb="FF000000"/>
        <sz val="8.0"/>
      </rPr>
      <t>既存</t>
    </r>
    <r>
      <rPr>
        <rFont val="Noto Sans"/>
        <color rgb="FF000000"/>
        <sz val="8.0"/>
      </rPr>
      <t>16</t>
    </r>
    <r>
      <rPr>
        <rFont val="Noto Sans CJK SC"/>
        <color rgb="FF000000"/>
        <sz val="8.0"/>
      </rPr>
      <t>名を対象に深化フェーズ開始</t>
    </r>
  </si>
  <si>
    <r>
      <rPr>
        <rFont val="Arial"/>
        <color rgb="FF000000"/>
        <sz val="8.0"/>
      </rPr>
      <t>4</t>
    </r>
    <r>
      <rPr>
        <rFont val="Noto Sans CJK SC"/>
        <color rgb="FF000000"/>
        <sz val="8.0"/>
      </rPr>
      <t>月</t>
    </r>
  </si>
  <si>
    <r>
      <rPr>
        <rFont val="Noto Sans CJK SC"/>
        <color rgb="FF000000"/>
        <sz val="9.0"/>
      </rPr>
      <t>★ 全選手確定・</t>
    </r>
    <r>
      <rPr>
        <rFont val="Noto Sans"/>
        <color rgb="FF000000"/>
        <sz val="9.0"/>
      </rPr>
      <t>SFF</t>
    </r>
    <r>
      <rPr>
        <rFont val="Noto Sans CJK SC"/>
        <color rgb="FF000000"/>
        <sz val="9.0"/>
      </rPr>
      <t>準備本格化</t>
    </r>
  </si>
  <si>
    <r>
      <rPr>
        <rFont val="Arial"/>
        <color rgb="FF000000"/>
        <sz val="8.0"/>
      </rPr>
      <t>5/1</t>
    </r>
    <r>
      <rPr>
        <rFont val="Noto Sans CJK SC"/>
        <color rgb="FF000000"/>
        <sz val="8.0"/>
      </rPr>
      <t>全選手確定。</t>
    </r>
    <r>
      <rPr>
        <rFont val="Arial"/>
        <color rgb="FF000000"/>
        <sz val="8.0"/>
      </rPr>
      <t>SFF</t>
    </r>
    <r>
      <rPr>
        <rFont val="Noto Sans CJK SC"/>
        <color rgb="FF000000"/>
        <sz val="8.0"/>
      </rPr>
      <t>運営準備最優先期へ</t>
    </r>
  </si>
  <si>
    <r>
      <rPr>
        <rFont val="Arial"/>
        <color rgb="FF000000"/>
        <sz val="8.0"/>
      </rPr>
      <t>5</t>
    </r>
    <r>
      <rPr>
        <rFont val="Noto Sans CJK SC"/>
        <color rgb="FF000000"/>
        <sz val="8.0"/>
      </rPr>
      <t>月</t>
    </r>
  </si>
  <si>
    <t>★ 全選手確定</t>
  </si>
  <si>
    <r>
      <rPr>
        <rFont val="Arial"/>
        <color rgb="FF000000"/>
        <sz val="9.0"/>
      </rPr>
      <t xml:space="preserve">★ SFF2026 </t>
    </r>
    <r>
      <rPr>
        <rFont val="Noto Sans CJK SC"/>
        <color rgb="FF000000"/>
        <sz val="9.0"/>
      </rPr>
      <t>関西大会（パープルホール）</t>
    </r>
  </si>
  <si>
    <r>
      <rPr>
        <rFont val="Arial"/>
        <color rgb="FF000000"/>
        <sz val="8.0"/>
      </rPr>
      <t>2026/8/15</t>
    </r>
    <r>
      <rPr>
        <rFont val="Noto Sans CJK SC"/>
        <color rgb="FF000000"/>
        <sz val="8.0"/>
      </rPr>
      <t>〜</t>
    </r>
    <r>
      <rPr>
        <rFont val="Arial"/>
        <color rgb="FF000000"/>
        <sz val="8.0"/>
      </rPr>
      <t>16</t>
    </r>
  </si>
  <si>
    <r>
      <rPr>
        <rFont val="Arial"/>
        <color rgb="FF000000"/>
        <sz val="8.0"/>
      </rPr>
      <t>8</t>
    </r>
    <r>
      <rPr>
        <rFont val="Noto Sans CJK SC"/>
        <color rgb="FF000000"/>
        <sz val="8.0"/>
      </rPr>
      <t>月</t>
    </r>
  </si>
  <si>
    <r>
      <rPr>
        <rFont val="Arial"/>
        <color rgb="FF000000"/>
        <sz val="9.0"/>
      </rPr>
      <t xml:space="preserve">★ SFF2026 </t>
    </r>
    <r>
      <rPr>
        <rFont val="Noto Sans CJK SC"/>
        <color rgb="FF000000"/>
        <sz val="9.0"/>
      </rPr>
      <t>関東大会（ひらしん平塚）</t>
    </r>
  </si>
  <si>
    <r>
      <rPr>
        <rFont val="Arial"/>
        <color rgb="FF000000"/>
        <sz val="8.0"/>
      </rPr>
      <t>2026/9/22</t>
    </r>
    <r>
      <rPr>
        <rFont val="Noto Sans CJK SC"/>
        <color rgb="FF000000"/>
        <sz val="8.0"/>
      </rPr>
      <t>〜</t>
    </r>
    <r>
      <rPr>
        <rFont val="Arial"/>
        <color rgb="FF000000"/>
        <sz val="8.0"/>
      </rPr>
      <t>23</t>
    </r>
  </si>
  <si>
    <r>
      <rPr>
        <rFont val="Arial"/>
        <color rgb="FF000000"/>
        <sz val="8.0"/>
      </rPr>
      <t>9</t>
    </r>
    <r>
      <rPr>
        <rFont val="Noto Sans CJK SC"/>
        <color rgb="FF000000"/>
        <sz val="8.0"/>
      </rPr>
      <t>月</t>
    </r>
  </si>
  <si>
    <r>
      <rPr>
        <rFont val="Noto Sans CJK SC"/>
        <color rgb="FF000000"/>
        <sz val="9.0"/>
      </rPr>
      <t>★ 全事業 本格化フェーズへ移行
（</t>
    </r>
    <r>
      <rPr>
        <rFont val="Noto Sans"/>
        <color rgb="FF000000"/>
        <sz val="9.0"/>
      </rPr>
      <t>MYS</t>
    </r>
    <r>
      <rPr>
        <rFont val="Noto Sans CJK SC"/>
        <color rgb="FF000000"/>
        <sz val="9.0"/>
      </rPr>
      <t>オンライン・コミュニティ有料化・オフライン正式設計）</t>
    </r>
  </si>
  <si>
    <r>
      <rPr>
        <rFont val="Arial"/>
        <color rgb="FF000000"/>
        <sz val="8.0"/>
      </rPr>
      <t>SFF</t>
    </r>
    <r>
      <rPr>
        <rFont val="Noto Sans CJK SC"/>
        <color rgb="FF000000"/>
        <sz val="8.0"/>
      </rPr>
      <t>後の</t>
    </r>
    <r>
      <rPr>
        <rFont val="Arial"/>
        <color rgb="FF000000"/>
        <sz val="8.0"/>
      </rPr>
      <t>Go/No-Go</t>
    </r>
    <r>
      <rPr>
        <rFont val="Noto Sans CJK SC"/>
        <color rgb="FF000000"/>
        <sz val="8.0"/>
      </rPr>
      <t>判断完了後に全事業同時移行</t>
    </r>
  </si>
  <si>
    <r>
      <rPr>
        <rFont val="Arial"/>
        <color rgb="FF000000"/>
        <sz val="8.0"/>
      </rPr>
      <t>10</t>
    </r>
    <r>
      <rPr>
        <rFont val="Noto Sans CJK SC"/>
        <color rgb="FF000000"/>
        <sz val="8.0"/>
      </rPr>
      <t>月</t>
    </r>
  </si>
  <si>
    <t>★ 全事業移行</t>
  </si>
  <si>
    <r>
      <rPr>
        <rFont val="Arial"/>
        <color rgb="FF000000"/>
        <sz val="9.0"/>
      </rPr>
      <t>★ MYS</t>
    </r>
    <r>
      <rPr>
        <rFont val="Noto Sans CJK SC"/>
        <color rgb="FF000000"/>
        <sz val="9.0"/>
      </rPr>
      <t>本ローンチ（</t>
    </r>
    <r>
      <rPr>
        <rFont val="Arial"/>
        <color rgb="FF000000"/>
        <sz val="9.0"/>
      </rPr>
      <t>3</t>
    </r>
    <r>
      <rPr>
        <rFont val="Noto Sans CJK SC"/>
        <color rgb="FF000000"/>
        <sz val="9.0"/>
      </rPr>
      <t>プラン構成・広告本格投下）</t>
    </r>
  </si>
  <si>
    <r>
      <rPr>
        <rFont val="Arial"/>
        <color rgb="FF000000"/>
        <sz val="8.0"/>
      </rPr>
      <t>2027</t>
    </r>
    <r>
      <rPr>
        <rFont val="Noto Sans CJK SC"/>
        <color rgb="FF000000"/>
        <sz val="8.0"/>
      </rPr>
      <t>年〜 オンライン＋オフライン連動で正式展開</t>
    </r>
  </si>
  <si>
    <r>
      <rPr>
        <rFont val="Arial"/>
        <color rgb="FF000000"/>
        <sz val="8.0"/>
      </rPr>
      <t>2027</t>
    </r>
    <r>
      <rPr>
        <rFont val="Noto Sans CJK SC"/>
        <color rgb="FF000000"/>
        <sz val="8.0"/>
      </rPr>
      <t>年〜</t>
    </r>
  </si>
  <si>
    <t>★ 本ローンチ</t>
  </si>
  <si>
    <t>■ 融資（日本政策金融公庫・東京都制度融資）</t>
  </si>
  <si>
    <t>事業計画書（融資申請用）作成
（公庫・補助金共用の品質で作成）</t>
  </si>
  <si>
    <t>融資</t>
  </si>
  <si>
    <t>なーすけ＋担当税理士</t>
  </si>
  <si>
    <t>🟩 作成開始</t>
  </si>
  <si>
    <t>🟩 完成</t>
  </si>
  <si>
    <t>日本政策金融公庫 窓口相談・申請</t>
  </si>
  <si>
    <t>なーすけ（スタートアップサポートプラザ活用）</t>
  </si>
  <si>
    <t>🟦 相談</t>
  </si>
  <si>
    <t>★ 公庫 融資決定・資金受取</t>
  </si>
  <si>
    <r>
      <rPr>
        <rFont val="Noto Sans"/>
        <color rgb="FF000000"/>
        <sz val="8.0"/>
      </rPr>
      <t>200</t>
    </r>
    <r>
      <rPr>
        <rFont val="Noto Sans CJK SC"/>
        <color rgb="FF000000"/>
        <sz val="8.0"/>
      </rPr>
      <t>万円目安。</t>
    </r>
    <r>
      <rPr>
        <rFont val="Noto Sans"/>
        <color rgb="FF000000"/>
        <sz val="8.0"/>
      </rPr>
      <t>MYS</t>
    </r>
    <r>
      <rPr>
        <rFont val="Noto Sans CJK SC"/>
        <color rgb="FF000000"/>
        <sz val="8.0"/>
      </rPr>
      <t>オフライン初期投資・運転資金に充当</t>
    </r>
  </si>
  <si>
    <t>★ 融資実行</t>
  </si>
  <si>
    <t>東京都制度融資「創業」申請
（商工会議所相談→金融機関経由）</t>
  </si>
  <si>
    <r>
      <rPr>
        <rFont val="Noto Sans CJK SC"/>
        <color rgb="FF000000"/>
        <sz val="8.0"/>
      </rPr>
      <t>公庫と並行または補完。</t>
    </r>
    <r>
      <rPr>
        <rFont val="Noto Sans"/>
        <color rgb="FF000000"/>
        <sz val="8.0"/>
      </rPr>
      <t>300</t>
    </r>
    <r>
      <rPr>
        <rFont val="Noto Sans CJK SC"/>
        <color rgb="FF000000"/>
        <sz val="8.0"/>
      </rPr>
      <t>万円目安</t>
    </r>
  </si>
  <si>
    <t>🟩 商工会相談</t>
  </si>
  <si>
    <t>★ 都制度融資 決定・資金受取</t>
  </si>
  <si>
    <r>
      <rPr>
        <rFont val="Noto Sans CJK SC"/>
        <color rgb="FF000000"/>
        <sz val="8.0"/>
      </rPr>
      <t>公庫と合算で最大</t>
    </r>
    <r>
      <rPr>
        <rFont val="Noto Sans"/>
        <color rgb="FF000000"/>
        <sz val="8.0"/>
      </rPr>
      <t>500</t>
    </r>
    <r>
      <rPr>
        <rFont val="Noto Sans CJK SC"/>
        <color rgb="FF000000"/>
        <sz val="8.0"/>
      </rPr>
      <t>万円。</t>
    </r>
    <r>
      <rPr>
        <rFont val="Noto Sans"/>
        <color rgb="FF000000"/>
        <sz val="8.0"/>
      </rPr>
      <t>MYS</t>
    </r>
    <r>
      <rPr>
        <rFont val="Noto Sans CJK SC"/>
        <color rgb="FF000000"/>
        <sz val="8.0"/>
      </rPr>
      <t>オフライン正式展開資金に充当</t>
    </r>
  </si>
  <si>
    <t>融資返済管理（月次）</t>
  </si>
  <si>
    <r>
      <rPr>
        <rFont val="Noto Sans CJK SC"/>
        <color rgb="FF000000"/>
        <sz val="8.0"/>
      </rPr>
      <t>合計月次返済約</t>
    </r>
    <r>
      <rPr>
        <rFont val="Noto Sans"/>
        <color rgb="FF000000"/>
        <sz val="8.0"/>
      </rPr>
      <t>3.5</t>
    </r>
    <r>
      <rPr>
        <rFont val="Noto Sans CJK SC"/>
        <color rgb="FF000000"/>
        <sz val="8.0"/>
      </rPr>
      <t>万円（公庫</t>
    </r>
    <r>
      <rPr>
        <rFont val="Noto Sans"/>
        <color rgb="FF000000"/>
        <sz val="8.0"/>
      </rPr>
      <t>200</t>
    </r>
    <r>
      <rPr>
        <rFont val="Noto Sans CJK SC"/>
        <color rgb="FF000000"/>
        <sz val="8.0"/>
      </rPr>
      <t>万</t>
    </r>
    <r>
      <rPr>
        <rFont val="Noto Sans"/>
        <color rgb="FF000000"/>
        <sz val="8.0"/>
      </rPr>
      <t>+</t>
    </r>
    <r>
      <rPr>
        <rFont val="Noto Sans CJK SC"/>
        <color rgb="FF000000"/>
        <sz val="8.0"/>
      </rPr>
      <t>都制度</t>
    </r>
    <r>
      <rPr>
        <rFont val="Noto Sans"/>
        <color rgb="FF000000"/>
        <sz val="8.0"/>
      </rPr>
      <t>300</t>
    </r>
    <r>
      <rPr>
        <rFont val="Noto Sans CJK SC"/>
        <color rgb="FF000000"/>
        <sz val="8.0"/>
      </rPr>
      <t>万・各</t>
    </r>
    <r>
      <rPr>
        <rFont val="Noto Sans"/>
        <color rgb="FF000000"/>
        <sz val="8.0"/>
      </rPr>
      <t>10</t>
    </r>
    <r>
      <rPr>
        <rFont val="Noto Sans CJK SC"/>
        <color rgb="FF000000"/>
        <sz val="8.0"/>
      </rPr>
      <t>年返済）</t>
    </r>
  </si>
  <si>
    <t>継続</t>
  </si>
  <si>
    <t>🟧 返済継続</t>
  </si>
  <si>
    <r>
      <rPr>
        <rFont val="Arial"/>
        <b/>
        <color rgb="FFFFFFFF"/>
        <sz val="13.0"/>
      </rPr>
      <t xml:space="preserve">ShapeFit </t>
    </r>
    <r>
      <rPr>
        <rFont val="Noto Sans CJK SC"/>
        <b/>
        <color rgb="FFFFFFFF"/>
        <sz val="13.0"/>
      </rPr>
      <t>補助金申請 前提条件チェックリスト（申請可否を左右する確認事項）</t>
    </r>
  </si>
  <si>
    <t>⚠ 赤色の前提条件は「これが揃わないと申請自体が不成立」になる絶対条件。今すぐ確認してください。</t>
  </si>
  <si>
    <t>#</t>
  </si>
  <si>
    <t>前提条件（確認すべき内容）</t>
  </si>
  <si>
    <t>紐づく補助金</t>
  </si>
  <si>
    <t>確認方法・担当</t>
  </si>
  <si>
    <t>確認期限</t>
  </si>
  <si>
    <t>クリアしないとどうなるか（リスク）</t>
  </si>
  <si>
    <t>確認ステータス</t>
  </si>
  <si>
    <t>A-1</t>
  </si>
  <si>
    <r>
      <rPr>
        <rFont val="Arial"/>
        <color rgb="FF000000"/>
        <sz val="9.0"/>
      </rPr>
      <t>Salesforce</t>
    </r>
    <r>
      <rPr>
        <rFont val="Noto Sans CJK SC"/>
        <color rgb="FF000000"/>
        <sz val="9.0"/>
      </rPr>
      <t>・</t>
    </r>
    <r>
      <rPr>
        <rFont val="Arial"/>
        <color rgb="FF000000"/>
        <sz val="9.0"/>
      </rPr>
      <t>UTAGE</t>
    </r>
    <r>
      <rPr>
        <rFont val="Noto Sans CJK SC"/>
        <color rgb="FF000000"/>
        <sz val="9.0"/>
      </rPr>
      <t>・デザイン会社（</t>
    </r>
    <r>
      <rPr>
        <rFont val="Arial"/>
        <color rgb="FF000000"/>
        <sz val="9.0"/>
      </rPr>
      <t>IDA</t>
    </r>
    <r>
      <rPr>
        <rFont val="Noto Sans CJK SC"/>
        <color rgb="FF000000"/>
        <sz val="9.0"/>
      </rPr>
      <t>）等への
契約・発注がすでに済んでいないか</t>
    </r>
  </si>
  <si>
    <r>
      <rPr>
        <rFont val="Arial"/>
        <color rgb="FF1A3C5E"/>
        <sz val="8.0"/>
      </rPr>
      <t>① IT</t>
    </r>
    <r>
      <rPr>
        <rFont val="Noto Sans CJK SC"/>
        <color rgb="FF1A3C5E"/>
        <sz val="8.0"/>
      </rPr>
      <t>導入補助金
④ 持続化補助金</t>
    </r>
  </si>
  <si>
    <t>🔴 絶対条件</t>
  </si>
  <si>
    <t>なーすけ・担当者が
契約書・請求書を確認</t>
  </si>
  <si>
    <r>
      <rPr>
        <rFont val="Noto Sans CJK SC"/>
        <b/>
        <color rgb="FF000000"/>
        <sz val="8.0"/>
      </rPr>
      <t>今すぐ（</t>
    </r>
    <r>
      <rPr>
        <rFont val="Noto Sans"/>
        <b/>
        <color rgb="FF000000"/>
        <sz val="8.0"/>
      </rPr>
      <t>3</t>
    </r>
    <r>
      <rPr>
        <rFont val="Noto Sans CJK SC"/>
        <b/>
        <color rgb="FF000000"/>
        <sz val="8.0"/>
      </rPr>
      <t>月中）</t>
    </r>
  </si>
  <si>
    <r>
      <rPr>
        <rFont val="Noto Sans CJK SC"/>
        <color rgb="FF000000"/>
        <sz val="8.0"/>
      </rPr>
      <t>交付決定前に</t>
    </r>
    <r>
      <rPr>
        <rFont val="Noto Sans"/>
        <color rgb="FF000000"/>
        <sz val="8.0"/>
      </rPr>
      <t>1</t>
    </r>
    <r>
      <rPr>
        <rFont val="Noto Sans CJK SC"/>
        <color rgb="FF000000"/>
        <sz val="8.0"/>
      </rPr>
      <t>円でも支払が発生していると
対象ツール全額が補助対象外になる。
申請そのものが無意味になる最大リスク。</t>
    </r>
  </si>
  <si>
    <t>□ 未確認</t>
  </si>
  <si>
    <t>A-2</t>
  </si>
  <si>
    <t>gBizIDプライムを取得済みか
（未取得の場合は申請不可）</t>
  </si>
  <si>
    <r>
      <rPr>
        <rFont val="Arial"/>
        <color rgb="FF1A3C5E"/>
        <sz val="8.0"/>
      </rPr>
      <t>① IT</t>
    </r>
    <r>
      <rPr>
        <rFont val="Noto Sans CJK SC"/>
        <color rgb="FF1A3C5E"/>
        <sz val="8.0"/>
      </rPr>
      <t>導入補助金</t>
    </r>
  </si>
  <si>
    <r>
      <rPr>
        <rFont val="Arial"/>
        <color rgb="FF000000"/>
        <sz val="8.0"/>
      </rPr>
      <t>G</t>
    </r>
    <r>
      <rPr>
        <rFont val="Noto Sans CJK SC"/>
        <color rgb="FF000000"/>
        <sz val="8.0"/>
      </rPr>
      <t>ビズ</t>
    </r>
    <r>
      <rPr>
        <rFont val="Arial"/>
        <color rgb="FF000000"/>
        <sz val="8.0"/>
      </rPr>
      <t>ID</t>
    </r>
    <r>
      <rPr>
        <rFont val="Noto Sans CJK SC"/>
        <color rgb="FF000000"/>
        <sz val="8.0"/>
      </rPr>
      <t>サイトで申請
（郵便到着まで</t>
    </r>
    <r>
      <rPr>
        <rFont val="Arial"/>
        <color rgb="FF000000"/>
        <sz val="8.0"/>
      </rPr>
      <t>2</t>
    </r>
    <r>
      <rPr>
        <rFont val="Noto Sans CJK SC"/>
        <color rgb="FF000000"/>
        <sz val="8.0"/>
      </rPr>
      <t>〜</t>
    </r>
    <r>
      <rPr>
        <rFont val="Arial"/>
        <color rgb="FF000000"/>
        <sz val="8.0"/>
      </rPr>
      <t>3</t>
    </r>
    <r>
      <rPr>
        <rFont val="Noto Sans CJK SC"/>
        <color rgb="FF000000"/>
        <sz val="8.0"/>
      </rPr>
      <t>週間）</t>
    </r>
  </si>
  <si>
    <r>
      <rPr>
        <rFont val="Noto Sans CJK SC"/>
        <b/>
        <color rgb="FF000000"/>
        <sz val="8.0"/>
      </rPr>
      <t>今すぐ（</t>
    </r>
    <r>
      <rPr>
        <rFont val="Noto Sans"/>
        <b/>
        <color rgb="FF000000"/>
        <sz val="8.0"/>
      </rPr>
      <t>3</t>
    </r>
    <r>
      <rPr>
        <rFont val="Noto Sans CJK SC"/>
        <b/>
        <color rgb="FF000000"/>
        <sz val="8.0"/>
      </rPr>
      <t>月中）</t>
    </r>
  </si>
  <si>
    <r>
      <rPr>
        <rFont val="Arial"/>
        <color rgb="FF000000"/>
        <sz val="8.0"/>
      </rPr>
      <t>gBizID</t>
    </r>
    <r>
      <rPr>
        <rFont val="Noto Sans CJK SC"/>
        <color rgb="FF000000"/>
        <sz val="8.0"/>
      </rPr>
      <t>なしでは</t>
    </r>
    <r>
      <rPr>
        <rFont val="Arial"/>
        <color rgb="FF000000"/>
        <sz val="8.0"/>
      </rPr>
      <t>IT</t>
    </r>
    <r>
      <rPr>
        <rFont val="Noto Sans CJK SC"/>
        <color rgb="FF000000"/>
        <sz val="8.0"/>
      </rPr>
      <t>導入補助金の
申請フォームにアクセス不可。
取得に時間がかかるため最優先。</t>
    </r>
  </si>
  <si>
    <t>A-3</t>
  </si>
  <si>
    <r>
      <rPr>
        <rFont val="Noto Sans CJK SC"/>
        <color rgb="FF000000"/>
        <sz val="9.0"/>
      </rPr>
      <t>常時雇用従業員が</t>
    </r>
    <r>
      <rPr>
        <rFont val="Noto Sans"/>
        <color rgb="FF000000"/>
        <sz val="9.0"/>
      </rPr>
      <t>5</t>
    </r>
    <r>
      <rPr>
        <rFont val="Noto Sans CJK SC"/>
        <color rgb="FF000000"/>
        <sz val="9.0"/>
      </rPr>
      <t>名以下か
（なーすけ・かおん・鈴木さん等の
雇用形態と人数を整理）</t>
    </r>
  </si>
  <si>
    <t>雇用契約書・給与明細で
「雇用か業務委託か」を確認</t>
  </si>
  <si>
    <r>
      <rPr>
        <rFont val="Noto Sans CJK SC"/>
        <b/>
        <color rgb="FF000000"/>
        <sz val="8.0"/>
      </rPr>
      <t>今すぐ（</t>
    </r>
    <r>
      <rPr>
        <rFont val="Noto Sans"/>
        <b/>
        <color rgb="FF000000"/>
        <sz val="8.0"/>
      </rPr>
      <t>3</t>
    </r>
    <r>
      <rPr>
        <rFont val="Noto Sans CJK SC"/>
        <b/>
        <color rgb="FF000000"/>
        <sz val="8.0"/>
      </rPr>
      <t>月中）</t>
    </r>
  </si>
  <si>
    <r>
      <rPr>
        <rFont val="Noto Sans CJK SC"/>
        <color rgb="FF000000"/>
        <sz val="8.0"/>
      </rPr>
      <t>サービス業で</t>
    </r>
    <r>
      <rPr>
        <rFont val="Noto Sans"/>
        <color rgb="FF000000"/>
        <sz val="8.0"/>
      </rPr>
      <t>6</t>
    </r>
    <r>
      <rPr>
        <rFont val="Noto Sans CJK SC"/>
        <color rgb="FF000000"/>
        <sz val="8.0"/>
      </rPr>
      <t>名以上の常時雇用がいると
持続化補助金の申請資格なし。
業務委託は人数に含まれない点も要注意。</t>
    </r>
  </si>
  <si>
    <t>A-4</t>
  </si>
  <si>
    <r>
      <rPr>
        <rFont val="Noto Sans CJK SC"/>
        <color rgb="FF000000"/>
        <sz val="9.0"/>
      </rPr>
      <t>株式会社（</t>
    </r>
    <r>
      <rPr>
        <rFont val="Noto Sans"/>
        <color rgb="FF000000"/>
        <sz val="9.0"/>
      </rPr>
      <t>Shape Fit</t>
    </r>
    <r>
      <rPr>
        <rFont val="Noto Sans CJK SC"/>
        <color rgb="FF000000"/>
        <sz val="9.0"/>
      </rPr>
      <t xml:space="preserve">）として
</t>
    </r>
    <r>
      <rPr>
        <rFont val="Noto Sans"/>
        <color rgb="FF000000"/>
        <sz val="9.0"/>
      </rPr>
      <t>Japan Sport Council</t>
    </r>
    <r>
      <rPr>
        <rFont val="Noto Sans CJK SC"/>
        <color rgb="FF000000"/>
        <sz val="9.0"/>
      </rPr>
      <t>への助成申請が
可能かどうか</t>
    </r>
  </si>
  <si>
    <r>
      <rPr>
        <rFont val="Arial"/>
        <color rgb="FF000000"/>
        <sz val="8.0"/>
      </rPr>
      <t>JSC</t>
    </r>
    <r>
      <rPr>
        <rFont val="Noto Sans CJK SC"/>
        <color rgb="FF000000"/>
        <sz val="8.0"/>
      </rPr>
      <t>に電話・メールで
事前照会（公式</t>
    </r>
    <r>
      <rPr>
        <rFont val="Arial"/>
        <color rgb="FF000000"/>
        <sz val="8.0"/>
      </rPr>
      <t>Q&amp;A</t>
    </r>
    <r>
      <rPr>
        <rFont val="Noto Sans CJK SC"/>
        <color rgb="FF000000"/>
        <sz val="8.0"/>
      </rPr>
      <t>確認）</t>
    </r>
  </si>
  <si>
    <r>
      <rPr>
        <rFont val="Noto Sans CJK SC"/>
        <b/>
        <color rgb="FF000000"/>
        <sz val="8.0"/>
      </rPr>
      <t>今すぐ（</t>
    </r>
    <r>
      <rPr>
        <rFont val="Noto Sans"/>
        <b/>
        <color rgb="FF000000"/>
        <sz val="8.0"/>
      </rPr>
      <t>3</t>
    </r>
    <r>
      <rPr>
        <rFont val="Noto Sans CJK SC"/>
        <b/>
        <color rgb="FF000000"/>
        <sz val="8.0"/>
      </rPr>
      <t>月中）</t>
    </r>
  </si>
  <si>
    <t>申請主体が「スポーツ団体」であることが
原則要件。株式会社で不可の場合は
一般社団法人化や共催組織の検討が必要。</t>
  </si>
  <si>
    <t>B-1</t>
  </si>
  <si>
    <r>
      <rPr>
        <rFont val="Arial"/>
        <color rgb="FF000000"/>
        <sz val="9.0"/>
      </rPr>
      <t>IT</t>
    </r>
    <r>
      <rPr>
        <rFont val="Noto Sans CJK SC"/>
        <color rgb="FF000000"/>
        <sz val="9.0"/>
      </rPr>
      <t xml:space="preserve">導入支援事業者（登録事業者）が
</t>
    </r>
    <r>
      <rPr>
        <rFont val="Arial"/>
        <color rgb="FF000000"/>
        <sz val="9.0"/>
      </rPr>
      <t>Salesforce/UTAGE</t>
    </r>
    <r>
      <rPr>
        <rFont val="Noto Sans CJK SC"/>
        <color rgb="FF000000"/>
        <sz val="9.0"/>
      </rPr>
      <t>に対応しているか</t>
    </r>
  </si>
  <si>
    <r>
      <rPr>
        <rFont val="Arial"/>
        <color rgb="FF1A3C5E"/>
        <sz val="8.0"/>
      </rPr>
      <t>① IT</t>
    </r>
    <r>
      <rPr>
        <rFont val="Noto Sans CJK SC"/>
        <color rgb="FF1A3C5E"/>
        <sz val="8.0"/>
      </rPr>
      <t>導入補助金</t>
    </r>
  </si>
  <si>
    <t>🟠 重要条件</t>
  </si>
  <si>
    <r>
      <rPr>
        <rFont val="Arial"/>
        <color rgb="FF000000"/>
        <sz val="8.0"/>
      </rPr>
      <t>IT</t>
    </r>
    <r>
      <rPr>
        <rFont val="Noto Sans CJK SC"/>
        <color rgb="FF000000"/>
        <sz val="8.0"/>
      </rPr>
      <t>導入補助金事務局の
登録支援事業者リストで確認</t>
    </r>
  </si>
  <si>
    <r>
      <rPr>
        <rFont val="Arial"/>
        <color rgb="FF000000"/>
        <sz val="8.0"/>
      </rPr>
      <t>4</t>
    </r>
    <r>
      <rPr>
        <rFont val="Noto Sans CJK SC"/>
        <color rgb="FF000000"/>
        <sz val="8.0"/>
      </rPr>
      <t>月中</t>
    </r>
  </si>
  <si>
    <t>事務局登録のない事業者との契約では
補助対象ツールとして認定されない。
事業者との合意書が申請書類に必須。</t>
  </si>
  <si>
    <t>B-2</t>
  </si>
  <si>
    <r>
      <rPr>
        <rFont val="Arial"/>
        <color rgb="FF000000"/>
        <sz val="9.0"/>
      </rPr>
      <t>SECURITY ACTION</t>
    </r>
    <r>
      <rPr>
        <rFont val="Noto Sans CJK SC"/>
        <color rgb="FF000000"/>
        <sz val="9.0"/>
      </rPr>
      <t>宣言を
実施しているか</t>
    </r>
  </si>
  <si>
    <r>
      <rPr>
        <rFont val="Arial"/>
        <color rgb="FF1A3C5E"/>
        <sz val="8.0"/>
      </rPr>
      <t>① IT</t>
    </r>
    <r>
      <rPr>
        <rFont val="Noto Sans CJK SC"/>
        <color rgb="FF1A3C5E"/>
        <sz val="8.0"/>
      </rPr>
      <t>導入補助金</t>
    </r>
  </si>
  <si>
    <r>
      <rPr>
        <rFont val="Arial"/>
        <color rgb="FF000000"/>
        <sz val="8.0"/>
      </rPr>
      <t>IPA</t>
    </r>
    <r>
      <rPr>
        <rFont val="Noto Sans CJK SC"/>
        <color rgb="FF000000"/>
        <sz val="8.0"/>
      </rPr>
      <t>（情報処理推進機構）サイトで
宣言（無料・即日可能）</t>
    </r>
  </si>
  <si>
    <r>
      <rPr>
        <rFont val="Arial"/>
        <color rgb="FF000000"/>
        <sz val="8.0"/>
      </rPr>
      <t>4</t>
    </r>
    <r>
      <rPr>
        <rFont val="Noto Sans CJK SC"/>
        <color rgb="FF000000"/>
        <sz val="8.0"/>
      </rPr>
      <t>月中</t>
    </r>
  </si>
  <si>
    <t>申請の必須要件。未宣言では
申請書類が不備扱いとなる。</t>
  </si>
  <si>
    <t>B-3</t>
  </si>
  <si>
    <t>みらデジ経営チェックを
実施しているか</t>
  </si>
  <si>
    <r>
      <rPr>
        <rFont val="Arial"/>
        <color rgb="FF1A3C5E"/>
        <sz val="8.0"/>
      </rPr>
      <t>① IT</t>
    </r>
    <r>
      <rPr>
        <rFont val="Noto Sans CJK SC"/>
        <color rgb="FF1A3C5E"/>
        <sz val="8.0"/>
      </rPr>
      <t>導入補助金</t>
    </r>
  </si>
  <si>
    <t>みらデジポータルサイトで
経営チェック実施（無料）</t>
  </si>
  <si>
    <r>
      <rPr>
        <rFont val="Arial"/>
        <color rgb="FF000000"/>
        <sz val="8.0"/>
      </rPr>
      <t>4</t>
    </r>
    <r>
      <rPr>
        <rFont val="Noto Sans CJK SC"/>
        <color rgb="FF000000"/>
        <sz val="8.0"/>
      </rPr>
      <t>月中</t>
    </r>
  </si>
  <si>
    <r>
      <rPr>
        <rFont val="Noto Sans CJK SC"/>
        <color rgb="FF000000"/>
        <sz val="8.0"/>
      </rPr>
      <t xml:space="preserve">申請書類として提出が必要。
</t>
    </r>
    <r>
      <rPr>
        <rFont val="Noto Sans"/>
        <color rgb="FF000000"/>
        <sz val="8.0"/>
      </rPr>
      <t>10</t>
    </r>
    <r>
      <rPr>
        <rFont val="Noto Sans CJK SC"/>
        <color rgb="FF000000"/>
        <sz val="8.0"/>
      </rPr>
      <t>〜</t>
    </r>
    <r>
      <rPr>
        <rFont val="Noto Sans"/>
        <color rgb="FF000000"/>
        <sz val="8.0"/>
      </rPr>
      <t>15</t>
    </r>
    <r>
      <rPr>
        <rFont val="Noto Sans CJK SC"/>
        <color rgb="FF000000"/>
        <sz val="8.0"/>
      </rPr>
      <t>分程度で完了する。</t>
    </r>
  </si>
  <si>
    <t>B-4</t>
  </si>
  <si>
    <t>認定支援機関（税理士・中小企業診断士）
とのコネクションがあるか</t>
  </si>
  <si>
    <t>③ ものづくり補助金
⑤ 新事業進出補助金</t>
  </si>
  <si>
    <t>顧問税理士に確認、または
中小企業診断士を新規探索</t>
  </si>
  <si>
    <r>
      <rPr>
        <rFont val="Arial"/>
        <color rgb="FF000000"/>
        <sz val="8.0"/>
      </rPr>
      <t>6</t>
    </r>
    <r>
      <rPr>
        <rFont val="Noto Sans CJK SC"/>
        <color rgb="FF000000"/>
        <sz val="8.0"/>
      </rPr>
      <t>月中</t>
    </r>
  </si>
  <si>
    <t>確認書がないと申請不可。
事業計画書作成も支援してもらえるため
早めに確保することが戦略的に重要。</t>
  </si>
  <si>
    <t>B-5</t>
  </si>
  <si>
    <t>ものづくり補助金・新事業進出補助金の
対象経費が重複していないか
（二重申請は不可）</t>
  </si>
  <si>
    <t>事業計画書の対象経費一覧を
両補助金で照合・切り分け</t>
  </si>
  <si>
    <r>
      <rPr>
        <rFont val="Arial"/>
        <color rgb="FF000000"/>
        <sz val="8.0"/>
      </rPr>
      <t>9</t>
    </r>
    <r>
      <rPr>
        <rFont val="Noto Sans CJK SC"/>
        <color rgb="FF000000"/>
        <sz val="8.0"/>
      </rPr>
      <t>月中（申請前）</t>
    </r>
  </si>
  <si>
    <t>同一投資に複数補助金を申請すると
両方とも不採択になるリスクがある。
経費の棲み分けを書面で整理しておくこと。</t>
  </si>
  <si>
    <t>B-6</t>
  </si>
  <si>
    <t>就業規則に「正社員転換規定」が
明記されているか</t>
  </si>
  <si>
    <t>就業規則を確認。なければ
社労士に依頼して追記</t>
  </si>
  <si>
    <r>
      <rPr>
        <rFont val="Arial"/>
        <color rgb="FF000000"/>
        <sz val="8.0"/>
      </rPr>
      <t>10</t>
    </r>
    <r>
      <rPr>
        <rFont val="Noto Sans CJK SC"/>
        <color rgb="FF000000"/>
        <sz val="8.0"/>
      </rPr>
      <t>月中（採用前）</t>
    </r>
  </si>
  <si>
    <t>転換規定がないままマネージャーを
正社員化しても助成金申請不可。
採用開始前に規則整備が必要。</t>
  </si>
  <si>
    <t>C-1</t>
  </si>
  <si>
    <r>
      <rPr>
        <rFont val="Arial"/>
        <color rgb="FF000000"/>
        <sz val="9.0"/>
      </rPr>
      <t>MYS</t>
    </r>
    <r>
      <rPr>
        <rFont val="Noto Sans CJK SC"/>
        <color rgb="FF000000"/>
        <sz val="9.0"/>
      </rPr>
      <t>オフラインのテスト結果（</t>
    </r>
    <r>
      <rPr>
        <rFont val="Arial"/>
        <color rgb="FF000000"/>
        <sz val="9.0"/>
      </rPr>
      <t>KPI</t>
    </r>
    <r>
      <rPr>
        <rFont val="Noto Sans CJK SC"/>
        <color rgb="FF000000"/>
        <sz val="9.0"/>
      </rPr>
      <t>）が
ものづくり補助金の申請根拠として
使えるレベルで記録されているか</t>
    </r>
  </si>
  <si>
    <t>③ ものづくり補助金</t>
  </si>
  <si>
    <t>🟡 確認推奨</t>
  </si>
  <si>
    <r>
      <rPr>
        <rFont val="Noto Sans CJK SC"/>
        <color rgb="FF000000"/>
        <sz val="8.0"/>
      </rPr>
      <t xml:space="preserve">セッション録音・議事メモ・
</t>
    </r>
    <r>
      <rPr>
        <rFont val="Noto Sans"/>
        <color rgb="FF000000"/>
        <sz val="8.0"/>
      </rPr>
      <t>KPI</t>
    </r>
    <r>
      <rPr>
        <rFont val="Noto Sans CJK SC"/>
        <color rgb="FF000000"/>
        <sz val="8.0"/>
      </rPr>
      <t>数値を定期的に</t>
    </r>
    <r>
      <rPr>
        <rFont val="Noto Sans"/>
        <color rgb="FF000000"/>
        <sz val="8.0"/>
      </rPr>
      <t>Notion</t>
    </r>
    <r>
      <rPr>
        <rFont val="Noto Sans CJK SC"/>
        <color rgb="FF000000"/>
        <sz val="8.0"/>
      </rPr>
      <t>に蓄積</t>
    </r>
  </si>
  <si>
    <r>
      <rPr>
        <rFont val="Arial"/>
        <color rgb="FF000000"/>
        <sz val="8.0"/>
      </rPr>
      <t>9</t>
    </r>
    <r>
      <rPr>
        <rFont val="Noto Sans CJK SC"/>
        <color rgb="FF000000"/>
        <sz val="8.0"/>
      </rPr>
      <t>月（申請前まで）</t>
    </r>
  </si>
  <si>
    <t>革新性の証明に実績データが不可欠。
「やった」だけでなく「数値化された変化」
がないと審査で弱くなる。</t>
  </si>
  <si>
    <t>C-2</t>
  </si>
  <si>
    <r>
      <rPr>
        <rFont val="Arial"/>
        <color rgb="FF000000"/>
        <sz val="9.0"/>
      </rPr>
      <t>SFF</t>
    </r>
    <r>
      <rPr>
        <rFont val="Noto Sans CJK SC"/>
        <color rgb="FF000000"/>
        <sz val="9.0"/>
      </rPr>
      <t xml:space="preserve">が「スポーツ競技大会」として
</t>
    </r>
    <r>
      <rPr>
        <rFont val="Arial"/>
        <color rgb="FF000000"/>
        <sz val="9.0"/>
      </rPr>
      <t>JSC</t>
    </r>
    <r>
      <rPr>
        <rFont val="Noto Sans CJK SC"/>
        <color rgb="FF000000"/>
        <sz val="9.0"/>
      </rPr>
      <t>に認定されるか
（大会種目・形式の要件確認）</t>
    </r>
  </si>
  <si>
    <r>
      <rPr>
        <rFont val="Arial"/>
        <color rgb="FF000000"/>
        <sz val="8.0"/>
      </rPr>
      <t>JSC</t>
    </r>
    <r>
      <rPr>
        <rFont val="Noto Sans CJK SC"/>
        <color rgb="FF000000"/>
        <sz val="8.0"/>
      </rPr>
      <t>事前照会時に大会概要も
説明し、対象可否を確認</t>
    </r>
  </si>
  <si>
    <r>
      <rPr>
        <rFont val="Arial"/>
        <color rgb="FF000000"/>
        <sz val="8.0"/>
      </rPr>
      <t>3</t>
    </r>
    <r>
      <rPr>
        <rFont val="Noto Sans CJK SC"/>
        <color rgb="FF000000"/>
        <sz val="8.0"/>
      </rPr>
      <t>〜</t>
    </r>
    <r>
      <rPr>
        <rFont val="Arial"/>
        <color rgb="FF000000"/>
        <sz val="8.0"/>
      </rPr>
      <t>4</t>
    </r>
    <r>
      <rPr>
        <rFont val="Noto Sans CJK SC"/>
        <color rgb="FF000000"/>
        <sz val="8.0"/>
      </rPr>
      <t>月（</t>
    </r>
    <r>
      <rPr>
        <rFont val="Arial"/>
        <color rgb="FF000000"/>
        <sz val="8.0"/>
      </rPr>
      <t>JSC</t>
    </r>
    <r>
      <rPr>
        <rFont val="Noto Sans CJK SC"/>
        <color rgb="FF000000"/>
        <sz val="8.0"/>
      </rPr>
      <t>回答後）</t>
    </r>
  </si>
  <si>
    <t>大会形式が要件を満たさないと
申請対象にならない。
要件によっては種目・カテゴリの
表現方法を調整する必要がある。</t>
  </si>
  <si>
    <t>C-3</t>
  </si>
  <si>
    <r>
      <rPr>
        <rFont val="Arial"/>
        <color rgb="FF000000"/>
        <sz val="9.0"/>
      </rPr>
      <t>MYS</t>
    </r>
    <r>
      <rPr>
        <rFont val="Noto Sans CJK SC"/>
        <color rgb="FF000000"/>
        <sz val="9.0"/>
      </rPr>
      <t>オンラインのテスト規模が
「</t>
    </r>
    <r>
      <rPr>
        <rFont val="Arial"/>
        <color rgb="FF000000"/>
        <sz val="9.0"/>
      </rPr>
      <t>10</t>
    </r>
    <r>
      <rPr>
        <rFont val="Noto Sans CJK SC"/>
        <color rgb="FF000000"/>
        <sz val="9.0"/>
      </rPr>
      <t>〜</t>
    </r>
    <r>
      <rPr>
        <rFont val="Arial"/>
        <color rgb="FF000000"/>
        <sz val="9.0"/>
      </rPr>
      <t>20</t>
    </r>
    <r>
      <rPr>
        <rFont val="Noto Sans CJK SC"/>
        <color rgb="FF000000"/>
        <sz val="9.0"/>
      </rPr>
      <t>名」か「</t>
    </r>
    <r>
      <rPr>
        <rFont val="Arial"/>
        <color rgb="FF000000"/>
        <sz val="9.0"/>
      </rPr>
      <t>30</t>
    </r>
    <r>
      <rPr>
        <rFont val="Noto Sans CJK SC"/>
        <color rgb="FF000000"/>
        <sz val="9.0"/>
      </rPr>
      <t>〜</t>
    </r>
    <r>
      <rPr>
        <rFont val="Arial"/>
        <color rgb="FF000000"/>
        <sz val="9.0"/>
      </rPr>
      <t>50</t>
    </r>
    <r>
      <rPr>
        <rFont val="Noto Sans CJK SC"/>
        <color rgb="FF000000"/>
        <sz val="9.0"/>
      </rPr>
      <t>名」か
（補助金申請書類の記載と整合させる）</t>
    </r>
  </si>
  <si>
    <t>事業計画書の記載と
実態を一致させる</t>
  </si>
  <si>
    <r>
      <rPr>
        <rFont val="Noto Sans CJK SC"/>
        <color rgb="FF000000"/>
        <sz val="8.0"/>
      </rPr>
      <t>申請前（</t>
    </r>
    <r>
      <rPr>
        <rFont val="Noto Sans"/>
        <color rgb="FF000000"/>
        <sz val="8.0"/>
      </rPr>
      <t>9</t>
    </r>
    <r>
      <rPr>
        <rFont val="Noto Sans CJK SC"/>
        <color rgb="FF000000"/>
        <sz val="8.0"/>
      </rPr>
      <t>月）</t>
    </r>
  </si>
  <si>
    <t>ガントチャートと事業シートで
数値がずれていると審査で整合性が
問われる。事前に社内で認識統一を。</t>
  </si>
  <si>
    <t>C-4</t>
  </si>
  <si>
    <r>
      <rPr>
        <rFont val="Arial"/>
        <color rgb="FF000000"/>
        <sz val="9.0"/>
      </rPr>
      <t>Shape</t>
    </r>
    <r>
      <rPr>
        <rFont val="Noto Sans CJK SC"/>
        <color rgb="FF000000"/>
        <sz val="9.0"/>
      </rPr>
      <t>コミュニティの</t>
    </r>
    <r>
      <rPr>
        <rFont val="Arial"/>
        <color rgb="FF000000"/>
        <sz val="9.0"/>
      </rPr>
      <t>IDA</t>
    </r>
    <r>
      <rPr>
        <rFont val="Noto Sans CJK SC"/>
        <color rgb="FF000000"/>
        <sz val="9.0"/>
      </rPr>
      <t>発注（ロゴ制作）
のタイミングが持続化補助金の
採択後になっているか</t>
    </r>
  </si>
  <si>
    <t>発注スケジュールを
補助金採択予定日と照合</t>
  </si>
  <si>
    <r>
      <rPr>
        <rFont val="Arial"/>
        <color rgb="FF000000"/>
        <sz val="8.0"/>
      </rPr>
      <t>5</t>
    </r>
    <r>
      <rPr>
        <rFont val="Noto Sans CJK SC"/>
        <color rgb="FF000000"/>
        <sz val="8.0"/>
      </rPr>
      <t>月（申請前）</t>
    </r>
  </si>
  <si>
    <r>
      <rPr>
        <rFont val="Noto Sans CJK SC"/>
        <color rgb="FF000000"/>
        <sz val="8.0"/>
      </rPr>
      <t>テスト期</t>
    </r>
    <r>
      <rPr>
        <rFont val="Noto Sans"/>
        <color rgb="FF000000"/>
        <sz val="8.0"/>
      </rPr>
      <t>Month3</t>
    </r>
    <r>
      <rPr>
        <rFont val="Noto Sans CJK SC"/>
        <color rgb="FF000000"/>
        <sz val="8.0"/>
      </rPr>
      <t>〜</t>
    </r>
    <r>
      <rPr>
        <rFont val="Noto Sans"/>
        <color rgb="FF000000"/>
        <sz val="8.0"/>
      </rPr>
      <t>4</t>
    </r>
    <r>
      <rPr>
        <rFont val="Noto Sans CJK SC"/>
        <color rgb="FF000000"/>
        <sz val="8.0"/>
      </rPr>
      <t>でロゴ制作着手が
計画されているが、補助金申請が先。
採択（</t>
    </r>
    <r>
      <rPr>
        <rFont val="Noto Sans"/>
        <color rgb="FF000000"/>
        <sz val="8.0"/>
      </rPr>
      <t>7</t>
    </r>
    <r>
      <rPr>
        <rFont val="Noto Sans CJK SC"/>
        <color rgb="FF000000"/>
        <sz val="8.0"/>
      </rPr>
      <t>月見込み）前に発注すると
補助対象外になる。</t>
    </r>
  </si>
  <si>
    <r>
      <rPr>
        <rFont val="Noto Sans CJK SC"/>
        <color rgb="FF444444"/>
        <sz val="8.0"/>
      </rPr>
      <t xml:space="preserve">凡例：  🔴 絶対条件 </t>
    </r>
    <r>
      <rPr>
        <rFont val="Noto Sans"/>
        <color rgb="FF444444"/>
        <sz val="8.0"/>
      </rPr>
      <t xml:space="preserve">= </t>
    </r>
    <r>
      <rPr>
        <rFont val="Noto Sans CJK SC"/>
        <color rgb="FF444444"/>
        <sz val="8.0"/>
      </rPr>
      <t xml:space="preserve">これが揃わないと申請資格なし  🟠 重要条件 </t>
    </r>
    <r>
      <rPr>
        <rFont val="Noto Sans"/>
        <color rgb="FF444444"/>
        <sz val="8.0"/>
      </rPr>
      <t xml:space="preserve">= </t>
    </r>
    <r>
      <rPr>
        <rFont val="Noto Sans CJK SC"/>
        <color rgb="FF444444"/>
        <sz val="8.0"/>
      </rPr>
      <t xml:space="preserve">不備だと採択率が大幅低下  🟡 確認推奨 </t>
    </r>
    <r>
      <rPr>
        <rFont val="Noto Sans"/>
        <color rgb="FF444444"/>
        <sz val="8.0"/>
      </rPr>
      <t xml:space="preserve">= </t>
    </r>
    <r>
      <rPr>
        <rFont val="Noto Sans CJK SC"/>
        <color rgb="FF444444"/>
        <sz val="8.0"/>
      </rPr>
      <t>クリアすると申請精度が上がる</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</si>
</sst>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67">
    <font>
      <sz val="11.0"/>
      <color theme="1"/>
      <name val="Calibri"/>
      <scheme val="minor"/>
    </font>
    <font>
      <b/>
      <sz val="16.0"/>
      <color rgb="FFFFFFFF"/>
      <name val="Arial"/>
    </font>
    <font/>
    <font>
      <sz val="10.0"/>
      <color rgb="FF595959"/>
      <name val="Noto Sans"/>
    </font>
    <font>
      <sz val="11.0"/>
      <color theme="1"/>
      <name val="Calibri"/>
    </font>
    <font>
      <b/>
      <sz val="11.0"/>
      <color rgb="FFFFFFFF"/>
      <name val="Noto Sans"/>
    </font>
    <font>
      <b/>
      <sz val="11.0"/>
      <color rgb="FFFFFFFF"/>
      <name val="Arial"/>
    </font>
    <font>
      <b/>
      <u/>
      <sz val="10.0"/>
      <color rgb="FF0000FF"/>
      <name val="Arial"/>
    </font>
    <font>
      <sz val="9.0"/>
      <color rgb="FF000000"/>
      <name val="Noto Sans"/>
    </font>
    <font>
      <sz val="9.0"/>
      <color rgb="FF000000"/>
      <name val="Arial"/>
    </font>
    <font>
      <b/>
      <sz val="14.0"/>
      <color rgb="FFFFFFFF"/>
      <name val="Arial"/>
    </font>
    <font>
      <b/>
      <sz val="10.0"/>
      <color rgb="FFFFFFFF"/>
      <name val="Noto Sans"/>
    </font>
    <font>
      <b/>
      <u/>
      <sz val="10.0"/>
      <color rgb="FF0000FF"/>
      <name val="Noto Sans"/>
    </font>
    <font>
      <b/>
      <u/>
      <sz val="10.0"/>
      <color rgb="FFFFFFFF"/>
      <name val="Noto Sans"/>
    </font>
    <font>
      <i/>
      <sz val="9.0"/>
      <color rgb="FF595959"/>
      <name val="Noto Sans"/>
    </font>
    <font>
      <b/>
      <sz val="12.0"/>
      <color rgb="FFFFFFFF"/>
      <name val="Noto Sans"/>
    </font>
    <font>
      <sz val="10.0"/>
      <color rgb="FF000000"/>
      <name val="Arial"/>
    </font>
    <font>
      <sz val="10.0"/>
      <color rgb="FF000000"/>
      <name val="Noto Sans"/>
    </font>
    <font>
      <b/>
      <sz val="16.0"/>
      <color rgb="FFFFFFFF"/>
      <name val="Noto Sans"/>
    </font>
    <font>
      <b/>
      <sz val="9.0"/>
      <color rgb="FFFFFFFF"/>
      <name val="Noto Sans"/>
    </font>
    <font>
      <b/>
      <sz val="9.0"/>
      <color rgb="FF000000"/>
      <name val="Noto Sans"/>
    </font>
    <font>
      <b/>
      <sz val="9.0"/>
      <color rgb="FF375623"/>
      <name val="Noto Sans"/>
    </font>
    <font>
      <b/>
      <sz val="9.0"/>
      <color rgb="FFBF8F00"/>
      <name val="Noto Sans"/>
    </font>
    <font>
      <b/>
      <sz val="10.0"/>
      <color rgb="FF000000"/>
      <name val="Noto Sans"/>
    </font>
    <font>
      <b/>
      <sz val="15.0"/>
      <color rgb="FFFFFFFF"/>
      <name val="Arial"/>
    </font>
    <font>
      <b/>
      <sz val="10.0"/>
      <color rgb="FFFFFFFF"/>
      <name val="Arial"/>
    </font>
    <font>
      <sz val="9.0"/>
      <color theme="1"/>
      <name val="Noto Sans"/>
    </font>
    <font>
      <b/>
      <sz val="11.0"/>
      <color rgb="FF0070C0"/>
      <name val="Arial"/>
    </font>
    <font>
      <b/>
      <sz val="10.0"/>
      <color rgb="FFBF8F00"/>
      <name val="Arial"/>
    </font>
    <font>
      <b/>
      <sz val="12.0"/>
      <color rgb="FF375623"/>
      <name val="Arial"/>
    </font>
    <font>
      <b/>
      <sz val="11.0"/>
      <color rgb="FFC00000"/>
      <name val="Arial"/>
    </font>
    <font>
      <sz val="9.0"/>
      <color rgb="FF595959"/>
      <name val="Noto Sans"/>
    </font>
    <font>
      <sz val="9.0"/>
      <color rgb="FF595959"/>
      <name val="Arial"/>
    </font>
    <font>
      <b/>
      <sz val="10.0"/>
      <color rgb="FFBF8F00"/>
      <name val="Noto Sans"/>
    </font>
    <font>
      <b/>
      <sz val="13.0"/>
      <color rgb="FFFFFFFF"/>
      <name val="Arial"/>
    </font>
    <font>
      <sz val="11.0"/>
      <color rgb="FF000000"/>
      <name val="Noto Sans"/>
    </font>
    <font>
      <b/>
      <sz val="11.0"/>
      <color rgb="FF000000"/>
      <name val="Noto Sans"/>
    </font>
    <font>
      <i/>
      <sz val="10.0"/>
      <color rgb="FF595959"/>
      <name val="Noto Sans"/>
    </font>
    <font>
      <i/>
      <sz val="8.0"/>
      <color rgb="FF595959"/>
      <name val="Noto Sans"/>
    </font>
    <font>
      <b/>
      <sz val="9.0"/>
      <color rgb="FFFFFFFF"/>
      <name val="Arial"/>
    </font>
    <font>
      <b/>
      <sz val="12.0"/>
      <color rgb="FFBF8F00"/>
      <name val="Arial"/>
    </font>
    <font>
      <b/>
      <sz val="13.0"/>
      <color rgb="FF375623"/>
      <name val="Arial"/>
    </font>
    <font>
      <sz val="10.0"/>
      <color rgb="FF375623"/>
      <name val="Arial"/>
    </font>
    <font>
      <sz val="10.0"/>
      <color rgb="FFC00000"/>
      <name val="Arial"/>
    </font>
    <font>
      <b/>
      <sz val="9.0"/>
      <color rgb="FF595959"/>
      <name val="Noto Sans"/>
    </font>
    <font>
      <sz val="9.0"/>
      <color rgb="FF333333"/>
      <name val="Noto Sans"/>
    </font>
    <font>
      <sz val="9.0"/>
      <color rgb="FF333333"/>
      <name val="Arial"/>
    </font>
    <font>
      <sz val="10.0"/>
      <color rgb="FF333333"/>
      <name val="Noto Sans"/>
    </font>
    <font>
      <sz val="10.0"/>
      <color rgb="FF333333"/>
      <name val="Arial"/>
    </font>
    <font>
      <sz val="8.0"/>
      <color rgb="FF000000"/>
      <name val="Arial"/>
    </font>
    <font>
      <sz val="8.0"/>
      <color rgb="FF000000"/>
      <name val="Noto Sans"/>
    </font>
    <font>
      <b/>
      <sz val="8.0"/>
      <color rgb="FF000000"/>
      <name val="Noto Sans"/>
    </font>
    <font>
      <b/>
      <sz val="8.0"/>
      <color rgb="FFFFFFFF"/>
      <name val="Noto Sans"/>
    </font>
    <font>
      <sz val="8.0"/>
      <color rgb="FF888888"/>
      <name val="Arial"/>
    </font>
    <font>
      <b/>
      <sz val="8.0"/>
      <color rgb="FF000000"/>
      <name val="Arial"/>
    </font>
    <font>
      <b/>
      <sz val="8.0"/>
      <color rgb="FFFFFFFF"/>
      <name val="Arial"/>
    </font>
    <font>
      <sz val="8.0"/>
      <color theme="1"/>
      <name val="Calibri"/>
      <scheme val="minor"/>
    </font>
    <font>
      <b/>
      <sz val="9.0"/>
      <color rgb="FFC00000"/>
      <name val="Noto Sans"/>
    </font>
    <font>
      <b/>
      <sz val="9.0"/>
      <color rgb="FFC00000"/>
      <name val="Arial"/>
    </font>
    <font>
      <sz val="8.0"/>
      <color rgb="FF1A3C5E"/>
      <name val="Arial"/>
    </font>
    <font>
      <b/>
      <sz val="8.0"/>
      <color rgb="FFC00000"/>
      <name val="Noto Sans"/>
    </font>
    <font>
      <sz val="8.0"/>
      <color rgb="FF1A3C5E"/>
      <name val="Noto Sans"/>
    </font>
    <font>
      <b/>
      <sz val="9.0"/>
      <color rgb="FFD14F00"/>
      <name val="Arial"/>
    </font>
    <font>
      <b/>
      <sz val="8.0"/>
      <color rgb="FFD14F00"/>
      <name val="Noto Sans"/>
    </font>
    <font>
      <b/>
      <sz val="9.0"/>
      <color rgb="FF806000"/>
      <name val="Arial"/>
    </font>
    <font>
      <b/>
      <sz val="8.0"/>
      <color rgb="FF806000"/>
      <name val="Noto Sans"/>
    </font>
    <font>
      <sz val="8.0"/>
      <color rgb="FF444444"/>
      <name val="Noto Sans"/>
    </font>
  </fonts>
  <fills count="34">
    <fill>
      <patternFill patternType="none"/>
    </fill>
    <fill>
      <patternFill patternType="lightGray"/>
    </fill>
    <fill>
      <patternFill patternType="solid">
        <fgColor rgb="FF1B3A6B"/>
        <bgColor rgb="FF1B3A6B"/>
      </patternFill>
    </fill>
    <fill>
      <patternFill patternType="solid">
        <fgColor rgb="FFD9E2F3"/>
        <bgColor rgb="FFD9E2F3"/>
      </patternFill>
    </fill>
    <fill>
      <patternFill patternType="solid">
        <fgColor rgb="FF2E75B6"/>
        <bgColor rgb="FF2E75B6"/>
      </patternFill>
    </fill>
    <fill>
      <patternFill patternType="solid">
        <fgColor rgb="FFE2EFDA"/>
        <bgColor rgb="FFE2EFDA"/>
      </patternFill>
    </fill>
    <fill>
      <patternFill patternType="solid">
        <fgColor rgb="FF375623"/>
        <bgColor rgb="FF375623"/>
      </patternFill>
    </fill>
    <fill>
      <patternFill patternType="solid">
        <fgColor rgb="FFFFF2CC"/>
        <bgColor rgb="FFFFF2CC"/>
      </patternFill>
    </fill>
    <fill>
      <patternFill patternType="solid">
        <fgColor rgb="FFBF8F00"/>
        <bgColor rgb="FFBF8F00"/>
      </patternFill>
    </fill>
    <fill>
      <patternFill patternType="solid">
        <fgColor rgb="FFFCE4D6"/>
        <bgColor rgb="FFFCE4D6"/>
      </patternFill>
    </fill>
    <fill>
      <patternFill patternType="solid">
        <fgColor rgb="FFC00000"/>
        <bgColor rgb="FFC00000"/>
      </patternFill>
    </fill>
    <fill>
      <patternFill patternType="solid">
        <fgColor rgb="FFDEEAF1"/>
        <bgColor rgb="FFDEEAF1"/>
      </patternFill>
    </fill>
    <fill>
      <patternFill patternType="solid">
        <fgColor rgb="FFF2F2F2"/>
        <bgColor rgb="FFF2F2F2"/>
      </patternFill>
    </fill>
    <fill>
      <patternFill patternType="solid">
        <fgColor rgb="FFF7F7F7"/>
        <bgColor rgb="FFF7F7F7"/>
      </patternFill>
    </fill>
    <fill>
      <patternFill patternType="solid">
        <fgColor rgb="FF4472C4"/>
        <bgColor rgb="FF4472C4"/>
      </patternFill>
    </fill>
    <fill>
      <patternFill patternType="solid">
        <fgColor rgb="FFEBF3FB"/>
        <bgColor rgb="FFEBF3FB"/>
      </patternFill>
    </fill>
    <fill>
      <patternFill patternType="solid">
        <fgColor rgb="FFEBECF0"/>
        <bgColor rgb="FFEBECF0"/>
      </patternFill>
    </fill>
    <fill>
      <patternFill patternType="solid">
        <fgColor rgb="FF7030A0"/>
        <bgColor rgb="FF7030A0"/>
      </patternFill>
    </fill>
    <fill>
      <patternFill patternType="solid">
        <fgColor rgb="FF1A3C5E"/>
        <bgColor rgb="FF1A3C5E"/>
      </patternFill>
    </fill>
    <fill>
      <patternFill patternType="solid">
        <fgColor rgb="FFF0F4F8"/>
        <bgColor rgb="FFF0F4F8"/>
      </patternFill>
    </fill>
    <fill>
      <patternFill patternType="solid">
        <fgColor rgb="FF2E6DA4"/>
        <bgColor rgb="FF2E6DA4"/>
      </patternFill>
    </fill>
    <fill>
      <patternFill patternType="solid">
        <fgColor rgb="FFFFFFFF"/>
        <bgColor rgb="FFFFFFFF"/>
      </patternFill>
    </fill>
    <fill>
      <patternFill patternType="solid">
        <fgColor rgb="FFFFE0CC"/>
        <bgColor rgb="FFFFE0CC"/>
      </patternFill>
    </fill>
    <fill>
      <patternFill patternType="solid">
        <fgColor rgb="FF70AD47"/>
        <bgColor rgb="FF70AD47"/>
      </patternFill>
    </fill>
    <fill>
      <patternFill patternType="solid">
        <fgColor rgb="FFF7FAFE"/>
        <bgColor rgb="FFF7FAFE"/>
      </patternFill>
    </fill>
    <fill>
      <patternFill patternType="solid">
        <fgColor rgb="FFFF6B35"/>
        <bgColor rgb="FFFF6B35"/>
      </patternFill>
    </fill>
    <fill>
      <patternFill patternType="solid">
        <fgColor rgb="FFFFF9C4"/>
        <bgColor rgb="FFFFF9C4"/>
      </patternFill>
    </fill>
    <fill>
      <patternFill patternType="solid">
        <fgColor rgb="FFFFD700"/>
        <bgColor rgb="FFFFD700"/>
      </patternFill>
    </fill>
    <fill>
      <patternFill patternType="solid">
        <fgColor rgb="FFF4B942"/>
        <bgColor rgb="FFF4B942"/>
      </patternFill>
    </fill>
    <fill>
      <patternFill patternType="solid">
        <fgColor rgb="FFBDD7EE"/>
        <bgColor rgb="FFBDD7EE"/>
      </patternFill>
    </fill>
    <fill>
      <patternFill patternType="solid">
        <fgColor rgb="FFFFF0F0"/>
        <bgColor rgb="FFFFF0F0"/>
      </patternFill>
    </fill>
    <fill>
      <patternFill patternType="solid">
        <fgColor rgb="FFFFC7CE"/>
        <bgColor rgb="FFFFC7CE"/>
      </patternFill>
    </fill>
    <fill>
      <patternFill patternType="solid">
        <fgColor rgb="FFFFE0E0"/>
        <bgColor rgb="FFFFE0E0"/>
      </patternFill>
    </fill>
    <fill>
      <patternFill patternType="solid">
        <fgColor rgb="FFF0F0F0"/>
        <bgColor rgb="FFF0F0F0"/>
      </patternFill>
    </fill>
  </fills>
  <borders count="16">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top style="thin">
        <color rgb="FFBFBFBF"/>
      </top>
      <bottom style="thin">
        <color rgb="FFBFBFBF"/>
      </bottom>
    </border>
    <border>
      <left/>
      <right/>
      <top/>
      <bottom/>
    </border>
    <border>
      <left style="thin">
        <color rgb="FFBBBBBB"/>
      </left>
      <right style="thin">
        <color rgb="FFBBBBBB"/>
      </right>
      <top style="thin">
        <color rgb="FFBBBBBB"/>
      </top>
      <bottom style="thin">
        <color rgb="FFBBBBBB"/>
      </bottom>
    </border>
    <border>
      <left style="thin">
        <color rgb="FFBBBBBB"/>
      </left>
      <top style="thin">
        <color rgb="FFBBBBBB"/>
      </top>
      <bottom style="thin">
        <color rgb="FFBBBBBB"/>
      </bottom>
    </border>
    <border>
      <top style="thin">
        <color rgb="FFBBBBBB"/>
      </top>
      <bottom style="thin">
        <color rgb="FFBBBBBB"/>
      </bottom>
    </border>
    <border>
      <right/>
      <top style="thin">
        <color rgb="FFBBBBBB"/>
      </top>
      <bottom style="thin">
        <color rgb="FFBBBBBB"/>
      </bottom>
    </border>
    <border>
      <left/>
      <top/>
    </border>
    <border>
      <top/>
    </border>
    <border>
      <right/>
      <top/>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0"/>
    </xf>
    <xf borderId="0" fillId="0" fontId="4" numFmtId="0" xfId="0" applyAlignment="1" applyFont="1">
      <alignment shrinkToFit="0" vertical="bottom" wrapText="0"/>
    </xf>
    <xf borderId="4" fillId="4" fontId="5" numFmtId="0" xfId="0" applyAlignment="1" applyBorder="1" applyFill="1" applyFont="1">
      <alignment horizontal="center" shrinkToFit="0" vertical="center" wrapText="1"/>
    </xf>
    <xf borderId="4" fillId="4" fontId="6" numFmtId="0" xfId="0" applyAlignment="1" applyBorder="1" applyFont="1">
      <alignment horizontal="center" shrinkToFit="0" vertical="center" wrapText="1"/>
    </xf>
    <xf borderId="4" fillId="4" fontId="7" numFmtId="0" xfId="0" applyAlignment="1" applyBorder="1" applyFont="1">
      <alignment horizontal="center" readingOrder="0" shrinkToFit="0" vertical="center" wrapText="1"/>
    </xf>
    <xf borderId="4" fillId="5" fontId="8" numFmtId="0" xfId="0" applyAlignment="1" applyBorder="1" applyFill="1" applyFont="1">
      <alignment horizontal="left" shrinkToFit="0" vertical="center" wrapText="1"/>
    </xf>
    <xf borderId="4" fillId="5" fontId="9" numFmtId="0" xfId="0" applyAlignment="1" applyBorder="1" applyFont="1">
      <alignment horizontal="left" shrinkToFit="0" vertical="center" wrapText="1"/>
    </xf>
    <xf borderId="4" fillId="6" fontId="10" numFmtId="0" xfId="0" applyAlignment="1" applyBorder="1" applyFill="1" applyFont="1">
      <alignment horizontal="center" shrinkToFit="0" vertical="center" wrapText="0"/>
    </xf>
    <xf borderId="4" fillId="6" fontId="11" numFmtId="0" xfId="0" applyAlignment="1" applyBorder="1" applyFont="1">
      <alignment horizontal="center" shrinkToFit="0" vertical="center" wrapText="1"/>
    </xf>
    <xf borderId="4" fillId="4" fontId="12" numFmtId="0" xfId="0" applyAlignment="1" applyBorder="1" applyFont="1">
      <alignment horizontal="center" readingOrder="0" shrinkToFit="0" vertical="center" wrapText="1"/>
    </xf>
    <xf borderId="4" fillId="7" fontId="8" numFmtId="0" xfId="0" applyAlignment="1" applyBorder="1" applyFill="1" applyFont="1">
      <alignment horizontal="left" readingOrder="0" shrinkToFit="0" vertical="center" wrapText="1"/>
    </xf>
    <xf borderId="4" fillId="7" fontId="9" numFmtId="0" xfId="0" applyAlignment="1" applyBorder="1" applyFont="1">
      <alignment horizontal="left" shrinkToFit="0" vertical="center" wrapText="1"/>
    </xf>
    <xf borderId="4" fillId="7" fontId="8" numFmtId="0" xfId="0" applyAlignment="1" applyBorder="1" applyFont="1">
      <alignment horizontal="left" shrinkToFit="0" vertical="center" wrapText="1"/>
    </xf>
    <xf borderId="4" fillId="8" fontId="10" numFmtId="0" xfId="0" applyAlignment="1" applyBorder="1" applyFill="1" applyFont="1">
      <alignment horizontal="center" shrinkToFit="0" vertical="center" wrapText="0"/>
    </xf>
    <xf borderId="4" fillId="8" fontId="11" numFmtId="0" xfId="0" applyAlignment="1" applyBorder="1" applyFont="1">
      <alignment horizontal="center" shrinkToFit="0" vertical="center" wrapText="1"/>
    </xf>
    <xf borderId="4" fillId="9" fontId="8" numFmtId="0" xfId="0" applyAlignment="1" applyBorder="1" applyFill="1" applyFont="1">
      <alignment horizontal="left" shrinkToFit="0" vertical="center" wrapText="1"/>
    </xf>
    <xf borderId="4" fillId="9" fontId="9" numFmtId="0" xfId="0" applyAlignment="1" applyBorder="1" applyFont="1">
      <alignment horizontal="left" shrinkToFit="0" vertical="center" wrapText="1"/>
    </xf>
    <xf borderId="4" fillId="9" fontId="9" numFmtId="0" xfId="0" applyAlignment="1" applyBorder="1" applyFont="1">
      <alignment horizontal="left" readingOrder="0" shrinkToFit="0" vertical="center" wrapText="1"/>
    </xf>
    <xf borderId="4" fillId="10" fontId="10" numFmtId="0" xfId="0" applyAlignment="1" applyBorder="1" applyFill="1" applyFont="1">
      <alignment horizontal="center" shrinkToFit="0" vertical="center" wrapText="0"/>
    </xf>
    <xf borderId="4" fillId="10" fontId="11" numFmtId="0" xfId="0" applyAlignment="1" applyBorder="1" applyFont="1">
      <alignment horizontal="center" shrinkToFit="0" vertical="center" wrapText="1"/>
    </xf>
    <xf borderId="4" fillId="4" fontId="13" numFmtId="0" xfId="0" applyAlignment="1" applyBorder="1" applyFont="1">
      <alignment horizontal="center" readingOrder="0" shrinkToFit="0" vertical="center" wrapText="1"/>
    </xf>
    <xf borderId="4" fillId="11" fontId="8" numFmtId="0" xfId="0" applyAlignment="1" applyBorder="1" applyFill="1" applyFont="1">
      <alignment horizontal="left" shrinkToFit="0" vertical="center" wrapText="1"/>
    </xf>
    <xf borderId="4" fillId="11" fontId="9" numFmtId="0" xfId="0" applyAlignment="1" applyBorder="1" applyFont="1">
      <alignment horizontal="left" shrinkToFit="0" vertical="center" wrapText="1"/>
    </xf>
    <xf borderId="4" fillId="11" fontId="8" numFmtId="0" xfId="0" applyAlignment="1" applyBorder="1" applyFont="1">
      <alignment horizontal="left" readingOrder="0" shrinkToFit="0" vertical="center" wrapText="1"/>
    </xf>
    <xf borderId="4" fillId="4" fontId="11" numFmtId="0" xfId="0" applyAlignment="1" applyBorder="1" applyFont="1">
      <alignment horizontal="center" shrinkToFit="0" vertical="center" wrapText="1"/>
    </xf>
    <xf borderId="1" fillId="12" fontId="14" numFmtId="0" xfId="0" applyAlignment="1" applyBorder="1" applyFill="1" applyFont="1">
      <alignment horizontal="left" shrinkToFit="0" vertical="center" wrapText="0"/>
    </xf>
    <xf borderId="5" fillId="2" fontId="15" numFmtId="0" xfId="0" applyAlignment="1" applyBorder="1" applyFont="1">
      <alignment horizontal="center" shrinkToFit="0" vertical="center" wrapText="1"/>
    </xf>
    <xf borderId="6" fillId="0" fontId="2" numFmtId="0" xfId="0" applyBorder="1" applyFont="1"/>
    <xf borderId="7" fillId="0" fontId="2" numFmtId="0" xfId="0" applyBorder="1" applyFont="1"/>
    <xf borderId="5" fillId="10" fontId="11" numFmtId="0" xfId="0" applyAlignment="1" applyBorder="1" applyFont="1">
      <alignment horizontal="center" shrinkToFit="0" vertical="center" wrapText="1"/>
    </xf>
    <xf borderId="5" fillId="12" fontId="16" numFmtId="0" xfId="0" applyAlignment="1" applyBorder="1" applyFont="1">
      <alignment horizontal="left" shrinkToFit="0" vertical="center" wrapText="1"/>
    </xf>
    <xf borderId="5" fillId="8" fontId="11" numFmtId="0" xfId="0" applyAlignment="1" applyBorder="1" applyFont="1">
      <alignment horizontal="center" shrinkToFit="0" vertical="center" wrapText="1"/>
    </xf>
    <xf borderId="5" fillId="12" fontId="17" numFmtId="0" xfId="0" applyAlignment="1" applyBorder="1" applyFont="1">
      <alignment horizontal="left" shrinkToFit="0" vertical="center" wrapText="1"/>
    </xf>
    <xf borderId="5" fillId="4" fontId="11" numFmtId="0" xfId="0" applyAlignment="1" applyBorder="1" applyFont="1">
      <alignment horizontal="center" shrinkToFit="0" vertical="center" wrapText="1"/>
    </xf>
    <xf borderId="1" fillId="2" fontId="18" numFmtId="0" xfId="0" applyAlignment="1" applyBorder="1" applyFont="1">
      <alignment horizontal="left" shrinkToFit="0" vertical="center" wrapText="0"/>
    </xf>
    <xf borderId="1" fillId="3" fontId="17" numFmtId="0" xfId="0" applyAlignment="1" applyBorder="1" applyFont="1">
      <alignment horizontal="left" shrinkToFit="0" vertical="center" wrapText="0"/>
    </xf>
    <xf borderId="8" fillId="4" fontId="5" numFmtId="0" xfId="0" applyAlignment="1" applyBorder="1" applyFont="1">
      <alignment horizontal="center" shrinkToFit="0" vertical="center" wrapText="1"/>
    </xf>
    <xf borderId="8" fillId="4" fontId="5" numFmtId="0" xfId="0" applyAlignment="1" applyBorder="1" applyFont="1">
      <alignment horizontal="left" shrinkToFit="0" vertical="center" wrapText="1"/>
    </xf>
    <xf borderId="8" fillId="5" fontId="8" numFmtId="0" xfId="0" applyAlignment="1" applyBorder="1" applyFont="1">
      <alignment horizontal="left" shrinkToFit="0" vertical="center" wrapText="1"/>
    </xf>
    <xf borderId="8" fillId="4" fontId="19" numFmtId="0" xfId="0" applyAlignment="1" applyBorder="1" applyFont="1">
      <alignment horizontal="left" shrinkToFit="0" vertical="center" wrapText="1"/>
    </xf>
    <xf borderId="8" fillId="13" fontId="8" numFmtId="0" xfId="0" applyAlignment="1" applyBorder="1" applyFill="1" applyFont="1">
      <alignment horizontal="left" shrinkToFit="0" vertical="center" wrapText="1"/>
    </xf>
    <xf borderId="8" fillId="5" fontId="20" numFmtId="0" xfId="0" applyAlignment="1" applyBorder="1" applyFont="1">
      <alignment horizontal="center" shrinkToFit="0" vertical="center" wrapText="1"/>
    </xf>
    <xf borderId="8" fillId="5" fontId="21" numFmtId="0" xfId="0" applyAlignment="1" applyBorder="1" applyFont="1">
      <alignment horizontal="left" shrinkToFit="0" vertical="center" wrapText="1"/>
    </xf>
    <xf borderId="8" fillId="7" fontId="8" numFmtId="0" xfId="0" applyAlignment="1" applyBorder="1" applyFont="1">
      <alignment horizontal="left" shrinkToFit="0" vertical="center" wrapText="1"/>
    </xf>
    <xf borderId="8" fillId="7" fontId="20" numFmtId="0" xfId="0" applyAlignment="1" applyBorder="1" applyFont="1">
      <alignment horizontal="center" shrinkToFit="0" vertical="center" wrapText="1"/>
    </xf>
    <xf borderId="8" fillId="7" fontId="22" numFmtId="0" xfId="0" applyAlignment="1" applyBorder="1" applyFont="1">
      <alignment horizontal="left" shrinkToFit="0" vertical="center" wrapText="1"/>
    </xf>
    <xf borderId="8" fillId="9" fontId="8" numFmtId="0" xfId="0" applyAlignment="1" applyBorder="1" applyFont="1">
      <alignment horizontal="left" shrinkToFit="0" vertical="center" wrapText="1"/>
    </xf>
    <xf borderId="8" fillId="9" fontId="20" numFmtId="0" xfId="0" applyAlignment="1" applyBorder="1" applyFont="1">
      <alignment horizontal="center" shrinkToFit="0" vertical="center" wrapText="1"/>
    </xf>
    <xf borderId="8" fillId="9" fontId="22" numFmtId="0" xfId="0" applyAlignment="1" applyBorder="1" applyFont="1">
      <alignment horizontal="left" shrinkToFit="0" vertical="center" wrapText="1"/>
    </xf>
    <xf borderId="1" fillId="3" fontId="17" numFmtId="0" xfId="0" applyAlignment="1" applyBorder="1" applyFont="1">
      <alignment horizontal="left" shrinkToFit="0" vertical="center" wrapText="1"/>
    </xf>
    <xf borderId="1" fillId="14" fontId="5" numFmtId="0" xfId="0" applyAlignment="1" applyBorder="1" applyFill="1" applyFont="1">
      <alignment horizontal="left" shrinkToFit="0" vertical="center" wrapText="1"/>
    </xf>
    <xf borderId="1" fillId="15" fontId="23" numFmtId="0" xfId="0" applyAlignment="1" applyBorder="1" applyFill="1" applyFont="1">
      <alignment horizontal="left" readingOrder="0" shrinkToFit="0" vertical="center" wrapText="1"/>
    </xf>
    <xf borderId="1" fillId="13" fontId="17" numFmtId="0" xfId="0" applyAlignment="1" applyBorder="1" applyFont="1">
      <alignment horizontal="left" shrinkToFit="0" vertical="center" wrapText="1"/>
    </xf>
    <xf borderId="1" fillId="13" fontId="17" numFmtId="0" xfId="0" applyAlignment="1" applyBorder="1" applyFont="1">
      <alignment horizontal="left" readingOrder="0" shrinkToFit="0" vertical="center" wrapText="1"/>
    </xf>
    <xf borderId="1" fillId="2" fontId="24" numFmtId="0" xfId="0" applyAlignment="1" applyBorder="1" applyFont="1">
      <alignment horizontal="center" shrinkToFit="0" vertical="center" wrapText="0"/>
    </xf>
    <xf borderId="1" fillId="3" fontId="14" numFmtId="0" xfId="0" applyAlignment="1" applyBorder="1" applyFont="1">
      <alignment horizontal="left" shrinkToFit="0" vertical="center" wrapText="0"/>
    </xf>
    <xf borderId="4" fillId="4" fontId="25" numFmtId="0" xfId="0" applyAlignment="1" applyBorder="1" applyFont="1">
      <alignment horizontal="center" shrinkToFit="0" vertical="center" wrapText="1"/>
    </xf>
    <xf borderId="4" fillId="5" fontId="26" numFmtId="0" xfId="0" applyAlignment="1" applyBorder="1" applyFont="1">
      <alignment horizontal="left" shrinkToFit="0" vertical="center" wrapText="1"/>
    </xf>
    <xf borderId="4" fillId="5" fontId="27" numFmtId="164" xfId="0" applyAlignment="1" applyBorder="1" applyFont="1" applyNumberFormat="1">
      <alignment horizontal="right" shrinkToFit="0" vertical="center" wrapText="0"/>
    </xf>
    <xf borderId="4" fillId="5" fontId="28" numFmtId="0" xfId="0" applyAlignment="1" applyBorder="1" applyFont="1">
      <alignment horizontal="center" shrinkToFit="0" vertical="center" wrapText="1"/>
    </xf>
    <xf borderId="4" fillId="5" fontId="29" numFmtId="164" xfId="0" applyAlignment="1" applyBorder="1" applyFont="1" applyNumberFormat="1">
      <alignment horizontal="right" shrinkToFit="0" vertical="center" wrapText="0"/>
    </xf>
    <xf borderId="4" fillId="5" fontId="30" numFmtId="164" xfId="0" applyAlignment="1" applyBorder="1" applyFont="1" applyNumberFormat="1">
      <alignment horizontal="right" shrinkToFit="0" vertical="center" wrapText="0"/>
    </xf>
    <xf borderId="4" fillId="5" fontId="26" numFmtId="0" xfId="0" applyAlignment="1" applyBorder="1" applyFont="1">
      <alignment horizontal="center" shrinkToFit="0" vertical="center" wrapText="0"/>
    </xf>
    <xf borderId="4" fillId="12" fontId="31" numFmtId="0" xfId="0" applyAlignment="1" applyBorder="1" applyFont="1">
      <alignment horizontal="left" shrinkToFit="0" vertical="center" wrapText="1"/>
    </xf>
    <xf borderId="4" fillId="7" fontId="26" numFmtId="0" xfId="0" applyAlignment="1" applyBorder="1" applyFont="1">
      <alignment horizontal="left" shrinkToFit="0" vertical="center" wrapText="1"/>
    </xf>
    <xf borderId="4" fillId="7" fontId="27" numFmtId="164" xfId="0" applyAlignment="1" applyBorder="1" applyFont="1" applyNumberFormat="1">
      <alignment horizontal="right" shrinkToFit="0" vertical="center" wrapText="0"/>
    </xf>
    <xf borderId="4" fillId="7" fontId="28" numFmtId="0" xfId="0" applyAlignment="1" applyBorder="1" applyFont="1">
      <alignment horizontal="center" shrinkToFit="0" vertical="center" wrapText="1"/>
    </xf>
    <xf borderId="4" fillId="7" fontId="30" numFmtId="164" xfId="0" applyAlignment="1" applyBorder="1" applyFont="1" applyNumberFormat="1">
      <alignment horizontal="right" shrinkToFit="0" vertical="center" wrapText="0"/>
    </xf>
    <xf borderId="4" fillId="7" fontId="26" numFmtId="0" xfId="0" applyAlignment="1" applyBorder="1" applyFont="1">
      <alignment horizontal="center" shrinkToFit="0" vertical="center" wrapText="0"/>
    </xf>
    <xf borderId="4" fillId="12" fontId="32" numFmtId="0" xfId="0" applyAlignment="1" applyBorder="1" applyFont="1">
      <alignment horizontal="left" shrinkToFit="0" vertical="center" wrapText="1"/>
    </xf>
    <xf borderId="4" fillId="9" fontId="26" numFmtId="0" xfId="0" applyAlignment="1" applyBorder="1" applyFont="1">
      <alignment horizontal="left" shrinkToFit="0" vertical="center" wrapText="1"/>
    </xf>
    <xf borderId="4" fillId="9" fontId="27" numFmtId="164" xfId="0" applyAlignment="1" applyBorder="1" applyFont="1" applyNumberFormat="1">
      <alignment horizontal="right" shrinkToFit="0" vertical="center" wrapText="0"/>
    </xf>
    <xf borderId="4" fillId="9" fontId="28" numFmtId="0" xfId="0" applyAlignment="1" applyBorder="1" applyFont="1">
      <alignment horizontal="center" shrinkToFit="0" vertical="center" wrapText="1"/>
    </xf>
    <xf borderId="4" fillId="9" fontId="30" numFmtId="164" xfId="0" applyAlignment="1" applyBorder="1" applyFont="1" applyNumberFormat="1">
      <alignment horizontal="right" shrinkToFit="0" vertical="center" wrapText="0"/>
    </xf>
    <xf borderId="4" fillId="9" fontId="26" numFmtId="0" xfId="0" applyAlignment="1" applyBorder="1" applyFont="1">
      <alignment horizontal="center" shrinkToFit="0" vertical="center" wrapText="0"/>
    </xf>
    <xf borderId="4" fillId="11" fontId="26" numFmtId="0" xfId="0" applyAlignment="1" applyBorder="1" applyFont="1">
      <alignment horizontal="left" shrinkToFit="0" vertical="center" wrapText="1"/>
    </xf>
    <xf borderId="4" fillId="11" fontId="27" numFmtId="164" xfId="0" applyAlignment="1" applyBorder="1" applyFont="1" applyNumberFormat="1">
      <alignment horizontal="right" shrinkToFit="0" vertical="center" wrapText="0"/>
    </xf>
    <xf borderId="4" fillId="11" fontId="28" numFmtId="0" xfId="0" applyAlignment="1" applyBorder="1" applyFont="1">
      <alignment horizontal="center" shrinkToFit="0" vertical="center" wrapText="1"/>
    </xf>
    <xf borderId="4" fillId="11" fontId="30" numFmtId="164" xfId="0" applyAlignment="1" applyBorder="1" applyFont="1" applyNumberFormat="1">
      <alignment horizontal="right" shrinkToFit="0" vertical="center" wrapText="0"/>
    </xf>
    <xf borderId="4" fillId="11" fontId="26" numFmtId="0" xfId="0" applyAlignment="1" applyBorder="1" applyFont="1">
      <alignment horizontal="center" shrinkToFit="0" vertical="center" wrapText="0"/>
    </xf>
    <xf borderId="4" fillId="11" fontId="33" numFmtId="0" xfId="0" applyAlignment="1" applyBorder="1" applyFont="1">
      <alignment horizontal="center" shrinkToFit="0" vertical="center" wrapText="1"/>
    </xf>
    <xf borderId="5" fillId="2" fontId="5" numFmtId="0" xfId="0" applyAlignment="1" applyBorder="1" applyFont="1">
      <alignment horizontal="center" shrinkToFit="0" vertical="center" wrapText="0"/>
    </xf>
    <xf borderId="4" fillId="2" fontId="4" numFmtId="0" xfId="0" applyAlignment="1" applyBorder="1" applyFont="1">
      <alignment shrinkToFit="0" vertical="bottom" wrapText="0"/>
    </xf>
    <xf borderId="4" fillId="2" fontId="34" numFmtId="164" xfId="0" applyAlignment="1" applyBorder="1" applyFont="1" applyNumberFormat="1">
      <alignment horizontal="right" shrinkToFit="0" vertical="center" wrapText="0"/>
    </xf>
    <xf borderId="8" fillId="5" fontId="35" numFmtId="0" xfId="0" applyAlignment="1" applyBorder="1" applyFont="1">
      <alignment horizontal="left" shrinkToFit="0" vertical="center" wrapText="1"/>
    </xf>
    <xf borderId="8" fillId="5" fontId="35" numFmtId="3" xfId="0" applyAlignment="1" applyBorder="1" applyFont="1" applyNumberFormat="1">
      <alignment horizontal="left" shrinkToFit="0" vertical="center" wrapText="1"/>
    </xf>
    <xf borderId="8" fillId="5" fontId="36" numFmtId="3" xfId="0" applyAlignment="1" applyBorder="1" applyFont="1" applyNumberFormat="1">
      <alignment horizontal="left" shrinkToFit="0" vertical="center" wrapText="1"/>
    </xf>
    <xf borderId="8" fillId="13" fontId="35" numFmtId="0" xfId="0" applyAlignment="1" applyBorder="1" applyFont="1">
      <alignment horizontal="left" shrinkToFit="0" vertical="center" wrapText="1"/>
    </xf>
    <xf borderId="8" fillId="7" fontId="35" numFmtId="0" xfId="0" applyAlignment="1" applyBorder="1" applyFont="1">
      <alignment horizontal="left" shrinkToFit="0" vertical="center" wrapText="1"/>
    </xf>
    <xf borderId="8" fillId="7" fontId="35" numFmtId="3" xfId="0" applyAlignment="1" applyBorder="1" applyFont="1" applyNumberFormat="1">
      <alignment horizontal="left" shrinkToFit="0" vertical="center" wrapText="1"/>
    </xf>
    <xf borderId="8" fillId="7" fontId="36" numFmtId="3" xfId="0" applyAlignment="1" applyBorder="1" applyFont="1" applyNumberFormat="1">
      <alignment horizontal="left" shrinkToFit="0" vertical="center" wrapText="1"/>
    </xf>
    <xf borderId="8" fillId="9" fontId="35" numFmtId="0" xfId="0" applyAlignment="1" applyBorder="1" applyFont="1">
      <alignment horizontal="left" shrinkToFit="0" vertical="center" wrapText="1"/>
    </xf>
    <xf borderId="8" fillId="9" fontId="35" numFmtId="3" xfId="0" applyAlignment="1" applyBorder="1" applyFont="1" applyNumberFormat="1">
      <alignment horizontal="left" shrinkToFit="0" vertical="center" wrapText="1"/>
    </xf>
    <xf borderId="8" fillId="9" fontId="36" numFmtId="3" xfId="0" applyAlignment="1" applyBorder="1" applyFont="1" applyNumberFormat="1">
      <alignment horizontal="left" shrinkToFit="0" vertical="center" wrapText="1"/>
    </xf>
    <xf borderId="1" fillId="3" fontId="36" numFmtId="0" xfId="0" applyAlignment="1" applyBorder="1" applyFont="1">
      <alignment horizontal="left" shrinkToFit="0" vertical="center" wrapText="1"/>
    </xf>
    <xf borderId="8" fillId="3" fontId="36" numFmtId="3" xfId="0" applyAlignment="1" applyBorder="1" applyFont="1" applyNumberFormat="1">
      <alignment horizontal="left" shrinkToFit="0" vertical="center" wrapText="1"/>
    </xf>
    <xf borderId="1" fillId="3" fontId="37" numFmtId="0" xfId="0" applyAlignment="1" applyBorder="1" applyFont="1">
      <alignment horizontal="left" shrinkToFit="0" vertical="center" wrapText="0"/>
    </xf>
    <xf borderId="1" fillId="15" fontId="38" numFmtId="0" xfId="0" applyAlignment="1" applyBorder="1" applyFont="1">
      <alignment horizontal="left" shrinkToFit="0" vertical="center" wrapText="1"/>
    </xf>
    <xf borderId="4" fillId="4" fontId="19" numFmtId="0" xfId="0" applyAlignment="1" applyBorder="1" applyFont="1">
      <alignment horizontal="center" shrinkToFit="0" vertical="center" wrapText="1"/>
    </xf>
    <xf borderId="4" fillId="4" fontId="39" numFmtId="0" xfId="0" applyAlignment="1" applyBorder="1" applyFont="1">
      <alignment horizontal="center" shrinkToFit="0" vertical="center" wrapText="1"/>
    </xf>
    <xf borderId="4" fillId="6" fontId="19" numFmtId="0" xfId="0" applyAlignment="1" applyBorder="1" applyFont="1">
      <alignment horizontal="center" shrinkToFit="0" vertical="center" wrapText="1"/>
    </xf>
    <xf borderId="4" fillId="5" fontId="27" numFmtId="164" xfId="0" applyAlignment="1" applyBorder="1" applyFont="1" applyNumberFormat="1">
      <alignment horizontal="right" shrinkToFit="0" vertical="center" wrapText="1"/>
    </xf>
    <xf borderId="4" fillId="5" fontId="40" numFmtId="9" xfId="0" applyAlignment="1" applyBorder="1" applyFont="1" applyNumberFormat="1">
      <alignment horizontal="center" shrinkToFit="0" vertical="center" wrapText="1"/>
    </xf>
    <xf borderId="4" fillId="5" fontId="41" numFmtId="164" xfId="0" applyAlignment="1" applyBorder="1" applyFont="1" applyNumberFormat="1">
      <alignment horizontal="right" shrinkToFit="0" vertical="center" wrapText="1"/>
    </xf>
    <xf borderId="4" fillId="5" fontId="42" numFmtId="164" xfId="0" applyAlignment="1" applyBorder="1" applyFont="1" applyNumberFormat="1">
      <alignment horizontal="right" shrinkToFit="0" vertical="center" wrapText="1"/>
    </xf>
    <xf borderId="4" fillId="5" fontId="43" numFmtId="164" xfId="0" applyAlignment="1" applyBorder="1" applyFont="1" applyNumberFormat="1">
      <alignment horizontal="right" shrinkToFit="0" vertical="center" wrapText="1"/>
    </xf>
    <xf borderId="4" fillId="5" fontId="31" numFmtId="0" xfId="0" applyAlignment="1" applyBorder="1" applyFont="1">
      <alignment horizontal="center" shrinkToFit="0" vertical="center" wrapText="1"/>
    </xf>
    <xf borderId="4" fillId="5" fontId="44" numFmtId="0" xfId="0" applyAlignment="1" applyBorder="1" applyFont="1">
      <alignment horizontal="center" shrinkToFit="0" vertical="center" wrapText="1"/>
    </xf>
    <xf borderId="4" fillId="13" fontId="45" numFmtId="0" xfId="0" applyAlignment="1" applyBorder="1" applyFont="1">
      <alignment horizontal="left" shrinkToFit="0" vertical="center" wrapText="1"/>
    </xf>
    <xf borderId="4" fillId="8" fontId="19" numFmtId="0" xfId="0" applyAlignment="1" applyBorder="1" applyFont="1">
      <alignment horizontal="center" shrinkToFit="0" vertical="center" wrapText="1"/>
    </xf>
    <xf borderId="4" fillId="7" fontId="27" numFmtId="164" xfId="0" applyAlignment="1" applyBorder="1" applyFont="1" applyNumberFormat="1">
      <alignment horizontal="right" shrinkToFit="0" vertical="center" wrapText="1"/>
    </xf>
    <xf borderId="4" fillId="7" fontId="40" numFmtId="9" xfId="0" applyAlignment="1" applyBorder="1" applyFont="1" applyNumberFormat="1">
      <alignment horizontal="center" shrinkToFit="0" vertical="center" wrapText="1"/>
    </xf>
    <xf borderId="4" fillId="7" fontId="42" numFmtId="164" xfId="0" applyAlignment="1" applyBorder="1" applyFont="1" applyNumberFormat="1">
      <alignment horizontal="right" shrinkToFit="0" vertical="center" wrapText="1"/>
    </xf>
    <xf borderId="4" fillId="7" fontId="43" numFmtId="164" xfId="0" applyAlignment="1" applyBorder="1" applyFont="1" applyNumberFormat="1">
      <alignment horizontal="right" shrinkToFit="0" vertical="center" wrapText="1"/>
    </xf>
    <xf borderId="4" fillId="7" fontId="31" numFmtId="0" xfId="0" applyAlignment="1" applyBorder="1" applyFont="1">
      <alignment horizontal="center" shrinkToFit="0" vertical="center" wrapText="1"/>
    </xf>
    <xf borderId="4" fillId="7" fontId="44" numFmtId="0" xfId="0" applyAlignment="1" applyBorder="1" applyFont="1">
      <alignment horizontal="center" shrinkToFit="0" vertical="center" wrapText="1"/>
    </xf>
    <xf borderId="4" fillId="10" fontId="19" numFmtId="0" xfId="0" applyAlignment="1" applyBorder="1" applyFont="1">
      <alignment horizontal="center" shrinkToFit="0" vertical="center" wrapText="1"/>
    </xf>
    <xf borderId="4" fillId="9" fontId="27" numFmtId="164" xfId="0" applyAlignment="1" applyBorder="1" applyFont="1" applyNumberFormat="1">
      <alignment horizontal="right" shrinkToFit="0" vertical="center" wrapText="1"/>
    </xf>
    <xf borderId="4" fillId="9" fontId="40" numFmtId="9" xfId="0" applyAlignment="1" applyBorder="1" applyFont="1" applyNumberFormat="1">
      <alignment horizontal="center" shrinkToFit="0" vertical="center" wrapText="1"/>
    </xf>
    <xf borderId="4" fillId="9" fontId="42" numFmtId="164" xfId="0" applyAlignment="1" applyBorder="1" applyFont="1" applyNumberFormat="1">
      <alignment horizontal="right" shrinkToFit="0" vertical="center" wrapText="1"/>
    </xf>
    <xf borderId="4" fillId="9" fontId="43" numFmtId="164" xfId="0" applyAlignment="1" applyBorder="1" applyFont="1" applyNumberFormat="1">
      <alignment horizontal="right" shrinkToFit="0" vertical="center" wrapText="1"/>
    </xf>
    <xf borderId="4" fillId="9" fontId="31" numFmtId="0" xfId="0" applyAlignment="1" applyBorder="1" applyFont="1">
      <alignment horizontal="center" shrinkToFit="0" vertical="center" wrapText="1"/>
    </xf>
    <xf borderId="4" fillId="9" fontId="44" numFmtId="0" xfId="0" applyAlignment="1" applyBorder="1" applyFont="1">
      <alignment horizontal="center" shrinkToFit="0" vertical="center" wrapText="1"/>
    </xf>
    <xf borderId="4" fillId="11" fontId="27" numFmtId="164" xfId="0" applyAlignment="1" applyBorder="1" applyFont="1" applyNumberFormat="1">
      <alignment horizontal="right" shrinkToFit="0" vertical="center" wrapText="1"/>
    </xf>
    <xf borderId="4" fillId="11" fontId="40" numFmtId="9" xfId="0" applyAlignment="1" applyBorder="1" applyFont="1" applyNumberFormat="1">
      <alignment horizontal="center" shrinkToFit="0" vertical="center" wrapText="1"/>
    </xf>
    <xf borderId="4" fillId="11" fontId="42" numFmtId="164" xfId="0" applyAlignment="1" applyBorder="1" applyFont="1" applyNumberFormat="1">
      <alignment horizontal="right" shrinkToFit="0" vertical="center" wrapText="1"/>
    </xf>
    <xf borderId="4" fillId="11" fontId="43" numFmtId="164" xfId="0" applyAlignment="1" applyBorder="1" applyFont="1" applyNumberFormat="1">
      <alignment horizontal="right" shrinkToFit="0" vertical="center" wrapText="1"/>
    </xf>
    <xf borderId="4" fillId="11" fontId="31" numFmtId="0" xfId="0" applyAlignment="1" applyBorder="1" applyFont="1">
      <alignment horizontal="center" shrinkToFit="0" vertical="center" wrapText="1"/>
    </xf>
    <xf borderId="4" fillId="11" fontId="44" numFmtId="0" xfId="0" applyAlignment="1" applyBorder="1" applyFont="1">
      <alignment horizontal="center" shrinkToFit="0" vertical="center" wrapText="1"/>
    </xf>
    <xf borderId="4" fillId="13" fontId="46" numFmtId="0" xfId="0" applyAlignment="1" applyBorder="1" applyFont="1">
      <alignment horizontal="left" shrinkToFit="0" vertical="center" wrapText="1"/>
    </xf>
    <xf borderId="1" fillId="16" fontId="17" numFmtId="0" xfId="0" applyAlignment="1" applyBorder="1" applyFill="1" applyFont="1">
      <alignment horizontal="left" shrinkToFit="0" vertical="center" wrapText="1"/>
    </xf>
    <xf borderId="1" fillId="4"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1" fillId="4" fontId="5" numFmtId="0" xfId="0" applyAlignment="1" applyBorder="1" applyFont="1">
      <alignment horizontal="left" shrinkToFit="0" vertical="center" wrapText="1"/>
    </xf>
    <xf borderId="1" fillId="5" fontId="36" numFmtId="3" xfId="0" applyAlignment="1" applyBorder="1" applyFont="1" applyNumberFormat="1">
      <alignment horizontal="left" shrinkToFit="0" vertical="center" wrapText="1"/>
    </xf>
    <xf borderId="1" fillId="5" fontId="36" numFmtId="2" xfId="0" applyAlignment="1" applyBorder="1" applyFont="1" applyNumberFormat="1">
      <alignment horizontal="left" shrinkToFit="0" vertical="center" wrapText="1"/>
    </xf>
    <xf borderId="2" fillId="0" fontId="36" numFmtId="2" xfId="0" applyAlignment="1" applyBorder="1" applyFont="1" applyNumberFormat="1">
      <alignment horizontal="left" shrinkToFit="0" vertical="center" wrapText="1"/>
    </xf>
    <xf borderId="3" fillId="0" fontId="36" numFmtId="2" xfId="0" applyAlignment="1" applyBorder="1" applyFont="1" applyNumberFormat="1">
      <alignment horizontal="left" shrinkToFit="0" vertical="center" wrapText="1"/>
    </xf>
    <xf borderId="1" fillId="7" fontId="36" numFmtId="3" xfId="0" applyAlignment="1" applyBorder="1" applyFont="1" applyNumberFormat="1">
      <alignment horizontal="left" shrinkToFit="0" vertical="center" wrapText="1"/>
    </xf>
    <xf borderId="1" fillId="7" fontId="36" numFmtId="2" xfId="0" applyAlignment="1" applyBorder="1" applyFont="1" applyNumberFormat="1">
      <alignment horizontal="left" shrinkToFit="0" vertical="center" wrapText="1"/>
    </xf>
    <xf borderId="1" fillId="9" fontId="36" numFmtId="3" xfId="0" applyAlignment="1" applyBorder="1" applyFont="1" applyNumberFormat="1">
      <alignment horizontal="left" shrinkToFit="0" vertical="center" wrapText="1"/>
    </xf>
    <xf borderId="1" fillId="9" fontId="36" numFmtId="2" xfId="0" applyAlignment="1" applyBorder="1" applyFont="1" applyNumberFormat="1">
      <alignment horizontal="left" shrinkToFit="0" vertical="center" wrapText="1"/>
    </xf>
    <xf borderId="1" fillId="3" fontId="36" numFmtId="3" xfId="0" applyAlignment="1" applyBorder="1" applyFont="1" applyNumberFormat="1">
      <alignment horizontal="left" shrinkToFit="0" vertical="center" wrapText="1"/>
    </xf>
    <xf borderId="5" fillId="17" fontId="15" numFmtId="0" xfId="0" applyAlignment="1" applyBorder="1" applyFill="1" applyFont="1">
      <alignment horizontal="left" shrinkToFit="0" vertical="center" wrapText="0"/>
    </xf>
    <xf borderId="5" fillId="6" fontId="11" numFmtId="0" xfId="0" applyAlignment="1" applyBorder="1" applyFont="1">
      <alignment horizontal="center" shrinkToFit="0" vertical="center" wrapText="1"/>
    </xf>
    <xf borderId="4" fillId="6" fontId="1" numFmtId="0" xfId="0" applyAlignment="1" applyBorder="1" applyFont="1">
      <alignment horizontal="center" shrinkToFit="0" vertical="center" wrapText="0"/>
    </xf>
    <xf borderId="5" fillId="5" fontId="47" numFmtId="0" xfId="0" applyAlignment="1" applyBorder="1" applyFont="1">
      <alignment horizontal="left" shrinkToFit="0" vertical="center" wrapText="1"/>
    </xf>
    <xf borderId="4" fillId="4" fontId="1" numFmtId="0" xfId="0" applyAlignment="1" applyBorder="1" applyFont="1">
      <alignment horizontal="center" shrinkToFit="0" vertical="center" wrapText="0"/>
    </xf>
    <xf borderId="5" fillId="11" fontId="47" numFmtId="0" xfId="0" applyAlignment="1" applyBorder="1" applyFont="1">
      <alignment horizontal="left" shrinkToFit="0" vertical="center" wrapText="1"/>
    </xf>
    <xf borderId="4" fillId="10" fontId="1" numFmtId="0" xfId="0" applyAlignment="1" applyBorder="1" applyFont="1">
      <alignment horizontal="center" shrinkToFit="0" vertical="center" wrapText="0"/>
    </xf>
    <xf borderId="5" fillId="9" fontId="47" numFmtId="0" xfId="0" applyAlignment="1" applyBorder="1" applyFont="1">
      <alignment horizontal="left" shrinkToFit="0" vertical="center" wrapText="1"/>
    </xf>
    <xf borderId="5" fillId="2" fontId="11" numFmtId="0" xfId="0" applyAlignment="1" applyBorder="1" applyFont="1">
      <alignment horizontal="center" shrinkToFit="0" vertical="center" wrapText="1"/>
    </xf>
    <xf borderId="4" fillId="2" fontId="1" numFmtId="0" xfId="0" applyAlignment="1" applyBorder="1" applyFont="1">
      <alignment horizontal="center" shrinkToFit="0" vertical="center" wrapText="0"/>
    </xf>
    <xf borderId="5" fillId="3" fontId="48" numFmtId="0" xfId="0" applyAlignment="1" applyBorder="1" applyFont="1">
      <alignment horizontal="left" shrinkToFit="0" vertical="center" wrapText="1"/>
    </xf>
    <xf borderId="1" fillId="18" fontId="10" numFmtId="0" xfId="0" applyAlignment="1" applyBorder="1" applyFill="1" applyFont="1">
      <alignment horizontal="center" shrinkToFit="0" vertical="center" wrapText="0"/>
    </xf>
    <xf borderId="1" fillId="19" fontId="45" numFmtId="0" xfId="0" applyAlignment="1" applyBorder="1" applyFill="1" applyFont="1">
      <alignment horizontal="left" shrinkToFit="0" vertical="center" wrapText="0"/>
    </xf>
    <xf borderId="9" fillId="20" fontId="19" numFmtId="0" xfId="0" applyAlignment="1" applyBorder="1" applyFill="1" applyFont="1">
      <alignment horizontal="center" shrinkToFit="0" vertical="center" wrapText="1"/>
    </xf>
    <xf borderId="9" fillId="20" fontId="39" numFmtId="0" xfId="0" applyAlignment="1" applyBorder="1" applyFont="1">
      <alignment horizontal="center" shrinkToFit="0" vertical="center" wrapText="1"/>
    </xf>
    <xf borderId="10" fillId="18" fontId="25" numFmtId="0" xfId="0" applyAlignment="1" applyBorder="1" applyFont="1">
      <alignment horizontal="left" shrinkToFit="0" vertical="center" wrapText="0"/>
    </xf>
    <xf borderId="11" fillId="0" fontId="2" numFmtId="0" xfId="0" applyBorder="1" applyFont="1"/>
    <xf borderId="12" fillId="0" fontId="2" numFmtId="0" xfId="0" applyBorder="1" applyFont="1"/>
    <xf borderId="9" fillId="21" fontId="9" numFmtId="0" xfId="0" applyAlignment="1" applyBorder="1" applyFill="1" applyFont="1">
      <alignment horizontal="left" shrinkToFit="0" vertical="center" wrapText="1"/>
    </xf>
    <xf borderId="9" fillId="21" fontId="49" numFmtId="0" xfId="0" applyAlignment="1" applyBorder="1" applyFont="1">
      <alignment horizontal="left" shrinkToFit="0" vertical="center" wrapText="0"/>
    </xf>
    <xf borderId="9" fillId="21" fontId="50" numFmtId="0" xfId="0" applyAlignment="1" applyBorder="1" applyFont="1">
      <alignment horizontal="left" shrinkToFit="0" vertical="center" wrapText="1"/>
    </xf>
    <xf borderId="9" fillId="22" fontId="51" numFmtId="0" xfId="0" applyAlignment="1" applyBorder="1" applyFill="1" applyFont="1">
      <alignment horizontal="center" shrinkToFit="0" vertical="center" wrapText="0"/>
    </xf>
    <xf borderId="9" fillId="23" fontId="52" numFmtId="0" xfId="0" applyAlignment="1" applyBorder="1" applyFill="1" applyFont="1">
      <alignment horizontal="center" shrinkToFit="0" vertical="center" wrapText="1"/>
    </xf>
    <xf borderId="9" fillId="21" fontId="53" numFmtId="0" xfId="0" applyAlignment="1" applyBorder="1" applyFont="1">
      <alignment horizontal="center" shrinkToFit="0" vertical="center" wrapText="1"/>
    </xf>
    <xf borderId="9" fillId="24" fontId="9" numFmtId="0" xfId="0" applyAlignment="1" applyBorder="1" applyFill="1" applyFont="1">
      <alignment horizontal="left" shrinkToFit="0" vertical="center" wrapText="1"/>
    </xf>
    <xf borderId="9" fillId="24" fontId="49" numFmtId="0" xfId="0" applyAlignment="1" applyBorder="1" applyFont="1">
      <alignment horizontal="left" shrinkToFit="0" vertical="center" wrapText="0"/>
    </xf>
    <xf borderId="9" fillId="24" fontId="50" numFmtId="0" xfId="0" applyAlignment="1" applyBorder="1" applyFont="1">
      <alignment horizontal="left" shrinkToFit="0" vertical="center" wrapText="1"/>
    </xf>
    <xf borderId="9" fillId="25" fontId="52" numFmtId="0" xfId="0" applyAlignment="1" applyBorder="1" applyFill="1" applyFont="1">
      <alignment horizontal="center" shrinkToFit="0" vertical="center" wrapText="1"/>
    </xf>
    <xf borderId="9" fillId="24" fontId="53" numFmtId="0" xfId="0" applyAlignment="1" applyBorder="1" applyFont="1">
      <alignment horizontal="center" shrinkToFit="0" vertical="center" wrapText="1"/>
    </xf>
    <xf borderId="9" fillId="21" fontId="49" numFmtId="0" xfId="0" applyAlignment="1" applyBorder="1" applyFont="1">
      <alignment horizontal="left" shrinkToFit="0" vertical="center" wrapText="1"/>
    </xf>
    <xf borderId="9" fillId="24" fontId="50" numFmtId="0" xfId="0" applyAlignment="1" applyBorder="1" applyFont="1">
      <alignment horizontal="center" shrinkToFit="0" vertical="center" wrapText="0"/>
    </xf>
    <xf borderId="9" fillId="21" fontId="50" numFmtId="0" xfId="0" applyAlignment="1" applyBorder="1" applyFont="1">
      <alignment horizontal="center" shrinkToFit="0" vertical="center" wrapText="0"/>
    </xf>
    <xf borderId="9" fillId="4" fontId="52" numFmtId="0" xfId="0" applyAlignment="1" applyBorder="1" applyFont="1">
      <alignment horizontal="center" shrinkToFit="0" vertical="center" wrapText="1"/>
    </xf>
    <xf borderId="9" fillId="24" fontId="8" numFmtId="0" xfId="0" applyAlignment="1" applyBorder="1" applyFont="1">
      <alignment horizontal="left" shrinkToFit="0" vertical="center" wrapText="1"/>
    </xf>
    <xf borderId="9" fillId="26" fontId="54" numFmtId="0" xfId="0" applyAlignment="1" applyBorder="1" applyFill="1" applyFont="1">
      <alignment horizontal="center" shrinkToFit="0" vertical="center" wrapText="0"/>
    </xf>
    <xf borderId="9" fillId="27" fontId="52" numFmtId="0" xfId="0" applyAlignment="1" applyBorder="1" applyFill="1" applyFont="1">
      <alignment horizontal="center" shrinkToFit="0" vertical="center" wrapText="1"/>
    </xf>
    <xf borderId="9" fillId="28" fontId="52" numFmtId="0" xfId="0" applyAlignment="1" applyBorder="1" applyFill="1" applyFont="1">
      <alignment horizontal="center" shrinkToFit="0" vertical="center" wrapText="1"/>
    </xf>
    <xf borderId="9" fillId="24" fontId="49" numFmtId="0" xfId="0" applyAlignment="1" applyBorder="1" applyFont="1">
      <alignment horizontal="left" shrinkToFit="0" vertical="center" wrapText="1"/>
    </xf>
    <xf borderId="9" fillId="10" fontId="52" numFmtId="0" xfId="0" applyAlignment="1" applyBorder="1" applyFont="1">
      <alignment horizontal="center" shrinkToFit="0" vertical="center" wrapText="1"/>
    </xf>
    <xf borderId="10" fillId="18" fontId="11" numFmtId="0" xfId="0" applyAlignment="1" applyBorder="1" applyFont="1">
      <alignment horizontal="left" shrinkToFit="0" vertical="center" wrapText="0"/>
    </xf>
    <xf borderId="9" fillId="24" fontId="50" numFmtId="0" xfId="0" applyAlignment="1" applyBorder="1" applyFont="1">
      <alignment horizontal="left" shrinkToFit="0" vertical="center" wrapText="0"/>
    </xf>
    <xf borderId="9" fillId="21" fontId="8" numFmtId="0" xfId="0" applyAlignment="1" applyBorder="1" applyFont="1">
      <alignment horizontal="left" shrinkToFit="0" vertical="center" wrapText="1"/>
    </xf>
    <xf borderId="9" fillId="21" fontId="50" numFmtId="0" xfId="0" applyAlignment="1" applyBorder="1" applyFont="1">
      <alignment horizontal="left" shrinkToFit="0" vertical="center" wrapText="0"/>
    </xf>
    <xf borderId="9" fillId="25" fontId="55" numFmtId="0" xfId="0" applyAlignment="1" applyBorder="1" applyFont="1">
      <alignment horizontal="center" shrinkToFit="0" vertical="center" wrapText="1"/>
    </xf>
    <xf borderId="9" fillId="24" fontId="49" numFmtId="0" xfId="0" applyAlignment="1" applyBorder="1" applyFont="1">
      <alignment horizontal="center" shrinkToFit="0" vertical="center" wrapText="0"/>
    </xf>
    <xf borderId="9" fillId="21" fontId="49" numFmtId="0" xfId="0" applyAlignment="1" applyBorder="1" applyFont="1">
      <alignment horizontal="center" shrinkToFit="0" vertical="center" wrapText="0"/>
    </xf>
    <xf borderId="13" fillId="14" fontId="5" numFmtId="0" xfId="0" applyAlignment="1" applyBorder="1" applyFont="1">
      <alignment horizontal="left" shrinkToFit="0" vertical="center" wrapText="1"/>
    </xf>
    <xf borderId="14" fillId="0" fontId="2" numFmtId="0" xfId="0" applyBorder="1" applyFont="1"/>
    <xf borderId="15" fillId="0" fontId="2" numFmtId="0" xfId="0" applyBorder="1" applyFont="1"/>
    <xf borderId="4" fillId="15" fontId="50" numFmtId="0" xfId="0" applyAlignment="1" applyBorder="1" applyFont="1">
      <alignment horizontal="left" shrinkToFit="0" vertical="center" wrapText="1"/>
    </xf>
    <xf borderId="4" fillId="5" fontId="50" numFmtId="0" xfId="0" applyAlignment="1" applyBorder="1" applyFont="1">
      <alignment horizontal="center" shrinkToFit="0" vertical="center" wrapText="1"/>
    </xf>
    <xf borderId="4" fillId="0" fontId="56" numFmtId="0" xfId="0" applyBorder="1" applyFont="1"/>
    <xf borderId="0" fillId="0" fontId="56" numFmtId="0" xfId="0" applyFont="1"/>
    <xf borderId="4" fillId="0" fontId="50" numFmtId="0" xfId="0" applyAlignment="1" applyBorder="1" applyFont="1">
      <alignment horizontal="left" shrinkToFit="0" vertical="center" wrapText="1"/>
    </xf>
    <xf borderId="4" fillId="29" fontId="50" numFmtId="0" xfId="0" applyAlignment="1" applyBorder="1" applyFill="1" applyFont="1">
      <alignment horizontal="center" shrinkToFit="0" vertical="center" wrapText="1"/>
    </xf>
    <xf borderId="4" fillId="15" fontId="51" numFmtId="0" xfId="0" applyAlignment="1" applyBorder="1" applyFont="1">
      <alignment horizontal="left" shrinkToFit="0" vertical="center" wrapText="1"/>
    </xf>
    <xf borderId="4" fillId="14" fontId="52" numFmtId="0" xfId="0" applyAlignment="1" applyBorder="1" applyFont="1">
      <alignment horizontal="center" shrinkToFit="0" vertical="center" wrapText="1"/>
    </xf>
    <xf borderId="4" fillId="9" fontId="50" numFmtId="0" xfId="0" applyAlignment="1" applyBorder="1" applyFont="1">
      <alignment horizontal="center" shrinkToFit="0" vertical="center" wrapText="1"/>
    </xf>
    <xf borderId="1" fillId="18" fontId="34" numFmtId="0" xfId="0" applyAlignment="1" applyBorder="1" applyFont="1">
      <alignment horizontal="center" shrinkToFit="0" vertical="center" wrapText="0"/>
    </xf>
    <xf borderId="1" fillId="30" fontId="57" numFmtId="0" xfId="0" applyAlignment="1" applyBorder="1" applyFill="1" applyFont="1">
      <alignment horizontal="left" shrinkToFit="0" vertical="center" wrapText="0"/>
    </xf>
    <xf borderId="9" fillId="20" fontId="39" numFmtId="0" xfId="0" applyAlignment="1" applyBorder="1" applyFont="1">
      <alignment horizontal="center" shrinkToFit="0" vertical="center" wrapText="1"/>
    </xf>
    <xf borderId="9" fillId="20" fontId="19" numFmtId="0" xfId="0" applyAlignment="1" applyBorder="1" applyFont="1">
      <alignment horizontal="center" shrinkToFit="0" vertical="center" wrapText="1"/>
    </xf>
    <xf borderId="9" fillId="31" fontId="58" numFmtId="0" xfId="0" applyAlignment="1" applyBorder="1" applyFill="1" applyFont="1">
      <alignment horizontal="center" shrinkToFit="0" vertical="center" wrapText="0"/>
    </xf>
    <xf borderId="9" fillId="24" fontId="9" numFmtId="0" xfId="0" applyAlignment="1" applyBorder="1" applyFont="1">
      <alignment horizontal="left" shrinkToFit="0" vertical="center" wrapText="1"/>
    </xf>
    <xf borderId="9" fillId="24" fontId="59" numFmtId="0" xfId="0" applyAlignment="1" applyBorder="1" applyFont="1">
      <alignment horizontal="left" shrinkToFit="0" vertical="center" wrapText="1"/>
    </xf>
    <xf borderId="9" fillId="31" fontId="60" numFmtId="0" xfId="0" applyAlignment="1" applyBorder="1" applyFont="1">
      <alignment horizontal="center" shrinkToFit="0" vertical="center" wrapText="1"/>
    </xf>
    <xf borderId="9" fillId="24" fontId="50" numFmtId="0" xfId="0" applyAlignment="1" applyBorder="1" applyFont="1">
      <alignment horizontal="left" shrinkToFit="0" vertical="center" wrapText="1"/>
    </xf>
    <xf borderId="9" fillId="32" fontId="51" numFmtId="0" xfId="0" applyAlignment="1" applyBorder="1" applyFill="1" applyFont="1">
      <alignment horizontal="center" shrinkToFit="0" vertical="center" wrapText="0"/>
    </xf>
    <xf borderId="9" fillId="33" fontId="8" numFmtId="0" xfId="0" applyAlignment="1" applyBorder="1" applyFill="1" applyFont="1">
      <alignment horizontal="center" shrinkToFit="0" vertical="center" wrapText="0"/>
    </xf>
    <xf borderId="9" fillId="21" fontId="9" numFmtId="0" xfId="0" applyAlignment="1" applyBorder="1" applyFont="1">
      <alignment horizontal="left" readingOrder="0" shrinkToFit="0" vertical="center" wrapText="1"/>
    </xf>
    <xf borderId="9" fillId="21" fontId="59" numFmtId="0" xfId="0" applyAlignment="1" applyBorder="1" applyFont="1">
      <alignment horizontal="left" shrinkToFit="0" vertical="center" wrapText="1"/>
    </xf>
    <xf borderId="9" fillId="21" fontId="49" numFmtId="0" xfId="0" applyAlignment="1" applyBorder="1" applyFont="1">
      <alignment horizontal="left" shrinkToFit="0" vertical="center" wrapText="1"/>
    </xf>
    <xf borderId="9" fillId="24" fontId="8" numFmtId="0" xfId="0" applyAlignment="1" applyBorder="1" applyFont="1">
      <alignment horizontal="left" shrinkToFit="0" vertical="center" wrapText="1"/>
    </xf>
    <xf borderId="9" fillId="24" fontId="61" numFmtId="0" xfId="0" applyAlignment="1" applyBorder="1" applyFont="1">
      <alignment horizontal="left" shrinkToFit="0" vertical="center" wrapText="1"/>
    </xf>
    <xf borderId="9" fillId="21" fontId="8" numFmtId="0" xfId="0" applyAlignment="1" applyBorder="1" applyFont="1">
      <alignment horizontal="left" shrinkToFit="0" vertical="center" wrapText="1"/>
    </xf>
    <xf borderId="9" fillId="21" fontId="61" numFmtId="0" xfId="0" applyAlignment="1" applyBorder="1" applyFont="1">
      <alignment horizontal="left" shrinkToFit="0" vertical="center" wrapText="1"/>
    </xf>
    <xf borderId="9" fillId="21" fontId="50" numFmtId="0" xfId="0" applyAlignment="1" applyBorder="1" applyFont="1">
      <alignment horizontal="left" shrinkToFit="0" vertical="center" wrapText="1"/>
    </xf>
    <xf borderId="9" fillId="22" fontId="62" numFmtId="0" xfId="0" applyAlignment="1" applyBorder="1" applyFont="1">
      <alignment horizontal="center" shrinkToFit="0" vertical="center" wrapText="0"/>
    </xf>
    <xf borderId="9" fillId="22" fontId="63" numFmtId="0" xfId="0" applyAlignment="1" applyBorder="1" applyFont="1">
      <alignment horizontal="center" shrinkToFit="0" vertical="center" wrapText="1"/>
    </xf>
    <xf borderId="9" fillId="24" fontId="49" numFmtId="0" xfId="0" applyAlignment="1" applyBorder="1" applyFont="1">
      <alignment horizontal="left" shrinkToFit="0" vertical="center" wrapText="1"/>
    </xf>
    <xf borderId="9" fillId="24" fontId="49" numFmtId="0" xfId="0" applyAlignment="1" applyBorder="1" applyFont="1">
      <alignment horizontal="center" shrinkToFit="0" vertical="center" wrapText="0"/>
    </xf>
    <xf borderId="9" fillId="21" fontId="9" numFmtId="0" xfId="0" applyAlignment="1" applyBorder="1" applyFont="1">
      <alignment horizontal="left" shrinkToFit="0" vertical="center" wrapText="1"/>
    </xf>
    <xf borderId="9" fillId="21" fontId="49" numFmtId="0" xfId="0" applyAlignment="1" applyBorder="1" applyFont="1">
      <alignment horizontal="center" shrinkToFit="0" vertical="center" wrapText="0"/>
    </xf>
    <xf borderId="9" fillId="26" fontId="64" numFmtId="0" xfId="0" applyAlignment="1" applyBorder="1" applyFont="1">
      <alignment horizontal="center" shrinkToFit="0" vertical="center" wrapText="0"/>
    </xf>
    <xf borderId="9" fillId="26" fontId="65" numFmtId="0" xfId="0" applyAlignment="1" applyBorder="1" applyFont="1">
      <alignment horizontal="center" shrinkToFit="0" vertical="center" wrapText="1"/>
    </xf>
    <xf borderId="9" fillId="24" fontId="50" numFmtId="0" xfId="0" applyAlignment="1" applyBorder="1" applyFont="1">
      <alignment horizontal="center" shrinkToFit="0" vertical="center" wrapText="0"/>
    </xf>
    <xf borderId="0" fillId="26" fontId="64" numFmtId="0" xfId="0" applyAlignment="1" applyFont="1">
      <alignment horizontal="center" shrinkToFit="0" vertical="center" wrapText="0"/>
    </xf>
    <xf borderId="0" fillId="21" fontId="9" numFmtId="0" xfId="0" applyAlignment="1" applyFont="1">
      <alignment horizontal="left" shrinkToFit="0" vertical="center" wrapText="1"/>
    </xf>
    <xf borderId="0" fillId="21" fontId="61" numFmtId="0" xfId="0" applyAlignment="1" applyFont="1">
      <alignment horizontal="left" shrinkToFit="0" vertical="center" wrapText="1"/>
    </xf>
    <xf borderId="0" fillId="26" fontId="65" numFmtId="0" xfId="0" applyAlignment="1" applyFont="1">
      <alignment horizontal="center" shrinkToFit="0" vertical="center" wrapText="1"/>
    </xf>
    <xf borderId="0" fillId="21" fontId="50" numFmtId="0" xfId="0" applyAlignment="1" applyFont="1">
      <alignment horizontal="left" shrinkToFit="0" vertical="center" wrapText="1"/>
    </xf>
    <xf borderId="0" fillId="21" fontId="49" numFmtId="0" xfId="0" applyAlignment="1" applyFont="1">
      <alignment horizontal="center" shrinkToFit="0" vertical="center" wrapText="0"/>
    </xf>
    <xf borderId="0" fillId="33" fontId="8" numFmtId="0" xfId="0" applyAlignment="1" applyFont="1">
      <alignment horizontal="center" shrinkToFit="0" vertical="center" wrapText="0"/>
    </xf>
    <xf borderId="1" fillId="19" fontId="66" numFmtId="0" xfId="0" applyAlignment="1" applyBorder="1" applyFont="1">
      <alignment horizontal="left" shrinkToFit="0" vertical="center" wrapText="0"/>
    </xf>
  </cellXfs>
  <cellStyles count="1">
    <cellStyle xfId="0" name="Normal" builtinId="0"/>
  </cellStyles>
  <dxfs count="4">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前提条件チェックリスト-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H18" displayName="Table_1" name="Table_1" id="1">
  <tableColumns count="8">
    <tableColumn name="#" id="1"/>
    <tableColumn name="前提条件（確認すべき内容）" id="2"/>
    <tableColumn name="紐づく補助金" id="3"/>
    <tableColumn name="優先度" id="4"/>
    <tableColumn name="確認方法・担当" id="5"/>
    <tableColumn name="確認期限" id="6"/>
    <tableColumn name="クリアしないとどうなるか（リスク）" id="7"/>
    <tableColumn name="確認ステータス" id="8"/>
  </tableColumns>
  <tableStyleInfo name="前提条件チェックリスト-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t-shien.smrj.go.jp/about/" TargetMode="External"/><Relationship Id="rId2" Type="http://schemas.openxmlformats.org/officeDocument/2006/relationships/hyperlink" Target="https://portal.monodukuri-hojo.jp/about.html" TargetMode="External"/><Relationship Id="rId3" Type="http://schemas.openxmlformats.org/officeDocument/2006/relationships/hyperlink" Target="https://shinjigyou-shinshutsu.smrj.go.jp/initialstep" TargetMode="External"/><Relationship Id="rId4" Type="http://schemas.openxmlformats.org/officeDocument/2006/relationships/hyperlink" Target="https://www.jizokukanb.com/jizokuka_r1h/jizokuka.html" TargetMode="External"/><Relationship Id="rId5" Type="http://schemas.openxmlformats.org/officeDocument/2006/relationships/hyperlink" Target="https://www.jpnsport.go.jp/sinko/home/tabid/36/Default.aspx" TargetMode="External"/><Relationship Id="rId6" Type="http://schemas.openxmlformats.org/officeDocument/2006/relationships/hyperlink" Target="https://www.mhlw.go.jp/stf/seisakunitsuite/bunya/koyou_roudou/part_haken/jigyounushi/career.html"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30.0"/>
    <col customWidth="1" min="3" max="3" width="18.0"/>
    <col customWidth="1" min="4" max="4" width="12.0"/>
    <col customWidth="1" min="5" max="5" width="22.0"/>
    <col customWidth="1" min="6" max="7" width="15.43"/>
    <col customWidth="1" min="8" max="8" width="32.0"/>
    <col customWidth="1" min="9" max="9" width="14.0"/>
    <col customWidth="1" min="10" max="10" width="28.0"/>
    <col customWidth="1" min="11" max="12" width="34.0"/>
    <col customWidth="1" min="13" max="13" width="30.0"/>
    <col customWidth="1" min="14" max="14" width="12.0"/>
    <col customWidth="1" min="15" max="15" width="18.0"/>
  </cols>
  <sheetData>
    <row r="1" ht="39.75" customHeight="1">
      <c r="A1" s="1" t="s">
        <v>0</v>
      </c>
      <c r="B1" s="2"/>
      <c r="C1" s="2"/>
      <c r="D1" s="2"/>
      <c r="E1" s="2"/>
      <c r="F1" s="2"/>
      <c r="G1" s="2"/>
      <c r="H1" s="2"/>
      <c r="I1" s="2"/>
      <c r="J1" s="2"/>
      <c r="K1" s="2"/>
      <c r="L1" s="2"/>
      <c r="M1" s="2"/>
      <c r="N1" s="2"/>
      <c r="O1" s="3"/>
    </row>
    <row r="2" ht="21.75" customHeight="1">
      <c r="A2" s="4" t="s">
        <v>1</v>
      </c>
      <c r="B2" s="2"/>
      <c r="C2" s="2"/>
      <c r="D2" s="2"/>
      <c r="E2" s="2"/>
      <c r="F2" s="2"/>
      <c r="G2" s="2"/>
      <c r="H2" s="2"/>
      <c r="I2" s="2"/>
      <c r="J2" s="2"/>
      <c r="K2" s="2"/>
      <c r="L2" s="2"/>
      <c r="M2" s="2"/>
      <c r="N2" s="2"/>
      <c r="O2" s="3"/>
    </row>
    <row r="3" ht="7.5" customHeight="1">
      <c r="A3" s="5"/>
      <c r="B3" s="5"/>
      <c r="C3" s="5"/>
      <c r="D3" s="5"/>
      <c r="E3" s="5"/>
      <c r="F3" s="5"/>
      <c r="G3" s="5"/>
      <c r="H3" s="5"/>
      <c r="I3" s="5"/>
      <c r="J3" s="5"/>
      <c r="K3" s="5"/>
      <c r="L3" s="5"/>
      <c r="M3" s="5"/>
      <c r="N3" s="5"/>
      <c r="O3" s="5"/>
    </row>
    <row r="4" ht="51.75" customHeight="1">
      <c r="A4" s="6" t="s">
        <v>2</v>
      </c>
      <c r="B4" s="6" t="s">
        <v>3</v>
      </c>
      <c r="C4" s="6" t="s">
        <v>4</v>
      </c>
      <c r="D4" s="6" t="s">
        <v>5</v>
      </c>
      <c r="E4" s="6" t="s">
        <v>6</v>
      </c>
      <c r="F4" s="6" t="s">
        <v>7</v>
      </c>
      <c r="G4" s="6" t="s">
        <v>8</v>
      </c>
      <c r="H4" s="6" t="s">
        <v>9</v>
      </c>
      <c r="I4" s="6" t="s">
        <v>10</v>
      </c>
      <c r="J4" s="6" t="s">
        <v>11</v>
      </c>
      <c r="K4" s="6" t="s">
        <v>12</v>
      </c>
      <c r="L4" s="7" t="s">
        <v>13</v>
      </c>
      <c r="M4" s="6" t="s">
        <v>14</v>
      </c>
      <c r="N4" s="6" t="s">
        <v>15</v>
      </c>
      <c r="O4" s="6" t="s">
        <v>16</v>
      </c>
    </row>
    <row r="5" ht="99.75" customHeight="1">
      <c r="A5" s="8" t="s">
        <v>17</v>
      </c>
      <c r="B5" s="9" t="s">
        <v>18</v>
      </c>
      <c r="C5" s="9" t="s">
        <v>19</v>
      </c>
      <c r="D5" s="10" t="s">
        <v>20</v>
      </c>
      <c r="E5" s="10" t="s">
        <v>21</v>
      </c>
      <c r="F5" s="9" t="s">
        <v>22</v>
      </c>
      <c r="G5" s="9" t="s">
        <v>23</v>
      </c>
      <c r="H5" s="9" t="s">
        <v>24</v>
      </c>
      <c r="I5" s="9" t="s">
        <v>25</v>
      </c>
      <c r="J5" s="9" t="s">
        <v>26</v>
      </c>
      <c r="K5" s="9" t="s">
        <v>27</v>
      </c>
      <c r="L5" s="9" t="s">
        <v>28</v>
      </c>
      <c r="M5" s="9" t="s">
        <v>29</v>
      </c>
      <c r="N5" s="11">
        <v>9.0</v>
      </c>
      <c r="O5" s="12" t="s">
        <v>30</v>
      </c>
    </row>
    <row r="6" ht="99.75" customHeight="1">
      <c r="A6" s="13" t="s">
        <v>31</v>
      </c>
      <c r="B6" s="14" t="s">
        <v>32</v>
      </c>
      <c r="C6" s="15" t="s">
        <v>33</v>
      </c>
      <c r="D6" s="15" t="s">
        <v>34</v>
      </c>
      <c r="E6" s="15" t="s">
        <v>35</v>
      </c>
      <c r="F6" s="16" t="s">
        <v>36</v>
      </c>
      <c r="G6" s="16" t="s">
        <v>22</v>
      </c>
      <c r="H6" s="16" t="s">
        <v>37</v>
      </c>
      <c r="I6" s="16" t="s">
        <v>38</v>
      </c>
      <c r="J6" s="16" t="s">
        <v>39</v>
      </c>
      <c r="K6" s="16" t="s">
        <v>40</v>
      </c>
      <c r="L6" s="16" t="s">
        <v>41</v>
      </c>
      <c r="M6" s="16" t="s">
        <v>42</v>
      </c>
      <c r="N6" s="17">
        <v>7.0</v>
      </c>
      <c r="O6" s="18" t="s">
        <v>43</v>
      </c>
    </row>
    <row r="7" ht="99.75" customHeight="1">
      <c r="A7" s="13" t="s">
        <v>44</v>
      </c>
      <c r="B7" s="19" t="s">
        <v>45</v>
      </c>
      <c r="C7" s="19" t="s">
        <v>46</v>
      </c>
      <c r="D7" s="20" t="s">
        <v>47</v>
      </c>
      <c r="E7" s="21" t="s">
        <v>48</v>
      </c>
      <c r="F7" s="19" t="s">
        <v>49</v>
      </c>
      <c r="G7" s="19" t="s">
        <v>50</v>
      </c>
      <c r="H7" s="19" t="s">
        <v>51</v>
      </c>
      <c r="I7" s="19" t="s">
        <v>52</v>
      </c>
      <c r="J7" s="19" t="s">
        <v>53</v>
      </c>
      <c r="K7" s="19" t="s">
        <v>54</v>
      </c>
      <c r="L7" s="19" t="s">
        <v>55</v>
      </c>
      <c r="M7" s="19" t="s">
        <v>56</v>
      </c>
      <c r="N7" s="22">
        <v>5.0</v>
      </c>
      <c r="O7" s="23" t="s">
        <v>57</v>
      </c>
    </row>
    <row r="8" ht="99.75" customHeight="1">
      <c r="A8" s="13" t="s">
        <v>58</v>
      </c>
      <c r="B8" s="16" t="s">
        <v>59</v>
      </c>
      <c r="C8" s="16" t="s">
        <v>60</v>
      </c>
      <c r="D8" s="15" t="s">
        <v>61</v>
      </c>
      <c r="E8" s="15" t="s">
        <v>62</v>
      </c>
      <c r="F8" s="16" t="s">
        <v>63</v>
      </c>
      <c r="G8" s="16" t="s">
        <v>64</v>
      </c>
      <c r="H8" s="16" t="s">
        <v>65</v>
      </c>
      <c r="I8" s="16" t="s">
        <v>66</v>
      </c>
      <c r="J8" s="16" t="s">
        <v>67</v>
      </c>
      <c r="K8" s="16" t="s">
        <v>68</v>
      </c>
      <c r="L8" s="16" t="s">
        <v>69</v>
      </c>
      <c r="M8" s="14" t="s">
        <v>70</v>
      </c>
      <c r="N8" s="17">
        <v>7.0</v>
      </c>
      <c r="O8" s="18" t="s">
        <v>71</v>
      </c>
    </row>
    <row r="9" ht="99.75" customHeight="1">
      <c r="A9" s="24" t="s">
        <v>72</v>
      </c>
      <c r="B9" s="25" t="s">
        <v>73</v>
      </c>
      <c r="C9" s="25" t="s">
        <v>74</v>
      </c>
      <c r="D9" s="25" t="s">
        <v>75</v>
      </c>
      <c r="E9" s="26" t="s">
        <v>76</v>
      </c>
      <c r="F9" s="25" t="s">
        <v>36</v>
      </c>
      <c r="G9" s="25" t="s">
        <v>36</v>
      </c>
      <c r="H9" s="27" t="s">
        <v>77</v>
      </c>
      <c r="I9" s="25" t="s">
        <v>78</v>
      </c>
      <c r="J9" s="25" t="s">
        <v>79</v>
      </c>
      <c r="K9" s="25" t="s">
        <v>80</v>
      </c>
      <c r="L9" s="25" t="s">
        <v>81</v>
      </c>
      <c r="M9" s="25" t="s">
        <v>82</v>
      </c>
      <c r="N9" s="17">
        <v>6.0</v>
      </c>
      <c r="O9" s="28" t="s">
        <v>83</v>
      </c>
    </row>
    <row r="10" ht="99.75" customHeight="1">
      <c r="A10" s="13" t="s">
        <v>84</v>
      </c>
      <c r="B10" s="27" t="s">
        <v>85</v>
      </c>
      <c r="C10" s="26" t="s">
        <v>86</v>
      </c>
      <c r="D10" s="25" t="s">
        <v>87</v>
      </c>
      <c r="E10" s="26" t="s">
        <v>88</v>
      </c>
      <c r="F10" s="25" t="s">
        <v>22</v>
      </c>
      <c r="G10" s="25" t="s">
        <v>23</v>
      </c>
      <c r="H10" s="25" t="s">
        <v>89</v>
      </c>
      <c r="I10" s="25" t="s">
        <v>90</v>
      </c>
      <c r="J10" s="25" t="s">
        <v>91</v>
      </c>
      <c r="K10" s="25" t="s">
        <v>92</v>
      </c>
      <c r="L10" s="25" t="s">
        <v>93</v>
      </c>
      <c r="M10" s="25" t="s">
        <v>94</v>
      </c>
      <c r="N10" s="17">
        <v>6.0</v>
      </c>
      <c r="O10" s="28" t="s">
        <v>95</v>
      </c>
    </row>
    <row r="11">
      <c r="A11" s="5"/>
      <c r="B11" s="5"/>
      <c r="C11" s="5"/>
      <c r="D11" s="5"/>
      <c r="E11" s="5"/>
      <c r="F11" s="5"/>
      <c r="G11" s="5"/>
      <c r="H11" s="5"/>
      <c r="I11" s="5"/>
      <c r="J11" s="5"/>
      <c r="K11" s="5"/>
      <c r="L11" s="5"/>
      <c r="M11" s="5"/>
      <c r="N11" s="5"/>
      <c r="O11" s="5"/>
    </row>
    <row r="12" ht="19.5" customHeight="1">
      <c r="A12" s="29" t="s">
        <v>96</v>
      </c>
      <c r="B12" s="2"/>
      <c r="C12" s="2"/>
      <c r="D12" s="2"/>
      <c r="E12" s="2"/>
      <c r="F12" s="2"/>
      <c r="G12" s="2"/>
      <c r="H12" s="2"/>
      <c r="I12" s="2"/>
      <c r="J12" s="2"/>
      <c r="K12" s="2"/>
      <c r="L12" s="2"/>
      <c r="M12" s="2"/>
      <c r="N12" s="2"/>
      <c r="O12" s="3"/>
    </row>
    <row r="13">
      <c r="A13" s="5"/>
      <c r="B13" s="5"/>
      <c r="C13" s="5"/>
      <c r="D13" s="5"/>
      <c r="E13" s="5"/>
      <c r="F13" s="5"/>
      <c r="G13" s="5"/>
      <c r="H13" s="5"/>
      <c r="I13" s="5"/>
      <c r="J13" s="5"/>
      <c r="K13" s="5"/>
      <c r="L13" s="5"/>
      <c r="M13" s="5"/>
      <c r="N13" s="5"/>
      <c r="O13" s="5"/>
    </row>
    <row r="14" ht="27.75" customHeight="1">
      <c r="A14" s="30" t="s">
        <v>97</v>
      </c>
      <c r="B14" s="31"/>
      <c r="C14" s="31"/>
      <c r="D14" s="31"/>
      <c r="E14" s="31"/>
      <c r="F14" s="31"/>
      <c r="G14" s="31"/>
      <c r="H14" s="31"/>
      <c r="I14" s="31"/>
      <c r="J14" s="31"/>
      <c r="K14" s="31"/>
      <c r="L14" s="31"/>
      <c r="M14" s="31"/>
      <c r="N14" s="31"/>
      <c r="O14" s="32"/>
    </row>
    <row r="15" ht="48.0" customHeight="1">
      <c r="A15" s="33" t="s">
        <v>98</v>
      </c>
      <c r="B15" s="31"/>
      <c r="C15" s="32"/>
      <c r="D15" s="34" t="s">
        <v>99</v>
      </c>
      <c r="E15" s="31"/>
      <c r="F15" s="31"/>
      <c r="G15" s="31"/>
      <c r="H15" s="31"/>
      <c r="I15" s="31"/>
      <c r="J15" s="31"/>
      <c r="K15" s="31"/>
      <c r="L15" s="31"/>
      <c r="M15" s="31"/>
      <c r="N15" s="31"/>
      <c r="O15" s="32"/>
    </row>
    <row r="16" ht="48.0" customHeight="1">
      <c r="A16" s="35" t="s">
        <v>100</v>
      </c>
      <c r="B16" s="31"/>
      <c r="C16" s="32"/>
      <c r="D16" s="36" t="s">
        <v>101</v>
      </c>
      <c r="E16" s="31"/>
      <c r="F16" s="31"/>
      <c r="G16" s="31"/>
      <c r="H16" s="31"/>
      <c r="I16" s="31"/>
      <c r="J16" s="31"/>
      <c r="K16" s="31"/>
      <c r="L16" s="31"/>
      <c r="M16" s="31"/>
      <c r="N16" s="31"/>
      <c r="O16" s="32"/>
    </row>
    <row r="17" ht="48.0" customHeight="1">
      <c r="A17" s="37" t="s">
        <v>102</v>
      </c>
      <c r="B17" s="31"/>
      <c r="C17" s="32"/>
      <c r="D17" s="36" t="s">
        <v>103</v>
      </c>
      <c r="E17" s="31"/>
      <c r="F17" s="31"/>
      <c r="G17" s="31"/>
      <c r="H17" s="31"/>
      <c r="I17" s="31"/>
      <c r="J17" s="31"/>
      <c r="K17" s="31"/>
      <c r="L17" s="31"/>
      <c r="M17" s="31"/>
      <c r="N17" s="31"/>
      <c r="O17" s="32"/>
    </row>
    <row r="18">
      <c r="A18" s="5"/>
      <c r="B18" s="5"/>
      <c r="C18" s="5"/>
      <c r="D18" s="5"/>
      <c r="E18" s="5"/>
      <c r="F18" s="5"/>
      <c r="G18" s="5"/>
      <c r="H18" s="5"/>
      <c r="I18" s="5"/>
      <c r="J18" s="5"/>
      <c r="K18" s="5"/>
      <c r="L18" s="5"/>
      <c r="M18" s="5"/>
      <c r="N18" s="5"/>
      <c r="O18" s="5"/>
    </row>
    <row r="19">
      <c r="A19" s="5"/>
      <c r="B19" s="5"/>
      <c r="C19" s="5"/>
      <c r="D19" s="5"/>
      <c r="E19" s="5"/>
      <c r="F19" s="5"/>
      <c r="G19" s="5"/>
      <c r="H19" s="5"/>
      <c r="I19" s="5"/>
      <c r="J19" s="5"/>
      <c r="K19" s="5"/>
      <c r="L19" s="5"/>
      <c r="M19" s="5"/>
      <c r="N19" s="5"/>
      <c r="O19" s="5"/>
    </row>
    <row r="20">
      <c r="A20" s="5"/>
      <c r="B20" s="5"/>
      <c r="C20" s="5"/>
      <c r="D20" s="5"/>
      <c r="E20" s="5"/>
      <c r="F20" s="5"/>
      <c r="G20" s="5"/>
      <c r="H20" s="5"/>
      <c r="I20" s="5"/>
      <c r="J20" s="5"/>
      <c r="K20" s="5"/>
      <c r="L20" s="5"/>
      <c r="M20" s="5"/>
      <c r="N20" s="5"/>
      <c r="O20" s="5"/>
    </row>
    <row r="21" ht="15.75" customHeight="1">
      <c r="A21" s="5"/>
      <c r="B21" s="5"/>
      <c r="C21" s="5"/>
      <c r="D21" s="5"/>
      <c r="E21" s="5"/>
      <c r="F21" s="5"/>
      <c r="G21" s="5"/>
      <c r="H21" s="5"/>
      <c r="I21" s="5"/>
      <c r="J21" s="5"/>
      <c r="K21" s="5"/>
      <c r="L21" s="5"/>
      <c r="M21" s="5"/>
      <c r="N21" s="5"/>
      <c r="O21" s="5"/>
    </row>
    <row r="22" ht="15.75" customHeight="1">
      <c r="A22" s="5"/>
      <c r="B22" s="5"/>
      <c r="C22" s="5"/>
      <c r="D22" s="5"/>
      <c r="E22" s="5"/>
      <c r="F22" s="5"/>
      <c r="G22" s="5"/>
      <c r="H22" s="5"/>
      <c r="I22" s="5"/>
      <c r="J22" s="5"/>
      <c r="K22" s="5"/>
      <c r="L22" s="5"/>
      <c r="M22" s="5"/>
      <c r="N22" s="5"/>
      <c r="O22" s="5"/>
    </row>
    <row r="23" ht="15.75" customHeight="1">
      <c r="A23" s="5"/>
      <c r="B23" s="5"/>
      <c r="C23" s="5"/>
      <c r="D23" s="5"/>
      <c r="E23" s="5"/>
      <c r="F23" s="5"/>
      <c r="G23" s="5"/>
      <c r="H23" s="5"/>
      <c r="I23" s="5"/>
      <c r="J23" s="5"/>
      <c r="K23" s="5"/>
      <c r="L23" s="5"/>
      <c r="M23" s="5"/>
      <c r="N23" s="5"/>
      <c r="O23" s="5"/>
    </row>
    <row r="24" ht="15.75" customHeight="1">
      <c r="A24" s="5"/>
      <c r="B24" s="5"/>
      <c r="C24" s="5"/>
      <c r="D24" s="5"/>
      <c r="E24" s="5"/>
      <c r="F24" s="5"/>
      <c r="G24" s="5"/>
      <c r="H24" s="5"/>
      <c r="I24" s="5"/>
      <c r="J24" s="5"/>
      <c r="K24" s="5"/>
      <c r="L24" s="5"/>
      <c r="M24" s="5"/>
      <c r="N24" s="5"/>
      <c r="O24" s="5"/>
    </row>
    <row r="25" ht="15.75" customHeight="1">
      <c r="A25" s="5"/>
      <c r="B25" s="5"/>
      <c r="C25" s="5"/>
      <c r="D25" s="5"/>
      <c r="E25" s="5"/>
      <c r="F25" s="5"/>
      <c r="G25" s="5"/>
      <c r="H25" s="5"/>
      <c r="I25" s="5"/>
      <c r="J25" s="5"/>
      <c r="K25" s="5"/>
      <c r="L25" s="5"/>
      <c r="M25" s="5"/>
      <c r="N25" s="5"/>
      <c r="O25" s="5"/>
    </row>
    <row r="26" ht="15.75" customHeight="1">
      <c r="A26" s="5"/>
      <c r="B26" s="5"/>
      <c r="C26" s="5"/>
      <c r="D26" s="5"/>
      <c r="E26" s="5"/>
      <c r="F26" s="5"/>
      <c r="G26" s="5"/>
      <c r="H26" s="5"/>
      <c r="I26" s="5"/>
      <c r="J26" s="5"/>
      <c r="K26" s="5"/>
      <c r="L26" s="5"/>
      <c r="M26" s="5"/>
      <c r="N26" s="5"/>
      <c r="O26" s="5"/>
    </row>
    <row r="27" ht="15.75" customHeight="1">
      <c r="A27" s="5"/>
      <c r="B27" s="5"/>
      <c r="C27" s="5"/>
      <c r="D27" s="5"/>
      <c r="E27" s="5"/>
      <c r="F27" s="5"/>
      <c r="G27" s="5"/>
      <c r="H27" s="5"/>
      <c r="I27" s="5"/>
      <c r="J27" s="5"/>
      <c r="K27" s="5"/>
      <c r="L27" s="5"/>
      <c r="M27" s="5"/>
      <c r="N27" s="5"/>
      <c r="O27" s="5"/>
    </row>
    <row r="28" ht="15.75" customHeight="1">
      <c r="A28" s="5"/>
      <c r="B28" s="5"/>
      <c r="C28" s="5"/>
      <c r="D28" s="5"/>
      <c r="E28" s="5"/>
      <c r="F28" s="5"/>
      <c r="G28" s="5"/>
      <c r="H28" s="5"/>
      <c r="I28" s="5"/>
      <c r="J28" s="5"/>
      <c r="K28" s="5"/>
      <c r="L28" s="5"/>
      <c r="M28" s="5"/>
      <c r="N28" s="5"/>
      <c r="O28" s="5"/>
    </row>
    <row r="29" ht="15.75" customHeight="1">
      <c r="A29" s="5"/>
      <c r="B29" s="5"/>
      <c r="C29" s="5"/>
      <c r="D29" s="5"/>
      <c r="E29" s="5"/>
      <c r="F29" s="5"/>
      <c r="G29" s="5"/>
      <c r="H29" s="5"/>
      <c r="I29" s="5"/>
      <c r="J29" s="5"/>
      <c r="K29" s="5"/>
      <c r="L29" s="5"/>
      <c r="M29" s="5"/>
      <c r="N29" s="5"/>
      <c r="O29" s="5"/>
    </row>
    <row r="30" ht="15.75" customHeight="1">
      <c r="A30" s="5"/>
      <c r="B30" s="5"/>
      <c r="C30" s="5"/>
      <c r="D30" s="5"/>
      <c r="E30" s="5"/>
      <c r="F30" s="5"/>
      <c r="G30" s="5"/>
      <c r="H30" s="5"/>
      <c r="I30" s="5"/>
      <c r="J30" s="5"/>
      <c r="K30" s="5"/>
      <c r="L30" s="5"/>
      <c r="M30" s="5"/>
      <c r="N30" s="5"/>
      <c r="O30" s="5"/>
    </row>
    <row r="31" ht="15.75" customHeight="1">
      <c r="A31" s="5"/>
      <c r="B31" s="5"/>
      <c r="C31" s="5"/>
      <c r="D31" s="5"/>
      <c r="E31" s="5"/>
      <c r="F31" s="5"/>
      <c r="G31" s="5"/>
      <c r="H31" s="5"/>
      <c r="I31" s="5"/>
      <c r="J31" s="5"/>
      <c r="K31" s="5"/>
      <c r="L31" s="5"/>
      <c r="M31" s="5"/>
      <c r="N31" s="5"/>
      <c r="O31" s="5"/>
    </row>
    <row r="32" ht="15.75" customHeight="1">
      <c r="A32" s="5"/>
      <c r="B32" s="5"/>
      <c r="C32" s="5"/>
      <c r="D32" s="5"/>
      <c r="E32" s="5"/>
      <c r="F32" s="5"/>
      <c r="G32" s="5"/>
      <c r="H32" s="5"/>
      <c r="I32" s="5"/>
      <c r="J32" s="5"/>
      <c r="K32" s="5"/>
      <c r="L32" s="5"/>
      <c r="M32" s="5"/>
      <c r="N32" s="5"/>
      <c r="O32" s="5"/>
    </row>
    <row r="33" ht="15.75" customHeight="1">
      <c r="A33" s="5"/>
      <c r="B33" s="5"/>
      <c r="C33" s="5"/>
      <c r="D33" s="5"/>
      <c r="E33" s="5"/>
      <c r="F33" s="5"/>
      <c r="G33" s="5"/>
      <c r="H33" s="5"/>
      <c r="I33" s="5"/>
      <c r="J33" s="5"/>
      <c r="K33" s="5"/>
      <c r="L33" s="5"/>
      <c r="M33" s="5"/>
      <c r="N33" s="5"/>
      <c r="O33" s="5"/>
    </row>
    <row r="34" ht="15.75" customHeight="1">
      <c r="A34" s="5"/>
      <c r="B34" s="5"/>
      <c r="C34" s="5"/>
      <c r="D34" s="5"/>
      <c r="E34" s="5"/>
      <c r="F34" s="5"/>
      <c r="G34" s="5"/>
      <c r="H34" s="5"/>
      <c r="I34" s="5"/>
      <c r="J34" s="5"/>
      <c r="K34" s="5"/>
      <c r="L34" s="5"/>
      <c r="M34" s="5"/>
      <c r="N34" s="5"/>
      <c r="O34" s="5"/>
    </row>
    <row r="35" ht="15.75" customHeight="1">
      <c r="A35" s="5"/>
      <c r="B35" s="5"/>
      <c r="C35" s="5"/>
      <c r="D35" s="5"/>
      <c r="E35" s="5"/>
      <c r="F35" s="5"/>
      <c r="G35" s="5"/>
      <c r="H35" s="5"/>
      <c r="I35" s="5"/>
      <c r="J35" s="5"/>
      <c r="K35" s="5"/>
      <c r="L35" s="5"/>
      <c r="M35" s="5"/>
      <c r="N35" s="5"/>
      <c r="O35" s="5"/>
    </row>
    <row r="36" ht="15.75" customHeight="1">
      <c r="A36" s="5"/>
      <c r="B36" s="5"/>
      <c r="C36" s="5"/>
      <c r="D36" s="5"/>
      <c r="E36" s="5"/>
      <c r="F36" s="5"/>
      <c r="G36" s="5"/>
      <c r="H36" s="5"/>
      <c r="I36" s="5"/>
      <c r="J36" s="5"/>
      <c r="K36" s="5"/>
      <c r="L36" s="5"/>
      <c r="M36" s="5"/>
      <c r="N36" s="5"/>
      <c r="O36" s="5"/>
    </row>
    <row r="37" ht="15.75" customHeight="1">
      <c r="A37" s="5"/>
      <c r="B37" s="5"/>
      <c r="C37" s="5"/>
      <c r="D37" s="5"/>
      <c r="E37" s="5"/>
      <c r="F37" s="5"/>
      <c r="G37" s="5"/>
      <c r="H37" s="5"/>
      <c r="I37" s="5"/>
      <c r="J37" s="5"/>
      <c r="K37" s="5"/>
      <c r="L37" s="5"/>
      <c r="M37" s="5"/>
      <c r="N37" s="5"/>
      <c r="O37" s="5"/>
    </row>
    <row r="38" ht="15.75" customHeight="1">
      <c r="A38" s="5"/>
      <c r="B38" s="5"/>
      <c r="C38" s="5"/>
      <c r="D38" s="5"/>
      <c r="E38" s="5"/>
      <c r="F38" s="5"/>
      <c r="G38" s="5"/>
      <c r="H38" s="5"/>
      <c r="I38" s="5"/>
      <c r="J38" s="5"/>
      <c r="K38" s="5"/>
      <c r="L38" s="5"/>
      <c r="M38" s="5"/>
      <c r="N38" s="5"/>
      <c r="O38" s="5"/>
    </row>
    <row r="39" ht="15.75" customHeight="1">
      <c r="A39" s="5"/>
      <c r="B39" s="5"/>
      <c r="C39" s="5"/>
      <c r="D39" s="5"/>
      <c r="E39" s="5"/>
      <c r="F39" s="5"/>
      <c r="G39" s="5"/>
      <c r="H39" s="5"/>
      <c r="I39" s="5"/>
      <c r="J39" s="5"/>
      <c r="K39" s="5"/>
      <c r="L39" s="5"/>
      <c r="M39" s="5"/>
      <c r="N39" s="5"/>
      <c r="O39" s="5"/>
    </row>
    <row r="40" ht="15.75" customHeight="1">
      <c r="A40" s="5"/>
      <c r="B40" s="5"/>
      <c r="C40" s="5"/>
      <c r="D40" s="5"/>
      <c r="E40" s="5"/>
      <c r="F40" s="5"/>
      <c r="G40" s="5"/>
      <c r="H40" s="5"/>
      <c r="I40" s="5"/>
      <c r="J40" s="5"/>
      <c r="K40" s="5"/>
      <c r="L40" s="5"/>
      <c r="M40" s="5"/>
      <c r="N40" s="5"/>
      <c r="O40" s="5"/>
    </row>
    <row r="41" ht="15.75" customHeight="1">
      <c r="A41" s="5"/>
      <c r="B41" s="5"/>
      <c r="C41" s="5"/>
      <c r="D41" s="5"/>
      <c r="E41" s="5"/>
      <c r="F41" s="5"/>
      <c r="G41" s="5"/>
      <c r="H41" s="5"/>
      <c r="I41" s="5"/>
      <c r="J41" s="5"/>
      <c r="K41" s="5"/>
      <c r="L41" s="5"/>
      <c r="M41" s="5"/>
      <c r="N41" s="5"/>
      <c r="O41" s="5"/>
    </row>
    <row r="42" ht="15.75" customHeight="1">
      <c r="A42" s="5"/>
      <c r="B42" s="5"/>
      <c r="C42" s="5"/>
      <c r="D42" s="5"/>
      <c r="E42" s="5"/>
      <c r="F42" s="5"/>
      <c r="G42" s="5"/>
      <c r="H42" s="5"/>
      <c r="I42" s="5"/>
      <c r="J42" s="5"/>
      <c r="K42" s="5"/>
      <c r="L42" s="5"/>
      <c r="M42" s="5"/>
      <c r="N42" s="5"/>
      <c r="O42" s="5"/>
    </row>
    <row r="43" ht="15.75" customHeight="1">
      <c r="A43" s="5"/>
      <c r="B43" s="5"/>
      <c r="C43" s="5"/>
      <c r="D43" s="5"/>
      <c r="E43" s="5"/>
      <c r="F43" s="5"/>
      <c r="G43" s="5"/>
      <c r="H43" s="5"/>
      <c r="I43" s="5"/>
      <c r="J43" s="5"/>
      <c r="K43" s="5"/>
      <c r="L43" s="5"/>
      <c r="M43" s="5"/>
      <c r="N43" s="5"/>
      <c r="O43" s="5"/>
    </row>
    <row r="44" ht="15.75" customHeight="1">
      <c r="A44" s="5"/>
      <c r="B44" s="5"/>
      <c r="C44" s="5"/>
      <c r="D44" s="5"/>
      <c r="E44" s="5"/>
      <c r="F44" s="5"/>
      <c r="G44" s="5"/>
      <c r="H44" s="5"/>
      <c r="I44" s="5"/>
      <c r="J44" s="5"/>
      <c r="K44" s="5"/>
      <c r="L44" s="5"/>
      <c r="M44" s="5"/>
      <c r="N44" s="5"/>
      <c r="O44" s="5"/>
    </row>
    <row r="45" ht="15.75" customHeight="1">
      <c r="A45" s="5"/>
      <c r="B45" s="5"/>
      <c r="C45" s="5"/>
      <c r="D45" s="5"/>
      <c r="E45" s="5"/>
      <c r="F45" s="5"/>
      <c r="G45" s="5"/>
      <c r="H45" s="5"/>
      <c r="I45" s="5"/>
      <c r="J45" s="5"/>
      <c r="K45" s="5"/>
      <c r="L45" s="5"/>
      <c r="M45" s="5"/>
      <c r="N45" s="5"/>
      <c r="O45" s="5"/>
    </row>
    <row r="46" ht="15.75" customHeight="1">
      <c r="A46" s="5"/>
      <c r="B46" s="5"/>
      <c r="C46" s="5"/>
      <c r="D46" s="5"/>
      <c r="E46" s="5"/>
      <c r="F46" s="5"/>
      <c r="G46" s="5"/>
      <c r="H46" s="5"/>
      <c r="I46" s="5"/>
      <c r="J46" s="5"/>
      <c r="K46" s="5"/>
      <c r="L46" s="5"/>
      <c r="M46" s="5"/>
      <c r="N46" s="5"/>
      <c r="O46" s="5"/>
    </row>
    <row r="47" ht="15.75" customHeight="1">
      <c r="A47" s="5"/>
      <c r="B47" s="5"/>
      <c r="C47" s="5"/>
      <c r="D47" s="5"/>
      <c r="E47" s="5"/>
      <c r="F47" s="5"/>
      <c r="G47" s="5"/>
      <c r="H47" s="5"/>
      <c r="I47" s="5"/>
      <c r="J47" s="5"/>
      <c r="K47" s="5"/>
      <c r="L47" s="5"/>
      <c r="M47" s="5"/>
      <c r="N47" s="5"/>
      <c r="O47" s="5"/>
    </row>
    <row r="48" ht="15.75" customHeight="1">
      <c r="A48" s="5"/>
      <c r="B48" s="5"/>
      <c r="C48" s="5"/>
      <c r="D48" s="5"/>
      <c r="E48" s="5"/>
      <c r="F48" s="5"/>
      <c r="G48" s="5"/>
      <c r="H48" s="5"/>
      <c r="I48" s="5"/>
      <c r="J48" s="5"/>
      <c r="K48" s="5"/>
      <c r="L48" s="5"/>
      <c r="M48" s="5"/>
      <c r="N48" s="5"/>
      <c r="O48" s="5"/>
    </row>
    <row r="49" ht="15.75" customHeight="1">
      <c r="A49" s="5"/>
      <c r="B49" s="5"/>
      <c r="C49" s="5"/>
      <c r="D49" s="5"/>
      <c r="E49" s="5"/>
      <c r="F49" s="5"/>
      <c r="G49" s="5"/>
      <c r="H49" s="5"/>
      <c r="I49" s="5"/>
      <c r="J49" s="5"/>
      <c r="K49" s="5"/>
      <c r="L49" s="5"/>
      <c r="M49" s="5"/>
      <c r="N49" s="5"/>
      <c r="O49" s="5"/>
    </row>
    <row r="50" ht="15.75" customHeight="1">
      <c r="A50" s="5"/>
      <c r="B50" s="5"/>
      <c r="C50" s="5"/>
      <c r="D50" s="5"/>
      <c r="E50" s="5"/>
      <c r="F50" s="5"/>
      <c r="G50" s="5"/>
      <c r="H50" s="5"/>
      <c r="I50" s="5"/>
      <c r="J50" s="5"/>
      <c r="K50" s="5"/>
      <c r="L50" s="5"/>
      <c r="M50" s="5"/>
      <c r="N50" s="5"/>
      <c r="O50" s="5"/>
    </row>
    <row r="51" ht="15.75" customHeight="1">
      <c r="A51" s="5"/>
      <c r="B51" s="5"/>
      <c r="C51" s="5"/>
      <c r="D51" s="5"/>
      <c r="E51" s="5"/>
      <c r="F51" s="5"/>
      <c r="G51" s="5"/>
      <c r="H51" s="5"/>
      <c r="I51" s="5"/>
      <c r="J51" s="5"/>
      <c r="K51" s="5"/>
      <c r="L51" s="5"/>
      <c r="M51" s="5"/>
      <c r="N51" s="5"/>
      <c r="O51" s="5"/>
    </row>
    <row r="52" ht="15.75" customHeight="1">
      <c r="A52" s="5"/>
      <c r="B52" s="5"/>
      <c r="C52" s="5"/>
      <c r="D52" s="5"/>
      <c r="E52" s="5"/>
      <c r="F52" s="5"/>
      <c r="G52" s="5"/>
      <c r="H52" s="5"/>
      <c r="I52" s="5"/>
      <c r="J52" s="5"/>
      <c r="K52" s="5"/>
      <c r="L52" s="5"/>
      <c r="M52" s="5"/>
      <c r="N52" s="5"/>
      <c r="O52" s="5"/>
    </row>
    <row r="53" ht="15.75" customHeight="1">
      <c r="A53" s="5"/>
      <c r="B53" s="5"/>
      <c r="C53" s="5"/>
      <c r="D53" s="5"/>
      <c r="E53" s="5"/>
      <c r="F53" s="5"/>
      <c r="G53" s="5"/>
      <c r="H53" s="5"/>
      <c r="I53" s="5"/>
      <c r="J53" s="5"/>
      <c r="K53" s="5"/>
      <c r="L53" s="5"/>
      <c r="M53" s="5"/>
      <c r="N53" s="5"/>
      <c r="O53" s="5"/>
    </row>
    <row r="54" ht="15.75" customHeight="1">
      <c r="A54" s="5"/>
      <c r="B54" s="5"/>
      <c r="C54" s="5"/>
      <c r="D54" s="5"/>
      <c r="E54" s="5"/>
      <c r="F54" s="5"/>
      <c r="G54" s="5"/>
      <c r="H54" s="5"/>
      <c r="I54" s="5"/>
      <c r="J54" s="5"/>
      <c r="K54" s="5"/>
      <c r="L54" s="5"/>
      <c r="M54" s="5"/>
      <c r="N54" s="5"/>
      <c r="O54" s="5"/>
    </row>
    <row r="55" ht="15.75" customHeight="1">
      <c r="A55" s="5"/>
      <c r="B55" s="5"/>
      <c r="C55" s="5"/>
      <c r="D55" s="5"/>
      <c r="E55" s="5"/>
      <c r="F55" s="5"/>
      <c r="G55" s="5"/>
      <c r="H55" s="5"/>
      <c r="I55" s="5"/>
      <c r="J55" s="5"/>
      <c r="K55" s="5"/>
      <c r="L55" s="5"/>
      <c r="M55" s="5"/>
      <c r="N55" s="5"/>
      <c r="O55" s="5"/>
    </row>
    <row r="56" ht="15.75" customHeight="1">
      <c r="A56" s="5"/>
      <c r="B56" s="5"/>
      <c r="C56" s="5"/>
      <c r="D56" s="5"/>
      <c r="E56" s="5"/>
      <c r="F56" s="5"/>
      <c r="G56" s="5"/>
      <c r="H56" s="5"/>
      <c r="I56" s="5"/>
      <c r="J56" s="5"/>
      <c r="K56" s="5"/>
      <c r="L56" s="5"/>
      <c r="M56" s="5"/>
      <c r="N56" s="5"/>
      <c r="O56" s="5"/>
    </row>
    <row r="57" ht="15.75" customHeight="1">
      <c r="A57" s="5"/>
      <c r="B57" s="5"/>
      <c r="C57" s="5"/>
      <c r="D57" s="5"/>
      <c r="E57" s="5"/>
      <c r="F57" s="5"/>
      <c r="G57" s="5"/>
      <c r="H57" s="5"/>
      <c r="I57" s="5"/>
      <c r="J57" s="5"/>
      <c r="K57" s="5"/>
      <c r="L57" s="5"/>
      <c r="M57" s="5"/>
      <c r="N57" s="5"/>
      <c r="O57" s="5"/>
    </row>
    <row r="58" ht="15.75" customHeight="1">
      <c r="A58" s="5"/>
      <c r="B58" s="5"/>
      <c r="C58" s="5"/>
      <c r="D58" s="5"/>
      <c r="E58" s="5"/>
      <c r="F58" s="5"/>
      <c r="G58" s="5"/>
      <c r="H58" s="5"/>
      <c r="I58" s="5"/>
      <c r="J58" s="5"/>
      <c r="K58" s="5"/>
      <c r="L58" s="5"/>
      <c r="M58" s="5"/>
      <c r="N58" s="5"/>
      <c r="O58" s="5"/>
    </row>
    <row r="59" ht="15.75" customHeight="1">
      <c r="A59" s="5"/>
      <c r="B59" s="5"/>
      <c r="C59" s="5"/>
      <c r="D59" s="5"/>
      <c r="E59" s="5"/>
      <c r="F59" s="5"/>
      <c r="G59" s="5"/>
      <c r="H59" s="5"/>
      <c r="I59" s="5"/>
      <c r="J59" s="5"/>
      <c r="K59" s="5"/>
      <c r="L59" s="5"/>
      <c r="M59" s="5"/>
      <c r="N59" s="5"/>
      <c r="O59" s="5"/>
    </row>
    <row r="60" ht="15.75" customHeight="1">
      <c r="A60" s="5"/>
      <c r="B60" s="5"/>
      <c r="C60" s="5"/>
      <c r="D60" s="5"/>
      <c r="E60" s="5"/>
      <c r="F60" s="5"/>
      <c r="G60" s="5"/>
      <c r="H60" s="5"/>
      <c r="I60" s="5"/>
      <c r="J60" s="5"/>
      <c r="K60" s="5"/>
      <c r="L60" s="5"/>
      <c r="M60" s="5"/>
      <c r="N60" s="5"/>
      <c r="O60" s="5"/>
    </row>
    <row r="61" ht="15.75" customHeight="1">
      <c r="A61" s="5"/>
      <c r="B61" s="5"/>
      <c r="C61" s="5"/>
      <c r="D61" s="5"/>
      <c r="E61" s="5"/>
      <c r="F61" s="5"/>
      <c r="G61" s="5"/>
      <c r="H61" s="5"/>
      <c r="I61" s="5"/>
      <c r="J61" s="5"/>
      <c r="K61" s="5"/>
      <c r="L61" s="5"/>
      <c r="M61" s="5"/>
      <c r="N61" s="5"/>
      <c r="O61" s="5"/>
    </row>
    <row r="62" ht="15.75" customHeight="1">
      <c r="A62" s="5"/>
      <c r="B62" s="5"/>
      <c r="C62" s="5"/>
      <c r="D62" s="5"/>
      <c r="E62" s="5"/>
      <c r="F62" s="5"/>
      <c r="G62" s="5"/>
      <c r="H62" s="5"/>
      <c r="I62" s="5"/>
      <c r="J62" s="5"/>
      <c r="K62" s="5"/>
      <c r="L62" s="5"/>
      <c r="M62" s="5"/>
      <c r="N62" s="5"/>
      <c r="O62" s="5"/>
    </row>
    <row r="63" ht="15.75" customHeight="1">
      <c r="A63" s="5"/>
      <c r="B63" s="5"/>
      <c r="C63" s="5"/>
      <c r="D63" s="5"/>
      <c r="E63" s="5"/>
      <c r="F63" s="5"/>
      <c r="G63" s="5"/>
      <c r="H63" s="5"/>
      <c r="I63" s="5"/>
      <c r="J63" s="5"/>
      <c r="K63" s="5"/>
      <c r="L63" s="5"/>
      <c r="M63" s="5"/>
      <c r="N63" s="5"/>
      <c r="O63" s="5"/>
    </row>
    <row r="64" ht="15.75" customHeight="1">
      <c r="A64" s="5"/>
      <c r="B64" s="5"/>
      <c r="C64" s="5"/>
      <c r="D64" s="5"/>
      <c r="E64" s="5"/>
      <c r="F64" s="5"/>
      <c r="G64" s="5"/>
      <c r="H64" s="5"/>
      <c r="I64" s="5"/>
      <c r="J64" s="5"/>
      <c r="K64" s="5"/>
      <c r="L64" s="5"/>
      <c r="M64" s="5"/>
      <c r="N64" s="5"/>
      <c r="O64" s="5"/>
    </row>
    <row r="65" ht="15.75" customHeight="1">
      <c r="A65" s="5"/>
      <c r="B65" s="5"/>
      <c r="C65" s="5"/>
      <c r="D65" s="5"/>
      <c r="E65" s="5"/>
      <c r="F65" s="5"/>
      <c r="G65" s="5"/>
      <c r="H65" s="5"/>
      <c r="I65" s="5"/>
      <c r="J65" s="5"/>
      <c r="K65" s="5"/>
      <c r="L65" s="5"/>
      <c r="M65" s="5"/>
      <c r="N65" s="5"/>
      <c r="O65" s="5"/>
    </row>
    <row r="66" ht="15.75" customHeight="1">
      <c r="A66" s="5"/>
      <c r="B66" s="5"/>
      <c r="C66" s="5"/>
      <c r="D66" s="5"/>
      <c r="E66" s="5"/>
      <c r="F66" s="5"/>
      <c r="G66" s="5"/>
      <c r="H66" s="5"/>
      <c r="I66" s="5"/>
      <c r="J66" s="5"/>
      <c r="K66" s="5"/>
      <c r="L66" s="5"/>
      <c r="M66" s="5"/>
      <c r="N66" s="5"/>
      <c r="O66" s="5"/>
    </row>
    <row r="67" ht="15.75" customHeight="1">
      <c r="A67" s="5"/>
      <c r="B67" s="5"/>
      <c r="C67" s="5"/>
      <c r="D67" s="5"/>
      <c r="E67" s="5"/>
      <c r="F67" s="5"/>
      <c r="G67" s="5"/>
      <c r="H67" s="5"/>
      <c r="I67" s="5"/>
      <c r="J67" s="5"/>
      <c r="K67" s="5"/>
      <c r="L67" s="5"/>
      <c r="M67" s="5"/>
      <c r="N67" s="5"/>
      <c r="O67" s="5"/>
    </row>
    <row r="68" ht="15.75" customHeight="1">
      <c r="A68" s="5"/>
      <c r="B68" s="5"/>
      <c r="C68" s="5"/>
      <c r="D68" s="5"/>
      <c r="E68" s="5"/>
      <c r="F68" s="5"/>
      <c r="G68" s="5"/>
      <c r="H68" s="5"/>
      <c r="I68" s="5"/>
      <c r="J68" s="5"/>
      <c r="K68" s="5"/>
      <c r="L68" s="5"/>
      <c r="M68" s="5"/>
      <c r="N68" s="5"/>
      <c r="O68" s="5"/>
    </row>
    <row r="69" ht="15.75" customHeight="1">
      <c r="A69" s="5"/>
      <c r="B69" s="5"/>
      <c r="C69" s="5"/>
      <c r="D69" s="5"/>
      <c r="E69" s="5"/>
      <c r="F69" s="5"/>
      <c r="G69" s="5"/>
      <c r="H69" s="5"/>
      <c r="I69" s="5"/>
      <c r="J69" s="5"/>
      <c r="K69" s="5"/>
      <c r="L69" s="5"/>
      <c r="M69" s="5"/>
      <c r="N69" s="5"/>
      <c r="O69" s="5"/>
    </row>
    <row r="70" ht="15.75" customHeight="1">
      <c r="A70" s="5"/>
      <c r="B70" s="5"/>
      <c r="C70" s="5"/>
      <c r="D70" s="5"/>
      <c r="E70" s="5"/>
      <c r="F70" s="5"/>
      <c r="G70" s="5"/>
      <c r="H70" s="5"/>
      <c r="I70" s="5"/>
      <c r="J70" s="5"/>
      <c r="K70" s="5"/>
      <c r="L70" s="5"/>
      <c r="M70" s="5"/>
      <c r="N70" s="5"/>
      <c r="O70" s="5"/>
    </row>
    <row r="71" ht="15.75" customHeight="1">
      <c r="A71" s="5"/>
      <c r="B71" s="5"/>
      <c r="C71" s="5"/>
      <c r="D71" s="5"/>
      <c r="E71" s="5"/>
      <c r="F71" s="5"/>
      <c r="G71" s="5"/>
      <c r="H71" s="5"/>
      <c r="I71" s="5"/>
      <c r="J71" s="5"/>
      <c r="K71" s="5"/>
      <c r="L71" s="5"/>
      <c r="M71" s="5"/>
      <c r="N71" s="5"/>
      <c r="O71" s="5"/>
    </row>
    <row r="72" ht="15.75" customHeight="1">
      <c r="A72" s="5"/>
      <c r="B72" s="5"/>
      <c r="C72" s="5"/>
      <c r="D72" s="5"/>
      <c r="E72" s="5"/>
      <c r="F72" s="5"/>
      <c r="G72" s="5"/>
      <c r="H72" s="5"/>
      <c r="I72" s="5"/>
      <c r="J72" s="5"/>
      <c r="K72" s="5"/>
      <c r="L72" s="5"/>
      <c r="M72" s="5"/>
      <c r="N72" s="5"/>
      <c r="O72" s="5"/>
    </row>
    <row r="73" ht="15.75" customHeight="1">
      <c r="A73" s="5"/>
      <c r="B73" s="5"/>
      <c r="C73" s="5"/>
      <c r="D73" s="5"/>
      <c r="E73" s="5"/>
      <c r="F73" s="5"/>
      <c r="G73" s="5"/>
      <c r="H73" s="5"/>
      <c r="I73" s="5"/>
      <c r="J73" s="5"/>
      <c r="K73" s="5"/>
      <c r="L73" s="5"/>
      <c r="M73" s="5"/>
      <c r="N73" s="5"/>
      <c r="O73" s="5"/>
    </row>
    <row r="74" ht="15.75" customHeight="1">
      <c r="A74" s="5"/>
      <c r="B74" s="5"/>
      <c r="C74" s="5"/>
      <c r="D74" s="5"/>
      <c r="E74" s="5"/>
      <c r="F74" s="5"/>
      <c r="G74" s="5"/>
      <c r="H74" s="5"/>
      <c r="I74" s="5"/>
      <c r="J74" s="5"/>
      <c r="K74" s="5"/>
      <c r="L74" s="5"/>
      <c r="M74" s="5"/>
      <c r="N74" s="5"/>
      <c r="O74" s="5"/>
    </row>
    <row r="75" ht="15.75" customHeight="1">
      <c r="A75" s="5"/>
      <c r="B75" s="5"/>
      <c r="C75" s="5"/>
      <c r="D75" s="5"/>
      <c r="E75" s="5"/>
      <c r="F75" s="5"/>
      <c r="G75" s="5"/>
      <c r="H75" s="5"/>
      <c r="I75" s="5"/>
      <c r="J75" s="5"/>
      <c r="K75" s="5"/>
      <c r="L75" s="5"/>
      <c r="M75" s="5"/>
      <c r="N75" s="5"/>
      <c r="O75" s="5"/>
    </row>
    <row r="76" ht="15.75" customHeight="1">
      <c r="A76" s="5"/>
      <c r="B76" s="5"/>
      <c r="C76" s="5"/>
      <c r="D76" s="5"/>
      <c r="E76" s="5"/>
      <c r="F76" s="5"/>
      <c r="G76" s="5"/>
      <c r="H76" s="5"/>
      <c r="I76" s="5"/>
      <c r="J76" s="5"/>
      <c r="K76" s="5"/>
      <c r="L76" s="5"/>
      <c r="M76" s="5"/>
      <c r="N76" s="5"/>
      <c r="O76" s="5"/>
    </row>
    <row r="77" ht="15.75" customHeight="1">
      <c r="A77" s="5"/>
      <c r="B77" s="5"/>
      <c r="C77" s="5"/>
      <c r="D77" s="5"/>
      <c r="E77" s="5"/>
      <c r="F77" s="5"/>
      <c r="G77" s="5"/>
      <c r="H77" s="5"/>
      <c r="I77" s="5"/>
      <c r="J77" s="5"/>
      <c r="K77" s="5"/>
      <c r="L77" s="5"/>
      <c r="M77" s="5"/>
      <c r="N77" s="5"/>
      <c r="O77" s="5"/>
    </row>
    <row r="78" ht="15.75" customHeight="1">
      <c r="A78" s="5"/>
      <c r="B78" s="5"/>
      <c r="C78" s="5"/>
      <c r="D78" s="5"/>
      <c r="E78" s="5"/>
      <c r="F78" s="5"/>
      <c r="G78" s="5"/>
      <c r="H78" s="5"/>
      <c r="I78" s="5"/>
      <c r="J78" s="5"/>
      <c r="K78" s="5"/>
      <c r="L78" s="5"/>
      <c r="M78" s="5"/>
      <c r="N78" s="5"/>
      <c r="O78" s="5"/>
    </row>
    <row r="79" ht="15.75" customHeight="1">
      <c r="A79" s="5"/>
      <c r="B79" s="5"/>
      <c r="C79" s="5"/>
      <c r="D79" s="5"/>
      <c r="E79" s="5"/>
      <c r="F79" s="5"/>
      <c r="G79" s="5"/>
      <c r="H79" s="5"/>
      <c r="I79" s="5"/>
      <c r="J79" s="5"/>
      <c r="K79" s="5"/>
      <c r="L79" s="5"/>
      <c r="M79" s="5"/>
      <c r="N79" s="5"/>
      <c r="O79" s="5"/>
    </row>
    <row r="80" ht="15.75" customHeight="1">
      <c r="A80" s="5"/>
      <c r="B80" s="5"/>
      <c r="C80" s="5"/>
      <c r="D80" s="5"/>
      <c r="E80" s="5"/>
      <c r="F80" s="5"/>
      <c r="G80" s="5"/>
      <c r="H80" s="5"/>
      <c r="I80" s="5"/>
      <c r="J80" s="5"/>
      <c r="K80" s="5"/>
      <c r="L80" s="5"/>
      <c r="M80" s="5"/>
      <c r="N80" s="5"/>
      <c r="O80" s="5"/>
    </row>
    <row r="81" ht="15.75" customHeight="1">
      <c r="A81" s="5"/>
      <c r="B81" s="5"/>
      <c r="C81" s="5"/>
      <c r="D81" s="5"/>
      <c r="E81" s="5"/>
      <c r="F81" s="5"/>
      <c r="G81" s="5"/>
      <c r="H81" s="5"/>
      <c r="I81" s="5"/>
      <c r="J81" s="5"/>
      <c r="K81" s="5"/>
      <c r="L81" s="5"/>
      <c r="M81" s="5"/>
      <c r="N81" s="5"/>
      <c r="O81" s="5"/>
    </row>
    <row r="82" ht="15.75" customHeight="1">
      <c r="A82" s="5"/>
      <c r="B82" s="5"/>
      <c r="C82" s="5"/>
      <c r="D82" s="5"/>
      <c r="E82" s="5"/>
      <c r="F82" s="5"/>
      <c r="G82" s="5"/>
      <c r="H82" s="5"/>
      <c r="I82" s="5"/>
      <c r="J82" s="5"/>
      <c r="K82" s="5"/>
      <c r="L82" s="5"/>
      <c r="M82" s="5"/>
      <c r="N82" s="5"/>
      <c r="O82" s="5"/>
    </row>
    <row r="83" ht="15.75" customHeight="1">
      <c r="A83" s="5"/>
      <c r="B83" s="5"/>
      <c r="C83" s="5"/>
      <c r="D83" s="5"/>
      <c r="E83" s="5"/>
      <c r="F83" s="5"/>
      <c r="G83" s="5"/>
      <c r="H83" s="5"/>
      <c r="I83" s="5"/>
      <c r="J83" s="5"/>
      <c r="K83" s="5"/>
      <c r="L83" s="5"/>
      <c r="M83" s="5"/>
      <c r="N83" s="5"/>
      <c r="O83" s="5"/>
    </row>
    <row r="84" ht="15.75" customHeight="1">
      <c r="A84" s="5"/>
      <c r="B84" s="5"/>
      <c r="C84" s="5"/>
      <c r="D84" s="5"/>
      <c r="E84" s="5"/>
      <c r="F84" s="5"/>
      <c r="G84" s="5"/>
      <c r="H84" s="5"/>
      <c r="I84" s="5"/>
      <c r="J84" s="5"/>
      <c r="K84" s="5"/>
      <c r="L84" s="5"/>
      <c r="M84" s="5"/>
      <c r="N84" s="5"/>
      <c r="O84" s="5"/>
    </row>
    <row r="85" ht="15.75" customHeight="1">
      <c r="A85" s="5"/>
      <c r="B85" s="5"/>
      <c r="C85" s="5"/>
      <c r="D85" s="5"/>
      <c r="E85" s="5"/>
      <c r="F85" s="5"/>
      <c r="G85" s="5"/>
      <c r="H85" s="5"/>
      <c r="I85" s="5"/>
      <c r="J85" s="5"/>
      <c r="K85" s="5"/>
      <c r="L85" s="5"/>
      <c r="M85" s="5"/>
      <c r="N85" s="5"/>
      <c r="O85" s="5"/>
    </row>
    <row r="86" ht="15.75" customHeight="1">
      <c r="A86" s="5"/>
      <c r="B86" s="5"/>
      <c r="C86" s="5"/>
      <c r="D86" s="5"/>
      <c r="E86" s="5"/>
      <c r="F86" s="5"/>
      <c r="G86" s="5"/>
      <c r="H86" s="5"/>
      <c r="I86" s="5"/>
      <c r="J86" s="5"/>
      <c r="K86" s="5"/>
      <c r="L86" s="5"/>
      <c r="M86" s="5"/>
      <c r="N86" s="5"/>
      <c r="O86" s="5"/>
    </row>
    <row r="87" ht="15.75" customHeight="1">
      <c r="A87" s="5"/>
      <c r="B87" s="5"/>
      <c r="C87" s="5"/>
      <c r="D87" s="5"/>
      <c r="E87" s="5"/>
      <c r="F87" s="5"/>
      <c r="G87" s="5"/>
      <c r="H87" s="5"/>
      <c r="I87" s="5"/>
      <c r="J87" s="5"/>
      <c r="K87" s="5"/>
      <c r="L87" s="5"/>
      <c r="M87" s="5"/>
      <c r="N87" s="5"/>
      <c r="O87" s="5"/>
    </row>
    <row r="88" ht="15.75" customHeight="1">
      <c r="A88" s="5"/>
      <c r="B88" s="5"/>
      <c r="C88" s="5"/>
      <c r="D88" s="5"/>
      <c r="E88" s="5"/>
      <c r="F88" s="5"/>
      <c r="G88" s="5"/>
      <c r="H88" s="5"/>
      <c r="I88" s="5"/>
      <c r="J88" s="5"/>
      <c r="K88" s="5"/>
      <c r="L88" s="5"/>
      <c r="M88" s="5"/>
      <c r="N88" s="5"/>
      <c r="O88" s="5"/>
    </row>
    <row r="89" ht="15.75" customHeight="1">
      <c r="A89" s="5"/>
      <c r="B89" s="5"/>
      <c r="C89" s="5"/>
      <c r="D89" s="5"/>
      <c r="E89" s="5"/>
      <c r="F89" s="5"/>
      <c r="G89" s="5"/>
      <c r="H89" s="5"/>
      <c r="I89" s="5"/>
      <c r="J89" s="5"/>
      <c r="K89" s="5"/>
      <c r="L89" s="5"/>
      <c r="M89" s="5"/>
      <c r="N89" s="5"/>
      <c r="O89" s="5"/>
    </row>
    <row r="90" ht="15.75" customHeight="1">
      <c r="A90" s="5"/>
      <c r="B90" s="5"/>
      <c r="C90" s="5"/>
      <c r="D90" s="5"/>
      <c r="E90" s="5"/>
      <c r="F90" s="5"/>
      <c r="G90" s="5"/>
      <c r="H90" s="5"/>
      <c r="I90" s="5"/>
      <c r="J90" s="5"/>
      <c r="K90" s="5"/>
      <c r="L90" s="5"/>
      <c r="M90" s="5"/>
      <c r="N90" s="5"/>
      <c r="O90" s="5"/>
    </row>
    <row r="91" ht="15.75" customHeight="1">
      <c r="A91" s="5"/>
      <c r="B91" s="5"/>
      <c r="C91" s="5"/>
      <c r="D91" s="5"/>
      <c r="E91" s="5"/>
      <c r="F91" s="5"/>
      <c r="G91" s="5"/>
      <c r="H91" s="5"/>
      <c r="I91" s="5"/>
      <c r="J91" s="5"/>
      <c r="K91" s="5"/>
      <c r="L91" s="5"/>
      <c r="M91" s="5"/>
      <c r="N91" s="5"/>
      <c r="O91" s="5"/>
    </row>
    <row r="92" ht="15.75" customHeight="1">
      <c r="A92" s="5"/>
      <c r="B92" s="5"/>
      <c r="C92" s="5"/>
      <c r="D92" s="5"/>
      <c r="E92" s="5"/>
      <c r="F92" s="5"/>
      <c r="G92" s="5"/>
      <c r="H92" s="5"/>
      <c r="I92" s="5"/>
      <c r="J92" s="5"/>
      <c r="K92" s="5"/>
      <c r="L92" s="5"/>
      <c r="M92" s="5"/>
      <c r="N92" s="5"/>
      <c r="O92" s="5"/>
    </row>
    <row r="93" ht="15.75" customHeight="1">
      <c r="A93" s="5"/>
      <c r="B93" s="5"/>
      <c r="C93" s="5"/>
      <c r="D93" s="5"/>
      <c r="E93" s="5"/>
      <c r="F93" s="5"/>
      <c r="G93" s="5"/>
      <c r="H93" s="5"/>
      <c r="I93" s="5"/>
      <c r="J93" s="5"/>
      <c r="K93" s="5"/>
      <c r="L93" s="5"/>
      <c r="M93" s="5"/>
      <c r="N93" s="5"/>
      <c r="O93" s="5"/>
    </row>
    <row r="94" ht="15.75" customHeight="1">
      <c r="A94" s="5"/>
      <c r="B94" s="5"/>
      <c r="C94" s="5"/>
      <c r="D94" s="5"/>
      <c r="E94" s="5"/>
      <c r="F94" s="5"/>
      <c r="G94" s="5"/>
      <c r="H94" s="5"/>
      <c r="I94" s="5"/>
      <c r="J94" s="5"/>
      <c r="K94" s="5"/>
      <c r="L94" s="5"/>
      <c r="M94" s="5"/>
      <c r="N94" s="5"/>
      <c r="O94" s="5"/>
    </row>
    <row r="95" ht="15.75" customHeight="1">
      <c r="A95" s="5"/>
      <c r="B95" s="5"/>
      <c r="C95" s="5"/>
      <c r="D95" s="5"/>
      <c r="E95" s="5"/>
      <c r="F95" s="5"/>
      <c r="G95" s="5"/>
      <c r="H95" s="5"/>
      <c r="I95" s="5"/>
      <c r="J95" s="5"/>
      <c r="K95" s="5"/>
      <c r="L95" s="5"/>
      <c r="M95" s="5"/>
      <c r="N95" s="5"/>
      <c r="O95" s="5"/>
    </row>
    <row r="96" ht="15.75" customHeight="1">
      <c r="A96" s="5"/>
      <c r="B96" s="5"/>
      <c r="C96" s="5"/>
      <c r="D96" s="5"/>
      <c r="E96" s="5"/>
      <c r="F96" s="5"/>
      <c r="G96" s="5"/>
      <c r="H96" s="5"/>
      <c r="I96" s="5"/>
      <c r="J96" s="5"/>
      <c r="K96" s="5"/>
      <c r="L96" s="5"/>
      <c r="M96" s="5"/>
      <c r="N96" s="5"/>
      <c r="O96" s="5"/>
    </row>
    <row r="97" ht="15.75" customHeight="1">
      <c r="A97" s="5"/>
      <c r="B97" s="5"/>
      <c r="C97" s="5"/>
      <c r="D97" s="5"/>
      <c r="E97" s="5"/>
      <c r="F97" s="5"/>
      <c r="G97" s="5"/>
      <c r="H97" s="5"/>
      <c r="I97" s="5"/>
      <c r="J97" s="5"/>
      <c r="K97" s="5"/>
      <c r="L97" s="5"/>
      <c r="M97" s="5"/>
      <c r="N97" s="5"/>
      <c r="O97" s="5"/>
    </row>
    <row r="98" ht="15.75" customHeight="1">
      <c r="A98" s="5"/>
      <c r="B98" s="5"/>
      <c r="C98" s="5"/>
      <c r="D98" s="5"/>
      <c r="E98" s="5"/>
      <c r="F98" s="5"/>
      <c r="G98" s="5"/>
      <c r="H98" s="5"/>
      <c r="I98" s="5"/>
      <c r="J98" s="5"/>
      <c r="K98" s="5"/>
      <c r="L98" s="5"/>
      <c r="M98" s="5"/>
      <c r="N98" s="5"/>
      <c r="O98" s="5"/>
    </row>
    <row r="99" ht="15.75" customHeight="1">
      <c r="A99" s="5"/>
      <c r="B99" s="5"/>
      <c r="C99" s="5"/>
      <c r="D99" s="5"/>
      <c r="E99" s="5"/>
      <c r="F99" s="5"/>
      <c r="G99" s="5"/>
      <c r="H99" s="5"/>
      <c r="I99" s="5"/>
      <c r="J99" s="5"/>
      <c r="K99" s="5"/>
      <c r="L99" s="5"/>
      <c r="M99" s="5"/>
      <c r="N99" s="5"/>
      <c r="O99" s="5"/>
    </row>
    <row r="100" ht="15.75" customHeight="1">
      <c r="A100" s="5"/>
      <c r="B100" s="5"/>
      <c r="C100" s="5"/>
      <c r="D100" s="5"/>
      <c r="E100" s="5"/>
      <c r="F100" s="5"/>
      <c r="G100" s="5"/>
      <c r="H100" s="5"/>
      <c r="I100" s="5"/>
      <c r="J100" s="5"/>
      <c r="K100" s="5"/>
      <c r="L100" s="5"/>
      <c r="M100" s="5"/>
      <c r="N100" s="5"/>
      <c r="O100" s="5"/>
    </row>
    <row r="101" ht="15.75" customHeight="1">
      <c r="A101" s="5"/>
      <c r="B101" s="5"/>
      <c r="C101" s="5"/>
      <c r="D101" s="5"/>
      <c r="E101" s="5"/>
      <c r="F101" s="5"/>
      <c r="G101" s="5"/>
      <c r="H101" s="5"/>
      <c r="I101" s="5"/>
      <c r="J101" s="5"/>
      <c r="K101" s="5"/>
      <c r="L101" s="5"/>
      <c r="M101" s="5"/>
      <c r="N101" s="5"/>
      <c r="O101" s="5"/>
    </row>
    <row r="102" ht="15.75" customHeight="1">
      <c r="A102" s="5"/>
      <c r="B102" s="5"/>
      <c r="C102" s="5"/>
      <c r="D102" s="5"/>
      <c r="E102" s="5"/>
      <c r="F102" s="5"/>
      <c r="G102" s="5"/>
      <c r="H102" s="5"/>
      <c r="I102" s="5"/>
      <c r="J102" s="5"/>
      <c r="K102" s="5"/>
      <c r="L102" s="5"/>
      <c r="M102" s="5"/>
      <c r="N102" s="5"/>
      <c r="O102" s="5"/>
    </row>
    <row r="103" ht="15.75" customHeight="1">
      <c r="A103" s="5"/>
      <c r="B103" s="5"/>
      <c r="C103" s="5"/>
      <c r="D103" s="5"/>
      <c r="E103" s="5"/>
      <c r="F103" s="5"/>
      <c r="G103" s="5"/>
      <c r="H103" s="5"/>
      <c r="I103" s="5"/>
      <c r="J103" s="5"/>
      <c r="K103" s="5"/>
      <c r="L103" s="5"/>
      <c r="M103" s="5"/>
      <c r="N103" s="5"/>
      <c r="O103" s="5"/>
    </row>
    <row r="104" ht="15.75" customHeight="1">
      <c r="A104" s="5"/>
      <c r="B104" s="5"/>
      <c r="C104" s="5"/>
      <c r="D104" s="5"/>
      <c r="E104" s="5"/>
      <c r="F104" s="5"/>
      <c r="G104" s="5"/>
      <c r="H104" s="5"/>
      <c r="I104" s="5"/>
      <c r="J104" s="5"/>
      <c r="K104" s="5"/>
      <c r="L104" s="5"/>
      <c r="M104" s="5"/>
      <c r="N104" s="5"/>
      <c r="O104" s="5"/>
    </row>
    <row r="105" ht="15.75" customHeight="1">
      <c r="A105" s="5"/>
      <c r="B105" s="5"/>
      <c r="C105" s="5"/>
      <c r="D105" s="5"/>
      <c r="E105" s="5"/>
      <c r="F105" s="5"/>
      <c r="G105" s="5"/>
      <c r="H105" s="5"/>
      <c r="I105" s="5"/>
      <c r="J105" s="5"/>
      <c r="K105" s="5"/>
      <c r="L105" s="5"/>
      <c r="M105" s="5"/>
      <c r="N105" s="5"/>
      <c r="O105" s="5"/>
    </row>
    <row r="106" ht="15.75" customHeight="1">
      <c r="A106" s="5"/>
      <c r="B106" s="5"/>
      <c r="C106" s="5"/>
      <c r="D106" s="5"/>
      <c r="E106" s="5"/>
      <c r="F106" s="5"/>
      <c r="G106" s="5"/>
      <c r="H106" s="5"/>
      <c r="I106" s="5"/>
      <c r="J106" s="5"/>
      <c r="K106" s="5"/>
      <c r="L106" s="5"/>
      <c r="M106" s="5"/>
      <c r="N106" s="5"/>
      <c r="O106" s="5"/>
    </row>
    <row r="107" ht="15.75" customHeight="1">
      <c r="A107" s="5"/>
      <c r="B107" s="5"/>
      <c r="C107" s="5"/>
      <c r="D107" s="5"/>
      <c r="E107" s="5"/>
      <c r="F107" s="5"/>
      <c r="G107" s="5"/>
      <c r="H107" s="5"/>
      <c r="I107" s="5"/>
      <c r="J107" s="5"/>
      <c r="K107" s="5"/>
      <c r="L107" s="5"/>
      <c r="M107" s="5"/>
      <c r="N107" s="5"/>
      <c r="O107" s="5"/>
    </row>
    <row r="108" ht="15.75" customHeight="1">
      <c r="A108" s="5"/>
      <c r="B108" s="5"/>
      <c r="C108" s="5"/>
      <c r="D108" s="5"/>
      <c r="E108" s="5"/>
      <c r="F108" s="5"/>
      <c r="G108" s="5"/>
      <c r="H108" s="5"/>
      <c r="I108" s="5"/>
      <c r="J108" s="5"/>
      <c r="K108" s="5"/>
      <c r="L108" s="5"/>
      <c r="M108" s="5"/>
      <c r="N108" s="5"/>
      <c r="O108" s="5"/>
    </row>
    <row r="109" ht="15.75" customHeight="1">
      <c r="A109" s="5"/>
      <c r="B109" s="5"/>
      <c r="C109" s="5"/>
      <c r="D109" s="5"/>
      <c r="E109" s="5"/>
      <c r="F109" s="5"/>
      <c r="G109" s="5"/>
      <c r="H109" s="5"/>
      <c r="I109" s="5"/>
      <c r="J109" s="5"/>
      <c r="K109" s="5"/>
      <c r="L109" s="5"/>
      <c r="M109" s="5"/>
      <c r="N109" s="5"/>
      <c r="O109" s="5"/>
    </row>
    <row r="110" ht="15.75" customHeight="1">
      <c r="A110" s="5"/>
      <c r="B110" s="5"/>
      <c r="C110" s="5"/>
      <c r="D110" s="5"/>
      <c r="E110" s="5"/>
      <c r="F110" s="5"/>
      <c r="G110" s="5"/>
      <c r="H110" s="5"/>
      <c r="I110" s="5"/>
      <c r="J110" s="5"/>
      <c r="K110" s="5"/>
      <c r="L110" s="5"/>
      <c r="M110" s="5"/>
      <c r="N110" s="5"/>
      <c r="O110" s="5"/>
    </row>
    <row r="111" ht="15.75" customHeight="1">
      <c r="A111" s="5"/>
      <c r="B111" s="5"/>
      <c r="C111" s="5"/>
      <c r="D111" s="5"/>
      <c r="E111" s="5"/>
      <c r="F111" s="5"/>
      <c r="G111" s="5"/>
      <c r="H111" s="5"/>
      <c r="I111" s="5"/>
      <c r="J111" s="5"/>
      <c r="K111" s="5"/>
      <c r="L111" s="5"/>
      <c r="M111" s="5"/>
      <c r="N111" s="5"/>
      <c r="O111" s="5"/>
    </row>
    <row r="112" ht="15.75" customHeight="1">
      <c r="A112" s="5"/>
      <c r="B112" s="5"/>
      <c r="C112" s="5"/>
      <c r="D112" s="5"/>
      <c r="E112" s="5"/>
      <c r="F112" s="5"/>
      <c r="G112" s="5"/>
      <c r="H112" s="5"/>
      <c r="I112" s="5"/>
      <c r="J112" s="5"/>
      <c r="K112" s="5"/>
      <c r="L112" s="5"/>
      <c r="M112" s="5"/>
      <c r="N112" s="5"/>
      <c r="O112" s="5"/>
    </row>
    <row r="113" ht="15.75" customHeight="1">
      <c r="A113" s="5"/>
      <c r="B113" s="5"/>
      <c r="C113" s="5"/>
      <c r="D113" s="5"/>
      <c r="E113" s="5"/>
      <c r="F113" s="5"/>
      <c r="G113" s="5"/>
      <c r="H113" s="5"/>
      <c r="I113" s="5"/>
      <c r="J113" s="5"/>
      <c r="K113" s="5"/>
      <c r="L113" s="5"/>
      <c r="M113" s="5"/>
      <c r="N113" s="5"/>
      <c r="O113" s="5"/>
    </row>
    <row r="114" ht="15.75" customHeight="1">
      <c r="A114" s="5"/>
      <c r="B114" s="5"/>
      <c r="C114" s="5"/>
      <c r="D114" s="5"/>
      <c r="E114" s="5"/>
      <c r="F114" s="5"/>
      <c r="G114" s="5"/>
      <c r="H114" s="5"/>
      <c r="I114" s="5"/>
      <c r="J114" s="5"/>
      <c r="K114" s="5"/>
      <c r="L114" s="5"/>
      <c r="M114" s="5"/>
      <c r="N114" s="5"/>
      <c r="O114" s="5"/>
    </row>
    <row r="115" ht="15.75" customHeight="1">
      <c r="A115" s="5"/>
      <c r="B115" s="5"/>
      <c r="C115" s="5"/>
      <c r="D115" s="5"/>
      <c r="E115" s="5"/>
      <c r="F115" s="5"/>
      <c r="G115" s="5"/>
      <c r="H115" s="5"/>
      <c r="I115" s="5"/>
      <c r="J115" s="5"/>
      <c r="K115" s="5"/>
      <c r="L115" s="5"/>
      <c r="M115" s="5"/>
      <c r="N115" s="5"/>
      <c r="O115" s="5"/>
    </row>
    <row r="116" ht="15.75" customHeight="1">
      <c r="A116" s="5"/>
      <c r="B116" s="5"/>
      <c r="C116" s="5"/>
      <c r="D116" s="5"/>
      <c r="E116" s="5"/>
      <c r="F116" s="5"/>
      <c r="G116" s="5"/>
      <c r="H116" s="5"/>
      <c r="I116" s="5"/>
      <c r="J116" s="5"/>
      <c r="K116" s="5"/>
      <c r="L116" s="5"/>
      <c r="M116" s="5"/>
      <c r="N116" s="5"/>
      <c r="O116" s="5"/>
    </row>
    <row r="117" ht="15.75" customHeight="1">
      <c r="A117" s="5"/>
      <c r="B117" s="5"/>
      <c r="C117" s="5"/>
      <c r="D117" s="5"/>
      <c r="E117" s="5"/>
      <c r="F117" s="5"/>
      <c r="G117" s="5"/>
      <c r="H117" s="5"/>
      <c r="I117" s="5"/>
      <c r="J117" s="5"/>
      <c r="K117" s="5"/>
      <c r="L117" s="5"/>
      <c r="M117" s="5"/>
      <c r="N117" s="5"/>
      <c r="O117" s="5"/>
    </row>
    <row r="118" ht="15.75" customHeight="1">
      <c r="A118" s="5"/>
      <c r="B118" s="5"/>
      <c r="C118" s="5"/>
      <c r="D118" s="5"/>
      <c r="E118" s="5"/>
      <c r="F118" s="5"/>
      <c r="G118" s="5"/>
      <c r="H118" s="5"/>
      <c r="I118" s="5"/>
      <c r="J118" s="5"/>
      <c r="K118" s="5"/>
      <c r="L118" s="5"/>
      <c r="M118" s="5"/>
      <c r="N118" s="5"/>
      <c r="O118" s="5"/>
    </row>
    <row r="119" ht="15.75" customHeight="1">
      <c r="A119" s="5"/>
      <c r="B119" s="5"/>
      <c r="C119" s="5"/>
      <c r="D119" s="5"/>
      <c r="E119" s="5"/>
      <c r="F119" s="5"/>
      <c r="G119" s="5"/>
      <c r="H119" s="5"/>
      <c r="I119" s="5"/>
      <c r="J119" s="5"/>
      <c r="K119" s="5"/>
      <c r="L119" s="5"/>
      <c r="M119" s="5"/>
      <c r="N119" s="5"/>
      <c r="O119" s="5"/>
    </row>
    <row r="120" ht="15.75" customHeight="1">
      <c r="A120" s="5"/>
      <c r="B120" s="5"/>
      <c r="C120" s="5"/>
      <c r="D120" s="5"/>
      <c r="E120" s="5"/>
      <c r="F120" s="5"/>
      <c r="G120" s="5"/>
      <c r="H120" s="5"/>
      <c r="I120" s="5"/>
      <c r="J120" s="5"/>
      <c r="K120" s="5"/>
      <c r="L120" s="5"/>
      <c r="M120" s="5"/>
      <c r="N120" s="5"/>
      <c r="O120" s="5"/>
    </row>
    <row r="121" ht="15.75" customHeight="1">
      <c r="A121" s="5"/>
      <c r="B121" s="5"/>
      <c r="C121" s="5"/>
      <c r="D121" s="5"/>
      <c r="E121" s="5"/>
      <c r="F121" s="5"/>
      <c r="G121" s="5"/>
      <c r="H121" s="5"/>
      <c r="I121" s="5"/>
      <c r="J121" s="5"/>
      <c r="K121" s="5"/>
      <c r="L121" s="5"/>
      <c r="M121" s="5"/>
      <c r="N121" s="5"/>
      <c r="O121" s="5"/>
    </row>
    <row r="122" ht="15.75" customHeight="1">
      <c r="A122" s="5"/>
      <c r="B122" s="5"/>
      <c r="C122" s="5"/>
      <c r="D122" s="5"/>
      <c r="E122" s="5"/>
      <c r="F122" s="5"/>
      <c r="G122" s="5"/>
      <c r="H122" s="5"/>
      <c r="I122" s="5"/>
      <c r="J122" s="5"/>
      <c r="K122" s="5"/>
      <c r="L122" s="5"/>
      <c r="M122" s="5"/>
      <c r="N122" s="5"/>
      <c r="O122" s="5"/>
    </row>
    <row r="123" ht="15.75" customHeight="1">
      <c r="A123" s="5"/>
      <c r="B123" s="5"/>
      <c r="C123" s="5"/>
      <c r="D123" s="5"/>
      <c r="E123" s="5"/>
      <c r="F123" s="5"/>
      <c r="G123" s="5"/>
      <c r="H123" s="5"/>
      <c r="I123" s="5"/>
      <c r="J123" s="5"/>
      <c r="K123" s="5"/>
      <c r="L123" s="5"/>
      <c r="M123" s="5"/>
      <c r="N123" s="5"/>
      <c r="O123" s="5"/>
    </row>
    <row r="124" ht="15.75" customHeight="1">
      <c r="A124" s="5"/>
      <c r="B124" s="5"/>
      <c r="C124" s="5"/>
      <c r="D124" s="5"/>
      <c r="E124" s="5"/>
      <c r="F124" s="5"/>
      <c r="G124" s="5"/>
      <c r="H124" s="5"/>
      <c r="I124" s="5"/>
      <c r="J124" s="5"/>
      <c r="K124" s="5"/>
      <c r="L124" s="5"/>
      <c r="M124" s="5"/>
      <c r="N124" s="5"/>
      <c r="O124" s="5"/>
    </row>
    <row r="125" ht="15.75" customHeight="1">
      <c r="A125" s="5"/>
      <c r="B125" s="5"/>
      <c r="C125" s="5"/>
      <c r="D125" s="5"/>
      <c r="E125" s="5"/>
      <c r="F125" s="5"/>
      <c r="G125" s="5"/>
      <c r="H125" s="5"/>
      <c r="I125" s="5"/>
      <c r="J125" s="5"/>
      <c r="K125" s="5"/>
      <c r="L125" s="5"/>
      <c r="M125" s="5"/>
      <c r="N125" s="5"/>
      <c r="O125" s="5"/>
    </row>
    <row r="126" ht="15.75" customHeight="1">
      <c r="A126" s="5"/>
      <c r="B126" s="5"/>
      <c r="C126" s="5"/>
      <c r="D126" s="5"/>
      <c r="E126" s="5"/>
      <c r="F126" s="5"/>
      <c r="G126" s="5"/>
      <c r="H126" s="5"/>
      <c r="I126" s="5"/>
      <c r="J126" s="5"/>
      <c r="K126" s="5"/>
      <c r="L126" s="5"/>
      <c r="M126" s="5"/>
      <c r="N126" s="5"/>
      <c r="O126" s="5"/>
    </row>
    <row r="127" ht="15.75" customHeight="1">
      <c r="A127" s="5"/>
      <c r="B127" s="5"/>
      <c r="C127" s="5"/>
      <c r="D127" s="5"/>
      <c r="E127" s="5"/>
      <c r="F127" s="5"/>
      <c r="G127" s="5"/>
      <c r="H127" s="5"/>
      <c r="I127" s="5"/>
      <c r="J127" s="5"/>
      <c r="K127" s="5"/>
      <c r="L127" s="5"/>
      <c r="M127" s="5"/>
      <c r="N127" s="5"/>
      <c r="O127" s="5"/>
    </row>
    <row r="128" ht="15.75" customHeight="1">
      <c r="A128" s="5"/>
      <c r="B128" s="5"/>
      <c r="C128" s="5"/>
      <c r="D128" s="5"/>
      <c r="E128" s="5"/>
      <c r="F128" s="5"/>
      <c r="G128" s="5"/>
      <c r="H128" s="5"/>
      <c r="I128" s="5"/>
      <c r="J128" s="5"/>
      <c r="K128" s="5"/>
      <c r="L128" s="5"/>
      <c r="M128" s="5"/>
      <c r="N128" s="5"/>
      <c r="O128" s="5"/>
    </row>
    <row r="129" ht="15.75" customHeight="1">
      <c r="A129" s="5"/>
      <c r="B129" s="5"/>
      <c r="C129" s="5"/>
      <c r="D129" s="5"/>
      <c r="E129" s="5"/>
      <c r="F129" s="5"/>
      <c r="G129" s="5"/>
      <c r="H129" s="5"/>
      <c r="I129" s="5"/>
      <c r="J129" s="5"/>
      <c r="K129" s="5"/>
      <c r="L129" s="5"/>
      <c r="M129" s="5"/>
      <c r="N129" s="5"/>
      <c r="O129" s="5"/>
    </row>
    <row r="130" ht="15.75" customHeight="1">
      <c r="A130" s="5"/>
      <c r="B130" s="5"/>
      <c r="C130" s="5"/>
      <c r="D130" s="5"/>
      <c r="E130" s="5"/>
      <c r="F130" s="5"/>
      <c r="G130" s="5"/>
      <c r="H130" s="5"/>
      <c r="I130" s="5"/>
      <c r="J130" s="5"/>
      <c r="K130" s="5"/>
      <c r="L130" s="5"/>
      <c r="M130" s="5"/>
      <c r="N130" s="5"/>
      <c r="O130" s="5"/>
    </row>
    <row r="131" ht="15.75" customHeight="1">
      <c r="A131" s="5"/>
      <c r="B131" s="5"/>
      <c r="C131" s="5"/>
      <c r="D131" s="5"/>
      <c r="E131" s="5"/>
      <c r="F131" s="5"/>
      <c r="G131" s="5"/>
      <c r="H131" s="5"/>
      <c r="I131" s="5"/>
      <c r="J131" s="5"/>
      <c r="K131" s="5"/>
      <c r="L131" s="5"/>
      <c r="M131" s="5"/>
      <c r="N131" s="5"/>
      <c r="O131" s="5"/>
    </row>
    <row r="132" ht="15.75" customHeight="1">
      <c r="A132" s="5"/>
      <c r="B132" s="5"/>
      <c r="C132" s="5"/>
      <c r="D132" s="5"/>
      <c r="E132" s="5"/>
      <c r="F132" s="5"/>
      <c r="G132" s="5"/>
      <c r="H132" s="5"/>
      <c r="I132" s="5"/>
      <c r="J132" s="5"/>
      <c r="K132" s="5"/>
      <c r="L132" s="5"/>
      <c r="M132" s="5"/>
      <c r="N132" s="5"/>
      <c r="O132" s="5"/>
    </row>
    <row r="133" ht="15.75" customHeight="1">
      <c r="A133" s="5"/>
      <c r="B133" s="5"/>
      <c r="C133" s="5"/>
      <c r="D133" s="5"/>
      <c r="E133" s="5"/>
      <c r="F133" s="5"/>
      <c r="G133" s="5"/>
      <c r="H133" s="5"/>
      <c r="I133" s="5"/>
      <c r="J133" s="5"/>
      <c r="K133" s="5"/>
      <c r="L133" s="5"/>
      <c r="M133" s="5"/>
      <c r="N133" s="5"/>
      <c r="O133" s="5"/>
    </row>
    <row r="134" ht="15.75" customHeight="1">
      <c r="A134" s="5"/>
      <c r="B134" s="5"/>
      <c r="C134" s="5"/>
      <c r="D134" s="5"/>
      <c r="E134" s="5"/>
      <c r="F134" s="5"/>
      <c r="G134" s="5"/>
      <c r="H134" s="5"/>
      <c r="I134" s="5"/>
      <c r="J134" s="5"/>
      <c r="K134" s="5"/>
      <c r="L134" s="5"/>
      <c r="M134" s="5"/>
      <c r="N134" s="5"/>
      <c r="O134" s="5"/>
    </row>
    <row r="135" ht="15.75" customHeight="1">
      <c r="A135" s="5"/>
      <c r="B135" s="5"/>
      <c r="C135" s="5"/>
      <c r="D135" s="5"/>
      <c r="E135" s="5"/>
      <c r="F135" s="5"/>
      <c r="G135" s="5"/>
      <c r="H135" s="5"/>
      <c r="I135" s="5"/>
      <c r="J135" s="5"/>
      <c r="K135" s="5"/>
      <c r="L135" s="5"/>
      <c r="M135" s="5"/>
      <c r="N135" s="5"/>
      <c r="O135" s="5"/>
    </row>
    <row r="136" ht="15.75" customHeight="1">
      <c r="A136" s="5"/>
      <c r="B136" s="5"/>
      <c r="C136" s="5"/>
      <c r="D136" s="5"/>
      <c r="E136" s="5"/>
      <c r="F136" s="5"/>
      <c r="G136" s="5"/>
      <c r="H136" s="5"/>
      <c r="I136" s="5"/>
      <c r="J136" s="5"/>
      <c r="K136" s="5"/>
      <c r="L136" s="5"/>
      <c r="M136" s="5"/>
      <c r="N136" s="5"/>
      <c r="O136" s="5"/>
    </row>
    <row r="137" ht="15.75" customHeight="1">
      <c r="A137" s="5"/>
      <c r="B137" s="5"/>
      <c r="C137" s="5"/>
      <c r="D137" s="5"/>
      <c r="E137" s="5"/>
      <c r="F137" s="5"/>
      <c r="G137" s="5"/>
      <c r="H137" s="5"/>
      <c r="I137" s="5"/>
      <c r="J137" s="5"/>
      <c r="K137" s="5"/>
      <c r="L137" s="5"/>
      <c r="M137" s="5"/>
      <c r="N137" s="5"/>
      <c r="O137" s="5"/>
    </row>
    <row r="138" ht="15.75" customHeight="1">
      <c r="A138" s="5"/>
      <c r="B138" s="5"/>
      <c r="C138" s="5"/>
      <c r="D138" s="5"/>
      <c r="E138" s="5"/>
      <c r="F138" s="5"/>
      <c r="G138" s="5"/>
      <c r="H138" s="5"/>
      <c r="I138" s="5"/>
      <c r="J138" s="5"/>
      <c r="K138" s="5"/>
      <c r="L138" s="5"/>
      <c r="M138" s="5"/>
      <c r="N138" s="5"/>
      <c r="O138" s="5"/>
    </row>
    <row r="139" ht="15.75" customHeight="1">
      <c r="A139" s="5"/>
      <c r="B139" s="5"/>
      <c r="C139" s="5"/>
      <c r="D139" s="5"/>
      <c r="E139" s="5"/>
      <c r="F139" s="5"/>
      <c r="G139" s="5"/>
      <c r="H139" s="5"/>
      <c r="I139" s="5"/>
      <c r="J139" s="5"/>
      <c r="K139" s="5"/>
      <c r="L139" s="5"/>
      <c r="M139" s="5"/>
      <c r="N139" s="5"/>
      <c r="O139" s="5"/>
    </row>
    <row r="140" ht="15.75" customHeight="1">
      <c r="A140" s="5"/>
      <c r="B140" s="5"/>
      <c r="C140" s="5"/>
      <c r="D140" s="5"/>
      <c r="E140" s="5"/>
      <c r="F140" s="5"/>
      <c r="G140" s="5"/>
      <c r="H140" s="5"/>
      <c r="I140" s="5"/>
      <c r="J140" s="5"/>
      <c r="K140" s="5"/>
      <c r="L140" s="5"/>
      <c r="M140" s="5"/>
      <c r="N140" s="5"/>
      <c r="O140" s="5"/>
    </row>
    <row r="141" ht="15.75" customHeight="1">
      <c r="A141" s="5"/>
      <c r="B141" s="5"/>
      <c r="C141" s="5"/>
      <c r="D141" s="5"/>
      <c r="E141" s="5"/>
      <c r="F141" s="5"/>
      <c r="G141" s="5"/>
      <c r="H141" s="5"/>
      <c r="I141" s="5"/>
      <c r="J141" s="5"/>
      <c r="K141" s="5"/>
      <c r="L141" s="5"/>
      <c r="M141" s="5"/>
      <c r="N141" s="5"/>
      <c r="O141" s="5"/>
    </row>
    <row r="142" ht="15.75" customHeight="1">
      <c r="A142" s="5"/>
      <c r="B142" s="5"/>
      <c r="C142" s="5"/>
      <c r="D142" s="5"/>
      <c r="E142" s="5"/>
      <c r="F142" s="5"/>
      <c r="G142" s="5"/>
      <c r="H142" s="5"/>
      <c r="I142" s="5"/>
      <c r="J142" s="5"/>
      <c r="K142" s="5"/>
      <c r="L142" s="5"/>
      <c r="M142" s="5"/>
      <c r="N142" s="5"/>
      <c r="O142" s="5"/>
    </row>
    <row r="143" ht="15.75" customHeight="1">
      <c r="A143" s="5"/>
      <c r="B143" s="5"/>
      <c r="C143" s="5"/>
      <c r="D143" s="5"/>
      <c r="E143" s="5"/>
      <c r="F143" s="5"/>
      <c r="G143" s="5"/>
      <c r="H143" s="5"/>
      <c r="I143" s="5"/>
      <c r="J143" s="5"/>
      <c r="K143" s="5"/>
      <c r="L143" s="5"/>
      <c r="M143" s="5"/>
      <c r="N143" s="5"/>
      <c r="O143" s="5"/>
    </row>
    <row r="144" ht="15.75" customHeight="1">
      <c r="A144" s="5"/>
      <c r="B144" s="5"/>
      <c r="C144" s="5"/>
      <c r="D144" s="5"/>
      <c r="E144" s="5"/>
      <c r="F144" s="5"/>
      <c r="G144" s="5"/>
      <c r="H144" s="5"/>
      <c r="I144" s="5"/>
      <c r="J144" s="5"/>
      <c r="K144" s="5"/>
      <c r="L144" s="5"/>
      <c r="M144" s="5"/>
      <c r="N144" s="5"/>
      <c r="O144" s="5"/>
    </row>
    <row r="145" ht="15.75" customHeight="1">
      <c r="A145" s="5"/>
      <c r="B145" s="5"/>
      <c r="C145" s="5"/>
      <c r="D145" s="5"/>
      <c r="E145" s="5"/>
      <c r="F145" s="5"/>
      <c r="G145" s="5"/>
      <c r="H145" s="5"/>
      <c r="I145" s="5"/>
      <c r="J145" s="5"/>
      <c r="K145" s="5"/>
      <c r="L145" s="5"/>
      <c r="M145" s="5"/>
      <c r="N145" s="5"/>
      <c r="O145" s="5"/>
    </row>
    <row r="146" ht="15.75" customHeight="1">
      <c r="A146" s="5"/>
      <c r="B146" s="5"/>
      <c r="C146" s="5"/>
      <c r="D146" s="5"/>
      <c r="E146" s="5"/>
      <c r="F146" s="5"/>
      <c r="G146" s="5"/>
      <c r="H146" s="5"/>
      <c r="I146" s="5"/>
      <c r="J146" s="5"/>
      <c r="K146" s="5"/>
      <c r="L146" s="5"/>
      <c r="M146" s="5"/>
      <c r="N146" s="5"/>
      <c r="O146" s="5"/>
    </row>
    <row r="147" ht="15.75" customHeight="1">
      <c r="A147" s="5"/>
      <c r="B147" s="5"/>
      <c r="C147" s="5"/>
      <c r="D147" s="5"/>
      <c r="E147" s="5"/>
      <c r="F147" s="5"/>
      <c r="G147" s="5"/>
      <c r="H147" s="5"/>
      <c r="I147" s="5"/>
      <c r="J147" s="5"/>
      <c r="K147" s="5"/>
      <c r="L147" s="5"/>
      <c r="M147" s="5"/>
      <c r="N147" s="5"/>
      <c r="O147" s="5"/>
    </row>
    <row r="148" ht="15.75" customHeight="1">
      <c r="A148" s="5"/>
      <c r="B148" s="5"/>
      <c r="C148" s="5"/>
      <c r="D148" s="5"/>
      <c r="E148" s="5"/>
      <c r="F148" s="5"/>
      <c r="G148" s="5"/>
      <c r="H148" s="5"/>
      <c r="I148" s="5"/>
      <c r="J148" s="5"/>
      <c r="K148" s="5"/>
      <c r="L148" s="5"/>
      <c r="M148" s="5"/>
      <c r="N148" s="5"/>
      <c r="O148" s="5"/>
    </row>
    <row r="149" ht="15.75" customHeight="1">
      <c r="A149" s="5"/>
      <c r="B149" s="5"/>
      <c r="C149" s="5"/>
      <c r="D149" s="5"/>
      <c r="E149" s="5"/>
      <c r="F149" s="5"/>
      <c r="G149" s="5"/>
      <c r="H149" s="5"/>
      <c r="I149" s="5"/>
      <c r="J149" s="5"/>
      <c r="K149" s="5"/>
      <c r="L149" s="5"/>
      <c r="M149" s="5"/>
      <c r="N149" s="5"/>
      <c r="O149" s="5"/>
    </row>
    <row r="150" ht="15.75" customHeight="1">
      <c r="A150" s="5"/>
      <c r="B150" s="5"/>
      <c r="C150" s="5"/>
      <c r="D150" s="5"/>
      <c r="E150" s="5"/>
      <c r="F150" s="5"/>
      <c r="G150" s="5"/>
      <c r="H150" s="5"/>
      <c r="I150" s="5"/>
      <c r="J150" s="5"/>
      <c r="K150" s="5"/>
      <c r="L150" s="5"/>
      <c r="M150" s="5"/>
      <c r="N150" s="5"/>
      <c r="O150" s="5"/>
    </row>
    <row r="151" ht="15.75" customHeight="1">
      <c r="A151" s="5"/>
      <c r="B151" s="5"/>
      <c r="C151" s="5"/>
      <c r="D151" s="5"/>
      <c r="E151" s="5"/>
      <c r="F151" s="5"/>
      <c r="G151" s="5"/>
      <c r="H151" s="5"/>
      <c r="I151" s="5"/>
      <c r="J151" s="5"/>
      <c r="K151" s="5"/>
      <c r="L151" s="5"/>
      <c r="M151" s="5"/>
      <c r="N151" s="5"/>
      <c r="O151" s="5"/>
    </row>
    <row r="152" ht="15.75" customHeight="1">
      <c r="A152" s="5"/>
      <c r="B152" s="5"/>
      <c r="C152" s="5"/>
      <c r="D152" s="5"/>
      <c r="E152" s="5"/>
      <c r="F152" s="5"/>
      <c r="G152" s="5"/>
      <c r="H152" s="5"/>
      <c r="I152" s="5"/>
      <c r="J152" s="5"/>
      <c r="K152" s="5"/>
      <c r="L152" s="5"/>
      <c r="M152" s="5"/>
      <c r="N152" s="5"/>
      <c r="O152" s="5"/>
    </row>
    <row r="153" ht="15.75" customHeight="1">
      <c r="A153" s="5"/>
      <c r="B153" s="5"/>
      <c r="C153" s="5"/>
      <c r="D153" s="5"/>
      <c r="E153" s="5"/>
      <c r="F153" s="5"/>
      <c r="G153" s="5"/>
      <c r="H153" s="5"/>
      <c r="I153" s="5"/>
      <c r="J153" s="5"/>
      <c r="K153" s="5"/>
      <c r="L153" s="5"/>
      <c r="M153" s="5"/>
      <c r="N153" s="5"/>
      <c r="O153" s="5"/>
    </row>
    <row r="154" ht="15.75" customHeight="1">
      <c r="A154" s="5"/>
      <c r="B154" s="5"/>
      <c r="C154" s="5"/>
      <c r="D154" s="5"/>
      <c r="E154" s="5"/>
      <c r="F154" s="5"/>
      <c r="G154" s="5"/>
      <c r="H154" s="5"/>
      <c r="I154" s="5"/>
      <c r="J154" s="5"/>
      <c r="K154" s="5"/>
      <c r="L154" s="5"/>
      <c r="M154" s="5"/>
      <c r="N154" s="5"/>
      <c r="O154" s="5"/>
    </row>
    <row r="155" ht="15.75" customHeight="1">
      <c r="A155" s="5"/>
      <c r="B155" s="5"/>
      <c r="C155" s="5"/>
      <c r="D155" s="5"/>
      <c r="E155" s="5"/>
      <c r="F155" s="5"/>
      <c r="G155" s="5"/>
      <c r="H155" s="5"/>
      <c r="I155" s="5"/>
      <c r="J155" s="5"/>
      <c r="K155" s="5"/>
      <c r="L155" s="5"/>
      <c r="M155" s="5"/>
      <c r="N155" s="5"/>
      <c r="O155" s="5"/>
    </row>
    <row r="156" ht="15.75" customHeight="1">
      <c r="A156" s="5"/>
      <c r="B156" s="5"/>
      <c r="C156" s="5"/>
      <c r="D156" s="5"/>
      <c r="E156" s="5"/>
      <c r="F156" s="5"/>
      <c r="G156" s="5"/>
      <c r="H156" s="5"/>
      <c r="I156" s="5"/>
      <c r="J156" s="5"/>
      <c r="K156" s="5"/>
      <c r="L156" s="5"/>
      <c r="M156" s="5"/>
      <c r="N156" s="5"/>
      <c r="O156" s="5"/>
    </row>
    <row r="157" ht="15.75" customHeight="1">
      <c r="A157" s="5"/>
      <c r="B157" s="5"/>
      <c r="C157" s="5"/>
      <c r="D157" s="5"/>
      <c r="E157" s="5"/>
      <c r="F157" s="5"/>
      <c r="G157" s="5"/>
      <c r="H157" s="5"/>
      <c r="I157" s="5"/>
      <c r="J157" s="5"/>
      <c r="K157" s="5"/>
      <c r="L157" s="5"/>
      <c r="M157" s="5"/>
      <c r="N157" s="5"/>
      <c r="O157" s="5"/>
    </row>
    <row r="158" ht="15.75" customHeight="1">
      <c r="A158" s="5"/>
      <c r="B158" s="5"/>
      <c r="C158" s="5"/>
      <c r="D158" s="5"/>
      <c r="E158" s="5"/>
      <c r="F158" s="5"/>
      <c r="G158" s="5"/>
      <c r="H158" s="5"/>
      <c r="I158" s="5"/>
      <c r="J158" s="5"/>
      <c r="K158" s="5"/>
      <c r="L158" s="5"/>
      <c r="M158" s="5"/>
      <c r="N158" s="5"/>
      <c r="O158" s="5"/>
    </row>
    <row r="159" ht="15.75" customHeight="1">
      <c r="A159" s="5"/>
      <c r="B159" s="5"/>
      <c r="C159" s="5"/>
      <c r="D159" s="5"/>
      <c r="E159" s="5"/>
      <c r="F159" s="5"/>
      <c r="G159" s="5"/>
      <c r="H159" s="5"/>
      <c r="I159" s="5"/>
      <c r="J159" s="5"/>
      <c r="K159" s="5"/>
      <c r="L159" s="5"/>
      <c r="M159" s="5"/>
      <c r="N159" s="5"/>
      <c r="O159" s="5"/>
    </row>
    <row r="160" ht="15.75" customHeight="1">
      <c r="A160" s="5"/>
      <c r="B160" s="5"/>
      <c r="C160" s="5"/>
      <c r="D160" s="5"/>
      <c r="E160" s="5"/>
      <c r="F160" s="5"/>
      <c r="G160" s="5"/>
      <c r="H160" s="5"/>
      <c r="I160" s="5"/>
      <c r="J160" s="5"/>
      <c r="K160" s="5"/>
      <c r="L160" s="5"/>
      <c r="M160" s="5"/>
      <c r="N160" s="5"/>
      <c r="O160" s="5"/>
    </row>
    <row r="161" ht="15.75" customHeight="1">
      <c r="A161" s="5"/>
      <c r="B161" s="5"/>
      <c r="C161" s="5"/>
      <c r="D161" s="5"/>
      <c r="E161" s="5"/>
      <c r="F161" s="5"/>
      <c r="G161" s="5"/>
      <c r="H161" s="5"/>
      <c r="I161" s="5"/>
      <c r="J161" s="5"/>
      <c r="K161" s="5"/>
      <c r="L161" s="5"/>
      <c r="M161" s="5"/>
      <c r="N161" s="5"/>
      <c r="O161" s="5"/>
    </row>
    <row r="162" ht="15.75" customHeight="1">
      <c r="A162" s="5"/>
      <c r="B162" s="5"/>
      <c r="C162" s="5"/>
      <c r="D162" s="5"/>
      <c r="E162" s="5"/>
      <c r="F162" s="5"/>
      <c r="G162" s="5"/>
      <c r="H162" s="5"/>
      <c r="I162" s="5"/>
      <c r="J162" s="5"/>
      <c r="K162" s="5"/>
      <c r="L162" s="5"/>
      <c r="M162" s="5"/>
      <c r="N162" s="5"/>
      <c r="O162" s="5"/>
    </row>
    <row r="163" ht="15.75" customHeight="1">
      <c r="A163" s="5"/>
      <c r="B163" s="5"/>
      <c r="C163" s="5"/>
      <c r="D163" s="5"/>
      <c r="E163" s="5"/>
      <c r="F163" s="5"/>
      <c r="G163" s="5"/>
      <c r="H163" s="5"/>
      <c r="I163" s="5"/>
      <c r="J163" s="5"/>
      <c r="K163" s="5"/>
      <c r="L163" s="5"/>
      <c r="M163" s="5"/>
      <c r="N163" s="5"/>
      <c r="O163" s="5"/>
    </row>
    <row r="164" ht="15.75" customHeight="1">
      <c r="A164" s="5"/>
      <c r="B164" s="5"/>
      <c r="C164" s="5"/>
      <c r="D164" s="5"/>
      <c r="E164" s="5"/>
      <c r="F164" s="5"/>
      <c r="G164" s="5"/>
      <c r="H164" s="5"/>
      <c r="I164" s="5"/>
      <c r="J164" s="5"/>
      <c r="K164" s="5"/>
      <c r="L164" s="5"/>
      <c r="M164" s="5"/>
      <c r="N164" s="5"/>
      <c r="O164" s="5"/>
    </row>
    <row r="165" ht="15.75" customHeight="1">
      <c r="A165" s="5"/>
      <c r="B165" s="5"/>
      <c r="C165" s="5"/>
      <c r="D165" s="5"/>
      <c r="E165" s="5"/>
      <c r="F165" s="5"/>
      <c r="G165" s="5"/>
      <c r="H165" s="5"/>
      <c r="I165" s="5"/>
      <c r="J165" s="5"/>
      <c r="K165" s="5"/>
      <c r="L165" s="5"/>
      <c r="M165" s="5"/>
      <c r="N165" s="5"/>
      <c r="O165" s="5"/>
    </row>
    <row r="166" ht="15.75" customHeight="1">
      <c r="A166" s="5"/>
      <c r="B166" s="5"/>
      <c r="C166" s="5"/>
      <c r="D166" s="5"/>
      <c r="E166" s="5"/>
      <c r="F166" s="5"/>
      <c r="G166" s="5"/>
      <c r="H166" s="5"/>
      <c r="I166" s="5"/>
      <c r="J166" s="5"/>
      <c r="K166" s="5"/>
      <c r="L166" s="5"/>
      <c r="M166" s="5"/>
      <c r="N166" s="5"/>
      <c r="O166" s="5"/>
    </row>
    <row r="167" ht="15.75" customHeight="1">
      <c r="A167" s="5"/>
      <c r="B167" s="5"/>
      <c r="C167" s="5"/>
      <c r="D167" s="5"/>
      <c r="E167" s="5"/>
      <c r="F167" s="5"/>
      <c r="G167" s="5"/>
      <c r="H167" s="5"/>
      <c r="I167" s="5"/>
      <c r="J167" s="5"/>
      <c r="K167" s="5"/>
      <c r="L167" s="5"/>
      <c r="M167" s="5"/>
      <c r="N167" s="5"/>
      <c r="O167" s="5"/>
    </row>
    <row r="168" ht="15.75" customHeight="1">
      <c r="A168" s="5"/>
      <c r="B168" s="5"/>
      <c r="C168" s="5"/>
      <c r="D168" s="5"/>
      <c r="E168" s="5"/>
      <c r="F168" s="5"/>
      <c r="G168" s="5"/>
      <c r="H168" s="5"/>
      <c r="I168" s="5"/>
      <c r="J168" s="5"/>
      <c r="K168" s="5"/>
      <c r="L168" s="5"/>
      <c r="M168" s="5"/>
      <c r="N168" s="5"/>
      <c r="O168" s="5"/>
    </row>
    <row r="169" ht="15.75" customHeight="1">
      <c r="A169" s="5"/>
      <c r="B169" s="5"/>
      <c r="C169" s="5"/>
      <c r="D169" s="5"/>
      <c r="E169" s="5"/>
      <c r="F169" s="5"/>
      <c r="G169" s="5"/>
      <c r="H169" s="5"/>
      <c r="I169" s="5"/>
      <c r="J169" s="5"/>
      <c r="K169" s="5"/>
      <c r="L169" s="5"/>
      <c r="M169" s="5"/>
      <c r="N169" s="5"/>
      <c r="O169" s="5"/>
    </row>
    <row r="170" ht="15.75" customHeight="1">
      <c r="A170" s="5"/>
      <c r="B170" s="5"/>
      <c r="C170" s="5"/>
      <c r="D170" s="5"/>
      <c r="E170" s="5"/>
      <c r="F170" s="5"/>
      <c r="G170" s="5"/>
      <c r="H170" s="5"/>
      <c r="I170" s="5"/>
      <c r="J170" s="5"/>
      <c r="K170" s="5"/>
      <c r="L170" s="5"/>
      <c r="M170" s="5"/>
      <c r="N170" s="5"/>
      <c r="O170" s="5"/>
    </row>
    <row r="171" ht="15.75" customHeight="1">
      <c r="A171" s="5"/>
      <c r="B171" s="5"/>
      <c r="C171" s="5"/>
      <c r="D171" s="5"/>
      <c r="E171" s="5"/>
      <c r="F171" s="5"/>
      <c r="G171" s="5"/>
      <c r="H171" s="5"/>
      <c r="I171" s="5"/>
      <c r="J171" s="5"/>
      <c r="K171" s="5"/>
      <c r="L171" s="5"/>
      <c r="M171" s="5"/>
      <c r="N171" s="5"/>
      <c r="O171" s="5"/>
    </row>
    <row r="172" ht="15.75" customHeight="1">
      <c r="A172" s="5"/>
      <c r="B172" s="5"/>
      <c r="C172" s="5"/>
      <c r="D172" s="5"/>
      <c r="E172" s="5"/>
      <c r="F172" s="5"/>
      <c r="G172" s="5"/>
      <c r="H172" s="5"/>
      <c r="I172" s="5"/>
      <c r="J172" s="5"/>
      <c r="K172" s="5"/>
      <c r="L172" s="5"/>
      <c r="M172" s="5"/>
      <c r="N172" s="5"/>
      <c r="O172" s="5"/>
    </row>
    <row r="173" ht="15.75" customHeight="1">
      <c r="A173" s="5"/>
      <c r="B173" s="5"/>
      <c r="C173" s="5"/>
      <c r="D173" s="5"/>
      <c r="E173" s="5"/>
      <c r="F173" s="5"/>
      <c r="G173" s="5"/>
      <c r="H173" s="5"/>
      <c r="I173" s="5"/>
      <c r="J173" s="5"/>
      <c r="K173" s="5"/>
      <c r="L173" s="5"/>
      <c r="M173" s="5"/>
      <c r="N173" s="5"/>
      <c r="O173" s="5"/>
    </row>
    <row r="174" ht="15.75" customHeight="1">
      <c r="A174" s="5"/>
      <c r="B174" s="5"/>
      <c r="C174" s="5"/>
      <c r="D174" s="5"/>
      <c r="E174" s="5"/>
      <c r="F174" s="5"/>
      <c r="G174" s="5"/>
      <c r="H174" s="5"/>
      <c r="I174" s="5"/>
      <c r="J174" s="5"/>
      <c r="K174" s="5"/>
      <c r="L174" s="5"/>
      <c r="M174" s="5"/>
      <c r="N174" s="5"/>
      <c r="O174" s="5"/>
    </row>
    <row r="175" ht="15.75" customHeight="1">
      <c r="A175" s="5"/>
      <c r="B175" s="5"/>
      <c r="C175" s="5"/>
      <c r="D175" s="5"/>
      <c r="E175" s="5"/>
      <c r="F175" s="5"/>
      <c r="G175" s="5"/>
      <c r="H175" s="5"/>
      <c r="I175" s="5"/>
      <c r="J175" s="5"/>
      <c r="K175" s="5"/>
      <c r="L175" s="5"/>
      <c r="M175" s="5"/>
      <c r="N175" s="5"/>
      <c r="O175" s="5"/>
    </row>
    <row r="176" ht="15.75" customHeight="1">
      <c r="A176" s="5"/>
      <c r="B176" s="5"/>
      <c r="C176" s="5"/>
      <c r="D176" s="5"/>
      <c r="E176" s="5"/>
      <c r="F176" s="5"/>
      <c r="G176" s="5"/>
      <c r="H176" s="5"/>
      <c r="I176" s="5"/>
      <c r="J176" s="5"/>
      <c r="K176" s="5"/>
      <c r="L176" s="5"/>
      <c r="M176" s="5"/>
      <c r="N176" s="5"/>
      <c r="O176" s="5"/>
    </row>
    <row r="177" ht="15.75" customHeight="1">
      <c r="A177" s="5"/>
      <c r="B177" s="5"/>
      <c r="C177" s="5"/>
      <c r="D177" s="5"/>
      <c r="E177" s="5"/>
      <c r="F177" s="5"/>
      <c r="G177" s="5"/>
      <c r="H177" s="5"/>
      <c r="I177" s="5"/>
      <c r="J177" s="5"/>
      <c r="K177" s="5"/>
      <c r="L177" s="5"/>
      <c r="M177" s="5"/>
      <c r="N177" s="5"/>
      <c r="O177" s="5"/>
    </row>
    <row r="178" ht="15.75" customHeight="1">
      <c r="A178" s="5"/>
      <c r="B178" s="5"/>
      <c r="C178" s="5"/>
      <c r="D178" s="5"/>
      <c r="E178" s="5"/>
      <c r="F178" s="5"/>
      <c r="G178" s="5"/>
      <c r="H178" s="5"/>
      <c r="I178" s="5"/>
      <c r="J178" s="5"/>
      <c r="K178" s="5"/>
      <c r="L178" s="5"/>
      <c r="M178" s="5"/>
      <c r="N178" s="5"/>
      <c r="O178" s="5"/>
    </row>
    <row r="179" ht="15.75" customHeight="1">
      <c r="A179" s="5"/>
      <c r="B179" s="5"/>
      <c r="C179" s="5"/>
      <c r="D179" s="5"/>
      <c r="E179" s="5"/>
      <c r="F179" s="5"/>
      <c r="G179" s="5"/>
      <c r="H179" s="5"/>
      <c r="I179" s="5"/>
      <c r="J179" s="5"/>
      <c r="K179" s="5"/>
      <c r="L179" s="5"/>
      <c r="M179" s="5"/>
      <c r="N179" s="5"/>
      <c r="O179" s="5"/>
    </row>
    <row r="180" ht="15.75" customHeight="1">
      <c r="A180" s="5"/>
      <c r="B180" s="5"/>
      <c r="C180" s="5"/>
      <c r="D180" s="5"/>
      <c r="E180" s="5"/>
      <c r="F180" s="5"/>
      <c r="G180" s="5"/>
      <c r="H180" s="5"/>
      <c r="I180" s="5"/>
      <c r="J180" s="5"/>
      <c r="K180" s="5"/>
      <c r="L180" s="5"/>
      <c r="M180" s="5"/>
      <c r="N180" s="5"/>
      <c r="O180" s="5"/>
    </row>
    <row r="181" ht="15.75" customHeight="1">
      <c r="A181" s="5"/>
      <c r="B181" s="5"/>
      <c r="C181" s="5"/>
      <c r="D181" s="5"/>
      <c r="E181" s="5"/>
      <c r="F181" s="5"/>
      <c r="G181" s="5"/>
      <c r="H181" s="5"/>
      <c r="I181" s="5"/>
      <c r="J181" s="5"/>
      <c r="K181" s="5"/>
      <c r="L181" s="5"/>
      <c r="M181" s="5"/>
      <c r="N181" s="5"/>
      <c r="O181" s="5"/>
    </row>
    <row r="182" ht="15.75" customHeight="1">
      <c r="A182" s="5"/>
      <c r="B182" s="5"/>
      <c r="C182" s="5"/>
      <c r="D182" s="5"/>
      <c r="E182" s="5"/>
      <c r="F182" s="5"/>
      <c r="G182" s="5"/>
      <c r="H182" s="5"/>
      <c r="I182" s="5"/>
      <c r="J182" s="5"/>
      <c r="K182" s="5"/>
      <c r="L182" s="5"/>
      <c r="M182" s="5"/>
      <c r="N182" s="5"/>
      <c r="O182" s="5"/>
    </row>
    <row r="183" ht="15.75" customHeight="1">
      <c r="A183" s="5"/>
      <c r="B183" s="5"/>
      <c r="C183" s="5"/>
      <c r="D183" s="5"/>
      <c r="E183" s="5"/>
      <c r="F183" s="5"/>
      <c r="G183" s="5"/>
      <c r="H183" s="5"/>
      <c r="I183" s="5"/>
      <c r="J183" s="5"/>
      <c r="K183" s="5"/>
      <c r="L183" s="5"/>
      <c r="M183" s="5"/>
      <c r="N183" s="5"/>
      <c r="O183" s="5"/>
    </row>
    <row r="184" ht="15.75" customHeight="1">
      <c r="A184" s="5"/>
      <c r="B184" s="5"/>
      <c r="C184" s="5"/>
      <c r="D184" s="5"/>
      <c r="E184" s="5"/>
      <c r="F184" s="5"/>
      <c r="G184" s="5"/>
      <c r="H184" s="5"/>
      <c r="I184" s="5"/>
      <c r="J184" s="5"/>
      <c r="K184" s="5"/>
      <c r="L184" s="5"/>
      <c r="M184" s="5"/>
      <c r="N184" s="5"/>
      <c r="O184" s="5"/>
    </row>
    <row r="185" ht="15.75" customHeight="1">
      <c r="A185" s="5"/>
      <c r="B185" s="5"/>
      <c r="C185" s="5"/>
      <c r="D185" s="5"/>
      <c r="E185" s="5"/>
      <c r="F185" s="5"/>
      <c r="G185" s="5"/>
      <c r="H185" s="5"/>
      <c r="I185" s="5"/>
      <c r="J185" s="5"/>
      <c r="K185" s="5"/>
      <c r="L185" s="5"/>
      <c r="M185" s="5"/>
      <c r="N185" s="5"/>
      <c r="O185" s="5"/>
    </row>
    <row r="186" ht="15.75" customHeight="1">
      <c r="A186" s="5"/>
      <c r="B186" s="5"/>
      <c r="C186" s="5"/>
      <c r="D186" s="5"/>
      <c r="E186" s="5"/>
      <c r="F186" s="5"/>
      <c r="G186" s="5"/>
      <c r="H186" s="5"/>
      <c r="I186" s="5"/>
      <c r="J186" s="5"/>
      <c r="K186" s="5"/>
      <c r="L186" s="5"/>
      <c r="M186" s="5"/>
      <c r="N186" s="5"/>
      <c r="O186" s="5"/>
    </row>
    <row r="187" ht="15.75" customHeight="1">
      <c r="A187" s="5"/>
      <c r="B187" s="5"/>
      <c r="C187" s="5"/>
      <c r="D187" s="5"/>
      <c r="E187" s="5"/>
      <c r="F187" s="5"/>
      <c r="G187" s="5"/>
      <c r="H187" s="5"/>
      <c r="I187" s="5"/>
      <c r="J187" s="5"/>
      <c r="K187" s="5"/>
      <c r="L187" s="5"/>
      <c r="M187" s="5"/>
      <c r="N187" s="5"/>
      <c r="O187" s="5"/>
    </row>
    <row r="188" ht="15.75" customHeight="1">
      <c r="A188" s="5"/>
      <c r="B188" s="5"/>
      <c r="C188" s="5"/>
      <c r="D188" s="5"/>
      <c r="E188" s="5"/>
      <c r="F188" s="5"/>
      <c r="G188" s="5"/>
      <c r="H188" s="5"/>
      <c r="I188" s="5"/>
      <c r="J188" s="5"/>
      <c r="K188" s="5"/>
      <c r="L188" s="5"/>
      <c r="M188" s="5"/>
      <c r="N188" s="5"/>
      <c r="O188" s="5"/>
    </row>
    <row r="189" ht="15.75" customHeight="1">
      <c r="A189" s="5"/>
      <c r="B189" s="5"/>
      <c r="C189" s="5"/>
      <c r="D189" s="5"/>
      <c r="E189" s="5"/>
      <c r="F189" s="5"/>
      <c r="G189" s="5"/>
      <c r="H189" s="5"/>
      <c r="I189" s="5"/>
      <c r="J189" s="5"/>
      <c r="K189" s="5"/>
      <c r="L189" s="5"/>
      <c r="M189" s="5"/>
      <c r="N189" s="5"/>
      <c r="O189" s="5"/>
    </row>
    <row r="190" ht="15.75" customHeight="1">
      <c r="A190" s="5"/>
      <c r="B190" s="5"/>
      <c r="C190" s="5"/>
      <c r="D190" s="5"/>
      <c r="E190" s="5"/>
      <c r="F190" s="5"/>
      <c r="G190" s="5"/>
      <c r="H190" s="5"/>
      <c r="I190" s="5"/>
      <c r="J190" s="5"/>
      <c r="K190" s="5"/>
      <c r="L190" s="5"/>
      <c r="M190" s="5"/>
      <c r="N190" s="5"/>
      <c r="O190" s="5"/>
    </row>
    <row r="191" ht="15.75" customHeight="1">
      <c r="A191" s="5"/>
      <c r="B191" s="5"/>
      <c r="C191" s="5"/>
      <c r="D191" s="5"/>
      <c r="E191" s="5"/>
      <c r="F191" s="5"/>
      <c r="G191" s="5"/>
      <c r="H191" s="5"/>
      <c r="I191" s="5"/>
      <c r="J191" s="5"/>
      <c r="K191" s="5"/>
      <c r="L191" s="5"/>
      <c r="M191" s="5"/>
      <c r="N191" s="5"/>
      <c r="O191" s="5"/>
    </row>
    <row r="192" ht="15.75" customHeight="1">
      <c r="A192" s="5"/>
      <c r="B192" s="5"/>
      <c r="C192" s="5"/>
      <c r="D192" s="5"/>
      <c r="E192" s="5"/>
      <c r="F192" s="5"/>
      <c r="G192" s="5"/>
      <c r="H192" s="5"/>
      <c r="I192" s="5"/>
      <c r="J192" s="5"/>
      <c r="K192" s="5"/>
      <c r="L192" s="5"/>
      <c r="M192" s="5"/>
      <c r="N192" s="5"/>
      <c r="O192" s="5"/>
    </row>
    <row r="193" ht="15.75" customHeight="1">
      <c r="A193" s="5"/>
      <c r="B193" s="5"/>
      <c r="C193" s="5"/>
      <c r="D193" s="5"/>
      <c r="E193" s="5"/>
      <c r="F193" s="5"/>
      <c r="G193" s="5"/>
      <c r="H193" s="5"/>
      <c r="I193" s="5"/>
      <c r="J193" s="5"/>
      <c r="K193" s="5"/>
      <c r="L193" s="5"/>
      <c r="M193" s="5"/>
      <c r="N193" s="5"/>
      <c r="O193" s="5"/>
    </row>
    <row r="194" ht="15.75" customHeight="1">
      <c r="A194" s="5"/>
      <c r="B194" s="5"/>
      <c r="C194" s="5"/>
      <c r="D194" s="5"/>
      <c r="E194" s="5"/>
      <c r="F194" s="5"/>
      <c r="G194" s="5"/>
      <c r="H194" s="5"/>
      <c r="I194" s="5"/>
      <c r="J194" s="5"/>
      <c r="K194" s="5"/>
      <c r="L194" s="5"/>
      <c r="M194" s="5"/>
      <c r="N194" s="5"/>
      <c r="O194" s="5"/>
    </row>
    <row r="195" ht="15.75" customHeight="1">
      <c r="A195" s="5"/>
      <c r="B195" s="5"/>
      <c r="C195" s="5"/>
      <c r="D195" s="5"/>
      <c r="E195" s="5"/>
      <c r="F195" s="5"/>
      <c r="G195" s="5"/>
      <c r="H195" s="5"/>
      <c r="I195" s="5"/>
      <c r="J195" s="5"/>
      <c r="K195" s="5"/>
      <c r="L195" s="5"/>
      <c r="M195" s="5"/>
      <c r="N195" s="5"/>
      <c r="O195" s="5"/>
    </row>
    <row r="196" ht="15.75" customHeight="1">
      <c r="A196" s="5"/>
      <c r="B196" s="5"/>
      <c r="C196" s="5"/>
      <c r="D196" s="5"/>
      <c r="E196" s="5"/>
      <c r="F196" s="5"/>
      <c r="G196" s="5"/>
      <c r="H196" s="5"/>
      <c r="I196" s="5"/>
      <c r="J196" s="5"/>
      <c r="K196" s="5"/>
      <c r="L196" s="5"/>
      <c r="M196" s="5"/>
      <c r="N196" s="5"/>
      <c r="O196" s="5"/>
    </row>
    <row r="197" ht="15.75" customHeight="1">
      <c r="A197" s="5"/>
      <c r="B197" s="5"/>
      <c r="C197" s="5"/>
      <c r="D197" s="5"/>
      <c r="E197" s="5"/>
      <c r="F197" s="5"/>
      <c r="G197" s="5"/>
      <c r="H197" s="5"/>
      <c r="I197" s="5"/>
      <c r="J197" s="5"/>
      <c r="K197" s="5"/>
      <c r="L197" s="5"/>
      <c r="M197" s="5"/>
      <c r="N197" s="5"/>
      <c r="O197" s="5"/>
    </row>
    <row r="198" ht="15.75" customHeight="1">
      <c r="A198" s="5"/>
      <c r="B198" s="5"/>
      <c r="C198" s="5"/>
      <c r="D198" s="5"/>
      <c r="E198" s="5"/>
      <c r="F198" s="5"/>
      <c r="G198" s="5"/>
      <c r="H198" s="5"/>
      <c r="I198" s="5"/>
      <c r="J198" s="5"/>
      <c r="K198" s="5"/>
      <c r="L198" s="5"/>
      <c r="M198" s="5"/>
      <c r="N198" s="5"/>
      <c r="O198" s="5"/>
    </row>
    <row r="199" ht="15.75" customHeight="1">
      <c r="A199" s="5"/>
      <c r="B199" s="5"/>
      <c r="C199" s="5"/>
      <c r="D199" s="5"/>
      <c r="E199" s="5"/>
      <c r="F199" s="5"/>
      <c r="G199" s="5"/>
      <c r="H199" s="5"/>
      <c r="I199" s="5"/>
      <c r="J199" s="5"/>
      <c r="K199" s="5"/>
      <c r="L199" s="5"/>
      <c r="M199" s="5"/>
      <c r="N199" s="5"/>
      <c r="O199" s="5"/>
    </row>
    <row r="200" ht="15.75" customHeight="1">
      <c r="A200" s="5"/>
      <c r="B200" s="5"/>
      <c r="C200" s="5"/>
      <c r="D200" s="5"/>
      <c r="E200" s="5"/>
      <c r="F200" s="5"/>
      <c r="G200" s="5"/>
      <c r="H200" s="5"/>
      <c r="I200" s="5"/>
      <c r="J200" s="5"/>
      <c r="K200" s="5"/>
      <c r="L200" s="5"/>
      <c r="M200" s="5"/>
      <c r="N200" s="5"/>
      <c r="O200" s="5"/>
    </row>
    <row r="201" ht="15.75" customHeight="1">
      <c r="A201" s="5"/>
      <c r="B201" s="5"/>
      <c r="C201" s="5"/>
      <c r="D201" s="5"/>
      <c r="E201" s="5"/>
      <c r="F201" s="5"/>
      <c r="G201" s="5"/>
      <c r="H201" s="5"/>
      <c r="I201" s="5"/>
      <c r="J201" s="5"/>
      <c r="K201" s="5"/>
      <c r="L201" s="5"/>
      <c r="M201" s="5"/>
      <c r="N201" s="5"/>
      <c r="O201" s="5"/>
    </row>
    <row r="202" ht="15.75" customHeight="1">
      <c r="A202" s="5"/>
      <c r="B202" s="5"/>
      <c r="C202" s="5"/>
      <c r="D202" s="5"/>
      <c r="E202" s="5"/>
      <c r="F202" s="5"/>
      <c r="G202" s="5"/>
      <c r="H202" s="5"/>
      <c r="I202" s="5"/>
      <c r="J202" s="5"/>
      <c r="K202" s="5"/>
      <c r="L202" s="5"/>
      <c r="M202" s="5"/>
      <c r="N202" s="5"/>
      <c r="O202" s="5"/>
    </row>
    <row r="203" ht="15.75" customHeight="1">
      <c r="A203" s="5"/>
      <c r="B203" s="5"/>
      <c r="C203" s="5"/>
      <c r="D203" s="5"/>
      <c r="E203" s="5"/>
      <c r="F203" s="5"/>
      <c r="G203" s="5"/>
      <c r="H203" s="5"/>
      <c r="I203" s="5"/>
      <c r="J203" s="5"/>
      <c r="K203" s="5"/>
      <c r="L203" s="5"/>
      <c r="M203" s="5"/>
      <c r="N203" s="5"/>
      <c r="O203" s="5"/>
    </row>
    <row r="204" ht="15.75" customHeight="1">
      <c r="A204" s="5"/>
      <c r="B204" s="5"/>
      <c r="C204" s="5"/>
      <c r="D204" s="5"/>
      <c r="E204" s="5"/>
      <c r="F204" s="5"/>
      <c r="G204" s="5"/>
      <c r="H204" s="5"/>
      <c r="I204" s="5"/>
      <c r="J204" s="5"/>
      <c r="K204" s="5"/>
      <c r="L204" s="5"/>
      <c r="M204" s="5"/>
      <c r="N204" s="5"/>
      <c r="O204" s="5"/>
    </row>
    <row r="205" ht="15.75" customHeight="1">
      <c r="A205" s="5"/>
      <c r="B205" s="5"/>
      <c r="C205" s="5"/>
      <c r="D205" s="5"/>
      <c r="E205" s="5"/>
      <c r="F205" s="5"/>
      <c r="G205" s="5"/>
      <c r="H205" s="5"/>
      <c r="I205" s="5"/>
      <c r="J205" s="5"/>
      <c r="K205" s="5"/>
      <c r="L205" s="5"/>
      <c r="M205" s="5"/>
      <c r="N205" s="5"/>
      <c r="O205" s="5"/>
    </row>
    <row r="206" ht="15.75" customHeight="1">
      <c r="A206" s="5"/>
      <c r="B206" s="5"/>
      <c r="C206" s="5"/>
      <c r="D206" s="5"/>
      <c r="E206" s="5"/>
      <c r="F206" s="5"/>
      <c r="G206" s="5"/>
      <c r="H206" s="5"/>
      <c r="I206" s="5"/>
      <c r="J206" s="5"/>
      <c r="K206" s="5"/>
      <c r="L206" s="5"/>
      <c r="M206" s="5"/>
      <c r="N206" s="5"/>
      <c r="O206" s="5"/>
    </row>
    <row r="207" ht="15.75" customHeight="1">
      <c r="A207" s="5"/>
      <c r="B207" s="5"/>
      <c r="C207" s="5"/>
      <c r="D207" s="5"/>
      <c r="E207" s="5"/>
      <c r="F207" s="5"/>
      <c r="G207" s="5"/>
      <c r="H207" s="5"/>
      <c r="I207" s="5"/>
      <c r="J207" s="5"/>
      <c r="K207" s="5"/>
      <c r="L207" s="5"/>
      <c r="M207" s="5"/>
      <c r="N207" s="5"/>
      <c r="O207" s="5"/>
    </row>
    <row r="208" ht="15.75" customHeight="1">
      <c r="A208" s="5"/>
      <c r="B208" s="5"/>
      <c r="C208" s="5"/>
      <c r="D208" s="5"/>
      <c r="E208" s="5"/>
      <c r="F208" s="5"/>
      <c r="G208" s="5"/>
      <c r="H208" s="5"/>
      <c r="I208" s="5"/>
      <c r="J208" s="5"/>
      <c r="K208" s="5"/>
      <c r="L208" s="5"/>
      <c r="M208" s="5"/>
      <c r="N208" s="5"/>
      <c r="O208" s="5"/>
    </row>
    <row r="209" ht="15.75" customHeight="1">
      <c r="A209" s="5"/>
      <c r="B209" s="5"/>
      <c r="C209" s="5"/>
      <c r="D209" s="5"/>
      <c r="E209" s="5"/>
      <c r="F209" s="5"/>
      <c r="G209" s="5"/>
      <c r="H209" s="5"/>
      <c r="I209" s="5"/>
      <c r="J209" s="5"/>
      <c r="K209" s="5"/>
      <c r="L209" s="5"/>
      <c r="M209" s="5"/>
      <c r="N209" s="5"/>
      <c r="O209" s="5"/>
    </row>
    <row r="210" ht="15.75" customHeight="1">
      <c r="A210" s="5"/>
      <c r="B210" s="5"/>
      <c r="C210" s="5"/>
      <c r="D210" s="5"/>
      <c r="E210" s="5"/>
      <c r="F210" s="5"/>
      <c r="G210" s="5"/>
      <c r="H210" s="5"/>
      <c r="I210" s="5"/>
      <c r="J210" s="5"/>
      <c r="K210" s="5"/>
      <c r="L210" s="5"/>
      <c r="M210" s="5"/>
      <c r="N210" s="5"/>
      <c r="O210" s="5"/>
    </row>
    <row r="211" ht="15.75" customHeight="1">
      <c r="A211" s="5"/>
      <c r="B211" s="5"/>
      <c r="C211" s="5"/>
      <c r="D211" s="5"/>
      <c r="E211" s="5"/>
      <c r="F211" s="5"/>
      <c r="G211" s="5"/>
      <c r="H211" s="5"/>
      <c r="I211" s="5"/>
      <c r="J211" s="5"/>
      <c r="K211" s="5"/>
      <c r="L211" s="5"/>
      <c r="M211" s="5"/>
      <c r="N211" s="5"/>
      <c r="O211" s="5"/>
    </row>
    <row r="212" ht="15.75" customHeight="1">
      <c r="A212" s="5"/>
      <c r="B212" s="5"/>
      <c r="C212" s="5"/>
      <c r="D212" s="5"/>
      <c r="E212" s="5"/>
      <c r="F212" s="5"/>
      <c r="G212" s="5"/>
      <c r="H212" s="5"/>
      <c r="I212" s="5"/>
      <c r="J212" s="5"/>
      <c r="K212" s="5"/>
      <c r="L212" s="5"/>
      <c r="M212" s="5"/>
      <c r="N212" s="5"/>
      <c r="O212" s="5"/>
    </row>
    <row r="213" ht="15.75" customHeight="1">
      <c r="A213" s="5"/>
      <c r="B213" s="5"/>
      <c r="C213" s="5"/>
      <c r="D213" s="5"/>
      <c r="E213" s="5"/>
      <c r="F213" s="5"/>
      <c r="G213" s="5"/>
      <c r="H213" s="5"/>
      <c r="I213" s="5"/>
      <c r="J213" s="5"/>
      <c r="K213" s="5"/>
      <c r="L213" s="5"/>
      <c r="M213" s="5"/>
      <c r="N213" s="5"/>
      <c r="O213" s="5"/>
    </row>
    <row r="214" ht="15.75" customHeight="1">
      <c r="A214" s="5"/>
      <c r="B214" s="5"/>
      <c r="C214" s="5"/>
      <c r="D214" s="5"/>
      <c r="E214" s="5"/>
      <c r="F214" s="5"/>
      <c r="G214" s="5"/>
      <c r="H214" s="5"/>
      <c r="I214" s="5"/>
      <c r="J214" s="5"/>
      <c r="K214" s="5"/>
      <c r="L214" s="5"/>
      <c r="M214" s="5"/>
      <c r="N214" s="5"/>
      <c r="O214" s="5"/>
    </row>
    <row r="215" ht="15.75" customHeight="1">
      <c r="A215" s="5"/>
      <c r="B215" s="5"/>
      <c r="C215" s="5"/>
      <c r="D215" s="5"/>
      <c r="E215" s="5"/>
      <c r="F215" s="5"/>
      <c r="G215" s="5"/>
      <c r="H215" s="5"/>
      <c r="I215" s="5"/>
      <c r="J215" s="5"/>
      <c r="K215" s="5"/>
      <c r="L215" s="5"/>
      <c r="M215" s="5"/>
      <c r="N215" s="5"/>
      <c r="O215" s="5"/>
    </row>
    <row r="216" ht="15.75" customHeight="1">
      <c r="A216" s="5"/>
      <c r="B216" s="5"/>
      <c r="C216" s="5"/>
      <c r="D216" s="5"/>
      <c r="E216" s="5"/>
      <c r="F216" s="5"/>
      <c r="G216" s="5"/>
      <c r="H216" s="5"/>
      <c r="I216" s="5"/>
      <c r="J216" s="5"/>
      <c r="K216" s="5"/>
      <c r="L216" s="5"/>
      <c r="M216" s="5"/>
      <c r="N216" s="5"/>
      <c r="O216" s="5"/>
    </row>
    <row r="217" ht="15.75" customHeight="1">
      <c r="A217" s="5"/>
      <c r="B217" s="5"/>
      <c r="C217" s="5"/>
      <c r="D217" s="5"/>
      <c r="E217" s="5"/>
      <c r="F217" s="5"/>
      <c r="G217" s="5"/>
      <c r="H217" s="5"/>
      <c r="I217" s="5"/>
      <c r="J217" s="5"/>
      <c r="K217" s="5"/>
      <c r="L217" s="5"/>
      <c r="M217" s="5"/>
      <c r="N217" s="5"/>
      <c r="O217" s="5"/>
    </row>
    <row r="218" ht="15.75" customHeight="1">
      <c r="A218" s="5"/>
      <c r="B218" s="5"/>
      <c r="C218" s="5"/>
      <c r="D218" s="5"/>
      <c r="E218" s="5"/>
      <c r="F218" s="5"/>
      <c r="G218" s="5"/>
      <c r="H218" s="5"/>
      <c r="I218" s="5"/>
      <c r="J218" s="5"/>
      <c r="K218" s="5"/>
      <c r="L218" s="5"/>
      <c r="M218" s="5"/>
      <c r="N218" s="5"/>
      <c r="O218" s="5"/>
    </row>
    <row r="219" ht="15.75" customHeight="1">
      <c r="A219" s="5"/>
      <c r="B219" s="5"/>
      <c r="C219" s="5"/>
      <c r="D219" s="5"/>
      <c r="E219" s="5"/>
      <c r="F219" s="5"/>
      <c r="G219" s="5"/>
      <c r="H219" s="5"/>
      <c r="I219" s="5"/>
      <c r="J219" s="5"/>
      <c r="K219" s="5"/>
      <c r="L219" s="5"/>
      <c r="M219" s="5"/>
      <c r="N219" s="5"/>
      <c r="O219" s="5"/>
    </row>
    <row r="220" ht="15.75" customHeight="1">
      <c r="A220" s="5"/>
      <c r="B220" s="5"/>
      <c r="C220" s="5"/>
      <c r="D220" s="5"/>
      <c r="E220" s="5"/>
      <c r="F220" s="5"/>
      <c r="G220" s="5"/>
      <c r="H220" s="5"/>
      <c r="I220" s="5"/>
      <c r="J220" s="5"/>
      <c r="K220" s="5"/>
      <c r="L220" s="5"/>
      <c r="M220" s="5"/>
      <c r="N220" s="5"/>
      <c r="O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6:C16"/>
    <mergeCell ref="A17:C17"/>
    <mergeCell ref="A1:O1"/>
    <mergeCell ref="A2:O2"/>
    <mergeCell ref="A12:O12"/>
    <mergeCell ref="A14:O14"/>
    <mergeCell ref="A15:C15"/>
    <mergeCell ref="D15:O15"/>
    <mergeCell ref="D16:O16"/>
    <mergeCell ref="D17:O17"/>
  </mergeCells>
  <hyperlinks>
    <hyperlink r:id="rId1" ref="A5"/>
    <hyperlink r:id="rId2" ref="A6"/>
    <hyperlink r:id="rId3" ref="A7"/>
    <hyperlink r:id="rId4" ref="A8"/>
    <hyperlink r:id="rId5" ref="A9"/>
    <hyperlink r:id="rId6" ref="A10"/>
  </hyperlinks>
  <printOptions/>
  <pageMargins bottom="1.0" footer="0.0" header="0.0" left="0.75" right="0.75" top="1.0"/>
  <pageSetup paperSize="9" orientation="portrait"/>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0"/>
    <col customWidth="1" min="2" max="2" width="35.14"/>
    <col customWidth="1" min="3" max="4" width="23.0"/>
    <col customWidth="1" min="5" max="5" width="29.14"/>
    <col customWidth="1" min="6" max="7" width="17.86"/>
    <col customWidth="1" min="8" max="8" width="32.0"/>
    <col customWidth="1" min="9" max="9" width="14.0"/>
    <col customWidth="1" min="10" max="10" width="28.0"/>
    <col customWidth="1" min="11" max="11" width="34.0"/>
    <col customWidth="1" min="12" max="12" width="32.0"/>
    <col customWidth="1" min="13" max="13" width="30.0"/>
    <col customWidth="1" min="14" max="14" width="12.0"/>
    <col customWidth="1" min="15" max="15" width="18.0"/>
    <col customWidth="1" min="16" max="26" width="8.71"/>
  </cols>
  <sheetData>
    <row r="1" ht="39.75" customHeight="1">
      <c r="A1" s="38" t="s">
        <v>104</v>
      </c>
      <c r="B1" s="2"/>
      <c r="C1" s="2"/>
      <c r="D1" s="2"/>
      <c r="E1" s="2"/>
      <c r="F1" s="2"/>
      <c r="G1" s="2"/>
      <c r="H1" s="2"/>
      <c r="I1" s="2"/>
      <c r="J1" s="2"/>
      <c r="K1" s="2"/>
      <c r="L1" s="2"/>
      <c r="M1" s="2"/>
      <c r="N1" s="2"/>
      <c r="O1" s="3"/>
    </row>
    <row r="2" ht="21.75" customHeight="1">
      <c r="A2" s="39" t="s">
        <v>105</v>
      </c>
      <c r="B2" s="2"/>
      <c r="C2" s="2"/>
      <c r="D2" s="2"/>
      <c r="E2" s="2"/>
      <c r="F2" s="2"/>
      <c r="G2" s="2"/>
      <c r="H2" s="2"/>
      <c r="I2" s="2"/>
      <c r="J2" s="2"/>
      <c r="K2" s="2"/>
      <c r="L2" s="2"/>
      <c r="M2" s="2"/>
      <c r="N2" s="2"/>
      <c r="O2" s="3"/>
    </row>
    <row r="3" ht="7.5" customHeight="1"/>
    <row r="4" ht="51.75" customHeight="1">
      <c r="A4" s="40" t="s">
        <v>106</v>
      </c>
      <c r="B4" s="40" t="s">
        <v>107</v>
      </c>
      <c r="C4" s="40" t="s">
        <v>108</v>
      </c>
      <c r="D4" s="40" t="s">
        <v>109</v>
      </c>
      <c r="E4" s="40" t="s">
        <v>110</v>
      </c>
      <c r="F4" s="40" t="s">
        <v>111</v>
      </c>
      <c r="G4" s="40" t="s">
        <v>8</v>
      </c>
      <c r="H4" s="40" t="s">
        <v>9</v>
      </c>
      <c r="I4" s="40" t="s">
        <v>112</v>
      </c>
      <c r="J4" s="40" t="s">
        <v>11</v>
      </c>
      <c r="K4" s="40" t="s">
        <v>12</v>
      </c>
      <c r="L4" s="40" t="s">
        <v>113</v>
      </c>
      <c r="M4" s="40" t="s">
        <v>14</v>
      </c>
      <c r="N4" s="40" t="s">
        <v>114</v>
      </c>
      <c r="O4" s="40" t="s">
        <v>16</v>
      </c>
    </row>
    <row r="5" ht="99.75" customHeight="1">
      <c r="A5" s="41" t="s">
        <v>115</v>
      </c>
      <c r="B5" s="42" t="s">
        <v>116</v>
      </c>
      <c r="C5" s="42" t="s">
        <v>117</v>
      </c>
      <c r="D5" s="42" t="s">
        <v>118</v>
      </c>
      <c r="E5" s="43" t="s">
        <v>119</v>
      </c>
      <c r="F5" s="42" t="s">
        <v>22</v>
      </c>
      <c r="G5" s="42" t="s">
        <v>23</v>
      </c>
      <c r="H5" s="42" t="s">
        <v>120</v>
      </c>
      <c r="I5" s="42" t="s">
        <v>121</v>
      </c>
      <c r="J5" s="42" t="s">
        <v>122</v>
      </c>
      <c r="K5" s="42" t="s">
        <v>123</v>
      </c>
      <c r="L5" s="44" t="s">
        <v>124</v>
      </c>
      <c r="M5" s="42" t="s">
        <v>125</v>
      </c>
      <c r="N5" s="45">
        <v>9.0</v>
      </c>
      <c r="O5" s="46" t="s">
        <v>30</v>
      </c>
    </row>
    <row r="6" ht="99.75" customHeight="1">
      <c r="A6" s="41" t="s">
        <v>126</v>
      </c>
      <c r="B6" s="47" t="s">
        <v>127</v>
      </c>
      <c r="C6" s="47" t="s">
        <v>128</v>
      </c>
      <c r="D6" s="47" t="s">
        <v>129</v>
      </c>
      <c r="E6" s="43" t="s">
        <v>130</v>
      </c>
      <c r="F6" s="47" t="s">
        <v>36</v>
      </c>
      <c r="G6" s="47" t="s">
        <v>36</v>
      </c>
      <c r="H6" s="47" t="s">
        <v>131</v>
      </c>
      <c r="I6" s="47" t="s">
        <v>132</v>
      </c>
      <c r="J6" s="47" t="s">
        <v>133</v>
      </c>
      <c r="K6" s="47" t="s">
        <v>134</v>
      </c>
      <c r="L6" s="44" t="s">
        <v>135</v>
      </c>
      <c r="M6" s="47" t="s">
        <v>136</v>
      </c>
      <c r="N6" s="48">
        <v>7.0</v>
      </c>
      <c r="O6" s="49" t="s">
        <v>137</v>
      </c>
    </row>
    <row r="7" ht="99.75" customHeight="1">
      <c r="A7" s="41" t="s">
        <v>138</v>
      </c>
      <c r="B7" s="50" t="s">
        <v>139</v>
      </c>
      <c r="C7" s="50" t="s">
        <v>140</v>
      </c>
      <c r="D7" s="50" t="s">
        <v>141</v>
      </c>
      <c r="E7" s="43" t="s">
        <v>142</v>
      </c>
      <c r="F7" s="50" t="s">
        <v>36</v>
      </c>
      <c r="G7" s="50" t="s">
        <v>36</v>
      </c>
      <c r="H7" s="50" t="s">
        <v>143</v>
      </c>
      <c r="I7" s="50" t="s">
        <v>144</v>
      </c>
      <c r="J7" s="50" t="s">
        <v>145</v>
      </c>
      <c r="K7" s="50" t="s">
        <v>146</v>
      </c>
      <c r="L7" s="44" t="s">
        <v>147</v>
      </c>
      <c r="M7" s="50" t="s">
        <v>148</v>
      </c>
      <c r="N7" s="51">
        <v>6.0</v>
      </c>
      <c r="O7" s="52" t="s">
        <v>149</v>
      </c>
    </row>
    <row r="8" ht="7.5" customHeight="1"/>
    <row r="9" ht="19.5" customHeight="1">
      <c r="A9" s="53" t="s">
        <v>150</v>
      </c>
      <c r="B9" s="2"/>
      <c r="C9" s="2"/>
      <c r="D9" s="2"/>
      <c r="E9" s="2"/>
      <c r="F9" s="2"/>
      <c r="G9" s="2"/>
      <c r="H9" s="2"/>
      <c r="I9" s="2"/>
      <c r="J9" s="2"/>
      <c r="K9" s="2"/>
      <c r="L9" s="2"/>
      <c r="M9" s="2"/>
      <c r="N9" s="2"/>
      <c r="O9" s="3"/>
    </row>
    <row r="10" ht="7.5" customHeight="1"/>
    <row r="11" ht="27.75" customHeight="1">
      <c r="A11" s="54" t="s">
        <v>151</v>
      </c>
      <c r="B11" s="2"/>
      <c r="C11" s="2"/>
      <c r="D11" s="2"/>
      <c r="E11" s="2"/>
      <c r="F11" s="2"/>
      <c r="G11" s="2"/>
      <c r="H11" s="2"/>
      <c r="I11" s="2"/>
      <c r="J11" s="2"/>
      <c r="K11" s="2"/>
      <c r="L11" s="2"/>
      <c r="M11" s="2"/>
      <c r="N11" s="2"/>
      <c r="O11" s="3"/>
    </row>
    <row r="12" ht="42.0" customHeight="1">
      <c r="A12" s="55" t="s">
        <v>152</v>
      </c>
      <c r="B12" s="2"/>
      <c r="C12" s="56" t="s">
        <v>153</v>
      </c>
      <c r="D12" s="2"/>
      <c r="E12" s="2"/>
      <c r="F12" s="2"/>
      <c r="G12" s="2"/>
      <c r="H12" s="2"/>
      <c r="I12" s="2"/>
      <c r="J12" s="2"/>
      <c r="K12" s="2"/>
      <c r="L12" s="2"/>
      <c r="M12" s="2"/>
      <c r="N12" s="3"/>
    </row>
    <row r="13" ht="42.0" customHeight="1">
      <c r="A13" s="55" t="s">
        <v>154</v>
      </c>
      <c r="B13" s="2"/>
      <c r="C13" s="56" t="s">
        <v>155</v>
      </c>
      <c r="D13" s="2"/>
      <c r="E13" s="2"/>
      <c r="F13" s="2"/>
      <c r="G13" s="2"/>
      <c r="H13" s="2"/>
      <c r="I13" s="2"/>
      <c r="J13" s="2"/>
      <c r="K13" s="2"/>
      <c r="L13" s="2"/>
      <c r="M13" s="2"/>
      <c r="N13" s="3"/>
    </row>
    <row r="14" ht="42.0" customHeight="1">
      <c r="A14" s="55" t="s">
        <v>156</v>
      </c>
      <c r="B14" s="2"/>
      <c r="C14" s="57" t="s">
        <v>157</v>
      </c>
      <c r="D14" s="2"/>
      <c r="E14" s="2"/>
      <c r="F14" s="2"/>
      <c r="G14" s="2"/>
      <c r="H14" s="2"/>
      <c r="I14" s="2"/>
      <c r="J14" s="2"/>
      <c r="K14" s="2"/>
      <c r="L14" s="2"/>
      <c r="M14" s="2"/>
      <c r="N14"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3:B13"/>
    <mergeCell ref="A14:B14"/>
    <mergeCell ref="A1:O1"/>
    <mergeCell ref="A2:O2"/>
    <mergeCell ref="A9:O9"/>
    <mergeCell ref="A11:O11"/>
    <mergeCell ref="A12:B12"/>
    <mergeCell ref="C12:N12"/>
    <mergeCell ref="C13:N13"/>
    <mergeCell ref="C14:N1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34.0"/>
    <col customWidth="1" min="3" max="6" width="18.0"/>
    <col customWidth="1" min="7" max="7" width="12.0"/>
    <col customWidth="1" min="8" max="8" width="46.0"/>
  </cols>
  <sheetData>
    <row r="1" ht="37.5" customHeight="1">
      <c r="A1" s="58" t="s">
        <v>158</v>
      </c>
      <c r="B1" s="2"/>
      <c r="C1" s="2"/>
      <c r="D1" s="2"/>
      <c r="E1" s="2"/>
      <c r="F1" s="2"/>
      <c r="G1" s="2"/>
      <c r="H1" s="3"/>
    </row>
    <row r="2" ht="19.5" customHeight="1">
      <c r="A2" s="59" t="s">
        <v>159</v>
      </c>
      <c r="B2" s="2"/>
      <c r="C2" s="2"/>
      <c r="D2" s="2"/>
      <c r="E2" s="2"/>
      <c r="F2" s="2"/>
      <c r="G2" s="2"/>
      <c r="H2" s="3"/>
    </row>
    <row r="3" ht="9.75" customHeight="1">
      <c r="A3" s="5"/>
      <c r="B3" s="5"/>
      <c r="C3" s="5"/>
      <c r="D3" s="5"/>
      <c r="E3" s="5"/>
      <c r="F3" s="5"/>
      <c r="G3" s="5"/>
      <c r="H3" s="5"/>
    </row>
    <row r="4" ht="39.75" customHeight="1">
      <c r="A4" s="6" t="s">
        <v>2</v>
      </c>
      <c r="B4" s="6" t="s">
        <v>160</v>
      </c>
      <c r="C4" s="6" t="s">
        <v>161</v>
      </c>
      <c r="D4" s="6" t="s">
        <v>5</v>
      </c>
      <c r="E4" s="6" t="s">
        <v>162</v>
      </c>
      <c r="F4" s="6" t="s">
        <v>163</v>
      </c>
      <c r="G4" s="6" t="s">
        <v>164</v>
      </c>
      <c r="H4" s="6" t="s">
        <v>165</v>
      </c>
    </row>
    <row r="5" ht="79.5" customHeight="1">
      <c r="A5" s="60" t="s">
        <v>166</v>
      </c>
      <c r="B5" s="61" t="s">
        <v>167</v>
      </c>
      <c r="C5" s="62">
        <v>3000000.0</v>
      </c>
      <c r="D5" s="63" t="s">
        <v>168</v>
      </c>
      <c r="E5" s="64">
        <v>1980000.0</v>
      </c>
      <c r="F5" s="65">
        <v>1020000.0</v>
      </c>
      <c r="G5" s="66" t="s">
        <v>169</v>
      </c>
      <c r="H5" s="67" t="s">
        <v>170</v>
      </c>
    </row>
    <row r="6" ht="79.5" customHeight="1">
      <c r="A6" s="28" t="s">
        <v>171</v>
      </c>
      <c r="B6" s="68" t="s">
        <v>172</v>
      </c>
      <c r="C6" s="69">
        <v>9000000.0</v>
      </c>
      <c r="D6" s="70" t="s">
        <v>173</v>
      </c>
      <c r="E6" s="64">
        <v>5940000.0</v>
      </c>
      <c r="F6" s="71">
        <v>3060000.0</v>
      </c>
      <c r="G6" s="72" t="s">
        <v>174</v>
      </c>
      <c r="H6" s="73" t="s">
        <v>175</v>
      </c>
    </row>
    <row r="7" ht="79.5" customHeight="1">
      <c r="A7" s="28" t="s">
        <v>176</v>
      </c>
      <c r="B7" s="74" t="s">
        <v>177</v>
      </c>
      <c r="C7" s="75">
        <v>2500000.0</v>
      </c>
      <c r="D7" s="76" t="s">
        <v>178</v>
      </c>
      <c r="E7" s="64">
        <v>1250000.0</v>
      </c>
      <c r="F7" s="77">
        <v>1250000.0</v>
      </c>
      <c r="G7" s="78" t="s">
        <v>179</v>
      </c>
      <c r="H7" s="67" t="s">
        <v>180</v>
      </c>
    </row>
    <row r="8" ht="79.5" customHeight="1">
      <c r="A8" s="28" t="s">
        <v>181</v>
      </c>
      <c r="B8" s="68" t="s">
        <v>182</v>
      </c>
      <c r="C8" s="69">
        <v>1500000.0</v>
      </c>
      <c r="D8" s="70" t="s">
        <v>183</v>
      </c>
      <c r="E8" s="64">
        <v>1333000.0</v>
      </c>
      <c r="F8" s="71">
        <v>167000.0</v>
      </c>
      <c r="G8" s="72" t="s">
        <v>184</v>
      </c>
      <c r="H8" s="67" t="s">
        <v>185</v>
      </c>
    </row>
    <row r="9" ht="79.5" customHeight="1">
      <c r="A9" s="28" t="s">
        <v>186</v>
      </c>
      <c r="B9" s="79" t="s">
        <v>187</v>
      </c>
      <c r="C9" s="80">
        <v>3000000.0</v>
      </c>
      <c r="D9" s="81" t="s">
        <v>188</v>
      </c>
      <c r="E9" s="64">
        <v>2000000.0</v>
      </c>
      <c r="F9" s="82">
        <v>1000000.0</v>
      </c>
      <c r="G9" s="83" t="s">
        <v>189</v>
      </c>
      <c r="H9" s="73" t="s">
        <v>190</v>
      </c>
    </row>
    <row r="10" ht="79.5" customHeight="1">
      <c r="A10" s="28" t="s">
        <v>191</v>
      </c>
      <c r="B10" s="79" t="s">
        <v>192</v>
      </c>
      <c r="C10" s="80">
        <v>0.0</v>
      </c>
      <c r="D10" s="84" t="s">
        <v>193</v>
      </c>
      <c r="E10" s="64">
        <v>2400000.0</v>
      </c>
      <c r="F10" s="82">
        <v>0.0</v>
      </c>
      <c r="G10" s="83" t="s">
        <v>169</v>
      </c>
      <c r="H10" s="73" t="s">
        <v>194</v>
      </c>
    </row>
    <row r="11" ht="39.75" customHeight="1">
      <c r="A11" s="85" t="s">
        <v>195</v>
      </c>
      <c r="B11" s="32"/>
      <c r="C11" s="86"/>
      <c r="D11" s="86"/>
      <c r="E11" s="87">
        <f>SUM(E5:E10)</f>
        <v>14903000</v>
      </c>
      <c r="F11" s="86"/>
      <c r="G11" s="86"/>
      <c r="H11" s="86"/>
    </row>
    <row r="12" ht="27.75" customHeight="1">
      <c r="A12" s="54" t="s">
        <v>196</v>
      </c>
      <c r="B12" s="2"/>
      <c r="C12" s="2"/>
      <c r="D12" s="2"/>
      <c r="E12" s="2"/>
      <c r="F12" s="2"/>
      <c r="G12" s="2"/>
      <c r="H12" s="3"/>
    </row>
    <row r="13" ht="19.5" customHeight="1">
      <c r="A13" s="53" t="s">
        <v>197</v>
      </c>
      <c r="B13" s="2"/>
      <c r="C13" s="2"/>
      <c r="D13" s="2"/>
      <c r="E13" s="2"/>
      <c r="F13" s="2"/>
      <c r="G13" s="2"/>
      <c r="H13" s="3"/>
    </row>
    <row r="14" ht="39.75" customHeight="1">
      <c r="A14" s="40" t="s">
        <v>106</v>
      </c>
      <c r="B14" s="40" t="s">
        <v>198</v>
      </c>
      <c r="C14" s="40" t="s">
        <v>199</v>
      </c>
      <c r="D14" s="40" t="s">
        <v>200</v>
      </c>
      <c r="E14" s="40" t="s">
        <v>201</v>
      </c>
      <c r="F14" s="40" t="s">
        <v>202</v>
      </c>
      <c r="G14" s="40" t="s">
        <v>203</v>
      </c>
      <c r="H14" s="40" t="s">
        <v>165</v>
      </c>
    </row>
    <row r="15" ht="79.5" customHeight="1">
      <c r="A15" s="41" t="s">
        <v>204</v>
      </c>
      <c r="B15" s="88" t="s">
        <v>205</v>
      </c>
      <c r="C15" s="89">
        <v>2000000.0</v>
      </c>
      <c r="D15" s="88" t="s">
        <v>206</v>
      </c>
      <c r="E15" s="90">
        <v>2000000.0</v>
      </c>
      <c r="F15" s="89">
        <v>18425.0</v>
      </c>
      <c r="G15" s="88" t="s">
        <v>169</v>
      </c>
      <c r="H15" s="91" t="s">
        <v>207</v>
      </c>
    </row>
    <row r="16" ht="79.5" customHeight="1">
      <c r="A16" s="41" t="s">
        <v>126</v>
      </c>
      <c r="B16" s="92" t="s">
        <v>208</v>
      </c>
      <c r="C16" s="93">
        <v>3000000.0</v>
      </c>
      <c r="D16" s="92" t="s">
        <v>209</v>
      </c>
      <c r="E16" s="94">
        <v>3000000.0</v>
      </c>
      <c r="F16" s="93">
        <v>17400.0</v>
      </c>
      <c r="G16" s="92" t="s">
        <v>189</v>
      </c>
      <c r="H16" s="91" t="s">
        <v>210</v>
      </c>
    </row>
    <row r="17" ht="79.5" customHeight="1">
      <c r="A17" s="41" t="s">
        <v>211</v>
      </c>
      <c r="B17" s="95" t="s">
        <v>212</v>
      </c>
      <c r="C17" s="96">
        <v>1000000.0</v>
      </c>
      <c r="D17" s="95" t="s">
        <v>213</v>
      </c>
      <c r="E17" s="97">
        <v>1000000.0</v>
      </c>
      <c r="F17" s="96">
        <v>9200.0</v>
      </c>
      <c r="G17" s="95" t="s">
        <v>189</v>
      </c>
      <c r="H17" s="91" t="s">
        <v>214</v>
      </c>
    </row>
    <row r="18" ht="21.75" customHeight="1">
      <c r="A18" s="98" t="s">
        <v>215</v>
      </c>
      <c r="B18" s="2"/>
      <c r="C18" s="2"/>
      <c r="D18" s="3"/>
      <c r="E18" s="99">
        <f t="shared" ref="E18:F18" si="1">SUM(E15:E17)</f>
        <v>6000000</v>
      </c>
      <c r="F18" s="99">
        <f t="shared" si="1"/>
        <v>45025</v>
      </c>
    </row>
    <row r="19">
      <c r="A19" s="5"/>
      <c r="B19" s="5"/>
      <c r="C19" s="5"/>
      <c r="D19" s="5"/>
      <c r="E19" s="5"/>
      <c r="F19" s="5"/>
      <c r="G19" s="5"/>
      <c r="H19" s="5"/>
    </row>
    <row r="20">
      <c r="A20" s="5"/>
      <c r="B20" s="5"/>
      <c r="C20" s="5"/>
      <c r="D20" s="5"/>
      <c r="E20" s="5"/>
      <c r="F20" s="5"/>
      <c r="G20" s="5"/>
      <c r="H20" s="5"/>
    </row>
    <row r="21" ht="15.75" customHeight="1">
      <c r="A21" s="5"/>
      <c r="B21" s="5"/>
      <c r="C21" s="5"/>
      <c r="D21" s="5"/>
      <c r="E21" s="5"/>
      <c r="F21" s="5"/>
      <c r="G21" s="5"/>
      <c r="H21" s="5"/>
    </row>
    <row r="22" ht="15.75" customHeight="1">
      <c r="A22" s="5"/>
      <c r="B22" s="5"/>
      <c r="C22" s="5"/>
      <c r="D22" s="5"/>
      <c r="E22" s="5"/>
      <c r="F22" s="5"/>
      <c r="G22" s="5"/>
      <c r="H22" s="5"/>
    </row>
    <row r="23" ht="15.75" customHeight="1">
      <c r="A23" s="5"/>
      <c r="B23" s="5"/>
      <c r="C23" s="5"/>
      <c r="D23" s="5"/>
      <c r="E23" s="5"/>
      <c r="F23" s="5"/>
      <c r="G23" s="5"/>
      <c r="H23" s="5"/>
    </row>
    <row r="24" ht="15.75" customHeight="1">
      <c r="A24" s="5"/>
      <c r="B24" s="5"/>
      <c r="C24" s="5"/>
      <c r="D24" s="5"/>
      <c r="E24" s="5"/>
      <c r="F24" s="5"/>
      <c r="G24" s="5"/>
      <c r="H24" s="5"/>
    </row>
    <row r="25" ht="15.75" customHeight="1">
      <c r="A25" s="5"/>
      <c r="B25" s="5"/>
      <c r="C25" s="5"/>
      <c r="D25" s="5"/>
      <c r="E25" s="5"/>
      <c r="F25" s="5"/>
      <c r="G25" s="5"/>
      <c r="H25" s="5"/>
    </row>
    <row r="26" ht="15.75" customHeight="1">
      <c r="A26" s="5"/>
      <c r="B26" s="5"/>
      <c r="C26" s="5"/>
      <c r="D26" s="5"/>
      <c r="E26" s="5"/>
      <c r="F26" s="5"/>
      <c r="G26" s="5"/>
      <c r="H26" s="5"/>
    </row>
    <row r="27" ht="15.75" customHeight="1">
      <c r="A27" s="5"/>
      <c r="B27" s="5"/>
      <c r="C27" s="5"/>
      <c r="D27" s="5"/>
      <c r="E27" s="5"/>
      <c r="F27" s="5"/>
      <c r="G27" s="5"/>
      <c r="H27" s="5"/>
    </row>
    <row r="28" ht="15.75" customHeight="1">
      <c r="A28" s="5"/>
      <c r="B28" s="5"/>
      <c r="C28" s="5"/>
      <c r="D28" s="5"/>
      <c r="E28" s="5"/>
      <c r="F28" s="5"/>
      <c r="G28" s="5"/>
      <c r="H28" s="5"/>
    </row>
    <row r="29" ht="15.75" customHeight="1">
      <c r="A29" s="5"/>
      <c r="B29" s="5"/>
      <c r="C29" s="5"/>
      <c r="D29" s="5"/>
      <c r="E29" s="5"/>
      <c r="F29" s="5"/>
      <c r="G29" s="5"/>
      <c r="H29" s="5"/>
    </row>
    <row r="30" ht="15.75" customHeight="1">
      <c r="A30" s="5"/>
      <c r="B30" s="5"/>
      <c r="C30" s="5"/>
      <c r="D30" s="5"/>
      <c r="E30" s="5"/>
      <c r="F30" s="5"/>
      <c r="G30" s="5"/>
      <c r="H30" s="5"/>
    </row>
    <row r="31" ht="15.75" customHeight="1">
      <c r="A31" s="5"/>
      <c r="B31" s="5"/>
      <c r="C31" s="5"/>
      <c r="D31" s="5"/>
      <c r="E31" s="5"/>
      <c r="F31" s="5"/>
      <c r="G31" s="5"/>
      <c r="H31" s="5"/>
    </row>
    <row r="32" ht="15.75" customHeight="1">
      <c r="A32" s="5"/>
      <c r="B32" s="5"/>
      <c r="C32" s="5"/>
      <c r="D32" s="5"/>
      <c r="E32" s="5"/>
      <c r="F32" s="5"/>
      <c r="G32" s="5"/>
      <c r="H32" s="5"/>
    </row>
    <row r="33" ht="15.75" customHeight="1">
      <c r="A33" s="5"/>
      <c r="B33" s="5"/>
      <c r="C33" s="5"/>
      <c r="D33" s="5"/>
      <c r="E33" s="5"/>
      <c r="F33" s="5"/>
      <c r="G33" s="5"/>
      <c r="H33" s="5"/>
    </row>
    <row r="34" ht="15.75" customHeight="1">
      <c r="A34" s="5"/>
      <c r="B34" s="5"/>
      <c r="C34" s="5"/>
      <c r="D34" s="5"/>
      <c r="E34" s="5"/>
      <c r="F34" s="5"/>
      <c r="G34" s="5"/>
      <c r="H34" s="5"/>
    </row>
    <row r="35" ht="15.75" customHeight="1">
      <c r="A35" s="5"/>
      <c r="B35" s="5"/>
      <c r="C35" s="5"/>
      <c r="D35" s="5"/>
      <c r="E35" s="5"/>
      <c r="F35" s="5"/>
      <c r="G35" s="5"/>
      <c r="H35" s="5"/>
    </row>
    <row r="36" ht="15.75" customHeight="1">
      <c r="A36" s="5"/>
      <c r="B36" s="5"/>
      <c r="C36" s="5"/>
      <c r="D36" s="5"/>
      <c r="E36" s="5"/>
      <c r="F36" s="5"/>
      <c r="G36" s="5"/>
      <c r="H36" s="5"/>
    </row>
    <row r="37" ht="15.75" customHeight="1">
      <c r="A37" s="5"/>
      <c r="B37" s="5"/>
      <c r="C37" s="5"/>
      <c r="D37" s="5"/>
      <c r="E37" s="5"/>
      <c r="F37" s="5"/>
      <c r="G37" s="5"/>
      <c r="H37" s="5"/>
    </row>
    <row r="38" ht="15.75" customHeight="1">
      <c r="A38" s="5"/>
      <c r="B38" s="5"/>
      <c r="C38" s="5"/>
      <c r="D38" s="5"/>
      <c r="E38" s="5"/>
      <c r="F38" s="5"/>
      <c r="G38" s="5"/>
      <c r="H38" s="5"/>
    </row>
    <row r="39" ht="15.75" customHeight="1">
      <c r="A39" s="5"/>
      <c r="B39" s="5"/>
      <c r="C39" s="5"/>
      <c r="D39" s="5"/>
      <c r="E39" s="5"/>
      <c r="F39" s="5"/>
      <c r="G39" s="5"/>
      <c r="H39" s="5"/>
    </row>
    <row r="40" ht="15.75" customHeight="1">
      <c r="A40" s="5"/>
      <c r="B40" s="5"/>
      <c r="C40" s="5"/>
      <c r="D40" s="5"/>
      <c r="E40" s="5"/>
      <c r="F40" s="5"/>
      <c r="G40" s="5"/>
      <c r="H40" s="5"/>
    </row>
    <row r="41" ht="15.75" customHeight="1">
      <c r="A41" s="5"/>
      <c r="B41" s="5"/>
      <c r="C41" s="5"/>
      <c r="D41" s="5"/>
      <c r="E41" s="5"/>
      <c r="F41" s="5"/>
      <c r="G41" s="5"/>
      <c r="H41" s="5"/>
    </row>
    <row r="42" ht="15.75" customHeight="1">
      <c r="A42" s="5"/>
      <c r="B42" s="5"/>
      <c r="C42" s="5"/>
      <c r="D42" s="5"/>
      <c r="E42" s="5"/>
      <c r="F42" s="5"/>
      <c r="G42" s="5"/>
      <c r="H42" s="5"/>
    </row>
    <row r="43" ht="15.75" customHeight="1">
      <c r="A43" s="5"/>
      <c r="B43" s="5"/>
      <c r="C43" s="5"/>
      <c r="D43" s="5"/>
      <c r="E43" s="5"/>
      <c r="F43" s="5"/>
      <c r="G43" s="5"/>
      <c r="H43" s="5"/>
    </row>
    <row r="44" ht="15.75" customHeight="1">
      <c r="A44" s="5"/>
      <c r="B44" s="5"/>
      <c r="C44" s="5"/>
      <c r="D44" s="5"/>
      <c r="E44" s="5"/>
      <c r="F44" s="5"/>
      <c r="G44" s="5"/>
      <c r="H44" s="5"/>
    </row>
    <row r="45" ht="15.75" customHeight="1">
      <c r="A45" s="5"/>
      <c r="B45" s="5"/>
      <c r="C45" s="5"/>
      <c r="D45" s="5"/>
      <c r="E45" s="5"/>
      <c r="F45" s="5"/>
      <c r="G45" s="5"/>
      <c r="H45" s="5"/>
    </row>
    <row r="46" ht="15.75" customHeight="1">
      <c r="A46" s="5"/>
      <c r="B46" s="5"/>
      <c r="C46" s="5"/>
      <c r="D46" s="5"/>
      <c r="E46" s="5"/>
      <c r="F46" s="5"/>
      <c r="G46" s="5"/>
      <c r="H46" s="5"/>
    </row>
    <row r="47" ht="15.75" customHeight="1">
      <c r="A47" s="5"/>
      <c r="B47" s="5"/>
      <c r="C47" s="5"/>
      <c r="D47" s="5"/>
      <c r="E47" s="5"/>
      <c r="F47" s="5"/>
      <c r="G47" s="5"/>
      <c r="H47" s="5"/>
    </row>
    <row r="48" ht="15.75" customHeight="1">
      <c r="A48" s="5"/>
      <c r="B48" s="5"/>
      <c r="C48" s="5"/>
      <c r="D48" s="5"/>
      <c r="E48" s="5"/>
      <c r="F48" s="5"/>
      <c r="G48" s="5"/>
      <c r="H48" s="5"/>
    </row>
    <row r="49" ht="15.75" customHeight="1">
      <c r="A49" s="5"/>
      <c r="B49" s="5"/>
      <c r="C49" s="5"/>
      <c r="D49" s="5"/>
      <c r="E49" s="5"/>
      <c r="F49" s="5"/>
      <c r="G49" s="5"/>
      <c r="H49" s="5"/>
    </row>
    <row r="50" ht="15.75" customHeight="1">
      <c r="A50" s="5"/>
      <c r="B50" s="5"/>
      <c r="C50" s="5"/>
      <c r="D50" s="5"/>
      <c r="E50" s="5"/>
      <c r="F50" s="5"/>
      <c r="G50" s="5"/>
      <c r="H50" s="5"/>
    </row>
    <row r="51" ht="15.75" customHeight="1">
      <c r="A51" s="5"/>
      <c r="B51" s="5"/>
      <c r="C51" s="5"/>
      <c r="D51" s="5"/>
      <c r="E51" s="5"/>
      <c r="F51" s="5"/>
      <c r="G51" s="5"/>
      <c r="H51" s="5"/>
    </row>
    <row r="52" ht="15.75" customHeight="1">
      <c r="A52" s="5"/>
      <c r="B52" s="5"/>
      <c r="C52" s="5"/>
      <c r="D52" s="5"/>
      <c r="E52" s="5"/>
      <c r="F52" s="5"/>
      <c r="G52" s="5"/>
      <c r="H52" s="5"/>
    </row>
    <row r="53" ht="15.75" customHeight="1">
      <c r="A53" s="5"/>
      <c r="B53" s="5"/>
      <c r="C53" s="5"/>
      <c r="D53" s="5"/>
      <c r="E53" s="5"/>
      <c r="F53" s="5"/>
      <c r="G53" s="5"/>
      <c r="H53" s="5"/>
    </row>
    <row r="54" ht="15.75" customHeight="1">
      <c r="A54" s="5"/>
      <c r="B54" s="5"/>
      <c r="C54" s="5"/>
      <c r="D54" s="5"/>
      <c r="E54" s="5"/>
      <c r="F54" s="5"/>
      <c r="G54" s="5"/>
      <c r="H54" s="5"/>
    </row>
    <row r="55" ht="15.75" customHeight="1">
      <c r="A55" s="5"/>
      <c r="B55" s="5"/>
      <c r="C55" s="5"/>
      <c r="D55" s="5"/>
      <c r="E55" s="5"/>
      <c r="F55" s="5"/>
      <c r="G55" s="5"/>
      <c r="H55" s="5"/>
    </row>
    <row r="56" ht="15.75" customHeight="1">
      <c r="A56" s="5"/>
      <c r="B56" s="5"/>
      <c r="C56" s="5"/>
      <c r="D56" s="5"/>
      <c r="E56" s="5"/>
      <c r="F56" s="5"/>
      <c r="G56" s="5"/>
      <c r="H56" s="5"/>
    </row>
    <row r="57" ht="15.75" customHeight="1">
      <c r="A57" s="5"/>
      <c r="B57" s="5"/>
      <c r="C57" s="5"/>
      <c r="D57" s="5"/>
      <c r="E57" s="5"/>
      <c r="F57" s="5"/>
      <c r="G57" s="5"/>
      <c r="H57" s="5"/>
    </row>
    <row r="58" ht="15.75" customHeight="1">
      <c r="A58" s="5"/>
      <c r="B58" s="5"/>
      <c r="C58" s="5"/>
      <c r="D58" s="5"/>
      <c r="E58" s="5"/>
      <c r="F58" s="5"/>
      <c r="G58" s="5"/>
      <c r="H58" s="5"/>
    </row>
    <row r="59" ht="15.75" customHeight="1">
      <c r="A59" s="5"/>
      <c r="B59" s="5"/>
      <c r="C59" s="5"/>
      <c r="D59" s="5"/>
      <c r="E59" s="5"/>
      <c r="F59" s="5"/>
      <c r="G59" s="5"/>
      <c r="H59" s="5"/>
    </row>
    <row r="60" ht="15.75" customHeight="1">
      <c r="A60" s="5"/>
      <c r="B60" s="5"/>
      <c r="C60" s="5"/>
      <c r="D60" s="5"/>
      <c r="E60" s="5"/>
      <c r="F60" s="5"/>
      <c r="G60" s="5"/>
      <c r="H60" s="5"/>
    </row>
    <row r="61" ht="15.75" customHeight="1">
      <c r="A61" s="5"/>
      <c r="B61" s="5"/>
      <c r="C61" s="5"/>
      <c r="D61" s="5"/>
      <c r="E61" s="5"/>
      <c r="F61" s="5"/>
      <c r="G61" s="5"/>
      <c r="H61" s="5"/>
    </row>
    <row r="62" ht="15.75" customHeight="1">
      <c r="A62" s="5"/>
      <c r="B62" s="5"/>
      <c r="C62" s="5"/>
      <c r="D62" s="5"/>
      <c r="E62" s="5"/>
      <c r="F62" s="5"/>
      <c r="G62" s="5"/>
      <c r="H62" s="5"/>
    </row>
    <row r="63" ht="15.75" customHeight="1">
      <c r="A63" s="5"/>
      <c r="B63" s="5"/>
      <c r="C63" s="5"/>
      <c r="D63" s="5"/>
      <c r="E63" s="5"/>
      <c r="F63" s="5"/>
      <c r="G63" s="5"/>
      <c r="H63" s="5"/>
    </row>
    <row r="64" ht="15.75" customHeight="1">
      <c r="A64" s="5"/>
      <c r="B64" s="5"/>
      <c r="C64" s="5"/>
      <c r="D64" s="5"/>
      <c r="E64" s="5"/>
      <c r="F64" s="5"/>
      <c r="G64" s="5"/>
      <c r="H64" s="5"/>
    </row>
    <row r="65" ht="15.75" customHeight="1">
      <c r="A65" s="5"/>
      <c r="B65" s="5"/>
      <c r="C65" s="5"/>
      <c r="D65" s="5"/>
      <c r="E65" s="5"/>
      <c r="F65" s="5"/>
      <c r="G65" s="5"/>
      <c r="H65" s="5"/>
    </row>
    <row r="66" ht="15.75" customHeight="1">
      <c r="A66" s="5"/>
      <c r="B66" s="5"/>
      <c r="C66" s="5"/>
      <c r="D66" s="5"/>
      <c r="E66" s="5"/>
      <c r="F66" s="5"/>
      <c r="G66" s="5"/>
      <c r="H66" s="5"/>
    </row>
    <row r="67" ht="15.75" customHeight="1">
      <c r="A67" s="5"/>
      <c r="B67" s="5"/>
      <c r="C67" s="5"/>
      <c r="D67" s="5"/>
      <c r="E67" s="5"/>
      <c r="F67" s="5"/>
      <c r="G67" s="5"/>
      <c r="H67" s="5"/>
    </row>
    <row r="68" ht="15.75" customHeight="1">
      <c r="A68" s="5"/>
      <c r="B68" s="5"/>
      <c r="C68" s="5"/>
      <c r="D68" s="5"/>
      <c r="E68" s="5"/>
      <c r="F68" s="5"/>
      <c r="G68" s="5"/>
      <c r="H68" s="5"/>
    </row>
    <row r="69" ht="15.75" customHeight="1">
      <c r="A69" s="5"/>
      <c r="B69" s="5"/>
      <c r="C69" s="5"/>
      <c r="D69" s="5"/>
      <c r="E69" s="5"/>
      <c r="F69" s="5"/>
      <c r="G69" s="5"/>
      <c r="H69" s="5"/>
    </row>
    <row r="70" ht="15.75" customHeight="1">
      <c r="A70" s="5"/>
      <c r="B70" s="5"/>
      <c r="C70" s="5"/>
      <c r="D70" s="5"/>
      <c r="E70" s="5"/>
      <c r="F70" s="5"/>
      <c r="G70" s="5"/>
      <c r="H70" s="5"/>
    </row>
    <row r="71" ht="15.75" customHeight="1">
      <c r="A71" s="5"/>
      <c r="B71" s="5"/>
      <c r="C71" s="5"/>
      <c r="D71" s="5"/>
      <c r="E71" s="5"/>
      <c r="F71" s="5"/>
      <c r="G71" s="5"/>
      <c r="H71" s="5"/>
    </row>
    <row r="72" ht="15.75" customHeight="1">
      <c r="A72" s="5"/>
      <c r="B72" s="5"/>
      <c r="C72" s="5"/>
      <c r="D72" s="5"/>
      <c r="E72" s="5"/>
      <c r="F72" s="5"/>
      <c r="G72" s="5"/>
      <c r="H72" s="5"/>
    </row>
    <row r="73" ht="15.75" customHeight="1">
      <c r="A73" s="5"/>
      <c r="B73" s="5"/>
      <c r="C73" s="5"/>
      <c r="D73" s="5"/>
      <c r="E73" s="5"/>
      <c r="F73" s="5"/>
      <c r="G73" s="5"/>
      <c r="H73" s="5"/>
    </row>
    <row r="74" ht="15.75" customHeight="1">
      <c r="A74" s="5"/>
      <c r="B74" s="5"/>
      <c r="C74" s="5"/>
      <c r="D74" s="5"/>
      <c r="E74" s="5"/>
      <c r="F74" s="5"/>
      <c r="G74" s="5"/>
      <c r="H74" s="5"/>
    </row>
    <row r="75" ht="15.75" customHeight="1">
      <c r="A75" s="5"/>
      <c r="B75" s="5"/>
      <c r="C75" s="5"/>
      <c r="D75" s="5"/>
      <c r="E75" s="5"/>
      <c r="F75" s="5"/>
      <c r="G75" s="5"/>
      <c r="H75" s="5"/>
    </row>
    <row r="76" ht="15.75" customHeight="1">
      <c r="A76" s="5"/>
      <c r="B76" s="5"/>
      <c r="C76" s="5"/>
      <c r="D76" s="5"/>
      <c r="E76" s="5"/>
      <c r="F76" s="5"/>
      <c r="G76" s="5"/>
      <c r="H76" s="5"/>
    </row>
    <row r="77" ht="15.75" customHeight="1">
      <c r="A77" s="5"/>
      <c r="B77" s="5"/>
      <c r="C77" s="5"/>
      <c r="D77" s="5"/>
      <c r="E77" s="5"/>
      <c r="F77" s="5"/>
      <c r="G77" s="5"/>
      <c r="H77" s="5"/>
    </row>
    <row r="78" ht="15.75" customHeight="1">
      <c r="A78" s="5"/>
      <c r="B78" s="5"/>
      <c r="C78" s="5"/>
      <c r="D78" s="5"/>
      <c r="E78" s="5"/>
      <c r="F78" s="5"/>
      <c r="G78" s="5"/>
      <c r="H78" s="5"/>
    </row>
    <row r="79" ht="15.75" customHeight="1">
      <c r="A79" s="5"/>
      <c r="B79" s="5"/>
      <c r="C79" s="5"/>
      <c r="D79" s="5"/>
      <c r="E79" s="5"/>
      <c r="F79" s="5"/>
      <c r="G79" s="5"/>
      <c r="H79" s="5"/>
    </row>
    <row r="80" ht="15.75" customHeight="1">
      <c r="A80" s="5"/>
      <c r="B80" s="5"/>
      <c r="C80" s="5"/>
      <c r="D80" s="5"/>
      <c r="E80" s="5"/>
      <c r="F80" s="5"/>
      <c r="G80" s="5"/>
      <c r="H80" s="5"/>
    </row>
    <row r="81" ht="15.75" customHeight="1">
      <c r="A81" s="5"/>
      <c r="B81" s="5"/>
      <c r="C81" s="5"/>
      <c r="D81" s="5"/>
      <c r="E81" s="5"/>
      <c r="F81" s="5"/>
      <c r="G81" s="5"/>
      <c r="H81" s="5"/>
    </row>
    <row r="82" ht="15.75" customHeight="1">
      <c r="A82" s="5"/>
      <c r="B82" s="5"/>
      <c r="C82" s="5"/>
      <c r="D82" s="5"/>
      <c r="E82" s="5"/>
      <c r="F82" s="5"/>
      <c r="G82" s="5"/>
      <c r="H82" s="5"/>
    </row>
    <row r="83" ht="15.75" customHeight="1">
      <c r="A83" s="5"/>
      <c r="B83" s="5"/>
      <c r="C83" s="5"/>
      <c r="D83" s="5"/>
      <c r="E83" s="5"/>
      <c r="F83" s="5"/>
      <c r="G83" s="5"/>
      <c r="H83" s="5"/>
    </row>
    <row r="84" ht="15.75" customHeight="1">
      <c r="A84" s="5"/>
      <c r="B84" s="5"/>
      <c r="C84" s="5"/>
      <c r="D84" s="5"/>
      <c r="E84" s="5"/>
      <c r="F84" s="5"/>
      <c r="G84" s="5"/>
      <c r="H84" s="5"/>
    </row>
    <row r="85" ht="15.75" customHeight="1">
      <c r="A85" s="5"/>
      <c r="B85" s="5"/>
      <c r="C85" s="5"/>
      <c r="D85" s="5"/>
      <c r="E85" s="5"/>
      <c r="F85" s="5"/>
      <c r="G85" s="5"/>
      <c r="H85" s="5"/>
    </row>
    <row r="86" ht="15.75" customHeight="1">
      <c r="A86" s="5"/>
      <c r="B86" s="5"/>
      <c r="C86" s="5"/>
      <c r="D86" s="5"/>
      <c r="E86" s="5"/>
      <c r="F86" s="5"/>
      <c r="G86" s="5"/>
      <c r="H86" s="5"/>
    </row>
    <row r="87" ht="15.75" customHeight="1">
      <c r="A87" s="5"/>
      <c r="B87" s="5"/>
      <c r="C87" s="5"/>
      <c r="D87" s="5"/>
      <c r="E87" s="5"/>
      <c r="F87" s="5"/>
      <c r="G87" s="5"/>
      <c r="H87" s="5"/>
    </row>
    <row r="88" ht="15.75" customHeight="1">
      <c r="A88" s="5"/>
      <c r="B88" s="5"/>
      <c r="C88" s="5"/>
      <c r="D88" s="5"/>
      <c r="E88" s="5"/>
      <c r="F88" s="5"/>
      <c r="G88" s="5"/>
      <c r="H88" s="5"/>
    </row>
    <row r="89" ht="15.75" customHeight="1">
      <c r="A89" s="5"/>
      <c r="B89" s="5"/>
      <c r="C89" s="5"/>
      <c r="D89" s="5"/>
      <c r="E89" s="5"/>
      <c r="F89" s="5"/>
      <c r="G89" s="5"/>
      <c r="H89" s="5"/>
    </row>
    <row r="90" ht="15.75" customHeight="1">
      <c r="A90" s="5"/>
      <c r="B90" s="5"/>
      <c r="C90" s="5"/>
      <c r="D90" s="5"/>
      <c r="E90" s="5"/>
      <c r="F90" s="5"/>
      <c r="G90" s="5"/>
      <c r="H90" s="5"/>
    </row>
    <row r="91" ht="15.75" customHeight="1">
      <c r="A91" s="5"/>
      <c r="B91" s="5"/>
      <c r="C91" s="5"/>
      <c r="D91" s="5"/>
      <c r="E91" s="5"/>
      <c r="F91" s="5"/>
      <c r="G91" s="5"/>
      <c r="H91" s="5"/>
    </row>
    <row r="92" ht="15.75" customHeight="1">
      <c r="A92" s="5"/>
      <c r="B92" s="5"/>
      <c r="C92" s="5"/>
      <c r="D92" s="5"/>
      <c r="E92" s="5"/>
      <c r="F92" s="5"/>
      <c r="G92" s="5"/>
      <c r="H92" s="5"/>
    </row>
    <row r="93" ht="15.75" customHeight="1">
      <c r="A93" s="5"/>
      <c r="B93" s="5"/>
      <c r="C93" s="5"/>
      <c r="D93" s="5"/>
      <c r="E93" s="5"/>
      <c r="F93" s="5"/>
      <c r="G93" s="5"/>
      <c r="H93" s="5"/>
    </row>
    <row r="94" ht="15.75" customHeight="1">
      <c r="A94" s="5"/>
      <c r="B94" s="5"/>
      <c r="C94" s="5"/>
      <c r="D94" s="5"/>
      <c r="E94" s="5"/>
      <c r="F94" s="5"/>
      <c r="G94" s="5"/>
      <c r="H94" s="5"/>
    </row>
    <row r="95" ht="15.75" customHeight="1">
      <c r="A95" s="5"/>
      <c r="B95" s="5"/>
      <c r="C95" s="5"/>
      <c r="D95" s="5"/>
      <c r="E95" s="5"/>
      <c r="F95" s="5"/>
      <c r="G95" s="5"/>
      <c r="H95" s="5"/>
    </row>
    <row r="96" ht="15.75" customHeight="1">
      <c r="A96" s="5"/>
      <c r="B96" s="5"/>
      <c r="C96" s="5"/>
      <c r="D96" s="5"/>
      <c r="E96" s="5"/>
      <c r="F96" s="5"/>
      <c r="G96" s="5"/>
      <c r="H96" s="5"/>
    </row>
    <row r="97" ht="15.75" customHeight="1">
      <c r="A97" s="5"/>
      <c r="B97" s="5"/>
      <c r="C97" s="5"/>
      <c r="D97" s="5"/>
      <c r="E97" s="5"/>
      <c r="F97" s="5"/>
      <c r="G97" s="5"/>
      <c r="H97" s="5"/>
    </row>
    <row r="98" ht="15.75" customHeight="1">
      <c r="A98" s="5"/>
      <c r="B98" s="5"/>
      <c r="C98" s="5"/>
      <c r="D98" s="5"/>
      <c r="E98" s="5"/>
      <c r="F98" s="5"/>
      <c r="G98" s="5"/>
      <c r="H98" s="5"/>
    </row>
    <row r="99" ht="15.75" customHeight="1">
      <c r="A99" s="5"/>
      <c r="B99" s="5"/>
      <c r="C99" s="5"/>
      <c r="D99" s="5"/>
      <c r="E99" s="5"/>
      <c r="F99" s="5"/>
      <c r="G99" s="5"/>
      <c r="H99" s="5"/>
    </row>
    <row r="100" ht="15.75" customHeight="1">
      <c r="A100" s="5"/>
      <c r="B100" s="5"/>
      <c r="C100" s="5"/>
      <c r="D100" s="5"/>
      <c r="E100" s="5"/>
      <c r="F100" s="5"/>
      <c r="G100" s="5"/>
      <c r="H100" s="5"/>
    </row>
    <row r="101" ht="15.75" customHeight="1">
      <c r="A101" s="5"/>
      <c r="B101" s="5"/>
      <c r="C101" s="5"/>
      <c r="D101" s="5"/>
      <c r="E101" s="5"/>
      <c r="F101" s="5"/>
      <c r="G101" s="5"/>
      <c r="H101" s="5"/>
    </row>
    <row r="102" ht="15.75" customHeight="1">
      <c r="A102" s="5"/>
      <c r="B102" s="5"/>
      <c r="C102" s="5"/>
      <c r="D102" s="5"/>
      <c r="E102" s="5"/>
      <c r="F102" s="5"/>
      <c r="G102" s="5"/>
      <c r="H102" s="5"/>
    </row>
    <row r="103" ht="15.75" customHeight="1">
      <c r="A103" s="5"/>
      <c r="B103" s="5"/>
      <c r="C103" s="5"/>
      <c r="D103" s="5"/>
      <c r="E103" s="5"/>
      <c r="F103" s="5"/>
      <c r="G103" s="5"/>
      <c r="H103" s="5"/>
    </row>
    <row r="104" ht="15.75" customHeight="1">
      <c r="A104" s="5"/>
      <c r="B104" s="5"/>
      <c r="C104" s="5"/>
      <c r="D104" s="5"/>
      <c r="E104" s="5"/>
      <c r="F104" s="5"/>
      <c r="G104" s="5"/>
      <c r="H104" s="5"/>
    </row>
    <row r="105" ht="15.75" customHeight="1">
      <c r="A105" s="5"/>
      <c r="B105" s="5"/>
      <c r="C105" s="5"/>
      <c r="D105" s="5"/>
      <c r="E105" s="5"/>
      <c r="F105" s="5"/>
      <c r="G105" s="5"/>
      <c r="H105" s="5"/>
    </row>
    <row r="106" ht="15.75" customHeight="1">
      <c r="A106" s="5"/>
      <c r="B106" s="5"/>
      <c r="C106" s="5"/>
      <c r="D106" s="5"/>
      <c r="E106" s="5"/>
      <c r="F106" s="5"/>
      <c r="G106" s="5"/>
      <c r="H106" s="5"/>
    </row>
    <row r="107" ht="15.75" customHeight="1">
      <c r="A107" s="5"/>
      <c r="B107" s="5"/>
      <c r="C107" s="5"/>
      <c r="D107" s="5"/>
      <c r="E107" s="5"/>
      <c r="F107" s="5"/>
      <c r="G107" s="5"/>
      <c r="H107" s="5"/>
    </row>
    <row r="108" ht="15.75" customHeight="1">
      <c r="A108" s="5"/>
      <c r="B108" s="5"/>
      <c r="C108" s="5"/>
      <c r="D108" s="5"/>
      <c r="E108" s="5"/>
      <c r="F108" s="5"/>
      <c r="G108" s="5"/>
      <c r="H108" s="5"/>
    </row>
    <row r="109" ht="15.75" customHeight="1">
      <c r="A109" s="5"/>
      <c r="B109" s="5"/>
      <c r="C109" s="5"/>
      <c r="D109" s="5"/>
      <c r="E109" s="5"/>
      <c r="F109" s="5"/>
      <c r="G109" s="5"/>
      <c r="H109" s="5"/>
    </row>
    <row r="110" ht="15.75" customHeight="1">
      <c r="A110" s="5"/>
      <c r="B110" s="5"/>
      <c r="C110" s="5"/>
      <c r="D110" s="5"/>
      <c r="E110" s="5"/>
      <c r="F110" s="5"/>
      <c r="G110" s="5"/>
      <c r="H110" s="5"/>
    </row>
    <row r="111" ht="15.75" customHeight="1">
      <c r="A111" s="5"/>
      <c r="B111" s="5"/>
      <c r="C111" s="5"/>
      <c r="D111" s="5"/>
      <c r="E111" s="5"/>
      <c r="F111" s="5"/>
      <c r="G111" s="5"/>
      <c r="H111" s="5"/>
    </row>
    <row r="112" ht="15.75" customHeight="1">
      <c r="A112" s="5"/>
      <c r="B112" s="5"/>
      <c r="C112" s="5"/>
      <c r="D112" s="5"/>
      <c r="E112" s="5"/>
      <c r="F112" s="5"/>
      <c r="G112" s="5"/>
      <c r="H112" s="5"/>
    </row>
    <row r="113" ht="15.75" customHeight="1">
      <c r="A113" s="5"/>
      <c r="B113" s="5"/>
      <c r="C113" s="5"/>
      <c r="D113" s="5"/>
      <c r="E113" s="5"/>
      <c r="F113" s="5"/>
      <c r="G113" s="5"/>
      <c r="H113" s="5"/>
    </row>
    <row r="114" ht="15.75" customHeight="1">
      <c r="A114" s="5"/>
      <c r="B114" s="5"/>
      <c r="C114" s="5"/>
      <c r="D114" s="5"/>
      <c r="E114" s="5"/>
      <c r="F114" s="5"/>
      <c r="G114" s="5"/>
      <c r="H114" s="5"/>
    </row>
    <row r="115" ht="15.75" customHeight="1">
      <c r="A115" s="5"/>
      <c r="B115" s="5"/>
      <c r="C115" s="5"/>
      <c r="D115" s="5"/>
      <c r="E115" s="5"/>
      <c r="F115" s="5"/>
      <c r="G115" s="5"/>
      <c r="H115" s="5"/>
    </row>
    <row r="116" ht="15.75" customHeight="1">
      <c r="A116" s="5"/>
      <c r="B116" s="5"/>
      <c r="C116" s="5"/>
      <c r="D116" s="5"/>
      <c r="E116" s="5"/>
      <c r="F116" s="5"/>
      <c r="G116" s="5"/>
      <c r="H116" s="5"/>
    </row>
    <row r="117" ht="15.75" customHeight="1">
      <c r="A117" s="5"/>
      <c r="B117" s="5"/>
      <c r="C117" s="5"/>
      <c r="D117" s="5"/>
      <c r="E117" s="5"/>
      <c r="F117" s="5"/>
      <c r="G117" s="5"/>
      <c r="H117" s="5"/>
    </row>
    <row r="118" ht="15.75" customHeight="1">
      <c r="A118" s="5"/>
      <c r="B118" s="5"/>
      <c r="C118" s="5"/>
      <c r="D118" s="5"/>
      <c r="E118" s="5"/>
      <c r="F118" s="5"/>
      <c r="G118" s="5"/>
      <c r="H118" s="5"/>
    </row>
    <row r="119" ht="15.75" customHeight="1">
      <c r="A119" s="5"/>
      <c r="B119" s="5"/>
      <c r="C119" s="5"/>
      <c r="D119" s="5"/>
      <c r="E119" s="5"/>
      <c r="F119" s="5"/>
      <c r="G119" s="5"/>
      <c r="H119" s="5"/>
    </row>
    <row r="120" ht="15.75" customHeight="1">
      <c r="A120" s="5"/>
      <c r="B120" s="5"/>
      <c r="C120" s="5"/>
      <c r="D120" s="5"/>
      <c r="E120" s="5"/>
      <c r="F120" s="5"/>
      <c r="G120" s="5"/>
      <c r="H120" s="5"/>
    </row>
    <row r="121" ht="15.75" customHeight="1">
      <c r="A121" s="5"/>
      <c r="B121" s="5"/>
      <c r="C121" s="5"/>
      <c r="D121" s="5"/>
      <c r="E121" s="5"/>
      <c r="F121" s="5"/>
      <c r="G121" s="5"/>
      <c r="H121" s="5"/>
    </row>
    <row r="122" ht="15.75" customHeight="1">
      <c r="A122" s="5"/>
      <c r="B122" s="5"/>
      <c r="C122" s="5"/>
      <c r="D122" s="5"/>
      <c r="E122" s="5"/>
      <c r="F122" s="5"/>
      <c r="G122" s="5"/>
      <c r="H122" s="5"/>
    </row>
    <row r="123" ht="15.75" customHeight="1">
      <c r="A123" s="5"/>
      <c r="B123" s="5"/>
      <c r="C123" s="5"/>
      <c r="D123" s="5"/>
      <c r="E123" s="5"/>
      <c r="F123" s="5"/>
      <c r="G123" s="5"/>
      <c r="H123" s="5"/>
    </row>
    <row r="124" ht="15.75" customHeight="1">
      <c r="A124" s="5"/>
      <c r="B124" s="5"/>
      <c r="C124" s="5"/>
      <c r="D124" s="5"/>
      <c r="E124" s="5"/>
      <c r="F124" s="5"/>
      <c r="G124" s="5"/>
      <c r="H124" s="5"/>
    </row>
    <row r="125" ht="15.75" customHeight="1">
      <c r="A125" s="5"/>
      <c r="B125" s="5"/>
      <c r="C125" s="5"/>
      <c r="D125" s="5"/>
      <c r="E125" s="5"/>
      <c r="F125" s="5"/>
      <c r="G125" s="5"/>
      <c r="H125" s="5"/>
    </row>
    <row r="126" ht="15.75" customHeight="1">
      <c r="A126" s="5"/>
      <c r="B126" s="5"/>
      <c r="C126" s="5"/>
      <c r="D126" s="5"/>
      <c r="E126" s="5"/>
      <c r="F126" s="5"/>
      <c r="G126" s="5"/>
      <c r="H126" s="5"/>
    </row>
    <row r="127" ht="15.75" customHeight="1">
      <c r="A127" s="5"/>
      <c r="B127" s="5"/>
      <c r="C127" s="5"/>
      <c r="D127" s="5"/>
      <c r="E127" s="5"/>
      <c r="F127" s="5"/>
      <c r="G127" s="5"/>
      <c r="H127" s="5"/>
    </row>
    <row r="128" ht="15.75" customHeight="1">
      <c r="A128" s="5"/>
      <c r="B128" s="5"/>
      <c r="C128" s="5"/>
      <c r="D128" s="5"/>
      <c r="E128" s="5"/>
      <c r="F128" s="5"/>
      <c r="G128" s="5"/>
      <c r="H128" s="5"/>
    </row>
    <row r="129" ht="15.75" customHeight="1">
      <c r="A129" s="5"/>
      <c r="B129" s="5"/>
      <c r="C129" s="5"/>
      <c r="D129" s="5"/>
      <c r="E129" s="5"/>
      <c r="F129" s="5"/>
      <c r="G129" s="5"/>
      <c r="H129" s="5"/>
    </row>
    <row r="130" ht="15.75" customHeight="1">
      <c r="A130" s="5"/>
      <c r="B130" s="5"/>
      <c r="C130" s="5"/>
      <c r="D130" s="5"/>
      <c r="E130" s="5"/>
      <c r="F130" s="5"/>
      <c r="G130" s="5"/>
      <c r="H130" s="5"/>
    </row>
    <row r="131" ht="15.75" customHeight="1">
      <c r="A131" s="5"/>
      <c r="B131" s="5"/>
      <c r="C131" s="5"/>
      <c r="D131" s="5"/>
      <c r="E131" s="5"/>
      <c r="F131" s="5"/>
      <c r="G131" s="5"/>
      <c r="H131" s="5"/>
    </row>
    <row r="132" ht="15.75" customHeight="1">
      <c r="A132" s="5"/>
      <c r="B132" s="5"/>
      <c r="C132" s="5"/>
      <c r="D132" s="5"/>
      <c r="E132" s="5"/>
      <c r="F132" s="5"/>
      <c r="G132" s="5"/>
      <c r="H132" s="5"/>
    </row>
    <row r="133" ht="15.75" customHeight="1">
      <c r="A133" s="5"/>
      <c r="B133" s="5"/>
      <c r="C133" s="5"/>
      <c r="D133" s="5"/>
      <c r="E133" s="5"/>
      <c r="F133" s="5"/>
      <c r="G133" s="5"/>
      <c r="H133" s="5"/>
    </row>
    <row r="134" ht="15.75" customHeight="1">
      <c r="A134" s="5"/>
      <c r="B134" s="5"/>
      <c r="C134" s="5"/>
      <c r="D134" s="5"/>
      <c r="E134" s="5"/>
      <c r="F134" s="5"/>
      <c r="G134" s="5"/>
      <c r="H134" s="5"/>
    </row>
    <row r="135" ht="15.75" customHeight="1">
      <c r="A135" s="5"/>
      <c r="B135" s="5"/>
      <c r="C135" s="5"/>
      <c r="D135" s="5"/>
      <c r="E135" s="5"/>
      <c r="F135" s="5"/>
      <c r="G135" s="5"/>
      <c r="H135" s="5"/>
    </row>
    <row r="136" ht="15.75" customHeight="1">
      <c r="A136" s="5"/>
      <c r="B136" s="5"/>
      <c r="C136" s="5"/>
      <c r="D136" s="5"/>
      <c r="E136" s="5"/>
      <c r="F136" s="5"/>
      <c r="G136" s="5"/>
      <c r="H136" s="5"/>
    </row>
    <row r="137" ht="15.75" customHeight="1">
      <c r="A137" s="5"/>
      <c r="B137" s="5"/>
      <c r="C137" s="5"/>
      <c r="D137" s="5"/>
      <c r="E137" s="5"/>
      <c r="F137" s="5"/>
      <c r="G137" s="5"/>
      <c r="H137" s="5"/>
    </row>
    <row r="138" ht="15.75" customHeight="1">
      <c r="A138" s="5"/>
      <c r="B138" s="5"/>
      <c r="C138" s="5"/>
      <c r="D138" s="5"/>
      <c r="E138" s="5"/>
      <c r="F138" s="5"/>
      <c r="G138" s="5"/>
      <c r="H138" s="5"/>
    </row>
    <row r="139" ht="15.75" customHeight="1">
      <c r="A139" s="5"/>
      <c r="B139" s="5"/>
      <c r="C139" s="5"/>
      <c r="D139" s="5"/>
      <c r="E139" s="5"/>
      <c r="F139" s="5"/>
      <c r="G139" s="5"/>
      <c r="H139" s="5"/>
    </row>
    <row r="140" ht="15.75" customHeight="1">
      <c r="A140" s="5"/>
      <c r="B140" s="5"/>
      <c r="C140" s="5"/>
      <c r="D140" s="5"/>
      <c r="E140" s="5"/>
      <c r="F140" s="5"/>
      <c r="G140" s="5"/>
      <c r="H140" s="5"/>
    </row>
    <row r="141" ht="15.75" customHeight="1">
      <c r="A141" s="5"/>
      <c r="B141" s="5"/>
      <c r="C141" s="5"/>
      <c r="D141" s="5"/>
      <c r="E141" s="5"/>
      <c r="F141" s="5"/>
      <c r="G141" s="5"/>
      <c r="H141" s="5"/>
    </row>
    <row r="142" ht="15.75" customHeight="1">
      <c r="A142" s="5"/>
      <c r="B142" s="5"/>
      <c r="C142" s="5"/>
      <c r="D142" s="5"/>
      <c r="E142" s="5"/>
      <c r="F142" s="5"/>
      <c r="G142" s="5"/>
      <c r="H142" s="5"/>
    </row>
    <row r="143" ht="15.75" customHeight="1">
      <c r="A143" s="5"/>
      <c r="B143" s="5"/>
      <c r="C143" s="5"/>
      <c r="D143" s="5"/>
      <c r="E143" s="5"/>
      <c r="F143" s="5"/>
      <c r="G143" s="5"/>
      <c r="H143" s="5"/>
    </row>
    <row r="144" ht="15.75" customHeight="1">
      <c r="A144" s="5"/>
      <c r="B144" s="5"/>
      <c r="C144" s="5"/>
      <c r="D144" s="5"/>
      <c r="E144" s="5"/>
      <c r="F144" s="5"/>
      <c r="G144" s="5"/>
      <c r="H144" s="5"/>
    </row>
    <row r="145" ht="15.75" customHeight="1">
      <c r="A145" s="5"/>
      <c r="B145" s="5"/>
      <c r="C145" s="5"/>
      <c r="D145" s="5"/>
      <c r="E145" s="5"/>
      <c r="F145" s="5"/>
      <c r="G145" s="5"/>
      <c r="H145" s="5"/>
    </row>
    <row r="146" ht="15.75" customHeight="1">
      <c r="A146" s="5"/>
      <c r="B146" s="5"/>
      <c r="C146" s="5"/>
      <c r="D146" s="5"/>
      <c r="E146" s="5"/>
      <c r="F146" s="5"/>
      <c r="G146" s="5"/>
      <c r="H146" s="5"/>
    </row>
    <row r="147" ht="15.75" customHeight="1">
      <c r="A147" s="5"/>
      <c r="B147" s="5"/>
      <c r="C147" s="5"/>
      <c r="D147" s="5"/>
      <c r="E147" s="5"/>
      <c r="F147" s="5"/>
      <c r="G147" s="5"/>
      <c r="H147" s="5"/>
    </row>
    <row r="148" ht="15.75" customHeight="1">
      <c r="A148" s="5"/>
      <c r="B148" s="5"/>
      <c r="C148" s="5"/>
      <c r="D148" s="5"/>
      <c r="E148" s="5"/>
      <c r="F148" s="5"/>
      <c r="G148" s="5"/>
      <c r="H148" s="5"/>
    </row>
    <row r="149" ht="15.75" customHeight="1">
      <c r="A149" s="5"/>
      <c r="B149" s="5"/>
      <c r="C149" s="5"/>
      <c r="D149" s="5"/>
      <c r="E149" s="5"/>
      <c r="F149" s="5"/>
      <c r="G149" s="5"/>
      <c r="H149" s="5"/>
    </row>
    <row r="150" ht="15.75" customHeight="1">
      <c r="A150" s="5"/>
      <c r="B150" s="5"/>
      <c r="C150" s="5"/>
      <c r="D150" s="5"/>
      <c r="E150" s="5"/>
      <c r="F150" s="5"/>
      <c r="G150" s="5"/>
      <c r="H150" s="5"/>
    </row>
    <row r="151" ht="15.75" customHeight="1">
      <c r="A151" s="5"/>
      <c r="B151" s="5"/>
      <c r="C151" s="5"/>
      <c r="D151" s="5"/>
      <c r="E151" s="5"/>
      <c r="F151" s="5"/>
      <c r="G151" s="5"/>
      <c r="H151" s="5"/>
    </row>
    <row r="152" ht="15.75" customHeight="1">
      <c r="A152" s="5"/>
      <c r="B152" s="5"/>
      <c r="C152" s="5"/>
      <c r="D152" s="5"/>
      <c r="E152" s="5"/>
      <c r="F152" s="5"/>
      <c r="G152" s="5"/>
      <c r="H152" s="5"/>
    </row>
    <row r="153" ht="15.75" customHeight="1">
      <c r="A153" s="5"/>
      <c r="B153" s="5"/>
      <c r="C153" s="5"/>
      <c r="D153" s="5"/>
      <c r="E153" s="5"/>
      <c r="F153" s="5"/>
      <c r="G153" s="5"/>
      <c r="H153" s="5"/>
    </row>
    <row r="154" ht="15.75" customHeight="1">
      <c r="A154" s="5"/>
      <c r="B154" s="5"/>
      <c r="C154" s="5"/>
      <c r="D154" s="5"/>
      <c r="E154" s="5"/>
      <c r="F154" s="5"/>
      <c r="G154" s="5"/>
      <c r="H154" s="5"/>
    </row>
    <row r="155" ht="15.75" customHeight="1">
      <c r="A155" s="5"/>
      <c r="B155" s="5"/>
      <c r="C155" s="5"/>
      <c r="D155" s="5"/>
      <c r="E155" s="5"/>
      <c r="F155" s="5"/>
      <c r="G155" s="5"/>
      <c r="H155" s="5"/>
    </row>
    <row r="156" ht="15.75" customHeight="1">
      <c r="A156" s="5"/>
      <c r="B156" s="5"/>
      <c r="C156" s="5"/>
      <c r="D156" s="5"/>
      <c r="E156" s="5"/>
      <c r="F156" s="5"/>
      <c r="G156" s="5"/>
      <c r="H156" s="5"/>
    </row>
    <row r="157" ht="15.75" customHeight="1">
      <c r="A157" s="5"/>
      <c r="B157" s="5"/>
      <c r="C157" s="5"/>
      <c r="D157" s="5"/>
      <c r="E157" s="5"/>
      <c r="F157" s="5"/>
      <c r="G157" s="5"/>
      <c r="H157" s="5"/>
    </row>
    <row r="158" ht="15.75" customHeight="1">
      <c r="A158" s="5"/>
      <c r="B158" s="5"/>
      <c r="C158" s="5"/>
      <c r="D158" s="5"/>
      <c r="E158" s="5"/>
      <c r="F158" s="5"/>
      <c r="G158" s="5"/>
      <c r="H158" s="5"/>
    </row>
    <row r="159" ht="15.75" customHeight="1">
      <c r="A159" s="5"/>
      <c r="B159" s="5"/>
      <c r="C159" s="5"/>
      <c r="D159" s="5"/>
      <c r="E159" s="5"/>
      <c r="F159" s="5"/>
      <c r="G159" s="5"/>
      <c r="H159" s="5"/>
    </row>
    <row r="160" ht="15.75" customHeight="1">
      <c r="A160" s="5"/>
      <c r="B160" s="5"/>
      <c r="C160" s="5"/>
      <c r="D160" s="5"/>
      <c r="E160" s="5"/>
      <c r="F160" s="5"/>
      <c r="G160" s="5"/>
      <c r="H160" s="5"/>
    </row>
    <row r="161" ht="15.75" customHeight="1">
      <c r="A161" s="5"/>
      <c r="B161" s="5"/>
      <c r="C161" s="5"/>
      <c r="D161" s="5"/>
      <c r="E161" s="5"/>
      <c r="F161" s="5"/>
      <c r="G161" s="5"/>
      <c r="H161" s="5"/>
    </row>
    <row r="162" ht="15.75" customHeight="1">
      <c r="A162" s="5"/>
      <c r="B162" s="5"/>
      <c r="C162" s="5"/>
      <c r="D162" s="5"/>
      <c r="E162" s="5"/>
      <c r="F162" s="5"/>
      <c r="G162" s="5"/>
      <c r="H162" s="5"/>
    </row>
    <row r="163" ht="15.75" customHeight="1">
      <c r="A163" s="5"/>
      <c r="B163" s="5"/>
      <c r="C163" s="5"/>
      <c r="D163" s="5"/>
      <c r="E163" s="5"/>
      <c r="F163" s="5"/>
      <c r="G163" s="5"/>
      <c r="H163" s="5"/>
    </row>
    <row r="164" ht="15.75" customHeight="1">
      <c r="A164" s="5"/>
      <c r="B164" s="5"/>
      <c r="C164" s="5"/>
      <c r="D164" s="5"/>
      <c r="E164" s="5"/>
      <c r="F164" s="5"/>
      <c r="G164" s="5"/>
      <c r="H164" s="5"/>
    </row>
    <row r="165" ht="15.75" customHeight="1">
      <c r="A165" s="5"/>
      <c r="B165" s="5"/>
      <c r="C165" s="5"/>
      <c r="D165" s="5"/>
      <c r="E165" s="5"/>
      <c r="F165" s="5"/>
      <c r="G165" s="5"/>
      <c r="H165" s="5"/>
    </row>
    <row r="166" ht="15.75" customHeight="1">
      <c r="A166" s="5"/>
      <c r="B166" s="5"/>
      <c r="C166" s="5"/>
      <c r="D166" s="5"/>
      <c r="E166" s="5"/>
      <c r="F166" s="5"/>
      <c r="G166" s="5"/>
      <c r="H166" s="5"/>
    </row>
    <row r="167" ht="15.75" customHeight="1">
      <c r="A167" s="5"/>
      <c r="B167" s="5"/>
      <c r="C167" s="5"/>
      <c r="D167" s="5"/>
      <c r="E167" s="5"/>
      <c r="F167" s="5"/>
      <c r="G167" s="5"/>
      <c r="H167" s="5"/>
    </row>
    <row r="168" ht="15.75" customHeight="1">
      <c r="A168" s="5"/>
      <c r="B168" s="5"/>
      <c r="C168" s="5"/>
      <c r="D168" s="5"/>
      <c r="E168" s="5"/>
      <c r="F168" s="5"/>
      <c r="G168" s="5"/>
      <c r="H168" s="5"/>
    </row>
    <row r="169" ht="15.75" customHeight="1">
      <c r="A169" s="5"/>
      <c r="B169" s="5"/>
      <c r="C169" s="5"/>
      <c r="D169" s="5"/>
      <c r="E169" s="5"/>
      <c r="F169" s="5"/>
      <c r="G169" s="5"/>
      <c r="H169" s="5"/>
    </row>
    <row r="170" ht="15.75" customHeight="1">
      <c r="A170" s="5"/>
      <c r="B170" s="5"/>
      <c r="C170" s="5"/>
      <c r="D170" s="5"/>
      <c r="E170" s="5"/>
      <c r="F170" s="5"/>
      <c r="G170" s="5"/>
      <c r="H170" s="5"/>
    </row>
    <row r="171" ht="15.75" customHeight="1">
      <c r="A171" s="5"/>
      <c r="B171" s="5"/>
      <c r="C171" s="5"/>
      <c r="D171" s="5"/>
      <c r="E171" s="5"/>
      <c r="F171" s="5"/>
      <c r="G171" s="5"/>
      <c r="H171" s="5"/>
    </row>
    <row r="172" ht="15.75" customHeight="1">
      <c r="A172" s="5"/>
      <c r="B172" s="5"/>
      <c r="C172" s="5"/>
      <c r="D172" s="5"/>
      <c r="E172" s="5"/>
      <c r="F172" s="5"/>
      <c r="G172" s="5"/>
      <c r="H172" s="5"/>
    </row>
    <row r="173" ht="15.75" customHeight="1">
      <c r="A173" s="5"/>
      <c r="B173" s="5"/>
      <c r="C173" s="5"/>
      <c r="D173" s="5"/>
      <c r="E173" s="5"/>
      <c r="F173" s="5"/>
      <c r="G173" s="5"/>
      <c r="H173" s="5"/>
    </row>
    <row r="174" ht="15.75" customHeight="1">
      <c r="A174" s="5"/>
      <c r="B174" s="5"/>
      <c r="C174" s="5"/>
      <c r="D174" s="5"/>
      <c r="E174" s="5"/>
      <c r="F174" s="5"/>
      <c r="G174" s="5"/>
      <c r="H174" s="5"/>
    </row>
    <row r="175" ht="15.75" customHeight="1">
      <c r="A175" s="5"/>
      <c r="B175" s="5"/>
      <c r="C175" s="5"/>
      <c r="D175" s="5"/>
      <c r="E175" s="5"/>
      <c r="F175" s="5"/>
      <c r="G175" s="5"/>
      <c r="H175" s="5"/>
    </row>
    <row r="176" ht="15.75" customHeight="1">
      <c r="A176" s="5"/>
      <c r="B176" s="5"/>
      <c r="C176" s="5"/>
      <c r="D176" s="5"/>
      <c r="E176" s="5"/>
      <c r="F176" s="5"/>
      <c r="G176" s="5"/>
      <c r="H176" s="5"/>
    </row>
    <row r="177" ht="15.75" customHeight="1">
      <c r="A177" s="5"/>
      <c r="B177" s="5"/>
      <c r="C177" s="5"/>
      <c r="D177" s="5"/>
      <c r="E177" s="5"/>
      <c r="F177" s="5"/>
      <c r="G177" s="5"/>
      <c r="H177" s="5"/>
    </row>
    <row r="178" ht="15.75" customHeight="1">
      <c r="A178" s="5"/>
      <c r="B178" s="5"/>
      <c r="C178" s="5"/>
      <c r="D178" s="5"/>
      <c r="E178" s="5"/>
      <c r="F178" s="5"/>
      <c r="G178" s="5"/>
      <c r="H178" s="5"/>
    </row>
    <row r="179" ht="15.75" customHeight="1">
      <c r="A179" s="5"/>
      <c r="B179" s="5"/>
      <c r="C179" s="5"/>
      <c r="D179" s="5"/>
      <c r="E179" s="5"/>
      <c r="F179" s="5"/>
      <c r="G179" s="5"/>
      <c r="H179" s="5"/>
    </row>
    <row r="180" ht="15.75" customHeight="1">
      <c r="A180" s="5"/>
      <c r="B180" s="5"/>
      <c r="C180" s="5"/>
      <c r="D180" s="5"/>
      <c r="E180" s="5"/>
      <c r="F180" s="5"/>
      <c r="G180" s="5"/>
      <c r="H180" s="5"/>
    </row>
    <row r="181" ht="15.75" customHeight="1">
      <c r="A181" s="5"/>
      <c r="B181" s="5"/>
      <c r="C181" s="5"/>
      <c r="D181" s="5"/>
      <c r="E181" s="5"/>
      <c r="F181" s="5"/>
      <c r="G181" s="5"/>
      <c r="H181" s="5"/>
    </row>
    <row r="182" ht="15.75" customHeight="1">
      <c r="A182" s="5"/>
      <c r="B182" s="5"/>
      <c r="C182" s="5"/>
      <c r="D182" s="5"/>
      <c r="E182" s="5"/>
      <c r="F182" s="5"/>
      <c r="G182" s="5"/>
      <c r="H182" s="5"/>
    </row>
    <row r="183" ht="15.75" customHeight="1">
      <c r="A183" s="5"/>
      <c r="B183" s="5"/>
      <c r="C183" s="5"/>
      <c r="D183" s="5"/>
      <c r="E183" s="5"/>
      <c r="F183" s="5"/>
      <c r="G183" s="5"/>
      <c r="H183" s="5"/>
    </row>
    <row r="184" ht="15.75" customHeight="1">
      <c r="A184" s="5"/>
      <c r="B184" s="5"/>
      <c r="C184" s="5"/>
      <c r="D184" s="5"/>
      <c r="E184" s="5"/>
      <c r="F184" s="5"/>
      <c r="G184" s="5"/>
      <c r="H184" s="5"/>
    </row>
    <row r="185" ht="15.75" customHeight="1">
      <c r="A185" s="5"/>
      <c r="B185" s="5"/>
      <c r="C185" s="5"/>
      <c r="D185" s="5"/>
      <c r="E185" s="5"/>
      <c r="F185" s="5"/>
      <c r="G185" s="5"/>
      <c r="H185" s="5"/>
    </row>
    <row r="186" ht="15.75" customHeight="1">
      <c r="A186" s="5"/>
      <c r="B186" s="5"/>
      <c r="C186" s="5"/>
      <c r="D186" s="5"/>
      <c r="E186" s="5"/>
      <c r="F186" s="5"/>
      <c r="G186" s="5"/>
      <c r="H186" s="5"/>
    </row>
    <row r="187" ht="15.75" customHeight="1">
      <c r="A187" s="5"/>
      <c r="B187" s="5"/>
      <c r="C187" s="5"/>
      <c r="D187" s="5"/>
      <c r="E187" s="5"/>
      <c r="F187" s="5"/>
      <c r="G187" s="5"/>
      <c r="H187" s="5"/>
    </row>
    <row r="188" ht="15.75" customHeight="1">
      <c r="A188" s="5"/>
      <c r="B188" s="5"/>
      <c r="C188" s="5"/>
      <c r="D188" s="5"/>
      <c r="E188" s="5"/>
      <c r="F188" s="5"/>
      <c r="G188" s="5"/>
      <c r="H188" s="5"/>
    </row>
    <row r="189" ht="15.75" customHeight="1">
      <c r="A189" s="5"/>
      <c r="B189" s="5"/>
      <c r="C189" s="5"/>
      <c r="D189" s="5"/>
      <c r="E189" s="5"/>
      <c r="F189" s="5"/>
      <c r="G189" s="5"/>
      <c r="H189" s="5"/>
    </row>
    <row r="190" ht="15.75" customHeight="1">
      <c r="A190" s="5"/>
      <c r="B190" s="5"/>
      <c r="C190" s="5"/>
      <c r="D190" s="5"/>
      <c r="E190" s="5"/>
      <c r="F190" s="5"/>
      <c r="G190" s="5"/>
      <c r="H190" s="5"/>
    </row>
    <row r="191" ht="15.75" customHeight="1">
      <c r="A191" s="5"/>
      <c r="B191" s="5"/>
      <c r="C191" s="5"/>
      <c r="D191" s="5"/>
      <c r="E191" s="5"/>
      <c r="F191" s="5"/>
      <c r="G191" s="5"/>
      <c r="H191" s="5"/>
    </row>
    <row r="192" ht="15.75" customHeight="1">
      <c r="A192" s="5"/>
      <c r="B192" s="5"/>
      <c r="C192" s="5"/>
      <c r="D192" s="5"/>
      <c r="E192" s="5"/>
      <c r="F192" s="5"/>
      <c r="G192" s="5"/>
      <c r="H192" s="5"/>
    </row>
    <row r="193" ht="15.75" customHeight="1">
      <c r="A193" s="5"/>
      <c r="B193" s="5"/>
      <c r="C193" s="5"/>
      <c r="D193" s="5"/>
      <c r="E193" s="5"/>
      <c r="F193" s="5"/>
      <c r="G193" s="5"/>
      <c r="H193" s="5"/>
    </row>
    <row r="194" ht="15.75" customHeight="1">
      <c r="A194" s="5"/>
      <c r="B194" s="5"/>
      <c r="C194" s="5"/>
      <c r="D194" s="5"/>
      <c r="E194" s="5"/>
      <c r="F194" s="5"/>
      <c r="G194" s="5"/>
      <c r="H194" s="5"/>
    </row>
    <row r="195" ht="15.75" customHeight="1">
      <c r="A195" s="5"/>
      <c r="B195" s="5"/>
      <c r="C195" s="5"/>
      <c r="D195" s="5"/>
      <c r="E195" s="5"/>
      <c r="F195" s="5"/>
      <c r="G195" s="5"/>
      <c r="H195" s="5"/>
    </row>
    <row r="196" ht="15.75" customHeight="1">
      <c r="A196" s="5"/>
      <c r="B196" s="5"/>
      <c r="C196" s="5"/>
      <c r="D196" s="5"/>
      <c r="E196" s="5"/>
      <c r="F196" s="5"/>
      <c r="G196" s="5"/>
      <c r="H196" s="5"/>
    </row>
    <row r="197" ht="15.75" customHeight="1">
      <c r="A197" s="5"/>
      <c r="B197" s="5"/>
      <c r="C197" s="5"/>
      <c r="D197" s="5"/>
      <c r="E197" s="5"/>
      <c r="F197" s="5"/>
      <c r="G197" s="5"/>
      <c r="H197" s="5"/>
    </row>
    <row r="198" ht="15.75" customHeight="1">
      <c r="A198" s="5"/>
      <c r="B198" s="5"/>
      <c r="C198" s="5"/>
      <c r="D198" s="5"/>
      <c r="E198" s="5"/>
      <c r="F198" s="5"/>
      <c r="G198" s="5"/>
      <c r="H198" s="5"/>
    </row>
    <row r="199" ht="15.75" customHeight="1">
      <c r="A199" s="5"/>
      <c r="B199" s="5"/>
      <c r="C199" s="5"/>
      <c r="D199" s="5"/>
      <c r="E199" s="5"/>
      <c r="F199" s="5"/>
      <c r="G199" s="5"/>
      <c r="H199" s="5"/>
    </row>
    <row r="200" ht="15.75" customHeight="1">
      <c r="A200" s="5"/>
      <c r="B200" s="5"/>
      <c r="C200" s="5"/>
      <c r="D200" s="5"/>
      <c r="E200" s="5"/>
      <c r="F200" s="5"/>
      <c r="G200" s="5"/>
      <c r="H200" s="5"/>
    </row>
    <row r="201" ht="15.75" customHeight="1">
      <c r="A201" s="5"/>
      <c r="B201" s="5"/>
      <c r="C201" s="5"/>
      <c r="D201" s="5"/>
      <c r="E201" s="5"/>
      <c r="F201" s="5"/>
      <c r="G201" s="5"/>
      <c r="H201" s="5"/>
    </row>
    <row r="202" ht="15.75" customHeight="1">
      <c r="A202" s="5"/>
      <c r="B202" s="5"/>
      <c r="C202" s="5"/>
      <c r="D202" s="5"/>
      <c r="E202" s="5"/>
      <c r="F202" s="5"/>
      <c r="G202" s="5"/>
      <c r="H202" s="5"/>
    </row>
    <row r="203" ht="15.75" customHeight="1">
      <c r="A203" s="5"/>
      <c r="B203" s="5"/>
      <c r="C203" s="5"/>
      <c r="D203" s="5"/>
      <c r="E203" s="5"/>
      <c r="F203" s="5"/>
      <c r="G203" s="5"/>
      <c r="H203" s="5"/>
    </row>
    <row r="204" ht="15.75" customHeight="1">
      <c r="A204" s="5"/>
      <c r="B204" s="5"/>
      <c r="C204" s="5"/>
      <c r="D204" s="5"/>
      <c r="E204" s="5"/>
      <c r="F204" s="5"/>
      <c r="G204" s="5"/>
      <c r="H204" s="5"/>
    </row>
    <row r="205" ht="15.75" customHeight="1">
      <c r="A205" s="5"/>
      <c r="B205" s="5"/>
      <c r="C205" s="5"/>
      <c r="D205" s="5"/>
      <c r="E205" s="5"/>
      <c r="F205" s="5"/>
      <c r="G205" s="5"/>
      <c r="H205" s="5"/>
    </row>
    <row r="206" ht="15.75" customHeight="1">
      <c r="A206" s="5"/>
      <c r="B206" s="5"/>
      <c r="C206" s="5"/>
      <c r="D206" s="5"/>
      <c r="E206" s="5"/>
      <c r="F206" s="5"/>
      <c r="G206" s="5"/>
      <c r="H206" s="5"/>
    </row>
    <row r="207" ht="15.75" customHeight="1">
      <c r="A207" s="5"/>
      <c r="B207" s="5"/>
      <c r="C207" s="5"/>
      <c r="D207" s="5"/>
      <c r="E207" s="5"/>
      <c r="F207" s="5"/>
      <c r="G207" s="5"/>
      <c r="H207" s="5"/>
    </row>
    <row r="208" ht="15.75" customHeight="1">
      <c r="A208" s="5"/>
      <c r="B208" s="5"/>
      <c r="C208" s="5"/>
      <c r="D208" s="5"/>
      <c r="E208" s="5"/>
      <c r="F208" s="5"/>
      <c r="G208" s="5"/>
      <c r="H208" s="5"/>
    </row>
    <row r="209" ht="15.75" customHeight="1">
      <c r="A209" s="5"/>
      <c r="B209" s="5"/>
      <c r="C209" s="5"/>
      <c r="D209" s="5"/>
      <c r="E209" s="5"/>
      <c r="F209" s="5"/>
      <c r="G209" s="5"/>
      <c r="H209" s="5"/>
    </row>
    <row r="210" ht="15.75" customHeight="1">
      <c r="A210" s="5"/>
      <c r="B210" s="5"/>
      <c r="C210" s="5"/>
      <c r="D210" s="5"/>
      <c r="E210" s="5"/>
      <c r="F210" s="5"/>
      <c r="G210" s="5"/>
      <c r="H210" s="5"/>
    </row>
    <row r="211" ht="15.75" customHeight="1">
      <c r="A211" s="5"/>
      <c r="B211" s="5"/>
      <c r="C211" s="5"/>
      <c r="D211" s="5"/>
      <c r="E211" s="5"/>
      <c r="F211" s="5"/>
      <c r="G211" s="5"/>
      <c r="H211" s="5"/>
    </row>
    <row r="212" ht="15.75" customHeight="1">
      <c r="A212" s="5"/>
      <c r="B212" s="5"/>
      <c r="C212" s="5"/>
      <c r="D212" s="5"/>
      <c r="E212" s="5"/>
      <c r="F212" s="5"/>
      <c r="G212" s="5"/>
      <c r="H212" s="5"/>
    </row>
    <row r="213" ht="15.75" customHeight="1">
      <c r="A213" s="5"/>
      <c r="B213" s="5"/>
      <c r="C213" s="5"/>
      <c r="D213" s="5"/>
      <c r="E213" s="5"/>
      <c r="F213" s="5"/>
      <c r="G213" s="5"/>
      <c r="H213" s="5"/>
    </row>
    <row r="214" ht="15.75" customHeight="1">
      <c r="A214" s="5"/>
      <c r="B214" s="5"/>
      <c r="C214" s="5"/>
      <c r="D214" s="5"/>
      <c r="E214" s="5"/>
      <c r="F214" s="5"/>
      <c r="G214" s="5"/>
      <c r="H214" s="5"/>
    </row>
    <row r="215" ht="15.75" customHeight="1">
      <c r="A215" s="5"/>
      <c r="B215" s="5"/>
      <c r="C215" s="5"/>
      <c r="D215" s="5"/>
      <c r="E215" s="5"/>
      <c r="F215" s="5"/>
      <c r="G215" s="5"/>
      <c r="H215" s="5"/>
    </row>
    <row r="216" ht="15.75" customHeight="1">
      <c r="A216" s="5"/>
      <c r="B216" s="5"/>
      <c r="C216" s="5"/>
      <c r="D216" s="5"/>
      <c r="E216" s="5"/>
      <c r="F216" s="5"/>
      <c r="G216" s="5"/>
      <c r="H216" s="5"/>
    </row>
    <row r="217" ht="15.75" customHeight="1">
      <c r="A217" s="5"/>
      <c r="B217" s="5"/>
      <c r="C217" s="5"/>
      <c r="D217" s="5"/>
      <c r="E217" s="5"/>
      <c r="F217" s="5"/>
      <c r="G217" s="5"/>
      <c r="H217" s="5"/>
    </row>
    <row r="218" ht="15.75" customHeight="1">
      <c r="A218" s="5"/>
      <c r="B218" s="5"/>
      <c r="C218" s="5"/>
      <c r="D218" s="5"/>
      <c r="E218" s="5"/>
      <c r="F218" s="5"/>
      <c r="G218" s="5"/>
      <c r="H218" s="5"/>
    </row>
    <row r="219" ht="15.75" customHeight="1">
      <c r="A219" s="5"/>
      <c r="B219" s="5"/>
      <c r="C219" s="5"/>
      <c r="D219" s="5"/>
      <c r="E219" s="5"/>
      <c r="F219" s="5"/>
      <c r="G219" s="5"/>
      <c r="H219" s="5"/>
    </row>
    <row r="220" ht="15.75" customHeight="1">
      <c r="A220" s="5"/>
      <c r="B220" s="5"/>
      <c r="C220" s="5"/>
      <c r="D220" s="5"/>
      <c r="E220" s="5"/>
      <c r="F220" s="5"/>
      <c r="G220" s="5"/>
      <c r="H220" s="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H1"/>
    <mergeCell ref="A2:H2"/>
    <mergeCell ref="A11:B11"/>
    <mergeCell ref="A12:H12"/>
    <mergeCell ref="A13:H13"/>
    <mergeCell ref="A18:D18"/>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2.0"/>
    <col customWidth="1" min="2" max="2" width="14.0"/>
    <col customWidth="1" min="3" max="3" width="18.0"/>
    <col customWidth="1" min="4" max="4" width="12.0"/>
    <col customWidth="1" min="5" max="7" width="18.0"/>
    <col customWidth="1" min="8" max="8" width="12.0"/>
    <col customWidth="1" min="9" max="9" width="14.0"/>
    <col customWidth="1" min="10" max="10" width="38.0"/>
  </cols>
  <sheetData>
    <row r="1" ht="39.75" customHeight="1">
      <c r="A1" s="1" t="s">
        <v>216</v>
      </c>
      <c r="B1" s="2"/>
      <c r="C1" s="2"/>
      <c r="D1" s="2"/>
      <c r="E1" s="2"/>
      <c r="F1" s="2"/>
      <c r="G1" s="2"/>
      <c r="H1" s="2"/>
      <c r="I1" s="2"/>
      <c r="J1" s="3"/>
    </row>
    <row r="2" ht="21.75" customHeight="1">
      <c r="A2" s="100" t="s">
        <v>217</v>
      </c>
      <c r="B2" s="2"/>
      <c r="C2" s="2"/>
      <c r="D2" s="2"/>
      <c r="E2" s="2"/>
      <c r="F2" s="2"/>
      <c r="G2" s="2"/>
      <c r="H2" s="2"/>
      <c r="I2" s="2"/>
      <c r="J2" s="3"/>
    </row>
    <row r="3" ht="9.75" customHeight="1"/>
    <row r="4" ht="37.5" customHeight="1">
      <c r="A4" s="101" t="s">
        <v>218</v>
      </c>
      <c r="B4" s="2"/>
      <c r="C4" s="2"/>
      <c r="D4" s="2"/>
      <c r="E4" s="2"/>
      <c r="F4" s="2"/>
      <c r="G4" s="2"/>
      <c r="H4" s="2"/>
      <c r="I4" s="2"/>
      <c r="J4" s="3"/>
    </row>
    <row r="5" ht="9.75" customHeight="1"/>
    <row r="6" ht="43.5" customHeight="1">
      <c r="A6" s="102" t="s">
        <v>2</v>
      </c>
      <c r="B6" s="102" t="s">
        <v>16</v>
      </c>
      <c r="C6" s="102" t="s">
        <v>219</v>
      </c>
      <c r="D6" s="102" t="s">
        <v>220</v>
      </c>
      <c r="E6" s="102" t="s">
        <v>221</v>
      </c>
      <c r="F6" s="102" t="s">
        <v>222</v>
      </c>
      <c r="G6" s="102" t="s">
        <v>223</v>
      </c>
      <c r="H6" s="102" t="s">
        <v>8</v>
      </c>
      <c r="I6" s="103" t="s">
        <v>224</v>
      </c>
      <c r="J6" s="102" t="s">
        <v>225</v>
      </c>
    </row>
    <row r="7" ht="69.75" customHeight="1">
      <c r="A7" s="103" t="s">
        <v>226</v>
      </c>
      <c r="B7" s="104" t="s">
        <v>30</v>
      </c>
      <c r="C7" s="105">
        <v>1980000.0</v>
      </c>
      <c r="D7" s="106">
        <v>0.77</v>
      </c>
      <c r="E7" s="107">
        <f t="shared" ref="E7:E12" si="1">C7*D7</f>
        <v>1524600</v>
      </c>
      <c r="F7" s="108">
        <v>1584000.0</v>
      </c>
      <c r="G7" s="109">
        <v>1188000.0</v>
      </c>
      <c r="H7" s="110" t="s">
        <v>169</v>
      </c>
      <c r="I7" s="111" t="s">
        <v>227</v>
      </c>
      <c r="J7" s="112" t="s">
        <v>228</v>
      </c>
    </row>
    <row r="8" ht="69.75" customHeight="1">
      <c r="A8" s="102" t="s">
        <v>171</v>
      </c>
      <c r="B8" s="113" t="s">
        <v>229</v>
      </c>
      <c r="C8" s="114">
        <v>5940000.0</v>
      </c>
      <c r="D8" s="115">
        <v>0.4</v>
      </c>
      <c r="E8" s="107">
        <f t="shared" si="1"/>
        <v>2376000</v>
      </c>
      <c r="F8" s="116">
        <v>3960000.0</v>
      </c>
      <c r="G8" s="117">
        <v>594000.0</v>
      </c>
      <c r="H8" s="118" t="s">
        <v>174</v>
      </c>
      <c r="I8" s="119" t="s">
        <v>230</v>
      </c>
      <c r="J8" s="112" t="s">
        <v>231</v>
      </c>
    </row>
    <row r="9" ht="69.75" customHeight="1">
      <c r="A9" s="102" t="s">
        <v>232</v>
      </c>
      <c r="B9" s="120" t="s">
        <v>233</v>
      </c>
      <c r="C9" s="121">
        <v>1250000.0</v>
      </c>
      <c r="D9" s="122">
        <v>0.28</v>
      </c>
      <c r="E9" s="107">
        <f t="shared" si="1"/>
        <v>350000</v>
      </c>
      <c r="F9" s="123">
        <v>500000.0</v>
      </c>
      <c r="G9" s="124">
        <v>125000.0</v>
      </c>
      <c r="H9" s="125" t="s">
        <v>179</v>
      </c>
      <c r="I9" s="126" t="s">
        <v>234</v>
      </c>
      <c r="J9" s="112" t="s">
        <v>235</v>
      </c>
    </row>
    <row r="10" ht="69.75" customHeight="1">
      <c r="A10" s="102" t="s">
        <v>236</v>
      </c>
      <c r="B10" s="113" t="s">
        <v>229</v>
      </c>
      <c r="C10" s="114">
        <v>1333000.0</v>
      </c>
      <c r="D10" s="115">
        <v>0.55</v>
      </c>
      <c r="E10" s="107">
        <f t="shared" si="1"/>
        <v>733150</v>
      </c>
      <c r="F10" s="116">
        <v>1066400.0</v>
      </c>
      <c r="G10" s="117">
        <v>399900.0</v>
      </c>
      <c r="H10" s="118" t="s">
        <v>184</v>
      </c>
      <c r="I10" s="119" t="s">
        <v>237</v>
      </c>
      <c r="J10" s="112" t="s">
        <v>238</v>
      </c>
    </row>
    <row r="11" ht="69.75" customHeight="1">
      <c r="A11" s="102" t="s">
        <v>186</v>
      </c>
      <c r="B11" s="102" t="s">
        <v>239</v>
      </c>
      <c r="C11" s="127">
        <v>2000000.0</v>
      </c>
      <c r="D11" s="128">
        <v>0.43</v>
      </c>
      <c r="E11" s="107">
        <f t="shared" si="1"/>
        <v>860000</v>
      </c>
      <c r="F11" s="129">
        <v>1333000.0</v>
      </c>
      <c r="G11" s="130">
        <v>400000.0</v>
      </c>
      <c r="H11" s="131" t="s">
        <v>189</v>
      </c>
      <c r="I11" s="132" t="s">
        <v>240</v>
      </c>
      <c r="J11" s="133" t="s">
        <v>241</v>
      </c>
    </row>
    <row r="12" ht="69.75" customHeight="1">
      <c r="A12" s="102" t="s">
        <v>191</v>
      </c>
      <c r="B12" s="102" t="s">
        <v>242</v>
      </c>
      <c r="C12" s="127">
        <v>2400000.0</v>
      </c>
      <c r="D12" s="128">
        <v>0.75</v>
      </c>
      <c r="E12" s="107">
        <f t="shared" si="1"/>
        <v>1800000</v>
      </c>
      <c r="F12" s="129">
        <v>1920000.0</v>
      </c>
      <c r="G12" s="130">
        <v>1200000.0</v>
      </c>
      <c r="H12" s="131" t="s">
        <v>169</v>
      </c>
      <c r="I12" s="132" t="s">
        <v>227</v>
      </c>
      <c r="J12" s="112" t="s">
        <v>243</v>
      </c>
    </row>
    <row r="13" ht="43.5" customHeight="1">
      <c r="A13" s="85" t="s">
        <v>244</v>
      </c>
      <c r="B13" s="32"/>
      <c r="C13" s="87">
        <f>SUM(C7:C12)</f>
        <v>14903000</v>
      </c>
      <c r="D13" s="86"/>
      <c r="E13" s="87">
        <f t="shared" ref="E13:G13" si="2">SUM(E7:E12)</f>
        <v>7643750</v>
      </c>
      <c r="F13" s="87">
        <f t="shared" si="2"/>
        <v>10363400</v>
      </c>
      <c r="G13" s="87">
        <f t="shared" si="2"/>
        <v>3906900</v>
      </c>
      <c r="H13" s="86"/>
      <c r="I13" s="86"/>
      <c r="J13" s="86"/>
    </row>
    <row r="14" ht="27.75" customHeight="1">
      <c r="A14" s="54" t="s">
        <v>245</v>
      </c>
      <c r="B14" s="2"/>
      <c r="C14" s="2"/>
      <c r="D14" s="2"/>
      <c r="E14" s="2"/>
      <c r="F14" s="2"/>
      <c r="G14" s="2"/>
      <c r="H14" s="2"/>
      <c r="I14" s="2"/>
      <c r="J14" s="3"/>
    </row>
    <row r="15" ht="37.5" customHeight="1">
      <c r="A15" s="134" t="s">
        <v>246</v>
      </c>
      <c r="B15" s="2"/>
      <c r="C15" s="2"/>
      <c r="D15" s="2"/>
      <c r="E15" s="2"/>
      <c r="F15" s="2"/>
      <c r="G15" s="2"/>
      <c r="H15" s="2"/>
      <c r="I15" s="2"/>
      <c r="J15" s="3"/>
    </row>
    <row r="16" ht="39.75" customHeight="1">
      <c r="A16" s="135" t="s">
        <v>106</v>
      </c>
      <c r="B16" s="3"/>
      <c r="C16" s="135" t="s">
        <v>247</v>
      </c>
      <c r="D16" s="3"/>
      <c r="E16" s="135" t="s">
        <v>248</v>
      </c>
      <c r="F16" s="136"/>
      <c r="G16" s="136"/>
      <c r="H16" s="136"/>
      <c r="I16" s="136"/>
      <c r="J16" s="137"/>
    </row>
    <row r="17" ht="60.0" customHeight="1">
      <c r="A17" s="138" t="s">
        <v>249</v>
      </c>
      <c r="B17" s="3"/>
      <c r="C17" s="139">
        <v>2000000.0</v>
      </c>
      <c r="D17" s="3"/>
      <c r="E17" s="140">
        <v>0.7</v>
      </c>
      <c r="F17" s="141"/>
      <c r="G17" s="141"/>
      <c r="H17" s="141"/>
      <c r="I17" s="141"/>
      <c r="J17" s="142"/>
    </row>
    <row r="18" ht="60.0" customHeight="1">
      <c r="A18" s="138" t="s">
        <v>250</v>
      </c>
      <c r="B18" s="3"/>
      <c r="C18" s="143">
        <v>3000000.0</v>
      </c>
      <c r="D18" s="3"/>
      <c r="E18" s="144">
        <v>0.58</v>
      </c>
      <c r="F18" s="141"/>
      <c r="G18" s="141"/>
      <c r="H18" s="141"/>
      <c r="I18" s="141"/>
      <c r="J18" s="142"/>
    </row>
    <row r="19" ht="60.0" customHeight="1">
      <c r="A19" s="138" t="s">
        <v>251</v>
      </c>
      <c r="B19" s="3"/>
      <c r="C19" s="145">
        <v>1000000.0</v>
      </c>
      <c r="D19" s="3"/>
      <c r="E19" s="146">
        <v>0.52</v>
      </c>
      <c r="F19" s="141"/>
      <c r="G19" s="141"/>
      <c r="H19" s="141"/>
      <c r="I19" s="141"/>
      <c r="J19" s="142"/>
    </row>
    <row r="20" ht="21.75" customHeight="1">
      <c r="A20" s="98" t="s">
        <v>252</v>
      </c>
      <c r="B20" s="3"/>
      <c r="C20" s="147">
        <f>SUM(C17:C19)</f>
        <v>6000000</v>
      </c>
      <c r="D20" s="3"/>
      <c r="E20" s="99">
        <f>SUM(E17:E19)</f>
        <v>1.8</v>
      </c>
      <c r="F20" s="99"/>
      <c r="G20" s="99"/>
    </row>
    <row r="21" ht="7.5" customHeight="1"/>
    <row r="22" ht="15.75" customHeight="1"/>
    <row r="23" ht="33.0" customHeight="1">
      <c r="A23" s="148" t="s">
        <v>253</v>
      </c>
      <c r="B23" s="31"/>
      <c r="C23" s="31"/>
      <c r="D23" s="31"/>
      <c r="E23" s="31"/>
      <c r="F23" s="31"/>
      <c r="G23" s="31"/>
      <c r="H23" s="31"/>
      <c r="I23" s="31"/>
      <c r="J23" s="32"/>
    </row>
    <row r="24" ht="33.0" customHeight="1">
      <c r="A24" s="149" t="s">
        <v>254</v>
      </c>
      <c r="B24" s="32"/>
      <c r="C24" s="150" t="s">
        <v>255</v>
      </c>
      <c r="D24" s="151" t="s">
        <v>256</v>
      </c>
      <c r="E24" s="31"/>
      <c r="F24" s="31"/>
      <c r="G24" s="31"/>
      <c r="H24" s="31"/>
      <c r="I24" s="31"/>
      <c r="J24" s="32"/>
    </row>
    <row r="25" ht="33.0" customHeight="1">
      <c r="A25" s="37" t="s">
        <v>257</v>
      </c>
      <c r="B25" s="32"/>
      <c r="C25" s="152" t="s">
        <v>258</v>
      </c>
      <c r="D25" s="153" t="s">
        <v>259</v>
      </c>
      <c r="E25" s="31"/>
      <c r="F25" s="31"/>
      <c r="G25" s="31"/>
      <c r="H25" s="31"/>
      <c r="I25" s="31"/>
      <c r="J25" s="32"/>
    </row>
    <row r="26" ht="33.0" customHeight="1">
      <c r="A26" s="33" t="s">
        <v>260</v>
      </c>
      <c r="B26" s="32"/>
      <c r="C26" s="154" t="s">
        <v>261</v>
      </c>
      <c r="D26" s="155" t="s">
        <v>262</v>
      </c>
      <c r="E26" s="31"/>
      <c r="F26" s="31"/>
      <c r="G26" s="31"/>
      <c r="H26" s="31"/>
      <c r="I26" s="31"/>
      <c r="J26" s="32"/>
    </row>
    <row r="27" ht="33.0" customHeight="1">
      <c r="A27" s="156" t="s">
        <v>263</v>
      </c>
      <c r="B27" s="32"/>
      <c r="C27" s="157" t="s">
        <v>264</v>
      </c>
      <c r="D27" s="158" t="s">
        <v>265</v>
      </c>
      <c r="E27" s="31"/>
      <c r="F27" s="31"/>
      <c r="G27" s="31"/>
      <c r="H27" s="31"/>
      <c r="I27" s="31"/>
      <c r="J27" s="32"/>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J1"/>
    <mergeCell ref="A2:J2"/>
    <mergeCell ref="A4:J4"/>
    <mergeCell ref="A13:B13"/>
    <mergeCell ref="A14:J14"/>
    <mergeCell ref="A15:J15"/>
    <mergeCell ref="C16:D16"/>
    <mergeCell ref="A16:B16"/>
    <mergeCell ref="A17:B17"/>
    <mergeCell ref="C17:D17"/>
    <mergeCell ref="A18:B18"/>
    <mergeCell ref="C18:D18"/>
    <mergeCell ref="A19:B19"/>
    <mergeCell ref="C19:D19"/>
    <mergeCell ref="D25:J25"/>
    <mergeCell ref="D26:J26"/>
    <mergeCell ref="A27:B27"/>
    <mergeCell ref="D27:J27"/>
    <mergeCell ref="A20:B20"/>
    <mergeCell ref="C20:D20"/>
    <mergeCell ref="A23:J23"/>
    <mergeCell ref="A24:B24"/>
    <mergeCell ref="D24:J24"/>
    <mergeCell ref="A25:B25"/>
    <mergeCell ref="A26:B26"/>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4.43" defaultRowHeight="15.0"/>
  <cols>
    <col customWidth="1" min="1" max="1" width="32.0"/>
    <col customWidth="1" min="2" max="2" width="16.0"/>
    <col customWidth="1" min="3" max="3" width="22.0"/>
    <col customWidth="1" min="4" max="4" width="12.0"/>
    <col customWidth="1" min="5" max="17" width="10.0"/>
  </cols>
  <sheetData>
    <row r="1" ht="31.5" customHeight="1">
      <c r="A1" s="159" t="s">
        <v>266</v>
      </c>
      <c r="B1" s="2"/>
      <c r="C1" s="2"/>
      <c r="D1" s="2"/>
      <c r="E1" s="2"/>
      <c r="F1" s="2"/>
      <c r="G1" s="2"/>
      <c r="H1" s="2"/>
      <c r="I1" s="2"/>
      <c r="J1" s="2"/>
      <c r="K1" s="2"/>
      <c r="L1" s="2"/>
      <c r="M1" s="2"/>
      <c r="N1" s="2"/>
      <c r="O1" s="2"/>
      <c r="P1" s="2"/>
      <c r="Q1" s="3"/>
    </row>
    <row r="2" ht="19.5" customHeight="1">
      <c r="A2" s="160" t="s">
        <v>267</v>
      </c>
      <c r="B2" s="2"/>
      <c r="C2" s="2"/>
      <c r="D2" s="2"/>
      <c r="E2" s="2"/>
      <c r="F2" s="2"/>
      <c r="G2" s="2"/>
      <c r="H2" s="2"/>
      <c r="I2" s="2"/>
      <c r="J2" s="2"/>
      <c r="K2" s="2"/>
      <c r="L2" s="2"/>
      <c r="M2" s="2"/>
      <c r="N2" s="2"/>
      <c r="O2" s="2"/>
      <c r="P2" s="2"/>
      <c r="Q2" s="3"/>
    </row>
    <row r="3" ht="24.0" customHeight="1">
      <c r="A3" s="161" t="s">
        <v>268</v>
      </c>
      <c r="B3" s="161" t="s">
        <v>269</v>
      </c>
      <c r="C3" s="161" t="s">
        <v>270</v>
      </c>
      <c r="D3" s="161" t="s">
        <v>271</v>
      </c>
      <c r="E3" s="162" t="s">
        <v>272</v>
      </c>
      <c r="F3" s="162" t="s">
        <v>273</v>
      </c>
      <c r="G3" s="162" t="s">
        <v>274</v>
      </c>
      <c r="H3" s="162" t="s">
        <v>275</v>
      </c>
      <c r="I3" s="162" t="s">
        <v>276</v>
      </c>
      <c r="J3" s="162" t="s">
        <v>277</v>
      </c>
      <c r="K3" s="162" t="s">
        <v>278</v>
      </c>
      <c r="L3" s="162" t="s">
        <v>279</v>
      </c>
      <c r="M3" s="162" t="s">
        <v>280</v>
      </c>
      <c r="N3" s="162" t="s">
        <v>281</v>
      </c>
      <c r="O3" s="162" t="s">
        <v>282</v>
      </c>
      <c r="P3" s="162" t="s">
        <v>283</v>
      </c>
      <c r="Q3" s="162" t="s">
        <v>284</v>
      </c>
    </row>
    <row r="4" ht="19.5" customHeight="1">
      <c r="A4" s="163" t="s">
        <v>285</v>
      </c>
      <c r="B4" s="164"/>
      <c r="C4" s="164"/>
      <c r="D4" s="164"/>
      <c r="E4" s="164"/>
      <c r="F4" s="164"/>
      <c r="G4" s="164"/>
      <c r="H4" s="164"/>
      <c r="I4" s="164"/>
      <c r="J4" s="164"/>
      <c r="K4" s="164"/>
      <c r="L4" s="164"/>
      <c r="M4" s="164"/>
      <c r="N4" s="164"/>
      <c r="O4" s="164"/>
      <c r="P4" s="164"/>
      <c r="Q4" s="165"/>
    </row>
    <row r="5" ht="30.0" customHeight="1">
      <c r="A5" s="166" t="s">
        <v>286</v>
      </c>
      <c r="B5" s="167" t="s">
        <v>287</v>
      </c>
      <c r="C5" s="168" t="s">
        <v>288</v>
      </c>
      <c r="D5" s="169" t="s">
        <v>289</v>
      </c>
      <c r="E5" s="170" t="s">
        <v>290</v>
      </c>
      <c r="F5" s="170" t="s">
        <v>291</v>
      </c>
      <c r="G5" s="171"/>
      <c r="H5" s="171"/>
      <c r="I5" s="171"/>
      <c r="J5" s="171"/>
      <c r="K5" s="171"/>
      <c r="L5" s="171"/>
      <c r="M5" s="171"/>
      <c r="N5" s="171"/>
      <c r="O5" s="171"/>
      <c r="P5" s="171"/>
      <c r="Q5" s="171"/>
    </row>
    <row r="6" ht="30.0" customHeight="1">
      <c r="A6" s="172" t="s">
        <v>292</v>
      </c>
      <c r="B6" s="173" t="s">
        <v>293</v>
      </c>
      <c r="C6" s="174" t="s">
        <v>294</v>
      </c>
      <c r="D6" s="169" t="s">
        <v>289</v>
      </c>
      <c r="E6" s="175" t="s">
        <v>295</v>
      </c>
      <c r="F6" s="176"/>
      <c r="G6" s="176"/>
      <c r="H6" s="176"/>
      <c r="I6" s="176"/>
      <c r="J6" s="176"/>
      <c r="K6" s="176"/>
      <c r="L6" s="176"/>
      <c r="M6" s="176"/>
      <c r="N6" s="176"/>
      <c r="O6" s="176"/>
      <c r="P6" s="176"/>
      <c r="Q6" s="176"/>
    </row>
    <row r="7" ht="30.0" customHeight="1">
      <c r="A7" s="166" t="s">
        <v>296</v>
      </c>
      <c r="B7" s="167" t="s">
        <v>297</v>
      </c>
      <c r="C7" s="177" t="s">
        <v>298</v>
      </c>
      <c r="D7" s="169" t="s">
        <v>289</v>
      </c>
      <c r="E7" s="170" t="s">
        <v>299</v>
      </c>
      <c r="F7" s="170" t="s">
        <v>300</v>
      </c>
      <c r="G7" s="171"/>
      <c r="H7" s="171"/>
      <c r="I7" s="171"/>
      <c r="J7" s="171"/>
      <c r="K7" s="171"/>
      <c r="L7" s="171"/>
      <c r="M7" s="171"/>
      <c r="N7" s="171"/>
      <c r="O7" s="171"/>
      <c r="P7" s="171"/>
      <c r="Q7" s="171"/>
    </row>
    <row r="8" ht="30.0" customHeight="1">
      <c r="A8" s="172" t="s">
        <v>301</v>
      </c>
      <c r="B8" s="173" t="s">
        <v>302</v>
      </c>
      <c r="C8" s="174" t="s">
        <v>303</v>
      </c>
      <c r="D8" s="178" t="s">
        <v>304</v>
      </c>
      <c r="E8" s="170" t="s">
        <v>305</v>
      </c>
      <c r="F8" s="176"/>
      <c r="G8" s="176"/>
      <c r="H8" s="176"/>
      <c r="I8" s="176"/>
      <c r="J8" s="176"/>
      <c r="K8" s="176"/>
      <c r="L8" s="176"/>
      <c r="M8" s="176"/>
      <c r="N8" s="176"/>
      <c r="O8" s="176"/>
      <c r="P8" s="176"/>
      <c r="Q8" s="176"/>
    </row>
    <row r="9" ht="30.0" customHeight="1">
      <c r="A9" s="166" t="s">
        <v>306</v>
      </c>
      <c r="B9" s="167" t="s">
        <v>307</v>
      </c>
      <c r="C9" s="168" t="s">
        <v>308</v>
      </c>
      <c r="D9" s="179" t="s">
        <v>304</v>
      </c>
      <c r="E9" s="171"/>
      <c r="F9" s="180" t="s">
        <v>309</v>
      </c>
      <c r="G9" s="180" t="s">
        <v>310</v>
      </c>
      <c r="H9" s="171"/>
      <c r="I9" s="171"/>
      <c r="J9" s="171"/>
      <c r="K9" s="171"/>
      <c r="L9" s="171"/>
      <c r="M9" s="171"/>
      <c r="N9" s="171"/>
      <c r="O9" s="171"/>
      <c r="P9" s="171"/>
      <c r="Q9" s="171"/>
    </row>
    <row r="10" ht="30.0" customHeight="1">
      <c r="A10" s="181" t="s">
        <v>311</v>
      </c>
      <c r="B10" s="173" t="s">
        <v>312</v>
      </c>
      <c r="C10" s="174" t="s">
        <v>313</v>
      </c>
      <c r="D10" s="182" t="s">
        <v>314</v>
      </c>
      <c r="E10" s="176"/>
      <c r="F10" s="176"/>
      <c r="G10" s="176"/>
      <c r="H10" s="183" t="s">
        <v>315</v>
      </c>
      <c r="I10" s="176"/>
      <c r="J10" s="176"/>
      <c r="K10" s="176"/>
      <c r="L10" s="176"/>
      <c r="M10" s="176"/>
      <c r="N10" s="176"/>
      <c r="O10" s="176"/>
      <c r="P10" s="176"/>
      <c r="Q10" s="176"/>
    </row>
    <row r="11" ht="30.0" customHeight="1">
      <c r="A11" s="166" t="s">
        <v>316</v>
      </c>
      <c r="B11" s="167" t="s">
        <v>317</v>
      </c>
      <c r="C11" s="177" t="s">
        <v>318</v>
      </c>
      <c r="D11" s="179" t="s">
        <v>319</v>
      </c>
      <c r="E11" s="171"/>
      <c r="F11" s="171"/>
      <c r="G11" s="171"/>
      <c r="H11" s="171"/>
      <c r="I11" s="184" t="s">
        <v>320</v>
      </c>
      <c r="J11" s="184" t="s">
        <v>321</v>
      </c>
      <c r="K11" s="171"/>
      <c r="L11" s="171"/>
      <c r="M11" s="171"/>
      <c r="N11" s="171"/>
      <c r="O11" s="171"/>
      <c r="P11" s="171"/>
      <c r="Q11" s="171"/>
    </row>
    <row r="12" ht="30.0" customHeight="1">
      <c r="A12" s="172" t="s">
        <v>322</v>
      </c>
      <c r="B12" s="173" t="s">
        <v>323</v>
      </c>
      <c r="C12" s="185" t="s">
        <v>324</v>
      </c>
      <c r="D12" s="178" t="s">
        <v>319</v>
      </c>
      <c r="E12" s="176"/>
      <c r="F12" s="176"/>
      <c r="G12" s="176"/>
      <c r="H12" s="176"/>
      <c r="I12" s="176"/>
      <c r="J12" s="176"/>
      <c r="K12" s="176"/>
      <c r="L12" s="186" t="s">
        <v>325</v>
      </c>
      <c r="M12" s="176"/>
      <c r="N12" s="176"/>
      <c r="O12" s="176"/>
      <c r="P12" s="176"/>
      <c r="Q12" s="176"/>
    </row>
    <row r="13" ht="19.5" customHeight="1">
      <c r="A13" s="187" t="s">
        <v>326</v>
      </c>
      <c r="B13" s="164"/>
      <c r="C13" s="164"/>
      <c r="D13" s="164"/>
      <c r="E13" s="164"/>
      <c r="F13" s="164"/>
      <c r="G13" s="164"/>
      <c r="H13" s="164"/>
      <c r="I13" s="164"/>
      <c r="J13" s="164"/>
      <c r="K13" s="164"/>
      <c r="L13" s="164"/>
      <c r="M13" s="164"/>
      <c r="N13" s="164"/>
      <c r="O13" s="164"/>
      <c r="P13" s="164"/>
      <c r="Q13" s="165"/>
    </row>
    <row r="14" ht="30.0" customHeight="1">
      <c r="A14" s="181" t="s">
        <v>327</v>
      </c>
      <c r="B14" s="188" t="s">
        <v>328</v>
      </c>
      <c r="C14" s="174" t="s">
        <v>329</v>
      </c>
      <c r="D14" s="169" t="s">
        <v>289</v>
      </c>
      <c r="E14" s="175" t="s">
        <v>295</v>
      </c>
      <c r="F14" s="176"/>
      <c r="G14" s="176"/>
      <c r="H14" s="176"/>
      <c r="I14" s="176"/>
      <c r="J14" s="176"/>
      <c r="K14" s="176"/>
      <c r="L14" s="176"/>
      <c r="M14" s="176"/>
      <c r="N14" s="176"/>
      <c r="O14" s="176"/>
      <c r="P14" s="176"/>
      <c r="Q14" s="176"/>
    </row>
    <row r="15" ht="30.0" customHeight="1">
      <c r="A15" s="189" t="s">
        <v>330</v>
      </c>
      <c r="B15" s="190" t="s">
        <v>328</v>
      </c>
      <c r="C15" s="168" t="s">
        <v>331</v>
      </c>
      <c r="D15" s="179" t="s">
        <v>332</v>
      </c>
      <c r="E15" s="171"/>
      <c r="F15" s="170" t="s">
        <v>333</v>
      </c>
      <c r="G15" s="171"/>
      <c r="H15" s="171"/>
      <c r="I15" s="171"/>
      <c r="J15" s="171"/>
      <c r="K15" s="171"/>
      <c r="L15" s="171"/>
      <c r="M15" s="171"/>
      <c r="N15" s="171"/>
      <c r="O15" s="171"/>
      <c r="P15" s="171"/>
      <c r="Q15" s="171"/>
    </row>
    <row r="16" ht="30.0" customHeight="1">
      <c r="A16" s="181" t="s">
        <v>334</v>
      </c>
      <c r="B16" s="188" t="s">
        <v>328</v>
      </c>
      <c r="C16" s="174" t="s">
        <v>335</v>
      </c>
      <c r="D16" s="178" t="s">
        <v>332</v>
      </c>
      <c r="E16" s="176"/>
      <c r="F16" s="176"/>
      <c r="G16" s="170" t="s">
        <v>336</v>
      </c>
      <c r="H16" s="176"/>
      <c r="I16" s="176"/>
      <c r="J16" s="176"/>
      <c r="K16" s="176"/>
      <c r="L16" s="176"/>
      <c r="M16" s="176"/>
      <c r="N16" s="176"/>
      <c r="O16" s="176"/>
      <c r="P16" s="176"/>
      <c r="Q16" s="176"/>
    </row>
    <row r="17" ht="30.0" customHeight="1">
      <c r="A17" s="189" t="s">
        <v>337</v>
      </c>
      <c r="B17" s="190" t="s">
        <v>328</v>
      </c>
      <c r="C17" s="168" t="s">
        <v>338</v>
      </c>
      <c r="D17" s="179" t="s">
        <v>332</v>
      </c>
      <c r="E17" s="171"/>
      <c r="F17" s="171"/>
      <c r="G17" s="171"/>
      <c r="H17" s="180" t="s">
        <v>310</v>
      </c>
      <c r="I17" s="180" t="s">
        <v>339</v>
      </c>
      <c r="J17" s="171"/>
      <c r="K17" s="171"/>
      <c r="L17" s="171"/>
      <c r="M17" s="171"/>
      <c r="N17" s="171"/>
      <c r="O17" s="171"/>
      <c r="P17" s="171"/>
      <c r="Q17" s="171"/>
    </row>
    <row r="18" ht="30.0" customHeight="1">
      <c r="A18" s="181" t="s">
        <v>340</v>
      </c>
      <c r="B18" s="188" t="s">
        <v>328</v>
      </c>
      <c r="C18" s="174" t="s">
        <v>341</v>
      </c>
      <c r="D18" s="178" t="s">
        <v>342</v>
      </c>
      <c r="E18" s="176"/>
      <c r="F18" s="176"/>
      <c r="G18" s="176"/>
      <c r="H18" s="176"/>
      <c r="I18" s="176"/>
      <c r="J18" s="184" t="s">
        <v>343</v>
      </c>
      <c r="K18" s="184" t="s">
        <v>321</v>
      </c>
      <c r="L18" s="176"/>
      <c r="M18" s="176"/>
      <c r="N18" s="176"/>
      <c r="O18" s="176"/>
      <c r="P18" s="176"/>
      <c r="Q18" s="176"/>
    </row>
    <row r="19" ht="30.0" customHeight="1">
      <c r="A19" s="189" t="s">
        <v>344</v>
      </c>
      <c r="B19" s="190" t="s">
        <v>328</v>
      </c>
      <c r="C19" s="168" t="s">
        <v>345</v>
      </c>
      <c r="D19" s="179" t="s">
        <v>342</v>
      </c>
      <c r="E19" s="171"/>
      <c r="F19" s="171"/>
      <c r="G19" s="171"/>
      <c r="H19" s="171"/>
      <c r="I19" s="171"/>
      <c r="J19" s="171"/>
      <c r="K19" s="171"/>
      <c r="L19" s="171"/>
      <c r="M19" s="171"/>
      <c r="N19" s="186" t="s">
        <v>325</v>
      </c>
      <c r="O19" s="171"/>
      <c r="P19" s="171"/>
      <c r="Q19" s="171"/>
    </row>
    <row r="20" ht="19.5" customHeight="1">
      <c r="A20" s="187" t="s">
        <v>346</v>
      </c>
      <c r="B20" s="164"/>
      <c r="C20" s="164"/>
      <c r="D20" s="164"/>
      <c r="E20" s="164"/>
      <c r="F20" s="164"/>
      <c r="G20" s="164"/>
      <c r="H20" s="164"/>
      <c r="I20" s="164"/>
      <c r="J20" s="164"/>
      <c r="K20" s="164"/>
      <c r="L20" s="164"/>
      <c r="M20" s="164"/>
      <c r="N20" s="164"/>
      <c r="O20" s="164"/>
      <c r="P20" s="164"/>
      <c r="Q20" s="165"/>
    </row>
    <row r="21" ht="30.0" customHeight="1">
      <c r="A21" s="166" t="s">
        <v>347</v>
      </c>
      <c r="B21" s="190" t="s">
        <v>348</v>
      </c>
      <c r="C21" s="168" t="s">
        <v>349</v>
      </c>
      <c r="D21" s="169" t="s">
        <v>289</v>
      </c>
      <c r="E21" s="191" t="s">
        <v>350</v>
      </c>
      <c r="F21" s="171"/>
      <c r="G21" s="171"/>
      <c r="H21" s="171"/>
      <c r="I21" s="171"/>
      <c r="J21" s="171"/>
      <c r="K21" s="171"/>
      <c r="L21" s="171"/>
      <c r="M21" s="171"/>
      <c r="N21" s="171"/>
      <c r="O21" s="171"/>
      <c r="P21" s="171"/>
      <c r="Q21" s="171"/>
    </row>
    <row r="22" ht="30.0" customHeight="1">
      <c r="A22" s="181" t="s">
        <v>351</v>
      </c>
      <c r="B22" s="188" t="s">
        <v>348</v>
      </c>
      <c r="C22" s="174" t="s">
        <v>352</v>
      </c>
      <c r="D22" s="192" t="s">
        <v>353</v>
      </c>
      <c r="E22" s="176"/>
      <c r="F22" s="176"/>
      <c r="G22" s="170" t="s">
        <v>354</v>
      </c>
      <c r="H22" s="170" t="s">
        <v>355</v>
      </c>
      <c r="I22" s="176"/>
      <c r="J22" s="176"/>
      <c r="K22" s="176"/>
      <c r="L22" s="176"/>
      <c r="M22" s="176"/>
      <c r="N22" s="176"/>
      <c r="O22" s="176"/>
      <c r="P22" s="176"/>
      <c r="Q22" s="176"/>
    </row>
    <row r="23" ht="30.0" customHeight="1">
      <c r="A23" s="189" t="s">
        <v>356</v>
      </c>
      <c r="B23" s="190" t="s">
        <v>348</v>
      </c>
      <c r="C23" s="168" t="s">
        <v>357</v>
      </c>
      <c r="D23" s="193" t="s">
        <v>358</v>
      </c>
      <c r="E23" s="171"/>
      <c r="F23" s="171"/>
      <c r="G23" s="171"/>
      <c r="H23" s="171"/>
      <c r="I23" s="180" t="s">
        <v>310</v>
      </c>
      <c r="J23" s="180" t="s">
        <v>339</v>
      </c>
      <c r="K23" s="171"/>
      <c r="L23" s="171"/>
      <c r="M23" s="171"/>
      <c r="N23" s="171"/>
      <c r="O23" s="171"/>
      <c r="P23" s="171"/>
      <c r="Q23" s="171"/>
    </row>
    <row r="24" ht="30.0" customHeight="1">
      <c r="A24" s="172" t="s">
        <v>359</v>
      </c>
      <c r="B24" s="188" t="s">
        <v>348</v>
      </c>
      <c r="C24" s="174" t="s">
        <v>360</v>
      </c>
      <c r="D24" s="178" t="s">
        <v>342</v>
      </c>
      <c r="E24" s="176"/>
      <c r="F24" s="176"/>
      <c r="G24" s="176"/>
      <c r="H24" s="176"/>
      <c r="I24" s="176"/>
      <c r="J24" s="183" t="s">
        <v>361</v>
      </c>
      <c r="K24" s="183" t="s">
        <v>362</v>
      </c>
      <c r="L24" s="176"/>
      <c r="M24" s="176"/>
      <c r="N24" s="176"/>
      <c r="O24" s="176"/>
      <c r="P24" s="176"/>
      <c r="Q24" s="176"/>
    </row>
    <row r="25" ht="30.0" customHeight="1">
      <c r="A25" s="189" t="s">
        <v>363</v>
      </c>
      <c r="B25" s="190" t="s">
        <v>348</v>
      </c>
      <c r="C25" s="168" t="s">
        <v>364</v>
      </c>
      <c r="D25" s="179" t="s">
        <v>342</v>
      </c>
      <c r="E25" s="171"/>
      <c r="F25" s="171"/>
      <c r="G25" s="171"/>
      <c r="H25" s="171"/>
      <c r="I25" s="171"/>
      <c r="J25" s="171"/>
      <c r="K25" s="171"/>
      <c r="L25" s="186" t="s">
        <v>325</v>
      </c>
      <c r="M25" s="171"/>
      <c r="N25" s="171"/>
      <c r="O25" s="171"/>
      <c r="P25" s="171"/>
      <c r="Q25" s="171"/>
    </row>
    <row r="26" ht="19.5" customHeight="1">
      <c r="A26" s="187" t="s">
        <v>365</v>
      </c>
      <c r="B26" s="164"/>
      <c r="C26" s="164"/>
      <c r="D26" s="164"/>
      <c r="E26" s="164"/>
      <c r="F26" s="164"/>
      <c r="G26" s="164"/>
      <c r="H26" s="164"/>
      <c r="I26" s="164"/>
      <c r="J26" s="164"/>
      <c r="K26" s="164"/>
      <c r="L26" s="164"/>
      <c r="M26" s="164"/>
      <c r="N26" s="164"/>
      <c r="O26" s="164"/>
      <c r="P26" s="164"/>
      <c r="Q26" s="165"/>
    </row>
    <row r="27" ht="30.0" customHeight="1">
      <c r="A27" s="166" t="s">
        <v>366</v>
      </c>
      <c r="B27" s="190" t="s">
        <v>367</v>
      </c>
      <c r="C27" s="168" t="s">
        <v>368</v>
      </c>
      <c r="D27" s="179" t="s">
        <v>369</v>
      </c>
      <c r="E27" s="170" t="s">
        <v>370</v>
      </c>
      <c r="F27" s="170" t="s">
        <v>371</v>
      </c>
      <c r="G27" s="170" t="s">
        <v>371</v>
      </c>
      <c r="H27" s="170" t="s">
        <v>371</v>
      </c>
      <c r="I27" s="171"/>
      <c r="J27" s="171"/>
      <c r="K27" s="171"/>
      <c r="L27" s="171"/>
      <c r="M27" s="171"/>
      <c r="N27" s="171"/>
      <c r="O27" s="171"/>
      <c r="P27" s="171"/>
      <c r="Q27" s="171"/>
    </row>
    <row r="28" ht="30.0" customHeight="1">
      <c r="A28" s="181" t="s">
        <v>372</v>
      </c>
      <c r="B28" s="188" t="s">
        <v>367</v>
      </c>
      <c r="C28" s="174" t="s">
        <v>373</v>
      </c>
      <c r="D28" s="192" t="s">
        <v>374</v>
      </c>
      <c r="E28" s="176"/>
      <c r="F28" s="176"/>
      <c r="G28" s="176"/>
      <c r="H28" s="170" t="s">
        <v>375</v>
      </c>
      <c r="I28" s="170" t="s">
        <v>376</v>
      </c>
      <c r="J28" s="176"/>
      <c r="K28" s="176"/>
      <c r="L28" s="176"/>
      <c r="M28" s="176"/>
      <c r="N28" s="176"/>
      <c r="O28" s="176"/>
      <c r="P28" s="176"/>
      <c r="Q28" s="176"/>
    </row>
    <row r="29" ht="30.0" customHeight="1">
      <c r="A29" s="189" t="s">
        <v>377</v>
      </c>
      <c r="B29" s="190" t="s">
        <v>367</v>
      </c>
      <c r="C29" s="177" t="s">
        <v>378</v>
      </c>
      <c r="D29" s="193" t="s">
        <v>379</v>
      </c>
      <c r="E29" s="171"/>
      <c r="F29" s="171"/>
      <c r="G29" s="171"/>
      <c r="H29" s="171"/>
      <c r="I29" s="171"/>
      <c r="J29" s="170" t="s">
        <v>380</v>
      </c>
      <c r="K29" s="170" t="s">
        <v>381</v>
      </c>
      <c r="L29" s="170" t="s">
        <v>382</v>
      </c>
      <c r="M29" s="171"/>
      <c r="N29" s="171"/>
      <c r="O29" s="171"/>
      <c r="P29" s="171"/>
      <c r="Q29" s="171"/>
    </row>
    <row r="30" ht="30.0" customHeight="1">
      <c r="A30" s="181" t="s">
        <v>383</v>
      </c>
      <c r="B30" s="188" t="s">
        <v>367</v>
      </c>
      <c r="C30" s="185" t="s">
        <v>384</v>
      </c>
      <c r="D30" s="192" t="s">
        <v>385</v>
      </c>
      <c r="E30" s="176"/>
      <c r="F30" s="176"/>
      <c r="G30" s="176"/>
      <c r="H30" s="176"/>
      <c r="I30" s="176"/>
      <c r="J30" s="176"/>
      <c r="K30" s="176"/>
      <c r="L30" s="180" t="s">
        <v>310</v>
      </c>
      <c r="M30" s="180" t="s">
        <v>386</v>
      </c>
      <c r="N30" s="180" t="s">
        <v>339</v>
      </c>
      <c r="O30" s="176"/>
      <c r="P30" s="176"/>
      <c r="Q30" s="176"/>
    </row>
    <row r="31" ht="30.0" customHeight="1">
      <c r="A31" s="189" t="s">
        <v>387</v>
      </c>
      <c r="B31" s="190" t="s">
        <v>367</v>
      </c>
      <c r="C31" s="168" t="s">
        <v>388</v>
      </c>
      <c r="D31" s="179" t="s">
        <v>342</v>
      </c>
      <c r="E31" s="171"/>
      <c r="F31" s="171"/>
      <c r="G31" s="171"/>
      <c r="H31" s="171"/>
      <c r="I31" s="171"/>
      <c r="J31" s="171"/>
      <c r="K31" s="171"/>
      <c r="L31" s="171"/>
      <c r="M31" s="171"/>
      <c r="N31" s="171"/>
      <c r="O31" s="184" t="s">
        <v>343</v>
      </c>
      <c r="P31" s="184" t="s">
        <v>321</v>
      </c>
      <c r="Q31" s="184" t="s">
        <v>321</v>
      </c>
    </row>
    <row r="32" ht="30.0" customHeight="1">
      <c r="A32" s="181" t="s">
        <v>389</v>
      </c>
      <c r="B32" s="188" t="s">
        <v>367</v>
      </c>
      <c r="C32" s="185" t="s">
        <v>390</v>
      </c>
      <c r="D32" s="178" t="s">
        <v>342</v>
      </c>
      <c r="E32" s="176"/>
      <c r="F32" s="176"/>
      <c r="G32" s="176"/>
      <c r="H32" s="176"/>
      <c r="I32" s="176"/>
      <c r="J32" s="176"/>
      <c r="K32" s="176"/>
      <c r="L32" s="176"/>
      <c r="M32" s="176"/>
      <c r="N32" s="176"/>
      <c r="O32" s="176"/>
      <c r="P32" s="176"/>
      <c r="Q32" s="186" t="s">
        <v>391</v>
      </c>
    </row>
    <row r="33" ht="19.5" customHeight="1">
      <c r="A33" s="187" t="s">
        <v>392</v>
      </c>
      <c r="B33" s="164"/>
      <c r="C33" s="164"/>
      <c r="D33" s="164"/>
      <c r="E33" s="164"/>
      <c r="F33" s="164"/>
      <c r="G33" s="164"/>
      <c r="H33" s="164"/>
      <c r="I33" s="164"/>
      <c r="J33" s="164"/>
      <c r="K33" s="164"/>
      <c r="L33" s="164"/>
      <c r="M33" s="164"/>
      <c r="N33" s="164"/>
      <c r="O33" s="164"/>
      <c r="P33" s="164"/>
      <c r="Q33" s="165"/>
    </row>
    <row r="34" ht="30.0" customHeight="1">
      <c r="A34" s="181" t="s">
        <v>393</v>
      </c>
      <c r="B34" s="188" t="s">
        <v>394</v>
      </c>
      <c r="C34" s="185" t="s">
        <v>395</v>
      </c>
      <c r="D34" s="178" t="s">
        <v>396</v>
      </c>
      <c r="E34" s="176"/>
      <c r="F34" s="176"/>
      <c r="G34" s="176"/>
      <c r="H34" s="176"/>
      <c r="I34" s="176"/>
      <c r="J34" s="170" t="s">
        <v>397</v>
      </c>
      <c r="K34" s="176"/>
      <c r="L34" s="176"/>
      <c r="M34" s="176"/>
      <c r="N34" s="176"/>
      <c r="O34" s="176"/>
      <c r="P34" s="176"/>
      <c r="Q34" s="176"/>
    </row>
    <row r="35" ht="30.0" customHeight="1">
      <c r="A35" s="189" t="s">
        <v>398</v>
      </c>
      <c r="B35" s="190" t="s">
        <v>394</v>
      </c>
      <c r="C35" s="168" t="s">
        <v>399</v>
      </c>
      <c r="D35" s="179" t="s">
        <v>396</v>
      </c>
      <c r="E35" s="171"/>
      <c r="F35" s="171"/>
      <c r="G35" s="171"/>
      <c r="H35" s="171"/>
      <c r="I35" s="171"/>
      <c r="J35" s="171"/>
      <c r="K35" s="171"/>
      <c r="L35" s="170" t="s">
        <v>400</v>
      </c>
      <c r="M35" s="171"/>
      <c r="N35" s="171"/>
      <c r="O35" s="171"/>
      <c r="P35" s="171"/>
      <c r="Q35" s="171"/>
    </row>
    <row r="36" ht="30.0" customHeight="1">
      <c r="A36" s="181" t="s">
        <v>401</v>
      </c>
      <c r="B36" s="188" t="s">
        <v>394</v>
      </c>
      <c r="C36" s="185" t="s">
        <v>402</v>
      </c>
      <c r="D36" s="178" t="s">
        <v>396</v>
      </c>
      <c r="E36" s="176"/>
      <c r="F36" s="176"/>
      <c r="G36" s="176"/>
      <c r="H36" s="176"/>
      <c r="I36" s="176"/>
      <c r="J36" s="176"/>
      <c r="K36" s="176"/>
      <c r="L36" s="176"/>
      <c r="M36" s="180" t="s">
        <v>403</v>
      </c>
      <c r="N36" s="180" t="s">
        <v>404</v>
      </c>
      <c r="O36" s="176"/>
      <c r="P36" s="176"/>
      <c r="Q36" s="176"/>
    </row>
    <row r="37" ht="19.5" customHeight="1">
      <c r="A37" s="187" t="s">
        <v>405</v>
      </c>
      <c r="B37" s="164"/>
      <c r="C37" s="164"/>
      <c r="D37" s="164"/>
      <c r="E37" s="164"/>
      <c r="F37" s="164"/>
      <c r="G37" s="164"/>
      <c r="H37" s="164"/>
      <c r="I37" s="164"/>
      <c r="J37" s="164"/>
      <c r="K37" s="164"/>
      <c r="L37" s="164"/>
      <c r="M37" s="164"/>
      <c r="N37" s="164"/>
      <c r="O37" s="164"/>
      <c r="P37" s="164"/>
      <c r="Q37" s="165"/>
    </row>
    <row r="38" ht="30.0" customHeight="1">
      <c r="A38" s="181" t="s">
        <v>406</v>
      </c>
      <c r="B38" s="188" t="s">
        <v>407</v>
      </c>
      <c r="C38" s="174" t="s">
        <v>408</v>
      </c>
      <c r="D38" s="192" t="s">
        <v>409</v>
      </c>
      <c r="E38" s="176"/>
      <c r="F38" s="176"/>
      <c r="G38" s="176"/>
      <c r="H38" s="176"/>
      <c r="I38" s="176"/>
      <c r="J38" s="176"/>
      <c r="K38" s="176"/>
      <c r="L38" s="170" t="s">
        <v>410</v>
      </c>
      <c r="M38" s="176"/>
      <c r="N38" s="176"/>
      <c r="O38" s="176"/>
      <c r="P38" s="176"/>
      <c r="Q38" s="176"/>
    </row>
    <row r="39" ht="30.0" customHeight="1">
      <c r="A39" s="189" t="s">
        <v>411</v>
      </c>
      <c r="B39" s="190" t="s">
        <v>407</v>
      </c>
      <c r="C39" s="177" t="s">
        <v>412</v>
      </c>
      <c r="D39" s="179" t="s">
        <v>413</v>
      </c>
      <c r="E39" s="171"/>
      <c r="F39" s="171"/>
      <c r="G39" s="171"/>
      <c r="H39" s="171"/>
      <c r="I39" s="171"/>
      <c r="J39" s="171"/>
      <c r="K39" s="171"/>
      <c r="L39" s="171"/>
      <c r="M39" s="171"/>
      <c r="N39" s="171"/>
      <c r="O39" s="171"/>
      <c r="P39" s="184" t="s">
        <v>414</v>
      </c>
      <c r="Q39" s="180" t="s">
        <v>415</v>
      </c>
    </row>
    <row r="40" ht="19.5" customHeight="1">
      <c r="A40" s="163" t="s">
        <v>416</v>
      </c>
      <c r="B40" s="164"/>
      <c r="C40" s="164"/>
      <c r="D40" s="164"/>
      <c r="E40" s="164"/>
      <c r="F40" s="164"/>
      <c r="G40" s="164"/>
      <c r="H40" s="164"/>
      <c r="I40" s="164"/>
      <c r="J40" s="164"/>
      <c r="K40" s="164"/>
      <c r="L40" s="164"/>
      <c r="M40" s="164"/>
      <c r="N40" s="164"/>
      <c r="O40" s="164"/>
      <c r="P40" s="164"/>
      <c r="Q40" s="165"/>
    </row>
    <row r="41" ht="30.0" customHeight="1">
      <c r="A41" s="166" t="s">
        <v>417</v>
      </c>
      <c r="B41" s="190" t="s">
        <v>418</v>
      </c>
      <c r="C41" s="168" t="s">
        <v>419</v>
      </c>
      <c r="D41" s="193" t="s">
        <v>420</v>
      </c>
      <c r="E41" s="183" t="s">
        <v>421</v>
      </c>
      <c r="F41" s="171"/>
      <c r="G41" s="171"/>
      <c r="H41" s="171"/>
      <c r="I41" s="171"/>
      <c r="J41" s="171"/>
      <c r="K41" s="171"/>
      <c r="L41" s="171"/>
      <c r="M41" s="171"/>
      <c r="N41" s="171"/>
      <c r="O41" s="171"/>
      <c r="P41" s="171"/>
      <c r="Q41" s="171"/>
    </row>
    <row r="42" ht="30.0" customHeight="1">
      <c r="A42" s="172" t="s">
        <v>422</v>
      </c>
      <c r="B42" s="188" t="s">
        <v>418</v>
      </c>
      <c r="C42" s="174" t="s">
        <v>423</v>
      </c>
      <c r="D42" s="192" t="s">
        <v>424</v>
      </c>
      <c r="E42" s="183" t="s">
        <v>425</v>
      </c>
      <c r="F42" s="176"/>
      <c r="G42" s="176"/>
      <c r="H42" s="176"/>
      <c r="I42" s="176"/>
      <c r="J42" s="176"/>
      <c r="K42" s="176"/>
      <c r="L42" s="176"/>
      <c r="M42" s="176"/>
      <c r="N42" s="176"/>
      <c r="O42" s="176"/>
      <c r="P42" s="176"/>
      <c r="Q42" s="176"/>
    </row>
    <row r="43" ht="30.0" customHeight="1">
      <c r="A43" s="166" t="s">
        <v>426</v>
      </c>
      <c r="B43" s="190" t="s">
        <v>418</v>
      </c>
      <c r="C43" s="168" t="s">
        <v>427</v>
      </c>
      <c r="D43" s="193" t="s">
        <v>428</v>
      </c>
      <c r="E43" s="171"/>
      <c r="F43" s="183" t="s">
        <v>421</v>
      </c>
      <c r="G43" s="171"/>
      <c r="H43" s="171"/>
      <c r="I43" s="171"/>
      <c r="J43" s="171"/>
      <c r="K43" s="171"/>
      <c r="L43" s="171"/>
      <c r="M43" s="171"/>
      <c r="N43" s="171"/>
      <c r="O43" s="171"/>
      <c r="P43" s="171"/>
      <c r="Q43" s="171"/>
    </row>
    <row r="44" ht="30.0" customHeight="1">
      <c r="A44" s="181" t="s">
        <v>429</v>
      </c>
      <c r="B44" s="188" t="s">
        <v>418</v>
      </c>
      <c r="C44" s="185" t="s">
        <v>430</v>
      </c>
      <c r="D44" s="192" t="s">
        <v>431</v>
      </c>
      <c r="E44" s="176"/>
      <c r="F44" s="176"/>
      <c r="G44" s="183" t="s">
        <v>432</v>
      </c>
      <c r="H44" s="176"/>
      <c r="I44" s="176"/>
      <c r="J44" s="176"/>
      <c r="K44" s="176"/>
      <c r="L44" s="176"/>
      <c r="M44" s="176"/>
      <c r="N44" s="176"/>
      <c r="O44" s="176"/>
      <c r="P44" s="176"/>
      <c r="Q44" s="176"/>
    </row>
    <row r="45" ht="30.0" customHeight="1">
      <c r="A45" s="166" t="s">
        <v>433</v>
      </c>
      <c r="B45" s="190" t="s">
        <v>418</v>
      </c>
      <c r="C45" s="177" t="s">
        <v>434</v>
      </c>
      <c r="D45" s="193" t="s">
        <v>435</v>
      </c>
      <c r="E45" s="171"/>
      <c r="F45" s="171"/>
      <c r="G45" s="171"/>
      <c r="H45" s="171"/>
      <c r="I45" s="171"/>
      <c r="J45" s="183" t="s">
        <v>361</v>
      </c>
      <c r="K45" s="171"/>
      <c r="L45" s="171"/>
      <c r="M45" s="171"/>
      <c r="N45" s="171"/>
      <c r="O45" s="171"/>
      <c r="P45" s="171"/>
      <c r="Q45" s="171"/>
    </row>
    <row r="46" ht="30.0" customHeight="1">
      <c r="A46" s="172" t="s">
        <v>436</v>
      </c>
      <c r="B46" s="188" t="s">
        <v>418</v>
      </c>
      <c r="C46" s="185" t="s">
        <v>437</v>
      </c>
      <c r="D46" s="192" t="s">
        <v>438</v>
      </c>
      <c r="E46" s="176"/>
      <c r="F46" s="176"/>
      <c r="G46" s="176"/>
      <c r="H46" s="176"/>
      <c r="I46" s="176"/>
      <c r="J46" s="176"/>
      <c r="K46" s="183" t="s">
        <v>362</v>
      </c>
      <c r="L46" s="176"/>
      <c r="M46" s="176"/>
      <c r="N46" s="176"/>
      <c r="O46" s="176"/>
      <c r="P46" s="176"/>
      <c r="Q46" s="176"/>
    </row>
    <row r="47" ht="30.0" customHeight="1">
      <c r="A47" s="189" t="s">
        <v>439</v>
      </c>
      <c r="B47" s="190" t="s">
        <v>418</v>
      </c>
      <c r="C47" s="177" t="s">
        <v>440</v>
      </c>
      <c r="D47" s="193" t="s">
        <v>441</v>
      </c>
      <c r="E47" s="171"/>
      <c r="F47" s="171"/>
      <c r="G47" s="171"/>
      <c r="H47" s="171"/>
      <c r="I47" s="171"/>
      <c r="J47" s="171"/>
      <c r="K47" s="171"/>
      <c r="L47" s="183" t="s">
        <v>442</v>
      </c>
      <c r="M47" s="171"/>
      <c r="N47" s="171"/>
      <c r="O47" s="171"/>
      <c r="P47" s="171"/>
      <c r="Q47" s="171"/>
    </row>
    <row r="48" ht="30.0" customHeight="1">
      <c r="A48" s="172" t="s">
        <v>443</v>
      </c>
      <c r="B48" s="188" t="s">
        <v>418</v>
      </c>
      <c r="C48" s="185" t="s">
        <v>444</v>
      </c>
      <c r="D48" s="192" t="s">
        <v>445</v>
      </c>
      <c r="E48" s="176"/>
      <c r="F48" s="176"/>
      <c r="G48" s="176"/>
      <c r="H48" s="176"/>
      <c r="I48" s="176"/>
      <c r="J48" s="176"/>
      <c r="K48" s="176"/>
      <c r="L48" s="176"/>
      <c r="M48" s="176"/>
      <c r="N48" s="176"/>
      <c r="O48" s="183" t="s">
        <v>446</v>
      </c>
      <c r="P48" s="176"/>
      <c r="Q48" s="176"/>
    </row>
    <row r="49" ht="15.75" customHeight="1"/>
    <row r="50" ht="19.5" customHeight="1">
      <c r="A50" s="194" t="s">
        <v>447</v>
      </c>
      <c r="B50" s="195"/>
      <c r="C50" s="195"/>
      <c r="D50" s="195"/>
      <c r="E50" s="195"/>
      <c r="F50" s="195"/>
      <c r="G50" s="195"/>
      <c r="H50" s="195"/>
      <c r="I50" s="195"/>
      <c r="J50" s="195"/>
      <c r="K50" s="195"/>
      <c r="L50" s="195"/>
      <c r="M50" s="195"/>
      <c r="N50" s="195"/>
      <c r="O50" s="195"/>
      <c r="P50" s="195"/>
      <c r="Q50" s="196"/>
    </row>
    <row r="51" ht="30.0" customHeight="1">
      <c r="A51" s="197" t="s">
        <v>448</v>
      </c>
      <c r="B51" s="197" t="s">
        <v>449</v>
      </c>
      <c r="C51" s="197" t="s">
        <v>450</v>
      </c>
      <c r="D51" s="197" t="s">
        <v>304</v>
      </c>
      <c r="E51" s="198" t="s">
        <v>451</v>
      </c>
      <c r="F51" s="198" t="s">
        <v>452</v>
      </c>
      <c r="G51" s="199"/>
      <c r="H51" s="199"/>
      <c r="I51" s="199"/>
      <c r="J51" s="199"/>
      <c r="K51" s="199"/>
      <c r="L51" s="199"/>
      <c r="M51" s="199"/>
      <c r="N51" s="199"/>
      <c r="O51" s="199"/>
      <c r="P51" s="199"/>
      <c r="Q51" s="199"/>
      <c r="R51" s="200"/>
      <c r="S51" s="200"/>
      <c r="T51" s="200"/>
      <c r="U51" s="200"/>
      <c r="V51" s="200"/>
      <c r="W51" s="200"/>
      <c r="X51" s="200"/>
      <c r="Y51" s="200"/>
      <c r="Z51" s="200"/>
    </row>
    <row r="52" ht="30.0" customHeight="1">
      <c r="A52" s="201" t="s">
        <v>453</v>
      </c>
      <c r="B52" s="201" t="s">
        <v>449</v>
      </c>
      <c r="C52" s="201" t="s">
        <v>454</v>
      </c>
      <c r="D52" s="201" t="s">
        <v>304</v>
      </c>
      <c r="E52" s="199"/>
      <c r="F52" s="202" t="s">
        <v>455</v>
      </c>
      <c r="G52" s="202" t="s">
        <v>310</v>
      </c>
      <c r="H52" s="199"/>
      <c r="I52" s="199"/>
      <c r="J52" s="199"/>
      <c r="K52" s="199"/>
      <c r="L52" s="199"/>
      <c r="M52" s="199"/>
      <c r="N52" s="199"/>
      <c r="O52" s="199"/>
      <c r="P52" s="199"/>
      <c r="Q52" s="199"/>
      <c r="R52" s="200"/>
      <c r="S52" s="200"/>
      <c r="T52" s="200"/>
      <c r="U52" s="200"/>
      <c r="V52" s="200"/>
      <c r="W52" s="200"/>
      <c r="X52" s="200"/>
      <c r="Y52" s="200"/>
      <c r="Z52" s="200"/>
    </row>
    <row r="53" ht="30.0" customHeight="1">
      <c r="A53" s="197" t="s">
        <v>456</v>
      </c>
      <c r="B53" s="197" t="s">
        <v>449</v>
      </c>
      <c r="C53" s="197" t="s">
        <v>457</v>
      </c>
      <c r="D53" s="203" t="s">
        <v>314</v>
      </c>
      <c r="E53" s="199"/>
      <c r="F53" s="199"/>
      <c r="G53" s="204" t="s">
        <v>458</v>
      </c>
      <c r="H53" s="199"/>
      <c r="I53" s="199"/>
      <c r="J53" s="199"/>
      <c r="K53" s="199"/>
      <c r="L53" s="199"/>
      <c r="M53" s="199"/>
      <c r="N53" s="199"/>
      <c r="O53" s="199"/>
      <c r="P53" s="199"/>
      <c r="Q53" s="199"/>
      <c r="R53" s="200"/>
      <c r="S53" s="200"/>
      <c r="T53" s="200"/>
      <c r="U53" s="200"/>
      <c r="V53" s="200"/>
      <c r="W53" s="200"/>
      <c r="X53" s="200"/>
      <c r="Y53" s="200"/>
      <c r="Z53" s="200"/>
    </row>
    <row r="54" ht="30.0" customHeight="1">
      <c r="A54" s="201" t="s">
        <v>459</v>
      </c>
      <c r="B54" s="201" t="s">
        <v>449</v>
      </c>
      <c r="C54" s="201" t="s">
        <v>460</v>
      </c>
      <c r="D54" s="201" t="s">
        <v>332</v>
      </c>
      <c r="E54" s="199"/>
      <c r="F54" s="199"/>
      <c r="G54" s="198" t="s">
        <v>461</v>
      </c>
      <c r="H54" s="202" t="s">
        <v>310</v>
      </c>
      <c r="I54" s="202" t="s">
        <v>386</v>
      </c>
      <c r="J54" s="199"/>
      <c r="K54" s="199"/>
      <c r="L54" s="199"/>
      <c r="M54" s="199"/>
      <c r="N54" s="199"/>
      <c r="O54" s="199"/>
      <c r="P54" s="199"/>
      <c r="Q54" s="199"/>
      <c r="R54" s="200"/>
      <c r="S54" s="200"/>
      <c r="T54" s="200"/>
      <c r="U54" s="200"/>
      <c r="V54" s="200"/>
      <c r="W54" s="200"/>
      <c r="X54" s="200"/>
      <c r="Y54" s="200"/>
      <c r="Z54" s="200"/>
    </row>
    <row r="55" ht="30.0" customHeight="1">
      <c r="A55" s="197" t="s">
        <v>462</v>
      </c>
      <c r="B55" s="197" t="s">
        <v>449</v>
      </c>
      <c r="C55" s="197" t="s">
        <v>463</v>
      </c>
      <c r="D55" s="203" t="s">
        <v>314</v>
      </c>
      <c r="E55" s="199"/>
      <c r="F55" s="199"/>
      <c r="G55" s="199"/>
      <c r="H55" s="199"/>
      <c r="I55" s="204" t="s">
        <v>458</v>
      </c>
      <c r="J55" s="199"/>
      <c r="K55" s="199"/>
      <c r="L55" s="199"/>
      <c r="M55" s="199"/>
      <c r="N55" s="199"/>
      <c r="O55" s="199"/>
      <c r="P55" s="199"/>
      <c r="Q55" s="199"/>
      <c r="R55" s="200"/>
      <c r="S55" s="200"/>
      <c r="T55" s="200"/>
      <c r="U55" s="200"/>
      <c r="V55" s="200"/>
      <c r="W55" s="200"/>
      <c r="X55" s="200"/>
      <c r="Y55" s="200"/>
      <c r="Z55" s="200"/>
    </row>
    <row r="56" ht="30.0" customHeight="1">
      <c r="A56" s="201" t="s">
        <v>464</v>
      </c>
      <c r="B56" s="201" t="s">
        <v>449</v>
      </c>
      <c r="C56" s="201" t="s">
        <v>465</v>
      </c>
      <c r="D56" s="201" t="s">
        <v>466</v>
      </c>
      <c r="E56" s="199"/>
      <c r="F56" s="199"/>
      <c r="G56" s="199"/>
      <c r="H56" s="199"/>
      <c r="I56" s="199"/>
      <c r="J56" s="205" t="s">
        <v>467</v>
      </c>
      <c r="K56" s="205" t="s">
        <v>467</v>
      </c>
      <c r="L56" s="205" t="s">
        <v>467</v>
      </c>
      <c r="M56" s="205" t="s">
        <v>467</v>
      </c>
      <c r="N56" s="205" t="s">
        <v>467</v>
      </c>
      <c r="O56" s="205" t="s">
        <v>467</v>
      </c>
      <c r="P56" s="205" t="s">
        <v>467</v>
      </c>
      <c r="Q56" s="205" t="s">
        <v>467</v>
      </c>
      <c r="R56" s="200"/>
      <c r="S56" s="200"/>
      <c r="T56" s="200"/>
      <c r="U56" s="200"/>
      <c r="V56" s="200"/>
      <c r="W56" s="200"/>
      <c r="X56" s="200"/>
      <c r="Y56" s="200"/>
      <c r="Z56" s="200"/>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7:Q37"/>
    <mergeCell ref="A40:Q40"/>
    <mergeCell ref="A50:Q50"/>
    <mergeCell ref="A1:Q1"/>
    <mergeCell ref="A2:Q2"/>
    <mergeCell ref="A4:Q4"/>
    <mergeCell ref="A13:Q13"/>
    <mergeCell ref="A20:Q20"/>
    <mergeCell ref="A26:Q26"/>
    <mergeCell ref="A33:Q3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36.0"/>
    <col customWidth="1" min="3" max="3" width="20.0"/>
    <col customWidth="1" min="4" max="4" width="14.0"/>
    <col customWidth="1" min="5" max="5" width="20.0"/>
    <col customWidth="1" min="6" max="6" width="16.0"/>
    <col customWidth="1" min="7" max="7" width="40.0"/>
    <col customWidth="1" min="8" max="8" width="16.0"/>
  </cols>
  <sheetData>
    <row r="1" ht="33.75" customHeight="1">
      <c r="A1" s="206" t="s">
        <v>468</v>
      </c>
      <c r="B1" s="2"/>
      <c r="C1" s="2"/>
      <c r="D1" s="2"/>
      <c r="E1" s="2"/>
      <c r="F1" s="2"/>
      <c r="G1" s="2"/>
      <c r="H1" s="3"/>
    </row>
    <row r="2" ht="18.0" customHeight="1">
      <c r="A2" s="207" t="s">
        <v>469</v>
      </c>
      <c r="B2" s="2"/>
      <c r="C2" s="2"/>
      <c r="D2" s="2"/>
      <c r="E2" s="2"/>
      <c r="F2" s="2"/>
      <c r="G2" s="2"/>
      <c r="H2" s="3"/>
    </row>
    <row r="3" ht="24.0" customHeight="1">
      <c r="A3" s="208" t="s">
        <v>470</v>
      </c>
      <c r="B3" s="209" t="s">
        <v>471</v>
      </c>
      <c r="C3" s="209" t="s">
        <v>472</v>
      </c>
      <c r="D3" s="209" t="s">
        <v>16</v>
      </c>
      <c r="E3" s="209" t="s">
        <v>473</v>
      </c>
      <c r="F3" s="209" t="s">
        <v>474</v>
      </c>
      <c r="G3" s="209" t="s">
        <v>475</v>
      </c>
      <c r="H3" s="209" t="s">
        <v>476</v>
      </c>
    </row>
    <row r="4" ht="49.5" customHeight="1">
      <c r="A4" s="210" t="s">
        <v>477</v>
      </c>
      <c r="B4" s="211" t="s">
        <v>478</v>
      </c>
      <c r="C4" s="212" t="s">
        <v>479</v>
      </c>
      <c r="D4" s="213" t="s">
        <v>480</v>
      </c>
      <c r="E4" s="214" t="s">
        <v>481</v>
      </c>
      <c r="F4" s="215" t="s">
        <v>482</v>
      </c>
      <c r="G4" s="214" t="s">
        <v>483</v>
      </c>
      <c r="H4" s="216" t="s">
        <v>484</v>
      </c>
    </row>
    <row r="5" ht="49.5" customHeight="1">
      <c r="A5" s="210" t="s">
        <v>485</v>
      </c>
      <c r="B5" s="217" t="s">
        <v>486</v>
      </c>
      <c r="C5" s="218" t="s">
        <v>487</v>
      </c>
      <c r="D5" s="213" t="s">
        <v>480</v>
      </c>
      <c r="E5" s="219" t="s">
        <v>488</v>
      </c>
      <c r="F5" s="215" t="s">
        <v>489</v>
      </c>
      <c r="G5" s="219" t="s">
        <v>490</v>
      </c>
      <c r="H5" s="216" t="s">
        <v>484</v>
      </c>
    </row>
    <row r="6" ht="49.5" customHeight="1">
      <c r="A6" s="210" t="s">
        <v>491</v>
      </c>
      <c r="B6" s="220" t="s">
        <v>492</v>
      </c>
      <c r="C6" s="221" t="s">
        <v>236</v>
      </c>
      <c r="D6" s="213" t="s">
        <v>480</v>
      </c>
      <c r="E6" s="214" t="s">
        <v>493</v>
      </c>
      <c r="F6" s="215" t="s">
        <v>494</v>
      </c>
      <c r="G6" s="214" t="s">
        <v>495</v>
      </c>
      <c r="H6" s="216" t="s">
        <v>484</v>
      </c>
    </row>
    <row r="7" ht="49.5" customHeight="1">
      <c r="A7" s="210" t="s">
        <v>496</v>
      </c>
      <c r="B7" s="222" t="s">
        <v>497</v>
      </c>
      <c r="C7" s="223" t="s">
        <v>186</v>
      </c>
      <c r="D7" s="213" t="s">
        <v>480</v>
      </c>
      <c r="E7" s="219" t="s">
        <v>498</v>
      </c>
      <c r="F7" s="215" t="s">
        <v>499</v>
      </c>
      <c r="G7" s="224" t="s">
        <v>500</v>
      </c>
      <c r="H7" s="216" t="s">
        <v>484</v>
      </c>
    </row>
    <row r="8" ht="49.5" customHeight="1">
      <c r="A8" s="225" t="s">
        <v>501</v>
      </c>
      <c r="B8" s="211" t="s">
        <v>502</v>
      </c>
      <c r="C8" s="212" t="s">
        <v>503</v>
      </c>
      <c r="D8" s="226" t="s">
        <v>504</v>
      </c>
      <c r="E8" s="227" t="s">
        <v>505</v>
      </c>
      <c r="F8" s="228" t="s">
        <v>506</v>
      </c>
      <c r="G8" s="214" t="s">
        <v>507</v>
      </c>
      <c r="H8" s="216" t="s">
        <v>484</v>
      </c>
    </row>
    <row r="9" ht="49.5" customHeight="1">
      <c r="A9" s="225" t="s">
        <v>508</v>
      </c>
      <c r="B9" s="229" t="s">
        <v>509</v>
      </c>
      <c r="C9" s="218" t="s">
        <v>510</v>
      </c>
      <c r="D9" s="226" t="s">
        <v>504</v>
      </c>
      <c r="E9" s="219" t="s">
        <v>511</v>
      </c>
      <c r="F9" s="230" t="s">
        <v>512</v>
      </c>
      <c r="G9" s="224" t="s">
        <v>513</v>
      </c>
      <c r="H9" s="216" t="s">
        <v>484</v>
      </c>
    </row>
    <row r="10" ht="49.5" customHeight="1">
      <c r="A10" s="225" t="s">
        <v>514</v>
      </c>
      <c r="B10" s="220" t="s">
        <v>515</v>
      </c>
      <c r="C10" s="212" t="s">
        <v>516</v>
      </c>
      <c r="D10" s="226" t="s">
        <v>504</v>
      </c>
      <c r="E10" s="214" t="s">
        <v>517</v>
      </c>
      <c r="F10" s="228" t="s">
        <v>518</v>
      </c>
      <c r="G10" s="214" t="s">
        <v>519</v>
      </c>
      <c r="H10" s="216" t="s">
        <v>484</v>
      </c>
    </row>
    <row r="11" ht="49.5" customHeight="1">
      <c r="A11" s="225" t="s">
        <v>520</v>
      </c>
      <c r="B11" s="222" t="s">
        <v>521</v>
      </c>
      <c r="C11" s="223" t="s">
        <v>522</v>
      </c>
      <c r="D11" s="226" t="s">
        <v>504</v>
      </c>
      <c r="E11" s="224" t="s">
        <v>523</v>
      </c>
      <c r="F11" s="230" t="s">
        <v>524</v>
      </c>
      <c r="G11" s="224" t="s">
        <v>525</v>
      </c>
      <c r="H11" s="216" t="s">
        <v>484</v>
      </c>
    </row>
    <row r="12" ht="49.5" customHeight="1">
      <c r="A12" s="225" t="s">
        <v>526</v>
      </c>
      <c r="B12" s="220" t="s">
        <v>527</v>
      </c>
      <c r="C12" s="221" t="s">
        <v>522</v>
      </c>
      <c r="D12" s="226" t="s">
        <v>504</v>
      </c>
      <c r="E12" s="214" t="s">
        <v>528</v>
      </c>
      <c r="F12" s="228" t="s">
        <v>529</v>
      </c>
      <c r="G12" s="214" t="s">
        <v>530</v>
      </c>
      <c r="H12" s="216" t="s">
        <v>484</v>
      </c>
    </row>
    <row r="13" ht="49.5" customHeight="1">
      <c r="A13" s="225" t="s">
        <v>531</v>
      </c>
      <c r="B13" s="222" t="s">
        <v>532</v>
      </c>
      <c r="C13" s="223" t="s">
        <v>191</v>
      </c>
      <c r="D13" s="226" t="s">
        <v>504</v>
      </c>
      <c r="E13" s="224" t="s">
        <v>533</v>
      </c>
      <c r="F13" s="230" t="s">
        <v>534</v>
      </c>
      <c r="G13" s="224" t="s">
        <v>535</v>
      </c>
      <c r="H13" s="216" t="s">
        <v>484</v>
      </c>
    </row>
    <row r="14" ht="49.5" customHeight="1">
      <c r="A14" s="231" t="s">
        <v>536</v>
      </c>
      <c r="B14" s="211" t="s">
        <v>537</v>
      </c>
      <c r="C14" s="221" t="s">
        <v>538</v>
      </c>
      <c r="D14" s="232" t="s">
        <v>539</v>
      </c>
      <c r="E14" s="214" t="s">
        <v>540</v>
      </c>
      <c r="F14" s="228" t="s">
        <v>541</v>
      </c>
      <c r="G14" s="214" t="s">
        <v>542</v>
      </c>
      <c r="H14" s="216" t="s">
        <v>484</v>
      </c>
    </row>
    <row r="15" ht="49.5" customHeight="1">
      <c r="A15" s="231" t="s">
        <v>543</v>
      </c>
      <c r="B15" s="229" t="s">
        <v>544</v>
      </c>
      <c r="C15" s="223" t="s">
        <v>186</v>
      </c>
      <c r="D15" s="232" t="s">
        <v>539</v>
      </c>
      <c r="E15" s="219" t="s">
        <v>545</v>
      </c>
      <c r="F15" s="230" t="s">
        <v>546</v>
      </c>
      <c r="G15" s="224" t="s">
        <v>547</v>
      </c>
      <c r="H15" s="216" t="s">
        <v>484</v>
      </c>
    </row>
    <row r="16" ht="49.5" customHeight="1">
      <c r="A16" s="231" t="s">
        <v>548</v>
      </c>
      <c r="B16" s="211" t="s">
        <v>549</v>
      </c>
      <c r="C16" s="221" t="s">
        <v>538</v>
      </c>
      <c r="D16" s="232" t="s">
        <v>539</v>
      </c>
      <c r="E16" s="214" t="s">
        <v>550</v>
      </c>
      <c r="F16" s="233" t="s">
        <v>551</v>
      </c>
      <c r="G16" s="214" t="s">
        <v>552</v>
      </c>
      <c r="H16" s="216" t="s">
        <v>484</v>
      </c>
    </row>
    <row r="17" ht="49.5" customHeight="1">
      <c r="A17" s="231" t="s">
        <v>553</v>
      </c>
      <c r="B17" s="229" t="s">
        <v>554</v>
      </c>
      <c r="C17" s="223" t="s">
        <v>236</v>
      </c>
      <c r="D17" s="232" t="s">
        <v>539</v>
      </c>
      <c r="E17" s="224" t="s">
        <v>555</v>
      </c>
      <c r="F17" s="230" t="s">
        <v>556</v>
      </c>
      <c r="G17" s="224" t="s">
        <v>557</v>
      </c>
      <c r="H17" s="216" t="s">
        <v>484</v>
      </c>
    </row>
    <row r="18" ht="49.5" customHeight="1">
      <c r="A18" s="234"/>
      <c r="B18" s="235"/>
      <c r="C18" s="236"/>
      <c r="D18" s="237"/>
      <c r="E18" s="238"/>
      <c r="F18" s="239"/>
      <c r="G18" s="238"/>
      <c r="H18" s="240"/>
    </row>
    <row r="20" ht="15.75" customHeight="1">
      <c r="A20" s="241" t="s">
        <v>558</v>
      </c>
      <c r="B20" s="2"/>
      <c r="C20" s="2"/>
      <c r="D20" s="2"/>
      <c r="E20" s="2"/>
      <c r="F20" s="2"/>
      <c r="G20" s="2"/>
      <c r="H20" s="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A1:H1"/>
    <mergeCell ref="A2:H2"/>
    <mergeCell ref="A20:H20"/>
  </mergeCells>
  <printOptions/>
  <pageMargins bottom="1.0" footer="0.0" header="0.0" left="0.75" right="0.75" top="1.0"/>
  <pageSetup paperSize="9" orientation="portrait"/>
  <drawing r:id="rId1"/>
  <tableParts count="1">
    <tablePart r:id="rId3"/>
  </tableParts>
</worksheet>
</file>