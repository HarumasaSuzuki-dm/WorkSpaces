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① サマリー" sheetId="1" r:id="rId5"/>
    <sheet state="visible" name="② 媒体価値試算" sheetId="2" r:id="rId6"/>
    <sheet state="visible" name="③ ファネル分析" sheetId="3" r:id="rId7"/>
    <sheet state="visible" name="④ 施策後CV試算" sheetId="4" r:id="rId8"/>
  </sheets>
  <definedNames/>
  <calcPr/>
</workbook>
</file>

<file path=xl/sharedStrings.xml><?xml version="1.0" encoding="utf-8"?>
<sst xmlns="http://schemas.openxmlformats.org/spreadsheetml/2006/main" count="219" uniqueCount="150">
  <si>
    <r>
      <rPr>
        <rFont val="Arial"/>
        <b/>
        <color rgb="FFFFFFFF"/>
        <sz val="14.0"/>
      </rPr>
      <t>VITAS × SNS</t>
    </r>
    <r>
      <rPr>
        <rFont val="Noto Sans CJK SC"/>
        <b/>
        <color rgb="FFFFFFFF"/>
        <sz val="14.0"/>
      </rPr>
      <t>運用　契約価値レポート　〜リーチから売上へ〜</t>
    </r>
  </si>
  <si>
    <t>※ 青色セルは変更可能な入力値。数値は「② 媒体価値試算」「④ 提案オプション」シートと連動します。</t>
  </si>
  <si>
    <r>
      <rPr>
        <rFont val="Arial"/>
        <b/>
        <color rgb="FF1F3864"/>
        <sz val="10.0"/>
      </rPr>
      <t>■ SNS</t>
    </r>
    <r>
      <rPr>
        <rFont val="Noto Sans CJK SC"/>
        <b/>
        <color rgb="FF1F3864"/>
        <sz val="10.0"/>
      </rPr>
      <t>リーチ　年間</t>
    </r>
    <r>
      <rPr>
        <rFont val="Arial"/>
        <b/>
        <color rgb="FF1F3864"/>
        <sz val="10.0"/>
      </rPr>
      <t>KPI</t>
    </r>
    <r>
      <rPr>
        <rFont val="Noto Sans CJK SC"/>
        <b/>
        <color rgb="FF1F3864"/>
        <sz val="10.0"/>
      </rPr>
      <t>（</t>
    </r>
    <r>
      <rPr>
        <rFont val="Arial"/>
        <b/>
        <color rgb="FF1F3864"/>
        <sz val="10.0"/>
      </rPr>
      <t>2025</t>
    </r>
    <r>
      <rPr>
        <rFont val="Noto Sans CJK SC"/>
        <b/>
        <color rgb="FF1F3864"/>
        <sz val="10.0"/>
      </rPr>
      <t>年</t>
    </r>
    <r>
      <rPr>
        <rFont val="Arial"/>
        <b/>
        <color rgb="FF1F3864"/>
        <sz val="10.0"/>
      </rPr>
      <t>3</t>
    </r>
    <r>
      <rPr>
        <rFont val="Noto Sans CJK SC"/>
        <b/>
        <color rgb="FF1F3864"/>
        <sz val="10.0"/>
      </rPr>
      <t>月〜</t>
    </r>
    <r>
      <rPr>
        <rFont val="Arial"/>
        <b/>
        <color rgb="FF1F3864"/>
        <sz val="10.0"/>
      </rPr>
      <t>2026</t>
    </r>
    <r>
      <rPr>
        <rFont val="Noto Sans CJK SC"/>
        <b/>
        <color rgb="FF1F3864"/>
        <sz val="10.0"/>
      </rPr>
      <t>年</t>
    </r>
    <r>
      <rPr>
        <rFont val="Arial"/>
        <b/>
        <color rgb="FF1F3864"/>
        <sz val="10.0"/>
      </rPr>
      <t>3</t>
    </r>
    <r>
      <rPr>
        <rFont val="Noto Sans CJK SC"/>
        <b/>
        <color rgb="FF1F3864"/>
        <sz val="10.0"/>
      </rPr>
      <t>月）</t>
    </r>
  </si>
  <si>
    <t>プラットフォーム</t>
  </si>
  <si>
    <t>主要指標①</t>
  </si>
  <si>
    <t>数値①</t>
  </si>
  <si>
    <t>主要指標②</t>
  </si>
  <si>
    <t>数値②</t>
  </si>
  <si>
    <t>YouTube</t>
  </si>
  <si>
    <t>視聴回数</t>
  </si>
  <si>
    <t>インプレッション</t>
  </si>
  <si>
    <r>
      <rPr>
        <rFont val="Arial"/>
        <color rgb="FF000000"/>
        <sz val="10.0"/>
      </rPr>
      <t>X</t>
    </r>
    <r>
      <rPr>
        <rFont val="Noto Sans CJK SC"/>
        <color rgb="FF000000"/>
        <sz val="10.0"/>
      </rPr>
      <t>（旧</t>
    </r>
    <r>
      <rPr>
        <rFont val="Arial"/>
        <color rgb="FF000000"/>
        <sz val="10.0"/>
      </rPr>
      <t>Twitter</t>
    </r>
    <r>
      <rPr>
        <rFont val="Noto Sans CJK SC"/>
        <color rgb="FF000000"/>
        <sz val="10.0"/>
      </rPr>
      <t>）</t>
    </r>
  </si>
  <si>
    <t>エンゲージメント率</t>
  </si>
  <si>
    <t>TikTok</t>
  </si>
  <si>
    <t>プロフィール表示</t>
  </si>
  <si>
    <t>■ 広告換算価値サマリー（年間）</t>
  </si>
  <si>
    <t>区分</t>
  </si>
  <si>
    <t>広告換算（保守）</t>
  </si>
  <si>
    <t>広告換算（標準）</t>
  </si>
  <si>
    <t>広告換算（楽観）</t>
  </si>
  <si>
    <r>
      <rPr>
        <rFont val="Arial"/>
        <color rgb="FF000000"/>
        <sz val="10.0"/>
      </rPr>
      <t>X</t>
    </r>
    <r>
      <rPr>
        <rFont val="Noto Sans CJK SC"/>
        <color rgb="FF000000"/>
        <sz val="10.0"/>
      </rPr>
      <t>（旧</t>
    </r>
    <r>
      <rPr>
        <rFont val="Arial"/>
        <color rgb="FF000000"/>
        <sz val="10.0"/>
      </rPr>
      <t>Twitter</t>
    </r>
    <r>
      <rPr>
        <rFont val="Noto Sans CJK SC"/>
        <color rgb="FF000000"/>
        <sz val="10.0"/>
      </rPr>
      <t>）</t>
    </r>
  </si>
  <si>
    <t>合計（年間）</t>
  </si>
  <si>
    <r>
      <rPr>
        <rFont val="Noto Sans CJK SC"/>
        <b/>
        <color rgb="FF1F3864"/>
        <sz val="10.0"/>
      </rPr>
      <t>■ 契約</t>
    </r>
    <r>
      <rPr>
        <rFont val="Noto Sans"/>
        <b/>
        <color rgb="FF1F3864"/>
        <sz val="10.0"/>
      </rPr>
      <t>ROI</t>
    </r>
    <r>
      <rPr>
        <rFont val="Noto Sans CJK SC"/>
        <b/>
        <color rgb="FF1F3864"/>
        <sz val="10.0"/>
      </rPr>
      <t xml:space="preserve">比較（現行契約 </t>
    </r>
    <r>
      <rPr>
        <rFont val="Noto Sans"/>
        <b/>
        <color rgb="FF1F3864"/>
        <sz val="10.0"/>
      </rPr>
      <t xml:space="preserve">vs </t>
    </r>
    <r>
      <rPr>
        <rFont val="Noto Sans CJK SC"/>
        <b/>
        <color rgb="FF1F3864"/>
        <sz val="10.0"/>
      </rPr>
      <t>削減提案）</t>
    </r>
  </si>
  <si>
    <r>
      <rPr>
        <rFont val="Arial"/>
        <b/>
        <color rgb="FFFFFFFF"/>
        <sz val="10.0"/>
      </rPr>
      <t>現行契約（</t>
    </r>
    <r>
      <rPr>
        <rFont val="Noto Sans"/>
        <b/>
        <color rgb="FFFFFFFF"/>
        <sz val="10.0"/>
      </rPr>
      <t>¥110</t>
    </r>
    <r>
      <rPr>
        <rFont val="Arial"/>
        <b/>
        <color rgb="FFFFFFFF"/>
        <sz val="10.0"/>
      </rPr>
      <t>万</t>
    </r>
    <r>
      <rPr>
        <rFont val="Noto Sans"/>
        <b/>
        <color rgb="FFFFFFFF"/>
        <sz val="10.0"/>
      </rPr>
      <t>/</t>
    </r>
    <r>
      <rPr>
        <rFont val="Arial"/>
        <b/>
        <color rgb="FFFFFFFF"/>
        <sz val="10.0"/>
      </rPr>
      <t>月）</t>
    </r>
  </si>
  <si>
    <r>
      <rPr>
        <rFont val="Noto Sans CJK SC"/>
        <b/>
        <color rgb="FFFFFFFF"/>
        <sz val="10.0"/>
      </rPr>
      <t>削減提案（</t>
    </r>
    <r>
      <rPr>
        <rFont val="Noto Sans"/>
        <b/>
        <color rgb="FFFFFFFF"/>
        <sz val="10.0"/>
      </rPr>
      <t>¥40</t>
    </r>
    <r>
      <rPr>
        <rFont val="Noto Sans CJK SC"/>
        <b/>
        <color rgb="FFFFFFFF"/>
        <sz val="10.0"/>
      </rPr>
      <t>万</t>
    </r>
    <r>
      <rPr>
        <rFont val="Noto Sans"/>
        <b/>
        <color rgb="FFFFFFFF"/>
        <sz val="10.0"/>
      </rPr>
      <t>/</t>
    </r>
    <r>
      <rPr>
        <rFont val="Noto Sans CJK SC"/>
        <b/>
        <color rgb="FFFFFFFF"/>
        <sz val="10.0"/>
      </rPr>
      <t>月）</t>
    </r>
  </si>
  <si>
    <t>差額</t>
  </si>
  <si>
    <t>年間契約費用</t>
  </si>
  <si>
    <t>広告換算価値（標準）</t>
  </si>
  <si>
    <r>
      <rPr>
        <rFont val="Arial"/>
        <color rgb="FF000000"/>
        <sz val="10.0"/>
      </rPr>
      <t>ROI</t>
    </r>
    <r>
      <rPr>
        <rFont val="Noto Sans CJK SC"/>
        <color rgb="FF000000"/>
        <sz val="10.0"/>
      </rPr>
      <t>（換算価値</t>
    </r>
    <r>
      <rPr>
        <rFont val="Arial"/>
        <color rgb="FF000000"/>
        <sz val="10.0"/>
      </rPr>
      <t>÷</t>
    </r>
    <r>
      <rPr>
        <rFont val="Noto Sans CJK SC"/>
        <color rgb="FF000000"/>
        <sz val="10.0"/>
      </rPr>
      <t>費用）</t>
    </r>
  </si>
  <si>
    <r>
      <rPr>
        <rFont val="Noto Sans CJK SC"/>
        <color rgb="FF000000"/>
        <sz val="10.0"/>
      </rPr>
      <t>月額換算</t>
    </r>
    <r>
      <rPr>
        <rFont val="Noto Sans"/>
        <color rgb="FF000000"/>
        <sz val="10.0"/>
      </rPr>
      <t>ROI</t>
    </r>
    <r>
      <rPr>
        <rFont val="Noto Sans CJK SC"/>
        <color rgb="FF000000"/>
        <sz val="10.0"/>
      </rPr>
      <t>（倍率）</t>
    </r>
  </si>
  <si>
    <r>
      <rPr>
        <rFont val="Noto Sans CJK SC"/>
        <b/>
        <color rgb="FFFFFFFF"/>
        <sz val="14.0"/>
      </rPr>
      <t>媒体価値試算シート　― 広告換算</t>
    </r>
    <r>
      <rPr>
        <rFont val="Noto Sans"/>
        <b/>
        <color rgb="FFFFFFFF"/>
        <sz val="14.0"/>
      </rPr>
      <t>ROI</t>
    </r>
    <r>
      <rPr>
        <rFont val="Noto Sans CJK SC"/>
        <b/>
        <color rgb="FFFFFFFF"/>
        <sz val="14.0"/>
      </rPr>
      <t>分析 ―</t>
    </r>
  </si>
  <si>
    <t>※ 青色セルが入力値。換算単価（下部テーブル）を変更すると全計算が自動更新されます。</t>
  </si>
  <si>
    <t>指標名</t>
  </si>
  <si>
    <t>実績数値（年間）</t>
  </si>
  <si>
    <t>単位</t>
  </si>
  <si>
    <t>換算単価（保守）</t>
  </si>
  <si>
    <t>換算価値（保守）</t>
  </si>
  <si>
    <t>換算価値（標準）</t>
  </si>
  <si>
    <t>換算価値（楽観）</t>
  </si>
  <si>
    <r>
      <rPr>
        <rFont val="Arial"/>
        <b/>
        <color rgb="FF1F3864"/>
        <sz val="10.0"/>
      </rPr>
      <t>▶ YouTube</t>
    </r>
    <r>
      <rPr>
        <rFont val="Noto Sans CJK SC"/>
        <b/>
        <color rgb="FF1F3864"/>
        <sz val="10.0"/>
      </rPr>
      <t>（</t>
    </r>
    <r>
      <rPr>
        <rFont val="Arial"/>
        <b/>
        <color rgb="FF1F3864"/>
        <sz val="10.0"/>
      </rPr>
      <t>2025</t>
    </r>
    <r>
      <rPr>
        <rFont val="Noto Sans CJK SC"/>
        <b/>
        <color rgb="FF1F3864"/>
        <sz val="10.0"/>
      </rPr>
      <t>年実績）</t>
    </r>
  </si>
  <si>
    <t>回</t>
  </si>
  <si>
    <r>
      <rPr>
        <rFont val="Noto Sans CJK SC"/>
        <color rgb="FF000000"/>
        <sz val="10.0"/>
      </rPr>
      <t>インプレ</t>
    </r>
    <r>
      <rPr>
        <rFont val="Noto Sans"/>
        <color rgb="FF000000"/>
        <sz val="10.0"/>
      </rPr>
      <t>CTR</t>
    </r>
  </si>
  <si>
    <t>%</t>
  </si>
  <si>
    <t>-</t>
  </si>
  <si>
    <t>YouTube　小計（視聴ベース）</t>
  </si>
  <si>
    <r>
      <rPr>
        <rFont val="Arial"/>
        <b/>
        <color rgb="FF1F3864"/>
        <sz val="10.0"/>
      </rPr>
      <t>▶ X</t>
    </r>
    <r>
      <rPr>
        <rFont val="Noto Sans CJK SC"/>
        <b/>
        <color rgb="FF1F3864"/>
        <sz val="10.0"/>
      </rPr>
      <t>（旧</t>
    </r>
    <r>
      <rPr>
        <rFont val="Arial"/>
        <b/>
        <color rgb="FF1F3864"/>
        <sz val="10.0"/>
      </rPr>
      <t>Twitter</t>
    </r>
    <r>
      <rPr>
        <rFont val="Noto Sans CJK SC"/>
        <b/>
        <color rgb="FF1F3864"/>
        <sz val="10.0"/>
      </rPr>
      <t>）（</t>
    </r>
    <r>
      <rPr>
        <rFont val="Arial"/>
        <b/>
        <color rgb="FF1F3864"/>
        <sz val="10.0"/>
      </rPr>
      <t>2025</t>
    </r>
    <r>
      <rPr>
        <rFont val="Noto Sans CJK SC"/>
        <b/>
        <color rgb="FF1F3864"/>
        <sz val="10.0"/>
      </rPr>
      <t>年</t>
    </r>
    <r>
      <rPr>
        <rFont val="Arial"/>
        <b/>
        <color rgb="FF1F3864"/>
        <sz val="10.0"/>
      </rPr>
      <t>3</t>
    </r>
    <r>
      <rPr>
        <rFont val="Noto Sans CJK SC"/>
        <b/>
        <color rgb="FF1F3864"/>
        <sz val="10.0"/>
      </rPr>
      <t>月〜</t>
    </r>
    <r>
      <rPr>
        <rFont val="Arial"/>
        <b/>
        <color rgb="FF1F3864"/>
        <sz val="10.0"/>
      </rPr>
      <t>2026</t>
    </r>
    <r>
      <rPr>
        <rFont val="Noto Sans CJK SC"/>
        <b/>
        <color rgb="FF1F3864"/>
        <sz val="10.0"/>
      </rPr>
      <t>年</t>
    </r>
    <r>
      <rPr>
        <rFont val="Arial"/>
        <b/>
        <color rgb="FF1F3864"/>
        <sz val="10.0"/>
      </rPr>
      <t>3</t>
    </r>
    <r>
      <rPr>
        <rFont val="Noto Sans CJK SC"/>
        <b/>
        <color rgb="FF1F3864"/>
        <sz val="10.0"/>
      </rPr>
      <t>月）</t>
    </r>
  </si>
  <si>
    <t>インプレッション数</t>
  </si>
  <si>
    <t>フォロワー数</t>
  </si>
  <si>
    <t>人</t>
  </si>
  <si>
    <t>エンゲージメント数</t>
  </si>
  <si>
    <t>件</t>
  </si>
  <si>
    <r>
      <rPr>
        <rFont val="Arial"/>
        <b/>
        <color rgb="FF000000"/>
        <sz val="10.0"/>
      </rPr>
      <t>X</t>
    </r>
    <r>
      <rPr>
        <rFont val="Noto Sans CJK SC"/>
        <b/>
        <color rgb="FF000000"/>
        <sz val="10.0"/>
      </rPr>
      <t xml:space="preserve">　小計（インプレッションベース）</t>
    </r>
  </si>
  <si>
    <r>
      <rPr>
        <rFont val="Arial"/>
        <b/>
        <color rgb="FF1F3864"/>
        <sz val="10.0"/>
      </rPr>
      <t>▶ TikTok</t>
    </r>
    <r>
      <rPr>
        <rFont val="Noto Sans CJK SC"/>
        <b/>
        <color rgb="FF1F3864"/>
        <sz val="10.0"/>
      </rPr>
      <t>（</t>
    </r>
    <r>
      <rPr>
        <rFont val="Arial"/>
        <b/>
        <color rgb="FF1F3864"/>
        <sz val="10.0"/>
      </rPr>
      <t>2025</t>
    </r>
    <r>
      <rPr>
        <rFont val="Noto Sans CJK SC"/>
        <b/>
        <color rgb="FF1F3864"/>
        <sz val="10.0"/>
      </rPr>
      <t>年</t>
    </r>
    <r>
      <rPr>
        <rFont val="Arial"/>
        <b/>
        <color rgb="FF1F3864"/>
        <sz val="10.0"/>
      </rPr>
      <t>3</t>
    </r>
    <r>
      <rPr>
        <rFont val="Noto Sans CJK SC"/>
        <b/>
        <color rgb="FF1F3864"/>
        <sz val="10.0"/>
      </rPr>
      <t>月〜</t>
    </r>
    <r>
      <rPr>
        <rFont val="Arial"/>
        <b/>
        <color rgb="FF1F3864"/>
        <sz val="10.0"/>
      </rPr>
      <t>2026</t>
    </r>
    <r>
      <rPr>
        <rFont val="Noto Sans CJK SC"/>
        <b/>
        <color rgb="FF1F3864"/>
        <sz val="10.0"/>
      </rPr>
      <t>年</t>
    </r>
    <r>
      <rPr>
        <rFont val="Arial"/>
        <b/>
        <color rgb="FF1F3864"/>
        <sz val="10.0"/>
      </rPr>
      <t>3</t>
    </r>
    <r>
      <rPr>
        <rFont val="Noto Sans CJK SC"/>
        <b/>
        <color rgb="FF1F3864"/>
        <sz val="10.0"/>
      </rPr>
      <t>月）</t>
    </r>
  </si>
  <si>
    <t>いいね数</t>
  </si>
  <si>
    <t>シェア数</t>
  </si>
  <si>
    <r>
      <rPr>
        <rFont val="Arial"/>
        <b/>
        <color rgb="FF000000"/>
        <sz val="10.0"/>
      </rPr>
      <t>TikTok</t>
    </r>
    <r>
      <rPr>
        <rFont val="Noto Sans CJK SC"/>
        <b/>
        <color rgb="FF000000"/>
        <sz val="10.0"/>
      </rPr>
      <t xml:space="preserve">　小計（視聴回数ベース）</t>
    </r>
  </si>
  <si>
    <t>全プラットフォーム合計（年間広告換算価値）</t>
  </si>
  <si>
    <r>
      <rPr>
        <rFont val="Noto Sans CJK SC"/>
        <b/>
        <color rgb="FF000000"/>
        <sz val="10.0"/>
      </rPr>
      <t>月次換算（年間</t>
    </r>
    <r>
      <rPr>
        <rFont val="Noto Sans"/>
        <b/>
        <color rgb="FF000000"/>
        <sz val="10.0"/>
      </rPr>
      <t>÷12</t>
    </r>
    <r>
      <rPr>
        <rFont val="Noto Sans CJK SC"/>
        <b/>
        <color rgb="FF000000"/>
        <sz val="10.0"/>
      </rPr>
      <t>）</t>
    </r>
  </si>
  <si>
    <t>■ 換算単価の前提（青色セルを変更してください）</t>
  </si>
  <si>
    <t>単価種別</t>
  </si>
  <si>
    <t>説明</t>
  </si>
  <si>
    <t>保守（円）</t>
  </si>
  <si>
    <t>標準（円）</t>
  </si>
  <si>
    <t>楽観（円）</t>
  </si>
  <si>
    <r>
      <rPr>
        <rFont val="Arial"/>
        <b/>
        <color rgb="FF000000"/>
        <sz val="10.0"/>
      </rPr>
      <t>CPV</t>
    </r>
    <r>
      <rPr>
        <rFont val="Noto Sans CJK SC"/>
        <b/>
        <color rgb="FF000000"/>
        <sz val="10.0"/>
      </rPr>
      <t>（動画視聴）</t>
    </r>
  </si>
  <si>
    <t>YouTube・TikTok：1再生あたり単価（円）</t>
  </si>
  <si>
    <t>← 変更可</t>
  </si>
  <si>
    <t>CPM（インプレ）</t>
  </si>
  <si>
    <r>
      <rPr>
        <rFont val="Arial"/>
        <i/>
        <color rgb="FF666666"/>
        <sz val="9.0"/>
      </rPr>
      <t>X</t>
    </r>
    <r>
      <rPr>
        <rFont val="Noto Sans CJK SC"/>
        <i/>
        <color rgb="FF666666"/>
        <sz val="9.0"/>
      </rPr>
      <t>・</t>
    </r>
    <r>
      <rPr>
        <rFont val="Arial"/>
        <i/>
        <color rgb="FF666666"/>
        <sz val="9.0"/>
      </rPr>
      <t>YouTube</t>
    </r>
    <r>
      <rPr>
        <rFont val="Noto Sans CJK SC"/>
        <i/>
        <color rgb="FF666666"/>
        <sz val="9.0"/>
      </rPr>
      <t>：</t>
    </r>
    <r>
      <rPr>
        <rFont val="Arial"/>
        <i/>
        <color rgb="FF666666"/>
        <sz val="9.0"/>
      </rPr>
      <t>1,000</t>
    </r>
    <r>
      <rPr>
        <rFont val="Noto Sans CJK SC"/>
        <i/>
        <color rgb="FF666666"/>
        <sz val="9.0"/>
      </rPr>
      <t>インプレッションあたり単価（円）</t>
    </r>
  </si>
  <si>
    <r>
      <rPr>
        <rFont val="Arial"/>
        <i/>
        <color rgb="FF888888"/>
        <sz val="8.0"/>
      </rPr>
      <t xml:space="preserve">Source: </t>
    </r>
    <r>
      <rPr>
        <rFont val="Noto Sans CJK SC"/>
        <i/>
        <color rgb="FF888888"/>
        <sz val="8.0"/>
      </rPr>
      <t>実績値は</t>
    </r>
    <r>
      <rPr>
        <rFont val="Arial"/>
        <i/>
        <color rgb="FF888888"/>
        <sz val="8.0"/>
      </rPr>
      <t>SNS</t>
    </r>
    <r>
      <rPr>
        <rFont val="Noto Sans CJK SC"/>
        <i/>
        <color rgb="FF888888"/>
        <sz val="8.0"/>
      </rPr>
      <t xml:space="preserve">各社インサイト画面 </t>
    </r>
    <r>
      <rPr>
        <rFont val="Arial"/>
        <i/>
        <color rgb="FF888888"/>
        <sz val="8.0"/>
      </rPr>
      <t>2025/3</t>
    </r>
    <r>
      <rPr>
        <rFont val="Noto Sans CJK SC"/>
        <i/>
        <color rgb="FF888888"/>
        <sz val="8.0"/>
      </rPr>
      <t>〜</t>
    </r>
    <r>
      <rPr>
        <rFont val="Arial"/>
        <i/>
        <color rgb="FF888888"/>
        <sz val="8.0"/>
      </rPr>
      <t>2026/3</t>
    </r>
    <r>
      <rPr>
        <rFont val="Noto Sans CJK SC"/>
        <i/>
        <color rgb="FF888888"/>
        <sz val="8.0"/>
      </rPr>
      <t>。換算単価は業界下限〜中央値を参考に設定（保守値）。</t>
    </r>
  </si>
  <si>
    <t>購買ファネル分析　― リーチから売上への転換構造 ―</t>
  </si>
  <si>
    <t>※ 青色セルが入力値。オレンジ強調はボトルネック候補。</t>
  </si>
  <si>
    <t>■ プラットフォーム別　購買ファネル（推定）</t>
  </si>
  <si>
    <t>ファネルステップ</t>
  </si>
  <si>
    <r>
      <rPr>
        <rFont val="Arial"/>
        <b/>
        <color rgb="FFFFFFFF"/>
        <sz val="10.0"/>
      </rPr>
      <t>X</t>
    </r>
    <r>
      <rPr>
        <rFont val="Noto Sans CJK SC"/>
        <b/>
        <color rgb="FFFFFFFF"/>
        <sz val="10.0"/>
      </rPr>
      <t>（旧</t>
    </r>
    <r>
      <rPr>
        <rFont val="Arial"/>
        <b/>
        <color rgb="FFFFFFFF"/>
        <sz val="10.0"/>
      </rPr>
      <t>Twitter</t>
    </r>
    <r>
      <rPr>
        <rFont val="Noto Sans CJK SC"/>
        <b/>
        <color rgb="FFFFFFFF"/>
        <sz val="10.0"/>
      </rPr>
      <t>）</t>
    </r>
  </si>
  <si>
    <t>合計</t>
  </si>
  <si>
    <t>前ステップ比</t>
  </si>
  <si>
    <t>課題度</t>
  </si>
  <si>
    <t>① インプレッション（表示）</t>
  </si>
  <si>
    <t>基準</t>
  </si>
  <si>
    <t>低</t>
  </si>
  <si>
    <t>② 視聴・クリック（接触）</t>
  </si>
  <si>
    <t>③ プロフィール訪問（興味）</t>
  </si>
  <si>
    <t>要計測</t>
  </si>
  <si>
    <t>中〜高</t>
  </si>
  <si>
    <t>④ サイト流入（意向）</t>
  </si>
  <si>
    <t>未計測</t>
  </si>
  <si>
    <t>高（未計測）</t>
  </si>
  <si>
    <r>
      <rPr>
        <rFont val="Noto Sans CJK SC"/>
        <b/>
        <color rgb="FFBDD7EE"/>
        <sz val="10.0"/>
      </rPr>
      <t>⑤ 購買（</t>
    </r>
    <r>
      <rPr>
        <rFont val="Noto Sans"/>
        <b/>
        <color rgb="FFBDD7EE"/>
        <sz val="10.0"/>
      </rPr>
      <t>CV</t>
    </r>
    <r>
      <rPr>
        <rFont val="Noto Sans CJK SC"/>
        <b/>
        <color rgb="FFBDD7EE"/>
        <sz val="10.0"/>
      </rPr>
      <t>）</t>
    </r>
  </si>
  <si>
    <t>最高（未計測）</t>
  </si>
  <si>
    <r>
      <rPr>
        <rFont val="Arial"/>
        <b/>
        <color rgb="FF1F3864"/>
        <sz val="10.0"/>
      </rPr>
      <t>■ CVR</t>
    </r>
    <r>
      <rPr>
        <rFont val="Noto Sans CJK SC"/>
        <b/>
        <color rgb="FF1F3864"/>
        <sz val="10.0"/>
      </rPr>
      <t>低下の課題仮説</t>
    </r>
  </si>
  <si>
    <t>課題カテゴリ</t>
  </si>
  <si>
    <t>現状の症状</t>
  </si>
  <si>
    <t>仮説（原因）</t>
  </si>
  <si>
    <t>優先度</t>
  </si>
  <si>
    <r>
      <rPr>
        <rFont val="Arial"/>
        <b/>
        <color rgb="FF000000"/>
        <sz val="10.0"/>
      </rPr>
      <t>CTA</t>
    </r>
    <r>
      <rPr>
        <rFont val="Noto Sans CJK SC"/>
        <b/>
        <color rgb="FF000000"/>
        <sz val="10.0"/>
      </rPr>
      <t>設計</t>
    </r>
  </si>
  <si>
    <t>視聴→プロフィール転換率が低い</t>
  </si>
  <si>
    <r>
      <rPr>
        <rFont val="Noto Sans CJK SC"/>
        <color rgb="FF000000"/>
        <sz val="10.0"/>
      </rPr>
      <t>動画内</t>
    </r>
    <r>
      <rPr>
        <rFont val="Noto Sans"/>
        <color rgb="FF000000"/>
        <sz val="10.0"/>
      </rPr>
      <t>CTA</t>
    </r>
    <r>
      <rPr>
        <rFont val="Noto Sans CJK SC"/>
        <color rgb="FF000000"/>
        <sz val="10.0"/>
      </rPr>
      <t>の頻度・タイミングが最適化されていない</t>
    </r>
  </si>
  <si>
    <t>高</t>
  </si>
  <si>
    <t>購買導線</t>
  </si>
  <si>
    <t>プロフィール→購買への橋渡しが弱い</t>
  </si>
  <si>
    <t>リンク先が商品直リンクになっていない可能性</t>
  </si>
  <si>
    <t>コンテンツ</t>
  </si>
  <si>
    <t>エンゲージは高いが購買起点になりにくい</t>
  </si>
  <si>
    <t>視聴エンタメ寄りで商品訴求が薄い</t>
  </si>
  <si>
    <t>中</t>
  </si>
  <si>
    <t>計測不足</t>
  </si>
  <si>
    <r>
      <rPr>
        <rFont val="Arial"/>
        <color rgb="FF000000"/>
        <sz val="10.0"/>
      </rPr>
      <t>SNS</t>
    </r>
    <r>
      <rPr>
        <rFont val="Noto Sans CJK SC"/>
        <color rgb="FF000000"/>
        <sz val="10.0"/>
      </rPr>
      <t>経由の購買数が把握できていない</t>
    </r>
  </si>
  <si>
    <r>
      <rPr>
        <rFont val="Arial"/>
        <color rgb="FF000000"/>
        <sz val="10.0"/>
      </rPr>
      <t>UTM</t>
    </r>
    <r>
      <rPr>
        <rFont val="Noto Sans CJK SC"/>
        <color rgb="FF000000"/>
        <sz val="10.0"/>
      </rPr>
      <t>パラメータ等の計測設計が未整備</t>
    </r>
  </si>
  <si>
    <r>
      <rPr>
        <rFont val="Arial"/>
        <b/>
        <color rgb="FF000000"/>
        <sz val="10.0"/>
      </rPr>
      <t>TikTok</t>
    </r>
    <r>
      <rPr>
        <rFont val="Noto Sans CJK SC"/>
        <b/>
        <color rgb="FF000000"/>
        <sz val="10.0"/>
      </rPr>
      <t>減速</t>
    </r>
  </si>
  <si>
    <t>視聴数・エンゲージが下降傾向</t>
  </si>
  <si>
    <t>コンテンツ鮮度・アルゴリズム適合性の低下</t>
  </si>
  <si>
    <r>
      <rPr>
        <rFont val="Noto Sans CJK SC"/>
        <b/>
        <color rgb="FFFFFFFF"/>
        <sz val="12.0"/>
      </rPr>
      <t>⑤ 施策後</t>
    </r>
    <r>
      <rPr>
        <rFont val="Arial"/>
        <b/>
        <color rgb="FFFFFFFF"/>
        <sz val="12.0"/>
      </rPr>
      <t>CV</t>
    </r>
    <r>
      <rPr>
        <rFont val="Noto Sans CJK SC"/>
        <b/>
        <color rgb="FFFFFFFF"/>
        <sz val="12.0"/>
      </rPr>
      <t xml:space="preserve">試算　― </t>
    </r>
    <r>
      <rPr>
        <rFont val="Arial"/>
        <b/>
        <color rgb="FFFFFFFF"/>
        <sz val="12.0"/>
      </rPr>
      <t>SNS</t>
    </r>
    <r>
      <rPr>
        <rFont val="Noto Sans CJK SC"/>
        <b/>
        <color rgb="FFFFFFFF"/>
        <sz val="12.0"/>
      </rPr>
      <t>経由売上貢献シミュレーション ―</t>
    </r>
  </si>
  <si>
    <r>
      <rPr>
        <rFont val="Noto Sans CJK SC"/>
        <color rgb="FF555555"/>
        <sz val="8.0"/>
      </rPr>
      <t>※ 青色セルが変更可能な入力値。</t>
    </r>
    <r>
      <rPr>
        <rFont val="Arial"/>
        <color rgb="FF555555"/>
        <sz val="8.0"/>
      </rPr>
      <t>SNS</t>
    </r>
    <r>
      <rPr>
        <rFont val="Noto Sans CJK SC"/>
        <color rgb="FF555555"/>
        <sz val="8.0"/>
      </rPr>
      <t>インサイト・売上データから業界参考値で仮置き。</t>
    </r>
    <r>
      <rPr>
        <rFont val="Arial"/>
        <color rgb="FF555555"/>
        <sz val="8.0"/>
      </rPr>
      <t>VITAS</t>
    </r>
    <r>
      <rPr>
        <rFont val="Noto Sans CJK SC"/>
        <color rgb="FF555555"/>
        <sz val="8.0"/>
      </rPr>
      <t>実績値に差し替え可能。</t>
    </r>
  </si>
  <si>
    <t>■ 共通入力値（青色セルを変更してください）</t>
  </si>
  <si>
    <r>
      <rPr>
        <rFont val="Noto Sans CJK SC"/>
        <b/>
        <color rgb="FF000000"/>
        <sz val="10.0"/>
      </rPr>
      <t>現状</t>
    </r>
    <r>
      <rPr>
        <rFont val="Arial"/>
        <b/>
        <color rgb="FF000000"/>
        <sz val="10.0"/>
      </rPr>
      <t>CVR</t>
    </r>
    <r>
      <rPr>
        <rFont val="Noto Sans CJK SC"/>
        <b/>
        <color rgb="FF000000"/>
        <sz val="10.0"/>
      </rPr>
      <t>（購買転換率）</t>
    </r>
  </si>
  <si>
    <r>
      <rPr>
        <rFont val="Noto Sans CJK SC"/>
        <color rgb="FF555555"/>
        <sz val="8.0"/>
      </rPr>
      <t>業界参考下限</t>
    </r>
    <r>
      <rPr>
        <rFont val="Arial"/>
        <color rgb="FF555555"/>
        <sz val="8.0"/>
      </rPr>
      <t>1.0%</t>
    </r>
    <r>
      <rPr>
        <rFont val="Noto Sans CJK SC"/>
        <color rgb="FF555555"/>
        <sz val="8.0"/>
      </rPr>
      <t>。フィットネス</t>
    </r>
    <r>
      <rPr>
        <rFont val="Arial"/>
        <color rgb="FF555555"/>
        <sz val="8.0"/>
      </rPr>
      <t>EC</t>
    </r>
    <r>
      <rPr>
        <rFont val="Noto Sans CJK SC"/>
        <color rgb="FF555555"/>
        <sz val="8.0"/>
      </rPr>
      <t>補助食品の標準範囲：</t>
    </r>
    <r>
      <rPr>
        <rFont val="Arial"/>
        <color rgb="FF555555"/>
        <sz val="8.0"/>
      </rPr>
      <t>0.8</t>
    </r>
    <r>
      <rPr>
        <rFont val="Noto Sans CJK SC"/>
        <color rgb="FF555555"/>
        <sz val="8.0"/>
      </rPr>
      <t>〜</t>
    </r>
    <r>
      <rPr>
        <rFont val="Arial"/>
        <color rgb="FF555555"/>
        <sz val="8.0"/>
      </rPr>
      <t>2.0%</t>
    </r>
  </si>
  <si>
    <r>
      <rPr>
        <rFont val="Noto Sans CJK SC"/>
        <b/>
        <color rgb="FF000000"/>
        <sz val="10.0"/>
      </rPr>
      <t>施策後</t>
    </r>
    <r>
      <rPr>
        <rFont val="Arial"/>
        <b/>
        <color rgb="FF000000"/>
        <sz val="10.0"/>
      </rPr>
      <t>CVR</t>
    </r>
    <r>
      <rPr>
        <rFont val="Noto Sans CJK SC"/>
        <b/>
        <color rgb="FF000000"/>
        <sz val="10.0"/>
      </rPr>
      <t>（目標）</t>
    </r>
  </si>
  <si>
    <r>
      <rPr>
        <rFont val="Arial"/>
        <color rgb="FF555555"/>
        <sz val="8.0"/>
      </rPr>
      <t>LP</t>
    </r>
    <r>
      <rPr>
        <rFont val="Noto Sans CJK SC"/>
        <color rgb="FF555555"/>
        <sz val="8.0"/>
      </rPr>
      <t>最適化・商品直リンク・</t>
    </r>
    <r>
      <rPr>
        <rFont val="Arial"/>
        <color rgb="FF555555"/>
        <sz val="8.0"/>
      </rPr>
      <t>CTA</t>
    </r>
    <r>
      <rPr>
        <rFont val="Noto Sans CJK SC"/>
        <color rgb="FF555555"/>
        <sz val="8.0"/>
      </rPr>
      <t>改善により</t>
    </r>
    <r>
      <rPr>
        <rFont val="Arial"/>
        <color rgb="FF555555"/>
        <sz val="8.0"/>
      </rPr>
      <t>1.5%</t>
    </r>
    <r>
      <rPr>
        <rFont val="Noto Sans CJK SC"/>
        <color rgb="FF555555"/>
        <sz val="8.0"/>
      </rPr>
      <t>を目標設定</t>
    </r>
  </si>
  <si>
    <t>平均注文単価（円）</t>
  </si>
  <si>
    <r>
      <rPr>
        <rFont val="Noto Sans CJK SC"/>
        <color rgb="FF555555"/>
        <sz val="8.0"/>
      </rPr>
      <t>参考：公式</t>
    </r>
    <r>
      <rPr>
        <rFont val="Arial"/>
        <color rgb="FF555555"/>
        <sz val="8.0"/>
      </rPr>
      <t>¥19,300/5</t>
    </r>
    <r>
      <rPr>
        <rFont val="Noto Sans CJK SC"/>
        <color rgb="FF555555"/>
        <sz val="8.0"/>
      </rPr>
      <t>点</t>
    </r>
    <r>
      <rPr>
        <rFont val="Arial"/>
        <color rgb="FF555555"/>
        <sz val="8.0"/>
      </rPr>
      <t>=¥3,860/</t>
    </r>
    <r>
      <rPr>
        <rFont val="Noto Sans CJK SC"/>
        <color rgb="FF555555"/>
        <sz val="8.0"/>
      </rPr>
      <t>点、</t>
    </r>
    <r>
      <rPr>
        <rFont val="Arial"/>
        <color rgb="FF555555"/>
        <sz val="8.0"/>
      </rPr>
      <t>Amazon¥36,399/12</t>
    </r>
    <r>
      <rPr>
        <rFont val="Noto Sans CJK SC"/>
        <color rgb="FF555555"/>
        <sz val="8.0"/>
      </rPr>
      <t>点</t>
    </r>
    <r>
      <rPr>
        <rFont val="Arial"/>
        <color rgb="FF555555"/>
        <sz val="8.0"/>
      </rPr>
      <t>=¥3,033/</t>
    </r>
    <r>
      <rPr>
        <rFont val="Noto Sans CJK SC"/>
        <color rgb="FF555555"/>
        <sz val="8.0"/>
      </rPr>
      <t>点。複数購入想定で</t>
    </r>
    <r>
      <rPr>
        <rFont val="Arial"/>
        <color rgb="FF555555"/>
        <sz val="8.0"/>
      </rPr>
      <t>¥5,500</t>
    </r>
    <r>
      <rPr>
        <rFont val="Noto Sans CJK SC"/>
        <color rgb="FF555555"/>
        <sz val="8.0"/>
      </rPr>
      <t>設定</t>
    </r>
  </si>
  <si>
    <r>
      <rPr>
        <rFont val="Noto Sans CJK SC"/>
        <b/>
        <color rgb="FFFFFFFF"/>
        <sz val="10.0"/>
      </rPr>
      <t>■ セクション</t>
    </r>
    <r>
      <rPr>
        <rFont val="Arial"/>
        <b/>
        <color rgb="FFFFFFFF"/>
        <sz val="10.0"/>
      </rPr>
      <t>1</t>
    </r>
    <r>
      <rPr>
        <rFont val="Noto Sans CJK SC"/>
        <b/>
        <color rgb="FFFFFFFF"/>
        <sz val="10.0"/>
      </rPr>
      <t>：現状ファネル試算（施策前）</t>
    </r>
  </si>
  <si>
    <t>X</t>
  </si>
  <si>
    <t>仮定・根拠</t>
  </si>
  <si>
    <t>① インプレッション（年間）</t>
  </si>
  <si>
    <r>
      <rPr>
        <rFont val="Noto Sans CJK SC"/>
        <color rgb="FF555555"/>
        <sz val="8.0"/>
      </rPr>
      <t>各</t>
    </r>
    <r>
      <rPr>
        <rFont val="Arial"/>
        <color rgb="FF555555"/>
        <sz val="8.0"/>
      </rPr>
      <t>SNS</t>
    </r>
    <r>
      <rPr>
        <rFont val="Noto Sans CJK SC"/>
        <color rgb="FF555555"/>
        <sz val="8.0"/>
      </rPr>
      <t>インサイト実績値（</t>
    </r>
    <r>
      <rPr>
        <rFont val="Arial"/>
        <color rgb="FF555555"/>
        <sz val="8.0"/>
      </rPr>
      <t>2025</t>
    </r>
    <r>
      <rPr>
        <rFont val="Noto Sans CJK SC"/>
        <color rgb="FF555555"/>
        <sz val="8.0"/>
      </rPr>
      <t>年</t>
    </r>
    <r>
      <rPr>
        <rFont val="Arial"/>
        <color rgb="FF555555"/>
        <sz val="8.0"/>
      </rPr>
      <t>3</t>
    </r>
    <r>
      <rPr>
        <rFont val="Noto Sans CJK SC"/>
        <color rgb="FF555555"/>
        <sz val="8.0"/>
      </rPr>
      <t>月〜</t>
    </r>
    <r>
      <rPr>
        <rFont val="Arial"/>
        <color rgb="FF555555"/>
        <sz val="8.0"/>
      </rPr>
      <t>2026</t>
    </r>
    <r>
      <rPr>
        <rFont val="Noto Sans CJK SC"/>
        <color rgb="FF555555"/>
        <sz val="8.0"/>
      </rPr>
      <t>年</t>
    </r>
    <r>
      <rPr>
        <rFont val="Arial"/>
        <color rgb="FF555555"/>
        <sz val="8.0"/>
      </rPr>
      <t>3</t>
    </r>
    <r>
      <rPr>
        <rFont val="Noto Sans CJK SC"/>
        <color rgb="FF555555"/>
        <sz val="8.0"/>
      </rPr>
      <t>月）</t>
    </r>
  </si>
  <si>
    <t>② 視聴・接触（年間）</t>
  </si>
  <si>
    <r>
      <rPr>
        <rFont val="Arial"/>
        <color rgb="FF555555"/>
        <sz val="8.0"/>
      </rPr>
      <t>YouTube:</t>
    </r>
    <r>
      <rPr>
        <rFont val="Noto Sans CJK SC"/>
        <color rgb="FF555555"/>
        <sz val="8.0"/>
      </rPr>
      <t>実績。</t>
    </r>
    <r>
      <rPr>
        <rFont val="Arial"/>
        <color rgb="FF555555"/>
        <sz val="8.0"/>
      </rPr>
      <t>X:</t>
    </r>
    <r>
      <rPr>
        <rFont val="Noto Sans CJK SC"/>
        <color rgb="FF555555"/>
        <sz val="8.0"/>
      </rPr>
      <t>インプレ</t>
    </r>
    <r>
      <rPr>
        <rFont val="Arial"/>
        <color rgb="FF555555"/>
        <sz val="8.0"/>
      </rPr>
      <t>×ER6.4%</t>
    </r>
    <r>
      <rPr>
        <rFont val="Noto Sans CJK SC"/>
        <color rgb="FF555555"/>
        <sz val="8.0"/>
      </rPr>
      <t>推計。</t>
    </r>
    <r>
      <rPr>
        <rFont val="Arial"/>
        <color rgb="FF555555"/>
        <sz val="8.0"/>
      </rPr>
      <t>TikTok:</t>
    </r>
    <r>
      <rPr>
        <rFont val="Noto Sans CJK SC"/>
        <color rgb="FF555555"/>
        <sz val="8.0"/>
      </rPr>
      <t>視聴数</t>
    </r>
  </si>
  <si>
    <t>③ プロフィール訪問（年間）</t>
  </si>
  <si>
    <r>
      <rPr>
        <rFont val="Arial"/>
        <color rgb="FF555555"/>
        <sz val="8.0"/>
      </rPr>
      <t>YouTube:</t>
    </r>
    <r>
      <rPr>
        <rFont val="Noto Sans CJK SC"/>
        <color rgb="FF555555"/>
        <sz val="8.0"/>
      </rPr>
      <t>視聴</t>
    </r>
    <r>
      <rPr>
        <rFont val="Arial"/>
        <color rgb="FF555555"/>
        <sz val="8.0"/>
      </rPr>
      <t>×0.3%</t>
    </r>
    <r>
      <rPr>
        <rFont val="Noto Sans CJK SC"/>
        <color rgb="FF555555"/>
        <sz val="8.0"/>
      </rPr>
      <t>推計。</t>
    </r>
    <r>
      <rPr>
        <rFont val="Arial"/>
        <color rgb="FF555555"/>
        <sz val="8.0"/>
      </rPr>
      <t>X/TikTok:</t>
    </r>
    <r>
      <rPr>
        <rFont val="Noto Sans CJK SC"/>
        <color rgb="FF555555"/>
        <sz val="8.0"/>
      </rPr>
      <t>インサイト実績値</t>
    </r>
  </si>
  <si>
    <r>
      <rPr>
        <rFont val="Arial"/>
        <color rgb="FF000000"/>
        <sz val="10.0"/>
      </rPr>
      <t>④ EC</t>
    </r>
    <r>
      <rPr>
        <rFont val="Noto Sans CJK SC"/>
        <color rgb="FF000000"/>
        <sz val="10.0"/>
      </rPr>
      <t>サイト流入（年間）</t>
    </r>
  </si>
  <si>
    <r>
      <rPr>
        <rFont val="Noto Sans CJK SC"/>
        <color rgb="FF555555"/>
        <sz val="8.0"/>
      </rPr>
      <t>プロフィール→</t>
    </r>
    <r>
      <rPr>
        <rFont val="Arial"/>
        <color rgb="FF555555"/>
        <sz val="8.0"/>
      </rPr>
      <t>EC</t>
    </r>
    <r>
      <rPr>
        <rFont val="Noto Sans CJK SC"/>
        <color rgb="FF555555"/>
        <sz val="8.0"/>
      </rPr>
      <t>流入率：</t>
    </r>
    <r>
      <rPr>
        <rFont val="Arial"/>
        <color rgb="FF555555"/>
        <sz val="8.0"/>
      </rPr>
      <t>5</t>
    </r>
    <r>
      <rPr>
        <rFont val="Noto Sans CJK SC"/>
        <color rgb="FF555555"/>
        <sz val="8.0"/>
      </rPr>
      <t>〜</t>
    </r>
    <r>
      <rPr>
        <rFont val="Arial"/>
        <color rgb="FF555555"/>
        <sz val="8.0"/>
      </rPr>
      <t>7%</t>
    </r>
    <r>
      <rPr>
        <rFont val="Noto Sans CJK SC"/>
        <color rgb="FF555555"/>
        <sz val="8.0"/>
      </rPr>
      <t>（業界参考値）</t>
    </r>
  </si>
  <si>
    <r>
      <rPr>
        <rFont val="Noto Sans CJK SC"/>
        <color rgb="FF000000"/>
        <sz val="10.0"/>
      </rPr>
      <t>⑤ 購買</t>
    </r>
    <r>
      <rPr>
        <rFont val="Arial"/>
        <color rgb="FF000000"/>
        <sz val="10.0"/>
      </rPr>
      <t>CV</t>
    </r>
    <r>
      <rPr>
        <rFont val="Noto Sans CJK SC"/>
        <color rgb="FF000000"/>
        <sz val="10.0"/>
      </rPr>
      <t>（年間）</t>
    </r>
  </si>
  <si>
    <r>
      <rPr>
        <rFont val="Arial"/>
        <color rgb="FF555555"/>
        <sz val="8.0"/>
      </rPr>
      <t>CVR=5</t>
    </r>
    <r>
      <rPr>
        <rFont val="Noto Sans CJK SC"/>
        <color rgb="FF555555"/>
        <sz val="8.0"/>
      </rPr>
      <t>行目の入力値（現状）を参照</t>
    </r>
  </si>
  <si>
    <r>
      <rPr>
        <rFont val="Arial"/>
        <b/>
        <color rgb="FF000000"/>
        <sz val="10.0"/>
      </rPr>
      <t>⑥ SNS</t>
    </r>
    <r>
      <rPr>
        <rFont val="Noto Sans CJK SC"/>
        <b/>
        <color rgb="FF000000"/>
        <sz val="10.0"/>
      </rPr>
      <t>経由売上貢献額（年間）</t>
    </r>
  </si>
  <si>
    <r>
      <rPr>
        <rFont val="Noto Sans CJK SC"/>
        <color rgb="FF555555"/>
        <sz val="8.0"/>
      </rPr>
      <t>平均注文単価</t>
    </r>
    <r>
      <rPr>
        <rFont val="Arial"/>
        <color rgb="FF555555"/>
        <sz val="8.0"/>
      </rPr>
      <t>=7</t>
    </r>
    <r>
      <rPr>
        <rFont val="Noto Sans CJK SC"/>
        <color rgb="FF555555"/>
        <sz val="8.0"/>
      </rPr>
      <t>行目の入力値を参照</t>
    </r>
  </si>
  <si>
    <r>
      <rPr>
        <rFont val="Noto Sans CJK SC"/>
        <b/>
        <color rgb="FFFFFFFF"/>
        <sz val="10.0"/>
      </rPr>
      <t>■ セクション</t>
    </r>
    <r>
      <rPr>
        <rFont val="Arial"/>
        <b/>
        <color rgb="FFFFFFFF"/>
        <sz val="10.0"/>
      </rPr>
      <t>2</t>
    </r>
    <r>
      <rPr>
        <rFont val="Noto Sans CJK SC"/>
        <b/>
        <color rgb="FFFFFFFF"/>
        <sz val="10.0"/>
      </rPr>
      <t>：施策後ファネル試算（</t>
    </r>
    <r>
      <rPr>
        <rFont val="Arial"/>
        <b/>
        <color rgb="FFFFFFFF"/>
        <sz val="10.0"/>
      </rPr>
      <t>CTA</t>
    </r>
    <r>
      <rPr>
        <rFont val="Noto Sans CJK SC"/>
        <b/>
        <color rgb="FFFFFFFF"/>
        <sz val="10.0"/>
      </rPr>
      <t>改善・購買導線最適化後）</t>
    </r>
  </si>
  <si>
    <t>施策内容・改善仮定</t>
  </si>
  <si>
    <t>① インプレッション（施策後）</t>
  </si>
  <si>
    <t>リーチは現状維持（コンテンツ継続が前提）</t>
  </si>
  <si>
    <t>② 視聴・接触（施策後）</t>
  </si>
  <si>
    <t>視聴・接触は変化なし（リーチ維持が前提）</t>
  </si>
  <si>
    <t>③ プロフィール訪問（施策後）</t>
  </si>
  <si>
    <r>
      <rPr>
        <rFont val="Noto Sans CJK SC"/>
        <color rgb="FF1B5E20"/>
        <sz val="8.0"/>
      </rPr>
      <t>【</t>
    </r>
    <r>
      <rPr>
        <rFont val="Arial"/>
        <color rgb="FF1B5E20"/>
        <sz val="8.0"/>
      </rPr>
      <t>CTA</t>
    </r>
    <r>
      <rPr>
        <rFont val="Noto Sans CJK SC"/>
        <color rgb="FF1B5E20"/>
        <sz val="8.0"/>
      </rPr>
      <t>改善】</t>
    </r>
    <r>
      <rPr>
        <rFont val="Arial"/>
        <color rgb="FF1B5E20"/>
        <sz val="8.0"/>
      </rPr>
      <t>YouTube:</t>
    </r>
    <r>
      <rPr>
        <rFont val="Noto Sans CJK SC"/>
        <color rgb="FF1B5E20"/>
        <sz val="8.0"/>
      </rPr>
      <t>視聴→プロフィール率</t>
    </r>
    <r>
      <rPr>
        <rFont val="Arial"/>
        <color rgb="FF1B5E20"/>
        <sz val="8.0"/>
      </rPr>
      <t>0.3%→0.5%</t>
    </r>
    <r>
      <rPr>
        <rFont val="Noto Sans CJK SC"/>
        <color rgb="FF1B5E20"/>
        <sz val="8.0"/>
      </rPr>
      <t>。</t>
    </r>
    <r>
      <rPr>
        <rFont val="Arial"/>
        <color rgb="FF1B5E20"/>
        <sz val="8.0"/>
      </rPr>
      <t>X/TikTok:+30%</t>
    </r>
    <r>
      <rPr>
        <rFont val="Noto Sans CJK SC"/>
        <color rgb="FF1B5E20"/>
        <sz val="8.0"/>
      </rPr>
      <t>（</t>
    </r>
    <r>
      <rPr>
        <rFont val="Arial"/>
        <color rgb="FF1B5E20"/>
        <sz val="8.0"/>
      </rPr>
      <t>CTA</t>
    </r>
    <r>
      <rPr>
        <rFont val="Noto Sans CJK SC"/>
        <color rgb="FF1B5E20"/>
        <sz val="8.0"/>
      </rPr>
      <t>明確化）</t>
    </r>
  </si>
  <si>
    <r>
      <rPr>
        <rFont val="Arial"/>
        <color rgb="FF000000"/>
        <sz val="10.0"/>
      </rPr>
      <t>④ EC</t>
    </r>
    <r>
      <rPr>
        <rFont val="Noto Sans CJK SC"/>
        <color rgb="FF000000"/>
        <sz val="10.0"/>
      </rPr>
      <t>サイト流入（施策後）</t>
    </r>
  </si>
  <si>
    <r>
      <rPr>
        <rFont val="Noto Sans CJK SC"/>
        <color rgb="FF1B5E20"/>
        <sz val="8.0"/>
      </rPr>
      <t>【購買導線改善】プロフィール→</t>
    </r>
    <r>
      <rPr>
        <rFont val="Arial"/>
        <color rgb="FF1B5E20"/>
        <sz val="8.0"/>
      </rPr>
      <t>EC</t>
    </r>
    <r>
      <rPr>
        <rFont val="Noto Sans CJK SC"/>
        <color rgb="FF1B5E20"/>
        <sz val="8.0"/>
      </rPr>
      <t>流入率：</t>
    </r>
    <r>
      <rPr>
        <rFont val="Arial"/>
        <color rgb="FF1B5E20"/>
        <sz val="8.0"/>
      </rPr>
      <t>5-7%→8-12%</t>
    </r>
    <r>
      <rPr>
        <rFont val="Noto Sans CJK SC"/>
        <color rgb="FF1B5E20"/>
        <sz val="8.0"/>
      </rPr>
      <t>（商品直リンク・プロフィール最適化）</t>
    </r>
  </si>
  <si>
    <r>
      <rPr>
        <rFont val="Noto Sans CJK SC"/>
        <color rgb="FF000000"/>
        <sz val="10.0"/>
      </rPr>
      <t>⑤ 購買</t>
    </r>
    <r>
      <rPr>
        <rFont val="Arial"/>
        <color rgb="FF000000"/>
        <sz val="10.0"/>
      </rPr>
      <t>CV</t>
    </r>
    <r>
      <rPr>
        <rFont val="Noto Sans CJK SC"/>
        <color rgb="FF000000"/>
        <sz val="10.0"/>
      </rPr>
      <t>（施策後）</t>
    </r>
  </si>
  <si>
    <r>
      <rPr>
        <rFont val="Noto Sans CJK SC"/>
        <color rgb="FF1B5E20"/>
        <sz val="8.0"/>
      </rPr>
      <t>【</t>
    </r>
    <r>
      <rPr>
        <rFont val="Arial"/>
        <color rgb="FF1B5E20"/>
        <sz val="8.0"/>
      </rPr>
      <t>CVR</t>
    </r>
    <r>
      <rPr>
        <rFont val="Noto Sans CJK SC"/>
        <color rgb="FF1B5E20"/>
        <sz val="8.0"/>
      </rPr>
      <t>改善】施策後</t>
    </r>
    <r>
      <rPr>
        <rFont val="Arial"/>
        <color rgb="FF1B5E20"/>
        <sz val="8.0"/>
      </rPr>
      <t>CVR=6</t>
    </r>
    <r>
      <rPr>
        <rFont val="Noto Sans CJK SC"/>
        <color rgb="FF1B5E20"/>
        <sz val="8.0"/>
      </rPr>
      <t>行目入力値を参照（</t>
    </r>
    <r>
      <rPr>
        <rFont val="Arial"/>
        <color rgb="FF1B5E20"/>
        <sz val="8.0"/>
      </rPr>
      <t>1.0%→1.5%</t>
    </r>
    <r>
      <rPr>
        <rFont val="Noto Sans CJK SC"/>
        <color rgb="FF1B5E20"/>
        <sz val="8.0"/>
      </rPr>
      <t>）</t>
    </r>
  </si>
  <si>
    <r>
      <rPr>
        <rFont val="Arial"/>
        <b/>
        <color rgb="FF000000"/>
        <sz val="10.0"/>
      </rPr>
      <t>⑥ SNS</t>
    </r>
    <r>
      <rPr>
        <rFont val="Noto Sans CJK SC"/>
        <b/>
        <color rgb="FF000000"/>
        <sz val="10.0"/>
      </rPr>
      <t>経由売上貢献額（施策後）</t>
    </r>
  </si>
  <si>
    <r>
      <rPr>
        <rFont val="Noto Sans CJK SC"/>
        <color rgb="FF555555"/>
        <sz val="8.0"/>
      </rPr>
      <t>平均注文単価</t>
    </r>
    <r>
      <rPr>
        <rFont val="Arial"/>
        <color rgb="FF555555"/>
        <sz val="8.0"/>
      </rPr>
      <t>=7</t>
    </r>
    <r>
      <rPr>
        <rFont val="Noto Sans CJK SC"/>
        <color rgb="FF555555"/>
        <sz val="8.0"/>
      </rPr>
      <t>行目入力値を参照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</si>
</sst>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#,##0\円"/>
    <numFmt numFmtId="166" formatCode="0.0\倍"/>
    <numFmt numFmtId="167" formatCode="#,##0.00\円"/>
    <numFmt numFmtId="168" formatCode="\¥#,##0"/>
  </numFmts>
  <fonts count="34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666666"/>
      <name val="Noto Sans"/>
    </font>
    <font>
      <sz val="11.0"/>
      <color theme="1"/>
      <name val="Calibri"/>
    </font>
    <font>
      <b/>
      <sz val="10.0"/>
      <color rgb="FF1F3864"/>
      <name val="Arial"/>
    </font>
    <font>
      <b/>
      <sz val="10.0"/>
      <color rgb="FFFFFFFF"/>
      <name val="Noto Sans"/>
    </font>
    <font>
      <sz val="10.0"/>
      <color rgb="FF000000"/>
      <name val="Arial"/>
    </font>
    <font>
      <sz val="10.0"/>
      <color rgb="FF000000"/>
      <name val="Noto Sans"/>
    </font>
    <font>
      <b/>
      <sz val="10.0"/>
      <color rgb="FF000000"/>
      <name val="Arial"/>
    </font>
    <font>
      <b/>
      <sz val="10.0"/>
      <color rgb="FF1F3864"/>
      <name val="Noto Sans"/>
    </font>
    <font>
      <b/>
      <sz val="10.0"/>
      <color rgb="FF000000"/>
      <name val="Noto Sans"/>
    </font>
    <font>
      <b/>
      <sz val="14.0"/>
      <color rgb="FFFFFFFF"/>
      <name val="Noto Sans"/>
    </font>
    <font>
      <b/>
      <sz val="10.0"/>
      <color rgb="FF0070C0"/>
      <name val="Arial"/>
    </font>
    <font>
      <i/>
      <sz val="8.0"/>
      <color rgb="FFE65100"/>
      <name val="Noto Sans"/>
    </font>
    <font>
      <b/>
      <sz val="11.0"/>
      <color rgb="FFFFFFFF"/>
      <name val="Noto Sans"/>
    </font>
    <font>
      <b/>
      <sz val="11.0"/>
      <color rgb="FFFFFFFF"/>
      <name val="Arial"/>
    </font>
    <font>
      <b/>
      <sz val="10.0"/>
      <color rgb="FF444444"/>
      <name val="Noto Sans"/>
    </font>
    <font>
      <i/>
      <sz val="9.0"/>
      <color rgb="FF666666"/>
      <name val="Arial"/>
    </font>
    <font>
      <i/>
      <sz val="9.0"/>
      <color rgb="FF888888"/>
      <name val="Noto Sans"/>
    </font>
    <font>
      <i/>
      <sz val="8.0"/>
      <color rgb="FF888888"/>
      <name val="Arial"/>
    </font>
    <font>
      <b/>
      <sz val="10.0"/>
      <color rgb="FFFFFFFF"/>
      <name val="Arial"/>
    </font>
    <font>
      <b/>
      <sz val="10.0"/>
      <color rgb="FF1F4E79"/>
      <name val="Noto Sans"/>
    </font>
    <font>
      <b/>
      <sz val="10.0"/>
      <color rgb="FF2E75B6"/>
      <name val="Noto Sans"/>
    </font>
    <font>
      <b/>
      <sz val="10.0"/>
      <color rgb="FF5BA3D4"/>
      <name val="Noto Sans"/>
    </font>
    <font>
      <i/>
      <sz val="10.0"/>
      <color rgb="FF888888"/>
      <name val="Noto Sans"/>
    </font>
    <font>
      <b/>
      <sz val="10.0"/>
      <color rgb="FF9DC3E6"/>
      <name val="Noto Sans"/>
    </font>
    <font>
      <sz val="10.0"/>
      <color rgb="FF888888"/>
      <name val="Arial"/>
    </font>
    <font>
      <b/>
      <sz val="10.0"/>
      <color rgb="FFCC4400"/>
      <name val="Noto Sans"/>
    </font>
    <font>
      <b/>
      <sz val="10.0"/>
      <color rgb="FFBDD7EE"/>
      <name val="Noto Sans"/>
    </font>
    <font>
      <b/>
      <sz val="12.0"/>
      <color rgb="FFFFFFFF"/>
      <name val="Noto Sans"/>
    </font>
    <font>
      <sz val="8.0"/>
      <color rgb="FF555555"/>
      <name val="Noto Sans"/>
    </font>
    <font>
      <sz val="8.0"/>
      <color rgb="FF555555"/>
      <name val="Arial"/>
    </font>
    <font>
      <sz val="8.0"/>
      <color rgb="FF1B5E20"/>
      <name val="Noto Sans"/>
    </font>
  </fonts>
  <fills count="2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ED7D31"/>
        <bgColor rgb="FFED7D31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70AD47"/>
        <bgColor rgb="FF70AD47"/>
      </patternFill>
    </fill>
    <fill>
      <patternFill patternType="solid">
        <fgColor rgb="FFFFFFCC"/>
        <bgColor rgb="FFFFFFCC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595959"/>
        <bgColor rgb="FF595959"/>
      </patternFill>
    </fill>
    <fill>
      <patternFill patternType="solid">
        <fgColor rgb="FFFFD7D7"/>
        <bgColor rgb="FFFFD7D7"/>
      </patternFill>
    </fill>
    <fill>
      <patternFill patternType="solid">
        <fgColor rgb="FF2C3E50"/>
        <bgColor rgb="FF2C3E50"/>
      </patternFill>
    </fill>
    <fill>
      <patternFill patternType="solid">
        <fgColor rgb="FFFAFAFA"/>
        <bgColor rgb="FFFAFAFA"/>
      </patternFill>
    </fill>
    <fill>
      <patternFill patternType="solid">
        <fgColor rgb="FF37474F"/>
        <bgColor rgb="FF37474F"/>
      </patternFill>
    </fill>
    <fill>
      <patternFill patternType="solid">
        <fgColor rgb="FFDDEEFF"/>
        <bgColor rgb="FFDDEEFF"/>
      </patternFill>
    </fill>
    <fill>
      <patternFill patternType="solid">
        <fgColor rgb="FF546E7A"/>
        <bgColor rgb="FF546E7A"/>
      </patternFill>
    </fill>
    <fill>
      <patternFill patternType="solid">
        <fgColor rgb="FFE8F5E9"/>
        <bgColor rgb="FFE8F5E9"/>
      </patternFill>
    </fill>
    <fill>
      <patternFill patternType="solid">
        <fgColor rgb="FF1B5E20"/>
        <bgColor rgb="FF1B5E20"/>
      </patternFill>
    </fill>
    <fill>
      <patternFill patternType="solid">
        <fgColor rgb="FF2E7D32"/>
        <bgColor rgb="FF2E7D32"/>
      </patternFill>
    </fill>
    <fill>
      <patternFill patternType="solid">
        <fgColor rgb="FFC8E6C9"/>
        <bgColor rgb="FFC8E6C9"/>
      </patternFill>
    </fill>
  </fills>
  <borders count="34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medium">
        <color rgb="FF2E75B6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 style="medium">
        <color rgb="FF2E75B6"/>
      </bottom>
    </border>
    <border>
      <top/>
      <bottom style="medium">
        <color rgb="FF2E75B6"/>
      </bottom>
    </border>
    <border>
      <right/>
      <top/>
      <bottom style="medium">
        <color rgb="FF2E75B6"/>
      </bottom>
    </border>
    <border>
      <left style="thin">
        <color rgb="FF000000"/>
      </left>
      <top style="medium">
        <color rgb="FF2E75B6"/>
      </top>
      <bottom style="thin">
        <color rgb="FF000000"/>
      </bottom>
    </border>
    <border>
      <top style="medium">
        <color rgb="FF2E75B6"/>
      </top>
      <bottom style="thin">
        <color rgb="FF000000"/>
      </bottom>
    </border>
    <border>
      <right/>
      <top style="medium">
        <color rgb="FF2E75B6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2E75B6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1F4E79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2E75B6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5BA3D4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9DC3E6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BDD7EE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shrinkToFit="0" vertical="bottom" wrapText="0"/>
    </xf>
    <xf borderId="5" fillId="3" fontId="5" numFmtId="0" xfId="0" applyAlignment="1" applyBorder="1" applyFill="1" applyFont="1">
      <alignment horizontal="left" shrinkToFit="0" vertical="center" wrapText="0"/>
    </xf>
    <xf borderId="6" fillId="4" fontId="6" numFmtId="0" xfId="0" applyAlignment="1" applyBorder="1" applyFill="1" applyFont="1">
      <alignment horizontal="center" shrinkToFit="0" vertical="center" wrapText="0"/>
    </xf>
    <xf borderId="4" fillId="3" fontId="7" numFmtId="0" xfId="0" applyAlignment="1" applyBorder="1" applyFont="1">
      <alignment horizontal="left" shrinkToFit="0" vertical="center" wrapText="0"/>
    </xf>
    <xf borderId="4" fillId="3" fontId="8" numFmtId="0" xfId="0" applyAlignment="1" applyBorder="1" applyFont="1">
      <alignment horizontal="center" shrinkToFit="0" vertical="center" wrapText="0"/>
    </xf>
    <xf borderId="4" fillId="3" fontId="9" numFmtId="3" xfId="0" applyAlignment="1" applyBorder="1" applyFont="1" applyNumberFormat="1">
      <alignment horizontal="center" shrinkToFit="0" vertical="center" wrapText="0"/>
    </xf>
    <xf borderId="4" fillId="5" fontId="7" numFmtId="0" xfId="0" applyAlignment="1" applyBorder="1" applyFill="1" applyFont="1">
      <alignment horizontal="left" shrinkToFit="0" vertical="center" wrapText="0"/>
    </xf>
    <xf borderId="4" fillId="5" fontId="8" numFmtId="0" xfId="0" applyAlignment="1" applyBorder="1" applyFont="1">
      <alignment horizontal="center" shrinkToFit="0" vertical="center" wrapText="0"/>
    </xf>
    <xf borderId="4" fillId="5" fontId="7" numFmtId="3" xfId="0" applyAlignment="1" applyBorder="1" applyFont="1" applyNumberFormat="1">
      <alignment horizontal="center" shrinkToFit="0" vertical="center" wrapText="0"/>
    </xf>
    <xf borderId="4" fillId="5" fontId="7" numFmtId="164" xfId="0" applyAlignment="1" applyBorder="1" applyFont="1" applyNumberFormat="1">
      <alignment horizontal="center" shrinkToFit="0" vertical="center" wrapText="0"/>
    </xf>
    <xf borderId="4" fillId="3" fontId="7" numFmtId="3" xfId="0" applyAlignment="1" applyBorder="1" applyFont="1" applyNumberFormat="1">
      <alignment horizontal="center" shrinkToFit="0" vertical="center" wrapText="0"/>
    </xf>
    <xf borderId="5" fillId="6" fontId="10" numFmtId="0" xfId="0" applyAlignment="1" applyBorder="1" applyFill="1" applyFont="1">
      <alignment horizontal="left" shrinkToFit="0" vertical="center" wrapText="0"/>
    </xf>
    <xf borderId="0" fillId="0" fontId="10" numFmtId="0" xfId="0" applyAlignment="1" applyFont="1">
      <alignment horizontal="left" shrinkToFit="0" vertical="center" wrapText="0"/>
    </xf>
    <xf borderId="6" fillId="7" fontId="6" numFmtId="0" xfId="0" applyAlignment="1" applyBorder="1" applyFill="1" applyFont="1">
      <alignment horizontal="center" shrinkToFit="0" vertical="center" wrapText="0"/>
    </xf>
    <xf borderId="4" fillId="6" fontId="7" numFmtId="0" xfId="0" applyAlignment="1" applyBorder="1" applyFont="1">
      <alignment horizontal="left" shrinkToFit="0" vertical="center" wrapText="0"/>
    </xf>
    <xf borderId="4" fillId="6" fontId="7" numFmtId="165" xfId="0" applyAlignment="1" applyBorder="1" applyFont="1" applyNumberFormat="1">
      <alignment horizontal="right" shrinkToFit="0" vertical="center" wrapText="0"/>
    </xf>
    <xf borderId="4" fillId="5" fontId="7" numFmtId="165" xfId="0" applyAlignment="1" applyBorder="1" applyFont="1" applyNumberFormat="1">
      <alignment horizontal="right" shrinkToFit="0" vertical="center" wrapText="0"/>
    </xf>
    <xf borderId="4" fillId="8" fontId="11" numFmtId="0" xfId="0" applyAlignment="1" applyBorder="1" applyFill="1" applyFont="1">
      <alignment horizontal="left" shrinkToFit="0" vertical="center" wrapText="0"/>
    </xf>
    <xf borderId="4" fillId="8" fontId="9" numFmtId="165" xfId="0" applyAlignment="1" applyBorder="1" applyFont="1" applyNumberFormat="1">
      <alignment horizontal="right" shrinkToFit="0" vertical="center" wrapText="0"/>
    </xf>
    <xf borderId="5" fillId="9" fontId="10" numFmtId="0" xfId="0" applyAlignment="1" applyBorder="1" applyFill="1" applyFont="1">
      <alignment horizontal="left" shrinkToFit="0" vertical="center" wrapText="0"/>
    </xf>
    <xf borderId="6" fillId="10" fontId="6" numFmtId="0" xfId="0" applyAlignment="1" applyBorder="1" applyFill="1" applyFont="1">
      <alignment horizontal="center" shrinkToFit="0" vertical="center" wrapText="0"/>
    </xf>
    <xf borderId="6" fillId="10" fontId="6" numFmtId="0" xfId="0" applyAlignment="1" applyBorder="1" applyFont="1">
      <alignment horizontal="center" readingOrder="0" shrinkToFit="0" vertical="center" wrapText="0"/>
    </xf>
    <xf borderId="4" fillId="9" fontId="8" numFmtId="0" xfId="0" applyAlignment="1" applyBorder="1" applyFont="1">
      <alignment horizontal="left" shrinkToFit="0" vertical="center" wrapText="0"/>
    </xf>
    <xf borderId="4" fillId="9" fontId="7" numFmtId="165" xfId="0" applyAlignment="1" applyBorder="1" applyFont="1" applyNumberFormat="1">
      <alignment horizontal="right" shrinkToFit="0" vertical="center" wrapText="0"/>
    </xf>
    <xf borderId="4" fillId="5" fontId="8" numFmtId="0" xfId="0" applyAlignment="1" applyBorder="1" applyFont="1">
      <alignment horizontal="left" shrinkToFit="0" vertical="center" wrapText="0"/>
    </xf>
    <xf borderId="4" fillId="9" fontId="7" numFmtId="0" xfId="0" applyAlignment="1" applyBorder="1" applyFont="1">
      <alignment horizontal="left" shrinkToFit="0" vertical="center" wrapText="0"/>
    </xf>
    <xf borderId="4" fillId="9" fontId="9" numFmtId="166" xfId="0" applyAlignment="1" applyBorder="1" applyFont="1" applyNumberFormat="1">
      <alignment horizontal="right" shrinkToFit="0" vertical="center" wrapText="0"/>
    </xf>
    <xf borderId="4" fillId="9" fontId="7" numFmtId="166" xfId="0" applyAlignment="1" applyBorder="1" applyFont="1" applyNumberFormat="1">
      <alignment horizontal="right" shrinkToFit="0" vertical="center" wrapText="0"/>
    </xf>
    <xf borderId="4" fillId="5" fontId="9" numFmtId="166" xfId="0" applyAlignment="1" applyBorder="1" applyFont="1" applyNumberFormat="1">
      <alignment horizontal="right" shrinkToFit="0" vertical="center" wrapText="0"/>
    </xf>
    <xf borderId="4" fillId="5" fontId="7" numFmtId="166" xfId="0" applyAlignment="1" applyBorder="1" applyFont="1" applyNumberFormat="1">
      <alignment horizontal="right" shrinkToFit="0" vertical="center" wrapText="0"/>
    </xf>
    <xf borderId="1" fillId="2" fontId="12" numFmtId="0" xfId="0" applyAlignment="1" applyBorder="1" applyFont="1">
      <alignment horizontal="center" shrinkToFit="0" vertical="center" wrapText="0"/>
    </xf>
    <xf borderId="4" fillId="2" fontId="6" numFmtId="0" xfId="0" applyAlignment="1" applyBorder="1" applyFont="1">
      <alignment horizontal="center" shrinkToFit="0" vertical="center" wrapText="1"/>
    </xf>
    <xf borderId="7" fillId="3" fontId="5" numFmtId="0" xfId="0" applyAlignment="1" applyBorder="1" applyFont="1">
      <alignment horizontal="left" shrinkToFit="0" vertical="center" wrapText="0"/>
    </xf>
    <xf borderId="8" fillId="0" fontId="2" numFmtId="0" xfId="0" applyBorder="1" applyFont="1"/>
    <xf borderId="9" fillId="0" fontId="2" numFmtId="0" xfId="0" applyBorder="1" applyFont="1"/>
    <xf borderId="4" fillId="3" fontId="8" numFmtId="0" xfId="0" applyAlignment="1" applyBorder="1" applyFont="1">
      <alignment horizontal="left" shrinkToFit="0" vertical="center" wrapText="0"/>
    </xf>
    <xf borderId="4" fillId="11" fontId="13" numFmtId="3" xfId="0" applyAlignment="1" applyBorder="1" applyFill="1" applyFont="1" applyNumberFormat="1">
      <alignment horizontal="right" shrinkToFit="0" vertical="bottom" wrapText="0"/>
    </xf>
    <xf borderId="4" fillId="3" fontId="7" numFmtId="167" xfId="0" applyAlignment="1" applyBorder="1" applyFont="1" applyNumberFormat="1">
      <alignment horizontal="right" shrinkToFit="0" vertical="center" wrapText="0"/>
    </xf>
    <xf borderId="4" fillId="3" fontId="7" numFmtId="165" xfId="0" applyAlignment="1" applyBorder="1" applyFont="1" applyNumberFormat="1">
      <alignment horizontal="right" shrinkToFit="0" vertical="center" wrapText="0"/>
    </xf>
    <xf borderId="4" fillId="5" fontId="7" numFmtId="167" xfId="0" applyAlignment="1" applyBorder="1" applyFont="1" applyNumberFormat="1">
      <alignment horizontal="right" shrinkToFit="0" vertical="center" wrapText="0"/>
    </xf>
    <xf borderId="4" fillId="11" fontId="13" numFmtId="164" xfId="0" applyAlignment="1" applyBorder="1" applyFont="1" applyNumberFormat="1">
      <alignment horizontal="right" shrinkToFit="0" vertical="bottom" wrapText="0"/>
    </xf>
    <xf borderId="4" fillId="3" fontId="7" numFmtId="0" xfId="0" applyAlignment="1" applyBorder="1" applyFont="1">
      <alignment horizontal="center" shrinkToFit="0" vertical="center" wrapText="0"/>
    </xf>
    <xf borderId="10" fillId="3" fontId="9" numFmtId="0" xfId="0" applyAlignment="1" applyBorder="1" applyFont="1">
      <alignment horizontal="right" readingOrder="0" shrinkToFit="0" vertical="center" wrapText="0"/>
    </xf>
    <xf borderId="11" fillId="0" fontId="2" numFmtId="0" xfId="0" applyBorder="1" applyFont="1"/>
    <xf borderId="12" fillId="0" fontId="2" numFmtId="0" xfId="0" applyBorder="1" applyFont="1"/>
    <xf borderId="13" fillId="3" fontId="9" numFmtId="165" xfId="0" applyAlignment="1" applyBorder="1" applyFont="1" applyNumberFormat="1">
      <alignment horizontal="right" shrinkToFit="0" vertical="center" wrapText="0"/>
    </xf>
    <xf borderId="0" fillId="0" fontId="14" numFmtId="0" xfId="0" applyAlignment="1" applyFont="1">
      <alignment horizontal="left" shrinkToFit="0" vertical="center" wrapText="1"/>
    </xf>
    <xf borderId="7" fillId="9" fontId="5" numFmtId="0" xfId="0" applyAlignment="1" applyBorder="1" applyFont="1">
      <alignment horizontal="left" shrinkToFit="0" vertical="center" wrapText="0"/>
    </xf>
    <xf borderId="4" fillId="9" fontId="8" numFmtId="0" xfId="0" applyAlignment="1" applyBorder="1" applyFont="1">
      <alignment horizontal="center" shrinkToFit="0" vertical="center" wrapText="0"/>
    </xf>
    <xf borderId="4" fillId="5" fontId="7" numFmtId="0" xfId="0" applyAlignment="1" applyBorder="1" applyFont="1">
      <alignment horizontal="center" shrinkToFit="0" vertical="center" wrapText="0"/>
    </xf>
    <xf borderId="4" fillId="9" fontId="7" numFmtId="0" xfId="0" applyAlignment="1" applyBorder="1" applyFont="1">
      <alignment horizontal="center" shrinkToFit="0" vertical="center" wrapText="0"/>
    </xf>
    <xf borderId="10" fillId="9" fontId="9" numFmtId="0" xfId="0" applyAlignment="1" applyBorder="1" applyFont="1">
      <alignment horizontal="right" shrinkToFit="0" vertical="center" wrapText="0"/>
    </xf>
    <xf borderId="13" fillId="9" fontId="9" numFmtId="165" xfId="0" applyAlignment="1" applyBorder="1" applyFont="1" applyNumberFormat="1">
      <alignment horizontal="right" shrinkToFit="0" vertical="center" wrapText="0"/>
    </xf>
    <xf borderId="7" fillId="6" fontId="5" numFmtId="0" xfId="0" applyAlignment="1" applyBorder="1" applyFont="1">
      <alignment horizontal="left" shrinkToFit="0" vertical="center" wrapText="0"/>
    </xf>
    <xf borderId="4" fillId="6" fontId="8" numFmtId="0" xfId="0" applyAlignment="1" applyBorder="1" applyFont="1">
      <alignment horizontal="left" shrinkToFit="0" vertical="center" wrapText="0"/>
    </xf>
    <xf borderId="4" fillId="6" fontId="8" numFmtId="0" xfId="0" applyAlignment="1" applyBorder="1" applyFont="1">
      <alignment horizontal="center" shrinkToFit="0" vertical="center" wrapText="0"/>
    </xf>
    <xf borderId="4" fillId="6" fontId="7" numFmtId="0" xfId="0" applyAlignment="1" applyBorder="1" applyFont="1">
      <alignment horizontal="center" shrinkToFit="0" vertical="center" wrapText="0"/>
    </xf>
    <xf borderId="10" fillId="6" fontId="9" numFmtId="0" xfId="0" applyAlignment="1" applyBorder="1" applyFont="1">
      <alignment horizontal="right" shrinkToFit="0" vertical="center" wrapText="0"/>
    </xf>
    <xf borderId="13" fillId="6" fontId="9" numFmtId="165" xfId="0" applyAlignment="1" applyBorder="1" applyFont="1" applyNumberFormat="1">
      <alignment horizontal="right" shrinkToFit="0" vertical="center" wrapText="0"/>
    </xf>
    <xf borderId="14" fillId="2" fontId="15" numFmtId="0" xfId="0" applyAlignment="1" applyBorder="1" applyFont="1">
      <alignment horizontal="right" shrinkToFit="0" vertical="center" wrapText="0"/>
    </xf>
    <xf borderId="15" fillId="0" fontId="2" numFmtId="0" xfId="0" applyBorder="1" applyFont="1"/>
    <xf borderId="16" fillId="0" fontId="2" numFmtId="0" xfId="0" applyBorder="1" applyFont="1"/>
    <xf borderId="17" fillId="2" fontId="16" numFmtId="165" xfId="0" applyAlignment="1" applyBorder="1" applyFont="1" applyNumberFormat="1">
      <alignment horizontal="right" shrinkToFit="0" vertical="center" wrapText="0"/>
    </xf>
    <xf borderId="18" fillId="12" fontId="11" numFmtId="0" xfId="0" applyAlignment="1" applyBorder="1" applyFill="1" applyFont="1">
      <alignment horizontal="right" shrinkToFit="0" vertical="center" wrapText="0"/>
    </xf>
    <xf borderId="19" fillId="0" fontId="2" numFmtId="0" xfId="0" applyBorder="1" applyFont="1"/>
    <xf borderId="20" fillId="0" fontId="2" numFmtId="0" xfId="0" applyBorder="1" applyFont="1"/>
    <xf borderId="21" fillId="12" fontId="9" numFmtId="165" xfId="0" applyAlignment="1" applyBorder="1" applyFont="1" applyNumberFormat="1">
      <alignment horizontal="right" shrinkToFit="0" vertical="center" wrapText="0"/>
    </xf>
    <xf borderId="7" fillId="13" fontId="17" numFmtId="0" xfId="0" applyAlignment="1" applyBorder="1" applyFill="1" applyFont="1">
      <alignment horizontal="left" shrinkToFit="0" vertical="center" wrapText="0"/>
    </xf>
    <xf borderId="4" fillId="14" fontId="6" numFmtId="0" xfId="0" applyAlignment="1" applyBorder="1" applyFill="1" applyFont="1">
      <alignment horizontal="center" shrinkToFit="0" vertical="center" wrapText="0"/>
    </xf>
    <xf borderId="22" fillId="14" fontId="6" numFmtId="0" xfId="0" applyAlignment="1" applyBorder="1" applyFont="1">
      <alignment horizontal="center" shrinkToFit="0" vertical="center" wrapText="0"/>
    </xf>
    <xf borderId="23" fillId="0" fontId="2" numFmtId="0" xfId="0" applyBorder="1" applyFont="1"/>
    <xf borderId="4" fillId="13" fontId="9" numFmtId="0" xfId="0" applyAlignment="1" applyBorder="1" applyFont="1">
      <alignment horizontal="left" shrinkToFit="0" vertical="center" wrapText="0"/>
    </xf>
    <xf borderId="22" fillId="13" fontId="18" numFmtId="0" xfId="0" applyAlignment="1" applyBorder="1" applyFont="1">
      <alignment horizontal="left" readingOrder="0" shrinkToFit="0" vertical="center" wrapText="1"/>
    </xf>
    <xf borderId="4" fillId="11" fontId="13" numFmtId="165" xfId="0" applyAlignment="1" applyBorder="1" applyFont="1" applyNumberFormat="1">
      <alignment horizontal="right" shrinkToFit="0" vertical="center" wrapText="0"/>
    </xf>
    <xf borderId="4" fillId="0" fontId="19" numFmtId="0" xfId="0" applyAlignment="1" applyBorder="1" applyFont="1">
      <alignment horizontal="left" shrinkToFit="0" vertical="center" wrapText="0"/>
    </xf>
    <xf borderId="4" fillId="5" fontId="9" numFmtId="0" xfId="0" applyAlignment="1" applyBorder="1" applyFont="1">
      <alignment horizontal="left" readingOrder="0" shrinkToFit="0" vertical="center" wrapText="0"/>
    </xf>
    <xf borderId="22" fillId="5" fontId="18" numFmtId="0" xfId="0" applyAlignment="1" applyBorder="1" applyFont="1">
      <alignment horizontal="left" shrinkToFit="0" vertical="center" wrapText="1"/>
    </xf>
    <xf borderId="4" fillId="0" fontId="20" numFmtId="0" xfId="0" applyAlignment="1" applyBorder="1" applyFont="1">
      <alignment horizontal="left" shrinkToFit="0" vertical="center" wrapText="0"/>
    </xf>
    <xf borderId="7" fillId="3" fontId="10" numFmtId="0" xfId="0" applyAlignment="1" applyBorder="1" applyFont="1">
      <alignment horizontal="left" shrinkToFit="0" vertical="center" wrapText="0"/>
    </xf>
    <xf borderId="4" fillId="4" fontId="6" numFmtId="0" xfId="0" applyAlignment="1" applyBorder="1" applyFont="1">
      <alignment horizontal="center" shrinkToFit="0" vertical="center" wrapText="0"/>
    </xf>
    <xf borderId="4" fillId="4" fontId="21" numFmtId="0" xfId="0" applyAlignment="1" applyBorder="1" applyFont="1">
      <alignment horizontal="center" shrinkToFit="0" vertical="center" wrapText="0"/>
    </xf>
    <xf borderId="24" fillId="13" fontId="22" numFmtId="0" xfId="0" applyAlignment="1" applyBorder="1" applyFont="1">
      <alignment horizontal="left" shrinkToFit="0" vertical="center" wrapText="0"/>
    </xf>
    <xf borderId="4" fillId="11" fontId="13" numFmtId="3" xfId="0" applyAlignment="1" applyBorder="1" applyFont="1" applyNumberFormat="1">
      <alignment horizontal="right" shrinkToFit="0" vertical="center" wrapText="0"/>
    </xf>
    <xf borderId="4" fillId="5" fontId="7" numFmtId="3" xfId="0" applyAlignment="1" applyBorder="1" applyFont="1" applyNumberFormat="1">
      <alignment horizontal="right" shrinkToFit="0" vertical="center" wrapText="0"/>
    </xf>
    <xf borderId="4" fillId="0" fontId="8" numFmtId="0" xfId="0" applyAlignment="1" applyBorder="1" applyFont="1">
      <alignment horizontal="center" shrinkToFit="0" vertical="center" wrapText="0"/>
    </xf>
    <xf borderId="4" fillId="9" fontId="11" numFmtId="0" xfId="0" applyAlignment="1" applyBorder="1" applyFont="1">
      <alignment horizontal="center" shrinkToFit="0" vertical="center" wrapText="0"/>
    </xf>
    <xf borderId="25" fillId="13" fontId="23" numFmtId="0" xfId="0" applyAlignment="1" applyBorder="1" applyFont="1">
      <alignment horizontal="left" shrinkToFit="0" vertical="center" wrapText="0"/>
    </xf>
    <xf borderId="4" fillId="5" fontId="7" numFmtId="164" xfId="0" applyAlignment="1" applyBorder="1" applyFont="1" applyNumberFormat="1">
      <alignment horizontal="right" shrinkToFit="0" vertical="center" wrapText="0"/>
    </xf>
    <xf borderId="26" fillId="13" fontId="24" numFmtId="0" xfId="0" applyAlignment="1" applyBorder="1" applyFont="1">
      <alignment horizontal="left" shrinkToFit="0" vertical="center" wrapText="0"/>
    </xf>
    <xf borderId="4" fillId="0" fontId="25" numFmtId="0" xfId="0" applyAlignment="1" applyBorder="1" applyFont="1">
      <alignment horizontal="center" shrinkToFit="0" vertical="center" wrapText="0"/>
    </xf>
    <xf borderId="4" fillId="6" fontId="11" numFmtId="0" xfId="0" applyAlignment="1" applyBorder="1" applyFont="1">
      <alignment horizontal="center" shrinkToFit="0" vertical="center" wrapText="0"/>
    </xf>
    <xf borderId="27" fillId="13" fontId="26" numFmtId="0" xfId="0" applyAlignment="1" applyBorder="1" applyFont="1">
      <alignment horizontal="left" shrinkToFit="0" vertical="center" wrapText="0"/>
    </xf>
    <xf borderId="4" fillId="0" fontId="27" numFmtId="0" xfId="0" applyAlignment="1" applyBorder="1" applyFont="1">
      <alignment horizontal="center" shrinkToFit="0" vertical="center" wrapText="0"/>
    </xf>
    <xf borderId="4" fillId="0" fontId="28" numFmtId="0" xfId="0" applyAlignment="1" applyBorder="1" applyFont="1">
      <alignment horizontal="center" shrinkToFit="0" vertical="center" wrapText="0"/>
    </xf>
    <xf borderId="28" fillId="13" fontId="29" numFmtId="0" xfId="0" applyAlignment="1" applyBorder="1" applyFont="1">
      <alignment horizontal="left" shrinkToFit="0" vertical="center" wrapText="0"/>
    </xf>
    <xf borderId="4" fillId="15" fontId="11" numFmtId="0" xfId="0" applyAlignment="1" applyBorder="1" applyFill="1" applyFont="1">
      <alignment horizontal="center" shrinkToFit="0" vertical="center" wrapText="0"/>
    </xf>
    <xf borderId="4" fillId="7" fontId="6" numFmtId="0" xfId="0" applyAlignment="1" applyBorder="1" applyFont="1">
      <alignment horizontal="center" shrinkToFit="0" vertical="center" wrapText="0"/>
    </xf>
    <xf borderId="22" fillId="7" fontId="6" numFmtId="0" xfId="0" applyAlignment="1" applyBorder="1" applyFont="1">
      <alignment horizontal="center" shrinkToFit="0" vertical="center" wrapText="0"/>
    </xf>
    <xf borderId="29" fillId="0" fontId="2" numFmtId="0" xfId="0" applyBorder="1" applyFont="1"/>
    <xf borderId="4" fillId="6" fontId="9" numFmtId="0" xfId="0" applyAlignment="1" applyBorder="1" applyFont="1">
      <alignment horizontal="center" shrinkToFit="0" vertical="center" wrapText="1"/>
    </xf>
    <xf borderId="22" fillId="6" fontId="8" numFmtId="0" xfId="0" applyAlignment="1" applyBorder="1" applyFont="1">
      <alignment horizontal="left" shrinkToFit="0" vertical="center" wrapText="1"/>
    </xf>
    <xf borderId="4" fillId="15" fontId="11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22" fillId="5" fontId="8" numFmtId="0" xfId="0" applyAlignment="1" applyBorder="1" applyFont="1">
      <alignment horizontal="left" shrinkToFit="0" vertical="center" wrapText="1"/>
    </xf>
    <xf borderId="4" fillId="6" fontId="11" numFmtId="0" xfId="0" applyAlignment="1" applyBorder="1" applyFont="1">
      <alignment horizontal="center" shrinkToFit="0" vertical="center" wrapText="1"/>
    </xf>
    <xf borderId="4" fillId="11" fontId="11" numFmtId="0" xfId="0" applyAlignment="1" applyBorder="1" applyFont="1">
      <alignment horizontal="center" shrinkToFit="0" vertical="center" wrapText="1"/>
    </xf>
    <xf borderId="22" fillId="5" fontId="7" numFmtId="0" xfId="0" applyAlignment="1" applyBorder="1" applyFont="1">
      <alignment horizontal="left" shrinkToFit="0" vertical="center" wrapText="1"/>
    </xf>
    <xf borderId="30" fillId="16" fontId="30" numFmtId="0" xfId="0" applyAlignment="1" applyBorder="1" applyFill="1" applyFont="1">
      <alignment horizontal="center" shrinkToFit="0" vertical="center" wrapText="1"/>
    </xf>
    <xf borderId="31" fillId="0" fontId="2" numFmtId="0" xfId="0" applyBorder="1" applyFont="1"/>
    <xf borderId="32" fillId="0" fontId="2" numFmtId="0" xfId="0" applyBorder="1" applyFont="1"/>
    <xf borderId="30" fillId="17" fontId="31" numFmtId="0" xfId="0" applyAlignment="1" applyBorder="1" applyFill="1" applyFont="1">
      <alignment horizontal="left" shrinkToFit="0" vertical="center" wrapText="1"/>
    </xf>
    <xf borderId="30" fillId="18" fontId="6" numFmtId="0" xfId="0" applyAlignment="1" applyBorder="1" applyFill="1" applyFont="1">
      <alignment horizontal="center" shrinkToFit="0" vertical="center" wrapText="1"/>
    </xf>
    <xf borderId="33" fillId="0" fontId="11" numFmtId="0" xfId="0" applyAlignment="1" applyBorder="1" applyFont="1">
      <alignment horizontal="left" shrinkToFit="0" vertical="center" wrapText="1"/>
    </xf>
    <xf borderId="33" fillId="19" fontId="7" numFmtId="164" xfId="0" applyAlignment="1" applyBorder="1" applyFill="1" applyFont="1" applyNumberFormat="1">
      <alignment horizontal="center" shrinkToFit="0" vertical="center" wrapText="1"/>
    </xf>
    <xf borderId="30" fillId="0" fontId="31" numFmtId="0" xfId="0" applyAlignment="1" applyBorder="1" applyFont="1">
      <alignment horizontal="left" shrinkToFit="0" vertical="center" wrapText="1"/>
    </xf>
    <xf borderId="30" fillId="0" fontId="32" numFmtId="0" xfId="0" applyAlignment="1" applyBorder="1" applyFont="1">
      <alignment horizontal="left" shrinkToFit="0" vertical="center" wrapText="1"/>
    </xf>
    <xf borderId="33" fillId="19" fontId="7" numFmtId="3" xfId="0" applyAlignment="1" applyBorder="1" applyFont="1" applyNumberFormat="1">
      <alignment horizontal="center" shrinkToFit="0" vertical="center" wrapText="1"/>
    </xf>
    <xf borderId="33" fillId="20" fontId="6" numFmtId="0" xfId="0" applyAlignment="1" applyBorder="1" applyFill="1" applyFont="1">
      <alignment horizontal="center" shrinkToFit="0" vertical="center" wrapText="1"/>
    </xf>
    <xf borderId="33" fillId="20" fontId="21" numFmtId="0" xfId="0" applyAlignment="1" applyBorder="1" applyFont="1">
      <alignment horizontal="center" shrinkToFit="0" vertical="center" wrapText="1"/>
    </xf>
    <xf borderId="33" fillId="0" fontId="8" numFmtId="0" xfId="0" applyAlignment="1" applyBorder="1" applyFont="1">
      <alignment horizontal="left" shrinkToFit="0" vertical="center" wrapText="1"/>
    </xf>
    <xf borderId="33" fillId="0" fontId="7" numFmtId="3" xfId="0" applyAlignment="1" applyBorder="1" applyFont="1" applyNumberFormat="1">
      <alignment horizontal="center" shrinkToFit="0" vertical="center" wrapText="1"/>
    </xf>
    <xf borderId="33" fillId="0" fontId="31" numFmtId="0" xfId="0" applyAlignment="1" applyBorder="1" applyFont="1">
      <alignment horizontal="left" shrinkToFit="0" vertical="center" wrapText="1"/>
    </xf>
    <xf borderId="33" fillId="0" fontId="32" numFmtId="0" xfId="0" applyAlignment="1" applyBorder="1" applyFont="1">
      <alignment horizontal="left" shrinkToFit="0" vertical="center" wrapText="1"/>
    </xf>
    <xf borderId="33" fillId="0" fontId="7" numFmtId="0" xfId="0" applyAlignment="1" applyBorder="1" applyFont="1">
      <alignment horizontal="left" shrinkToFit="0" vertical="center" wrapText="1"/>
    </xf>
    <xf borderId="33" fillId="0" fontId="9" numFmtId="0" xfId="0" applyAlignment="1" applyBorder="1" applyFont="1">
      <alignment horizontal="left" shrinkToFit="0" vertical="center" wrapText="1"/>
    </xf>
    <xf borderId="33" fillId="21" fontId="9" numFmtId="168" xfId="0" applyAlignment="1" applyBorder="1" applyFill="1" applyFont="1" applyNumberFormat="1">
      <alignment horizontal="center" shrinkToFit="0" vertical="center" wrapText="1"/>
    </xf>
    <xf borderId="30" fillId="22" fontId="6" numFmtId="0" xfId="0" applyAlignment="1" applyBorder="1" applyFill="1" applyFont="1">
      <alignment horizontal="center" shrinkToFit="0" vertical="center" wrapText="1"/>
    </xf>
    <xf borderId="33" fillId="23" fontId="6" numFmtId="0" xfId="0" applyAlignment="1" applyBorder="1" applyFill="1" applyFont="1">
      <alignment horizontal="center" shrinkToFit="0" vertical="center" wrapText="1"/>
    </xf>
    <xf borderId="33" fillId="23" fontId="21" numFmtId="0" xfId="0" applyAlignment="1" applyBorder="1" applyFont="1">
      <alignment horizontal="center" shrinkToFit="0" vertical="center" wrapText="1"/>
    </xf>
    <xf borderId="33" fillId="21" fontId="7" numFmtId="3" xfId="0" applyAlignment="1" applyBorder="1" applyFont="1" applyNumberFormat="1">
      <alignment horizontal="center" shrinkToFit="0" vertical="center" wrapText="1"/>
    </xf>
    <xf borderId="33" fillId="0" fontId="9" numFmtId="3" xfId="0" applyAlignment="1" applyBorder="1" applyFont="1" applyNumberFormat="1">
      <alignment horizontal="center" shrinkToFit="0" vertical="center" wrapText="1"/>
    </xf>
    <xf borderId="33" fillId="0" fontId="33" numFmtId="0" xfId="0" applyAlignment="1" applyBorder="1" applyFont="1">
      <alignment horizontal="left" shrinkToFit="0" vertical="center" wrapText="1"/>
    </xf>
    <xf borderId="33" fillId="24" fontId="9" numFmtId="168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6" width="25.29"/>
  </cols>
  <sheetData>
    <row r="1" ht="48.0" customHeight="1">
      <c r="A1" s="1" t="s">
        <v>0</v>
      </c>
      <c r="B1" s="2"/>
      <c r="C1" s="2"/>
      <c r="D1" s="2"/>
      <c r="E1" s="2"/>
      <c r="F1" s="3"/>
    </row>
    <row r="2" ht="18.0" customHeight="1">
      <c r="A2" s="4" t="s">
        <v>1</v>
      </c>
      <c r="B2" s="5"/>
      <c r="C2" s="5"/>
      <c r="D2" s="5"/>
      <c r="E2" s="5"/>
      <c r="F2" s="5"/>
    </row>
    <row r="3">
      <c r="A3" s="5"/>
      <c r="B3" s="5"/>
      <c r="C3" s="5"/>
      <c r="D3" s="5"/>
      <c r="E3" s="5"/>
      <c r="F3" s="5"/>
    </row>
    <row r="4" ht="21.75" customHeight="1">
      <c r="A4" s="5"/>
      <c r="B4" s="6" t="s">
        <v>2</v>
      </c>
      <c r="C4" s="6"/>
      <c r="D4" s="6"/>
      <c r="E4" s="6"/>
      <c r="F4" s="6"/>
    </row>
    <row r="5" ht="19.5" customHeight="1">
      <c r="A5" s="5"/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</row>
    <row r="6" ht="19.5" customHeight="1">
      <c r="A6" s="5"/>
      <c r="B6" s="8" t="s">
        <v>8</v>
      </c>
      <c r="C6" s="9" t="s">
        <v>9</v>
      </c>
      <c r="D6" s="10">
        <f>'② 媒体価値試算'!C5</f>
        <v>32121393</v>
      </c>
      <c r="E6" s="9" t="s">
        <v>10</v>
      </c>
      <c r="F6" s="10">
        <f>'② 媒体価値試算'!C6</f>
        <v>278345454</v>
      </c>
    </row>
    <row r="7" ht="19.5" customHeight="1">
      <c r="A7" s="5"/>
      <c r="B7" s="11" t="s">
        <v>11</v>
      </c>
      <c r="C7" s="12" t="s">
        <v>10</v>
      </c>
      <c r="D7" s="13">
        <f>'② 媒体価値試算'!C11</f>
        <v>34800000</v>
      </c>
      <c r="E7" s="12" t="s">
        <v>12</v>
      </c>
      <c r="F7" s="14">
        <f>'② 媒体価値試算'!C13</f>
        <v>0.064</v>
      </c>
    </row>
    <row r="8" ht="19.5" customHeight="1">
      <c r="A8" s="5"/>
      <c r="B8" s="8" t="s">
        <v>13</v>
      </c>
      <c r="C8" s="9" t="s">
        <v>9</v>
      </c>
      <c r="D8" s="15">
        <f>'② 媒体価値試算'!C18</f>
        <v>10000000</v>
      </c>
      <c r="E8" s="9" t="s">
        <v>14</v>
      </c>
      <c r="F8" s="15">
        <f>'② 媒体価値試算'!C19</f>
        <v>353000</v>
      </c>
    </row>
    <row r="9">
      <c r="A9" s="5"/>
      <c r="B9" s="5"/>
      <c r="C9" s="5"/>
      <c r="D9" s="5"/>
      <c r="E9" s="5"/>
      <c r="F9" s="5"/>
    </row>
    <row r="10" ht="7.5" customHeight="1">
      <c r="A10" s="5"/>
      <c r="B10" s="5"/>
      <c r="C10" s="5"/>
      <c r="D10" s="5"/>
      <c r="E10" s="5"/>
      <c r="F10" s="5"/>
    </row>
    <row r="11" ht="21.75" customHeight="1">
      <c r="A11" s="5"/>
      <c r="B11" s="16" t="s">
        <v>15</v>
      </c>
      <c r="C11" s="16"/>
      <c r="D11" s="16"/>
      <c r="E11" s="16"/>
      <c r="F11" s="17"/>
    </row>
    <row r="12" ht="19.5" customHeight="1">
      <c r="A12" s="5"/>
      <c r="B12" s="18" t="s">
        <v>16</v>
      </c>
      <c r="C12" s="18" t="s">
        <v>17</v>
      </c>
      <c r="D12" s="18" t="s">
        <v>18</v>
      </c>
      <c r="E12" s="18" t="s">
        <v>19</v>
      </c>
      <c r="F12" s="5"/>
    </row>
    <row r="13" ht="19.5" customHeight="1">
      <c r="A13" s="5"/>
      <c r="B13" s="19" t="s">
        <v>8</v>
      </c>
      <c r="C13" s="20">
        <f>'② 媒体価値試算'!F8</f>
        <v>32121393</v>
      </c>
      <c r="D13" s="20">
        <f>'② 媒体価値試算'!G8</f>
        <v>64242786</v>
      </c>
      <c r="E13" s="20">
        <f>'② 媒体価値試算'!H8</f>
        <v>128485572</v>
      </c>
      <c r="F13" s="5"/>
    </row>
    <row r="14" ht="19.5" customHeight="1">
      <c r="A14" s="5"/>
      <c r="B14" s="11" t="s">
        <v>20</v>
      </c>
      <c r="C14" s="21">
        <f>'② 媒体価値試算'!F15</f>
        <v>17400000</v>
      </c>
      <c r="D14" s="21">
        <f>'② 媒体価値試算'!G15</f>
        <v>24360000</v>
      </c>
      <c r="E14" s="21">
        <f>'② 媒体価値試算'!H15</f>
        <v>34800000</v>
      </c>
      <c r="F14" s="5"/>
    </row>
    <row r="15" ht="19.5" customHeight="1">
      <c r="A15" s="5"/>
      <c r="B15" s="19" t="s">
        <v>13</v>
      </c>
      <c r="C15" s="20">
        <f>'② 媒体価値試算'!F22</f>
        <v>10000000</v>
      </c>
      <c r="D15" s="20">
        <f>'② 媒体価値試算'!G22</f>
        <v>20000000</v>
      </c>
      <c r="E15" s="20">
        <f>'② 媒体価値試算'!H22</f>
        <v>40000000</v>
      </c>
      <c r="F15" s="5"/>
    </row>
    <row r="16" ht="19.5" customHeight="1">
      <c r="A16" s="5"/>
      <c r="B16" s="22" t="s">
        <v>21</v>
      </c>
      <c r="C16" s="23">
        <f>'② 媒体価値試算'!F24</f>
        <v>59521393</v>
      </c>
      <c r="D16" s="23">
        <f>'② 媒体価値試算'!G24</f>
        <v>108602786</v>
      </c>
      <c r="E16" s="23">
        <f>'② 媒体価値試算'!H24</f>
        <v>203285572</v>
      </c>
      <c r="F16" s="5"/>
    </row>
    <row r="17">
      <c r="A17" s="5"/>
      <c r="B17" s="5"/>
      <c r="C17" s="5"/>
      <c r="D17" s="5"/>
      <c r="E17" s="5"/>
      <c r="F17" s="5"/>
    </row>
    <row r="18" ht="7.5" customHeight="1">
      <c r="A18" s="5"/>
      <c r="B18" s="5"/>
      <c r="C18" s="5"/>
      <c r="D18" s="5"/>
      <c r="E18" s="5"/>
      <c r="F18" s="5"/>
    </row>
    <row r="19" ht="21.75" customHeight="1">
      <c r="A19" s="5"/>
      <c r="B19" s="24" t="s">
        <v>22</v>
      </c>
      <c r="C19" s="24"/>
      <c r="D19" s="24"/>
      <c r="E19" s="24"/>
      <c r="F19" s="17"/>
    </row>
    <row r="20" ht="19.5" customHeight="1">
      <c r="A20" s="5"/>
      <c r="B20" s="25" t="s">
        <v>16</v>
      </c>
      <c r="C20" s="26" t="s">
        <v>23</v>
      </c>
      <c r="D20" s="25" t="s">
        <v>24</v>
      </c>
      <c r="E20" s="25" t="s">
        <v>25</v>
      </c>
      <c r="F20" s="5"/>
    </row>
    <row r="21" ht="19.5" customHeight="1">
      <c r="A21" s="5"/>
      <c r="B21" s="27" t="s">
        <v>26</v>
      </c>
      <c r="C21" s="28">
        <f>1100000*12</f>
        <v>13200000</v>
      </c>
      <c r="D21" s="28">
        <f>400000*12</f>
        <v>4800000</v>
      </c>
      <c r="E21" s="28">
        <f t="shared" ref="E21:E22" si="1">D21-C21</f>
        <v>-8400000</v>
      </c>
      <c r="F21" s="5"/>
    </row>
    <row r="22" ht="19.5" customHeight="1">
      <c r="A22" s="5"/>
      <c r="B22" s="29" t="s">
        <v>27</v>
      </c>
      <c r="C22" s="21">
        <f>'② 媒体価値試算'!G24</f>
        <v>108602786</v>
      </c>
      <c r="D22" s="21">
        <f>'② 媒体価値試算'!G24</f>
        <v>108602786</v>
      </c>
      <c r="E22" s="21">
        <f t="shared" si="1"/>
        <v>0</v>
      </c>
      <c r="F22" s="5"/>
    </row>
    <row r="23" ht="19.5" customHeight="1">
      <c r="A23" s="5"/>
      <c r="B23" s="30" t="s">
        <v>28</v>
      </c>
      <c r="C23" s="31">
        <f>IFERROR(C22/C21,"-")</f>
        <v>8.227483788</v>
      </c>
      <c r="D23" s="32">
        <f>IFERROR(C22/D21,"-")</f>
        <v>22.62558042</v>
      </c>
      <c r="E23" s="32">
        <f t="shared" ref="E23:E24" si="2">IFERROR(D23-C23,"-")</f>
        <v>14.39809663</v>
      </c>
      <c r="F23" s="5"/>
    </row>
    <row r="24" ht="19.5" customHeight="1">
      <c r="A24" s="5"/>
      <c r="B24" s="29" t="s">
        <v>29</v>
      </c>
      <c r="C24" s="33" t="str">
        <f>IFERROR(C22/12/'④ 提案オプション'!C5,"-")</f>
        <v>-</v>
      </c>
      <c r="D24" s="34" t="str">
        <f>IFERROR(C22/12/'④ 提案オプション'!D5,"-")</f>
        <v>-</v>
      </c>
      <c r="E24" s="34" t="str">
        <f t="shared" si="2"/>
        <v>-</v>
      </c>
      <c r="F24" s="5"/>
    </row>
    <row r="25" ht="15.75" customHeight="1">
      <c r="A25" s="5"/>
      <c r="B25" s="5"/>
      <c r="C25" s="5"/>
      <c r="D25" s="5"/>
      <c r="E25" s="5"/>
      <c r="F25" s="5"/>
    </row>
    <row r="26" ht="15.75" customHeight="1">
      <c r="A26" s="5"/>
      <c r="B26" s="5"/>
      <c r="C26" s="5"/>
      <c r="D26" s="5"/>
      <c r="E26" s="5"/>
      <c r="F26" s="5"/>
    </row>
    <row r="27" ht="15.75" customHeight="1">
      <c r="A27" s="5"/>
      <c r="B27" s="5"/>
      <c r="C27" s="5"/>
      <c r="D27" s="5"/>
      <c r="E27" s="5"/>
      <c r="F27" s="5"/>
    </row>
    <row r="28" ht="15.75" customHeight="1">
      <c r="A28" s="5"/>
      <c r="B28" s="5"/>
      <c r="C28" s="5"/>
      <c r="D28" s="5"/>
      <c r="E28" s="5"/>
      <c r="F28" s="5"/>
    </row>
    <row r="29" ht="15.75" customHeight="1">
      <c r="A29" s="5"/>
      <c r="B29" s="5"/>
      <c r="C29" s="5"/>
      <c r="D29" s="5"/>
      <c r="E29" s="5"/>
      <c r="F29" s="5"/>
    </row>
    <row r="30" ht="15.75" customHeight="1">
      <c r="A30" s="5"/>
      <c r="B30" s="5"/>
      <c r="C30" s="5"/>
      <c r="D30" s="5"/>
      <c r="E30" s="5"/>
      <c r="F30" s="5"/>
    </row>
    <row r="31" ht="15.75" customHeight="1">
      <c r="A31" s="5"/>
      <c r="B31" s="5"/>
      <c r="C31" s="5"/>
      <c r="D31" s="5"/>
      <c r="E31" s="5"/>
      <c r="F31" s="5"/>
    </row>
    <row r="32" ht="15.75" customHeight="1">
      <c r="A32" s="5"/>
      <c r="B32" s="5"/>
      <c r="C32" s="5"/>
      <c r="D32" s="5"/>
      <c r="E32" s="5"/>
      <c r="F32" s="5"/>
    </row>
    <row r="33" ht="15.75" customHeight="1">
      <c r="A33" s="5"/>
      <c r="B33" s="5"/>
      <c r="C33" s="5"/>
      <c r="D33" s="5"/>
      <c r="E33" s="5"/>
      <c r="F33" s="5"/>
    </row>
    <row r="34" ht="15.75" customHeight="1">
      <c r="A34" s="5"/>
      <c r="B34" s="5"/>
      <c r="C34" s="5"/>
      <c r="D34" s="5"/>
      <c r="E34" s="5"/>
      <c r="F34" s="5"/>
    </row>
    <row r="35" ht="15.75" customHeight="1">
      <c r="A35" s="5"/>
      <c r="B35" s="5"/>
      <c r="C35" s="5"/>
      <c r="D35" s="5"/>
      <c r="E35" s="5"/>
      <c r="F35" s="5"/>
    </row>
    <row r="36" ht="15.75" customHeight="1">
      <c r="A36" s="5"/>
      <c r="B36" s="5"/>
      <c r="C36" s="5"/>
      <c r="D36" s="5"/>
      <c r="E36" s="5"/>
      <c r="F36" s="5"/>
    </row>
    <row r="37" ht="15.75" customHeight="1">
      <c r="A37" s="5"/>
      <c r="B37" s="5"/>
      <c r="C37" s="5"/>
      <c r="D37" s="5"/>
      <c r="E37" s="5"/>
      <c r="F37" s="5"/>
    </row>
    <row r="38" ht="15.75" customHeight="1">
      <c r="A38" s="5"/>
      <c r="B38" s="5"/>
      <c r="C38" s="5"/>
      <c r="D38" s="5"/>
      <c r="E38" s="5"/>
      <c r="F38" s="5"/>
    </row>
    <row r="39" ht="15.75" customHeight="1">
      <c r="A39" s="5"/>
      <c r="B39" s="5"/>
      <c r="C39" s="5"/>
      <c r="D39" s="5"/>
      <c r="E39" s="5"/>
      <c r="F39" s="5"/>
    </row>
    <row r="40" ht="15.75" customHeight="1">
      <c r="A40" s="5"/>
      <c r="B40" s="5"/>
      <c r="C40" s="5"/>
      <c r="D40" s="5"/>
      <c r="E40" s="5"/>
      <c r="F40" s="5"/>
    </row>
    <row r="41" ht="15.75" customHeight="1">
      <c r="A41" s="5"/>
      <c r="B41" s="5"/>
      <c r="C41" s="5"/>
      <c r="D41" s="5"/>
      <c r="E41" s="5"/>
      <c r="F41" s="5"/>
    </row>
    <row r="42" ht="15.75" customHeight="1">
      <c r="A42" s="5"/>
      <c r="B42" s="5"/>
      <c r="C42" s="5"/>
      <c r="D42" s="5"/>
      <c r="E42" s="5"/>
      <c r="F42" s="5"/>
    </row>
    <row r="43" ht="15.75" customHeight="1">
      <c r="A43" s="5"/>
      <c r="B43" s="5"/>
      <c r="C43" s="5"/>
      <c r="D43" s="5"/>
      <c r="E43" s="5"/>
      <c r="F43" s="5"/>
    </row>
    <row r="44" ht="15.75" customHeight="1">
      <c r="A44" s="5"/>
      <c r="B44" s="5"/>
      <c r="C44" s="5"/>
      <c r="D44" s="5"/>
      <c r="E44" s="5"/>
      <c r="F44" s="5"/>
    </row>
    <row r="45" ht="15.75" customHeight="1">
      <c r="A45" s="5"/>
      <c r="B45" s="5"/>
      <c r="C45" s="5"/>
      <c r="D45" s="5"/>
      <c r="E45" s="5"/>
      <c r="F45" s="5"/>
    </row>
    <row r="46" ht="15.75" customHeight="1">
      <c r="A46" s="5"/>
      <c r="B46" s="5"/>
      <c r="C46" s="5"/>
      <c r="D46" s="5"/>
      <c r="E46" s="5"/>
      <c r="F46" s="5"/>
    </row>
    <row r="47" ht="15.75" customHeight="1">
      <c r="A47" s="5"/>
      <c r="B47" s="5"/>
      <c r="C47" s="5"/>
      <c r="D47" s="5"/>
      <c r="E47" s="5"/>
      <c r="F47" s="5"/>
    </row>
    <row r="48" ht="15.75" customHeight="1">
      <c r="A48" s="5"/>
      <c r="B48" s="5"/>
      <c r="C48" s="5"/>
      <c r="D48" s="5"/>
      <c r="E48" s="5"/>
      <c r="F48" s="5"/>
    </row>
    <row r="49" ht="15.75" customHeight="1">
      <c r="A49" s="5"/>
      <c r="B49" s="5"/>
      <c r="C49" s="5"/>
      <c r="D49" s="5"/>
      <c r="E49" s="5"/>
      <c r="F49" s="5"/>
    </row>
    <row r="50" ht="15.75" customHeight="1">
      <c r="A50" s="5"/>
      <c r="B50" s="5"/>
      <c r="C50" s="5"/>
      <c r="D50" s="5"/>
      <c r="E50" s="5"/>
      <c r="F50" s="5"/>
    </row>
    <row r="51" ht="15.75" customHeight="1">
      <c r="A51" s="5"/>
      <c r="B51" s="5"/>
      <c r="C51" s="5"/>
      <c r="D51" s="5"/>
      <c r="E51" s="5"/>
      <c r="F51" s="5"/>
    </row>
    <row r="52" ht="15.75" customHeight="1">
      <c r="A52" s="5"/>
      <c r="B52" s="5"/>
      <c r="C52" s="5"/>
      <c r="D52" s="5"/>
      <c r="E52" s="5"/>
      <c r="F52" s="5"/>
    </row>
    <row r="53" ht="15.75" customHeight="1">
      <c r="A53" s="5"/>
      <c r="B53" s="5"/>
      <c r="C53" s="5"/>
      <c r="D53" s="5"/>
      <c r="E53" s="5"/>
      <c r="F53" s="5"/>
    </row>
    <row r="54" ht="15.75" customHeight="1">
      <c r="A54" s="5"/>
      <c r="B54" s="5"/>
      <c r="C54" s="5"/>
      <c r="D54" s="5"/>
      <c r="E54" s="5"/>
      <c r="F54" s="5"/>
    </row>
    <row r="55" ht="15.75" customHeight="1">
      <c r="A55" s="5"/>
      <c r="B55" s="5"/>
      <c r="C55" s="5"/>
      <c r="D55" s="5"/>
      <c r="E55" s="5"/>
      <c r="F55" s="5"/>
    </row>
    <row r="56" ht="15.75" customHeight="1">
      <c r="A56" s="5"/>
      <c r="B56" s="5"/>
      <c r="C56" s="5"/>
      <c r="D56" s="5"/>
      <c r="E56" s="5"/>
      <c r="F56" s="5"/>
    </row>
    <row r="57" ht="15.75" customHeight="1">
      <c r="A57" s="5"/>
      <c r="B57" s="5"/>
      <c r="C57" s="5"/>
      <c r="D57" s="5"/>
      <c r="E57" s="5"/>
      <c r="F57" s="5"/>
    </row>
    <row r="58" ht="15.75" customHeight="1">
      <c r="A58" s="5"/>
      <c r="B58" s="5"/>
      <c r="C58" s="5"/>
      <c r="D58" s="5"/>
      <c r="E58" s="5"/>
      <c r="F58" s="5"/>
    </row>
    <row r="59" ht="15.75" customHeight="1">
      <c r="A59" s="5"/>
      <c r="B59" s="5"/>
      <c r="C59" s="5"/>
      <c r="D59" s="5"/>
      <c r="E59" s="5"/>
      <c r="F59" s="5"/>
    </row>
    <row r="60" ht="15.75" customHeight="1">
      <c r="A60" s="5"/>
      <c r="B60" s="5"/>
      <c r="C60" s="5"/>
      <c r="D60" s="5"/>
      <c r="E60" s="5"/>
      <c r="F60" s="5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5"/>
      <c r="B62" s="5"/>
      <c r="C62" s="5"/>
      <c r="D62" s="5"/>
      <c r="E62" s="5"/>
      <c r="F62" s="5"/>
    </row>
    <row r="63" ht="15.75" customHeight="1">
      <c r="A63" s="5"/>
      <c r="B63" s="5"/>
      <c r="C63" s="5"/>
      <c r="D63" s="5"/>
      <c r="E63" s="5"/>
      <c r="F63" s="5"/>
    </row>
    <row r="64" ht="15.75" customHeight="1">
      <c r="A64" s="5"/>
      <c r="B64" s="5"/>
      <c r="C64" s="5"/>
      <c r="D64" s="5"/>
      <c r="E64" s="5"/>
      <c r="F64" s="5"/>
    </row>
    <row r="65" ht="15.75" customHeight="1">
      <c r="A65" s="5"/>
      <c r="B65" s="5"/>
      <c r="C65" s="5"/>
      <c r="D65" s="5"/>
      <c r="E65" s="5"/>
      <c r="F65" s="5"/>
    </row>
    <row r="66" ht="15.75" customHeight="1">
      <c r="A66" s="5"/>
      <c r="B66" s="5"/>
      <c r="C66" s="5"/>
      <c r="D66" s="5"/>
      <c r="E66" s="5"/>
      <c r="F66" s="5"/>
    </row>
    <row r="67" ht="15.75" customHeight="1">
      <c r="A67" s="5"/>
      <c r="B67" s="5"/>
      <c r="C67" s="5"/>
      <c r="D67" s="5"/>
      <c r="E67" s="5"/>
      <c r="F67" s="5"/>
    </row>
    <row r="68" ht="15.75" customHeight="1">
      <c r="A68" s="5"/>
      <c r="B68" s="5"/>
      <c r="C68" s="5"/>
      <c r="D68" s="5"/>
      <c r="E68" s="5"/>
      <c r="F68" s="5"/>
    </row>
    <row r="69" ht="15.75" customHeight="1">
      <c r="A69" s="5"/>
      <c r="B69" s="5"/>
      <c r="C69" s="5"/>
      <c r="D69" s="5"/>
      <c r="E69" s="5"/>
      <c r="F69" s="5"/>
    </row>
    <row r="70" ht="15.75" customHeight="1">
      <c r="A70" s="5"/>
      <c r="B70" s="5"/>
      <c r="C70" s="5"/>
      <c r="D70" s="5"/>
      <c r="E70" s="5"/>
      <c r="F70" s="5"/>
    </row>
    <row r="71" ht="15.75" customHeight="1">
      <c r="A71" s="5"/>
      <c r="B71" s="5"/>
      <c r="C71" s="5"/>
      <c r="D71" s="5"/>
      <c r="E71" s="5"/>
      <c r="F71" s="5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20.0"/>
    <col customWidth="1" min="4" max="4" width="8.0"/>
    <col customWidth="1" min="5" max="5" width="20.0"/>
    <col customWidth="1" min="6" max="8" width="22.0"/>
    <col customWidth="1" min="9" max="9" width="8.71"/>
  </cols>
  <sheetData>
    <row r="1" ht="45.0" customHeight="1">
      <c r="A1" s="35" t="s">
        <v>30</v>
      </c>
      <c r="B1" s="2"/>
      <c r="C1" s="2"/>
      <c r="D1" s="2"/>
      <c r="E1" s="2"/>
      <c r="F1" s="2"/>
      <c r="G1" s="2"/>
      <c r="H1" s="3"/>
    </row>
    <row r="2" ht="18.0" customHeight="1">
      <c r="A2" s="4" t="s">
        <v>31</v>
      </c>
      <c r="B2" s="5"/>
      <c r="C2" s="5"/>
      <c r="D2" s="5"/>
      <c r="E2" s="5"/>
      <c r="F2" s="5"/>
      <c r="G2" s="5"/>
      <c r="H2" s="5"/>
    </row>
    <row r="3" ht="27.75" customHeight="1">
      <c r="A3" s="5"/>
      <c r="B3" s="36" t="s">
        <v>32</v>
      </c>
      <c r="C3" s="36" t="s">
        <v>33</v>
      </c>
      <c r="D3" s="36" t="s">
        <v>34</v>
      </c>
      <c r="E3" s="36" t="s">
        <v>35</v>
      </c>
      <c r="F3" s="36" t="s">
        <v>36</v>
      </c>
      <c r="G3" s="36" t="s">
        <v>37</v>
      </c>
      <c r="H3" s="36" t="s">
        <v>38</v>
      </c>
    </row>
    <row r="4" ht="21.75" customHeight="1">
      <c r="A4" s="5"/>
      <c r="B4" s="37" t="s">
        <v>39</v>
      </c>
      <c r="C4" s="38"/>
      <c r="D4" s="38"/>
      <c r="E4" s="38"/>
      <c r="F4" s="38"/>
      <c r="G4" s="38"/>
      <c r="H4" s="39"/>
    </row>
    <row r="5" ht="19.5" customHeight="1">
      <c r="A5" s="5"/>
      <c r="B5" s="40" t="s">
        <v>9</v>
      </c>
      <c r="C5" s="41">
        <v>3.2121393E7</v>
      </c>
      <c r="D5" s="9" t="s">
        <v>40</v>
      </c>
      <c r="E5" s="42">
        <f>$E$30</f>
        <v>1</v>
      </c>
      <c r="F5" s="43">
        <f t="shared" ref="F5:F6" si="1">C5*E5</f>
        <v>32121393</v>
      </c>
      <c r="G5" s="43">
        <f>C5*$F$30</f>
        <v>64242786</v>
      </c>
      <c r="H5" s="43">
        <f>C5*$G$30</f>
        <v>128485572</v>
      </c>
    </row>
    <row r="6" ht="19.5" customHeight="1">
      <c r="A6" s="5"/>
      <c r="B6" s="29" t="s">
        <v>10</v>
      </c>
      <c r="C6" s="41">
        <v>2.78345454E8</v>
      </c>
      <c r="D6" s="12" t="s">
        <v>40</v>
      </c>
      <c r="E6" s="44">
        <f>$E$31/1000</f>
        <v>0.5</v>
      </c>
      <c r="F6" s="21">
        <f t="shared" si="1"/>
        <v>139172727</v>
      </c>
      <c r="G6" s="21">
        <f>C6*$F$31/1000</f>
        <v>194841817.8</v>
      </c>
      <c r="H6" s="21">
        <f>C6*$G$31/1000</f>
        <v>278345454</v>
      </c>
    </row>
    <row r="7" ht="19.5" customHeight="1">
      <c r="A7" s="5"/>
      <c r="B7" s="40" t="s">
        <v>41</v>
      </c>
      <c r="C7" s="45">
        <v>0.055</v>
      </c>
      <c r="D7" s="46" t="s">
        <v>42</v>
      </c>
      <c r="E7" s="46" t="s">
        <v>43</v>
      </c>
      <c r="F7" s="46" t="s">
        <v>43</v>
      </c>
      <c r="G7" s="46" t="s">
        <v>43</v>
      </c>
      <c r="H7" s="46" t="s">
        <v>43</v>
      </c>
    </row>
    <row r="8" ht="21.75" customHeight="1">
      <c r="A8" s="5"/>
      <c r="B8" s="47" t="s">
        <v>44</v>
      </c>
      <c r="C8" s="48"/>
      <c r="D8" s="48"/>
      <c r="E8" s="49"/>
      <c r="F8" s="50">
        <f t="shared" ref="F8:H8" si="2">F5</f>
        <v>32121393</v>
      </c>
      <c r="G8" s="50">
        <f t="shared" si="2"/>
        <v>64242786</v>
      </c>
      <c r="H8" s="50">
        <f t="shared" si="2"/>
        <v>128485572</v>
      </c>
      <c r="I8" s="51"/>
    </row>
    <row r="9">
      <c r="A9" s="5"/>
      <c r="B9" s="5"/>
      <c r="C9" s="5"/>
      <c r="D9" s="5"/>
      <c r="E9" s="5"/>
      <c r="F9" s="5"/>
      <c r="G9" s="5"/>
      <c r="H9" s="5"/>
    </row>
    <row r="10" ht="21.75" customHeight="1">
      <c r="A10" s="5"/>
      <c r="B10" s="52" t="s">
        <v>45</v>
      </c>
      <c r="C10" s="38"/>
      <c r="D10" s="38"/>
      <c r="E10" s="38"/>
      <c r="F10" s="38"/>
      <c r="G10" s="38"/>
      <c r="H10" s="39"/>
    </row>
    <row r="11" ht="19.5" customHeight="1">
      <c r="A11" s="5"/>
      <c r="B11" s="27" t="s">
        <v>46</v>
      </c>
      <c r="C11" s="41">
        <v>3.48E7</v>
      </c>
      <c r="D11" s="53" t="s">
        <v>40</v>
      </c>
      <c r="E11" s="28">
        <f>$E$31/1000</f>
        <v>0.5</v>
      </c>
      <c r="F11" s="28">
        <f>C11*E11</f>
        <v>17400000</v>
      </c>
      <c r="G11" s="28">
        <f>C11*$F$31/1000</f>
        <v>24360000</v>
      </c>
      <c r="H11" s="28">
        <f>C11*$G$31/1000</f>
        <v>34800000</v>
      </c>
    </row>
    <row r="12" ht="19.5" customHeight="1">
      <c r="A12" s="5"/>
      <c r="B12" s="29" t="s">
        <v>47</v>
      </c>
      <c r="C12" s="41">
        <v>148800.0</v>
      </c>
      <c r="D12" s="12" t="s">
        <v>48</v>
      </c>
      <c r="E12" s="54" t="s">
        <v>43</v>
      </c>
      <c r="F12" s="54" t="s">
        <v>43</v>
      </c>
      <c r="G12" s="54" t="s">
        <v>43</v>
      </c>
      <c r="H12" s="54" t="s">
        <v>43</v>
      </c>
    </row>
    <row r="13" ht="19.5" customHeight="1">
      <c r="A13" s="5"/>
      <c r="B13" s="27" t="s">
        <v>12</v>
      </c>
      <c r="C13" s="45">
        <v>0.064</v>
      </c>
      <c r="D13" s="55" t="s">
        <v>42</v>
      </c>
      <c r="E13" s="55" t="s">
        <v>43</v>
      </c>
      <c r="F13" s="55" t="s">
        <v>43</v>
      </c>
      <c r="G13" s="55" t="s">
        <v>43</v>
      </c>
      <c r="H13" s="55" t="s">
        <v>43</v>
      </c>
    </row>
    <row r="14" ht="19.5" customHeight="1">
      <c r="A14" s="5"/>
      <c r="B14" s="29" t="s">
        <v>49</v>
      </c>
      <c r="C14" s="41">
        <v>2200000.0</v>
      </c>
      <c r="D14" s="12" t="s">
        <v>50</v>
      </c>
      <c r="E14" s="54" t="s">
        <v>43</v>
      </c>
      <c r="F14" s="54" t="s">
        <v>43</v>
      </c>
      <c r="G14" s="54" t="s">
        <v>43</v>
      </c>
      <c r="H14" s="54" t="s">
        <v>43</v>
      </c>
    </row>
    <row r="15" ht="21.75" customHeight="1">
      <c r="A15" s="5"/>
      <c r="B15" s="56" t="s">
        <v>51</v>
      </c>
      <c r="C15" s="48"/>
      <c r="D15" s="48"/>
      <c r="E15" s="49"/>
      <c r="F15" s="57">
        <f t="shared" ref="F15:H15" si="3">F11</f>
        <v>17400000</v>
      </c>
      <c r="G15" s="57">
        <f t="shared" si="3"/>
        <v>24360000</v>
      </c>
      <c r="H15" s="57">
        <f t="shared" si="3"/>
        <v>34800000</v>
      </c>
    </row>
    <row r="16">
      <c r="A16" s="5"/>
      <c r="B16" s="5"/>
      <c r="C16" s="5"/>
      <c r="D16" s="5"/>
      <c r="E16" s="5"/>
      <c r="F16" s="5"/>
      <c r="G16" s="5"/>
      <c r="H16" s="5"/>
    </row>
    <row r="17" ht="21.75" customHeight="1">
      <c r="A17" s="5"/>
      <c r="B17" s="58" t="s">
        <v>52</v>
      </c>
      <c r="C17" s="38"/>
      <c r="D17" s="38"/>
      <c r="E17" s="38"/>
      <c r="F17" s="38"/>
      <c r="G17" s="38"/>
      <c r="H17" s="39"/>
    </row>
    <row r="18" ht="19.5" customHeight="1">
      <c r="A18" s="5"/>
      <c r="B18" s="59" t="s">
        <v>9</v>
      </c>
      <c r="C18" s="41">
        <v>1.0E7</v>
      </c>
      <c r="D18" s="60" t="s">
        <v>40</v>
      </c>
      <c r="E18" s="20">
        <f>$E$30</f>
        <v>1</v>
      </c>
      <c r="F18" s="20">
        <f>C18*E18</f>
        <v>10000000</v>
      </c>
      <c r="G18" s="20">
        <f>C18*$F$30</f>
        <v>20000000</v>
      </c>
      <c r="H18" s="20">
        <f>C18*$G$30</f>
        <v>40000000</v>
      </c>
    </row>
    <row r="19" ht="19.5" customHeight="1">
      <c r="A19" s="5"/>
      <c r="B19" s="29" t="s">
        <v>14</v>
      </c>
      <c r="C19" s="41">
        <v>353000.0</v>
      </c>
      <c r="D19" s="12" t="s">
        <v>40</v>
      </c>
      <c r="E19" s="54" t="s">
        <v>43</v>
      </c>
      <c r="F19" s="54" t="s">
        <v>43</v>
      </c>
      <c r="G19" s="54" t="s">
        <v>43</v>
      </c>
      <c r="H19" s="54" t="s">
        <v>43</v>
      </c>
    </row>
    <row r="20" ht="19.5" customHeight="1">
      <c r="A20" s="5"/>
      <c r="B20" s="59" t="s">
        <v>53</v>
      </c>
      <c r="C20" s="41">
        <v>257000.0</v>
      </c>
      <c r="D20" s="60" t="s">
        <v>50</v>
      </c>
      <c r="E20" s="61" t="s">
        <v>43</v>
      </c>
      <c r="F20" s="61" t="s">
        <v>43</v>
      </c>
      <c r="G20" s="61" t="s">
        <v>43</v>
      </c>
      <c r="H20" s="61" t="s">
        <v>43</v>
      </c>
    </row>
    <row r="21" ht="19.5" customHeight="1">
      <c r="A21" s="5"/>
      <c r="B21" s="29" t="s">
        <v>54</v>
      </c>
      <c r="C21" s="41">
        <v>2157.0</v>
      </c>
      <c r="D21" s="12" t="s">
        <v>50</v>
      </c>
      <c r="E21" s="54" t="s">
        <v>43</v>
      </c>
      <c r="F21" s="54" t="s">
        <v>43</v>
      </c>
      <c r="G21" s="54" t="s">
        <v>43</v>
      </c>
      <c r="H21" s="54" t="s">
        <v>43</v>
      </c>
    </row>
    <row r="22" ht="21.75" customHeight="1">
      <c r="A22" s="5"/>
      <c r="B22" s="62" t="s">
        <v>55</v>
      </c>
      <c r="C22" s="48"/>
      <c r="D22" s="48"/>
      <c r="E22" s="49"/>
      <c r="F22" s="63">
        <f t="shared" ref="F22:H22" si="4">F18</f>
        <v>10000000</v>
      </c>
      <c r="G22" s="63">
        <f t="shared" si="4"/>
        <v>20000000</v>
      </c>
      <c r="H22" s="63">
        <f t="shared" si="4"/>
        <v>40000000</v>
      </c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25.5" customHeight="1">
      <c r="A24" s="5"/>
      <c r="B24" s="64" t="s">
        <v>56</v>
      </c>
      <c r="C24" s="65"/>
      <c r="D24" s="65"/>
      <c r="E24" s="66"/>
      <c r="F24" s="67">
        <f t="shared" ref="F24:H24" si="5">F8+F15+F22</f>
        <v>59521393</v>
      </c>
      <c r="G24" s="67">
        <f t="shared" si="5"/>
        <v>108602786</v>
      </c>
      <c r="H24" s="67">
        <f t="shared" si="5"/>
        <v>203285572</v>
      </c>
    </row>
    <row r="25" ht="21.75" customHeight="1">
      <c r="A25" s="5"/>
      <c r="B25" s="68" t="s">
        <v>57</v>
      </c>
      <c r="C25" s="69"/>
      <c r="D25" s="69"/>
      <c r="E25" s="70"/>
      <c r="F25" s="71">
        <f t="shared" ref="F25:H25" si="6">F24/12</f>
        <v>4960116.083</v>
      </c>
      <c r="G25" s="71">
        <f t="shared" si="6"/>
        <v>9050232.167</v>
      </c>
      <c r="H25" s="71">
        <f t="shared" si="6"/>
        <v>16940464.33</v>
      </c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7.5" customHeight="1">
      <c r="A27" s="5"/>
      <c r="B27" s="5"/>
      <c r="C27" s="5"/>
      <c r="D27" s="5"/>
      <c r="E27" s="5"/>
      <c r="F27" s="5"/>
      <c r="G27" s="5"/>
      <c r="H27" s="5"/>
    </row>
    <row r="28" ht="21.75" customHeight="1">
      <c r="A28" s="5"/>
      <c r="B28" s="72" t="s">
        <v>58</v>
      </c>
      <c r="C28" s="38"/>
      <c r="D28" s="38"/>
      <c r="E28" s="38"/>
      <c r="F28" s="38"/>
      <c r="G28" s="38"/>
      <c r="H28" s="39"/>
    </row>
    <row r="29" ht="19.5" customHeight="1">
      <c r="A29" s="5"/>
      <c r="B29" s="73" t="s">
        <v>59</v>
      </c>
      <c r="C29" s="74" t="s">
        <v>60</v>
      </c>
      <c r="D29" s="75"/>
      <c r="E29" s="73" t="s">
        <v>61</v>
      </c>
      <c r="F29" s="73" t="s">
        <v>62</v>
      </c>
      <c r="G29" s="73" t="s">
        <v>63</v>
      </c>
      <c r="H29" s="5"/>
    </row>
    <row r="30" ht="21.75" customHeight="1">
      <c r="A30" s="5"/>
      <c r="B30" s="76" t="s">
        <v>64</v>
      </c>
      <c r="C30" s="77" t="s">
        <v>65</v>
      </c>
      <c r="D30" s="75"/>
      <c r="E30" s="78">
        <v>1.0</v>
      </c>
      <c r="F30" s="78">
        <v>2.0</v>
      </c>
      <c r="G30" s="78">
        <v>4.0</v>
      </c>
      <c r="H30" s="79" t="s">
        <v>66</v>
      </c>
    </row>
    <row r="31" ht="21.75" customHeight="1">
      <c r="A31" s="5"/>
      <c r="B31" s="80" t="s">
        <v>67</v>
      </c>
      <c r="C31" s="81" t="s">
        <v>68</v>
      </c>
      <c r="D31" s="75"/>
      <c r="E31" s="78">
        <v>500.0</v>
      </c>
      <c r="F31" s="78">
        <v>700.0</v>
      </c>
      <c r="G31" s="78">
        <v>1000.0</v>
      </c>
      <c r="H31" s="79" t="s">
        <v>66</v>
      </c>
    </row>
    <row r="32" ht="13.5" customHeight="1">
      <c r="B32" s="82" t="s">
        <v>69</v>
      </c>
      <c r="C32" s="5"/>
      <c r="D32" s="5"/>
      <c r="E32" s="5"/>
      <c r="F32" s="5"/>
      <c r="G32" s="5"/>
      <c r="H32" s="5"/>
    </row>
    <row r="33" ht="15.75" customHeight="1">
      <c r="A33" s="5"/>
      <c r="B33" s="5"/>
      <c r="C33" s="5"/>
      <c r="D33" s="5"/>
      <c r="E33" s="5"/>
      <c r="F33" s="5"/>
      <c r="G33" s="5"/>
      <c r="H33" s="5"/>
    </row>
    <row r="34" ht="15.75" customHeight="1">
      <c r="A34" s="5"/>
      <c r="B34" s="5"/>
      <c r="C34" s="5"/>
      <c r="D34" s="5"/>
      <c r="E34" s="5"/>
      <c r="F34" s="5"/>
      <c r="G34" s="5"/>
      <c r="H34" s="5"/>
    </row>
    <row r="35" ht="15.75" customHeight="1">
      <c r="A35" s="5"/>
      <c r="B35" s="5"/>
      <c r="C35" s="5"/>
      <c r="D35" s="5"/>
      <c r="E35" s="5"/>
      <c r="F35" s="5"/>
      <c r="G35" s="5"/>
      <c r="H35" s="5"/>
    </row>
    <row r="36" ht="15.75" customHeight="1">
      <c r="A36" s="5"/>
      <c r="B36" s="5"/>
      <c r="C36" s="5"/>
      <c r="D36" s="5"/>
      <c r="E36" s="5"/>
      <c r="F36" s="5"/>
      <c r="G36" s="5"/>
      <c r="H36" s="5"/>
    </row>
    <row r="37" ht="15.75" customHeight="1">
      <c r="A37" s="5"/>
      <c r="B37" s="5"/>
      <c r="C37" s="5"/>
      <c r="D37" s="5"/>
      <c r="E37" s="5"/>
      <c r="F37" s="5"/>
      <c r="G37" s="5"/>
      <c r="H37" s="5"/>
    </row>
    <row r="38" ht="15.75" customHeight="1">
      <c r="A38" s="5"/>
      <c r="B38" s="5"/>
      <c r="C38" s="5"/>
      <c r="D38" s="5"/>
      <c r="E38" s="5"/>
      <c r="F38" s="5"/>
      <c r="G38" s="5"/>
      <c r="H38" s="5"/>
    </row>
    <row r="39" ht="15.75" customHeight="1">
      <c r="A39" s="5"/>
      <c r="B39" s="5"/>
      <c r="C39" s="5"/>
      <c r="D39" s="5"/>
      <c r="E39" s="5"/>
      <c r="F39" s="5"/>
      <c r="G39" s="5"/>
      <c r="H39" s="5"/>
    </row>
    <row r="40" ht="15.75" customHeight="1">
      <c r="A40" s="5"/>
      <c r="B40" s="5"/>
      <c r="C40" s="5"/>
      <c r="D40" s="5"/>
      <c r="E40" s="5"/>
      <c r="F40" s="5"/>
      <c r="G40" s="5"/>
      <c r="H40" s="5"/>
    </row>
    <row r="41" ht="15.75" customHeight="1">
      <c r="A41" s="5"/>
      <c r="B41" s="5"/>
      <c r="C41" s="5"/>
      <c r="D41" s="5"/>
      <c r="E41" s="5"/>
      <c r="F41" s="5"/>
      <c r="G41" s="5"/>
      <c r="H41" s="5"/>
    </row>
    <row r="42" ht="15.75" customHeight="1">
      <c r="A42" s="5"/>
      <c r="B42" s="5"/>
      <c r="C42" s="5"/>
      <c r="D42" s="5"/>
      <c r="E42" s="5"/>
      <c r="F42" s="5"/>
      <c r="G42" s="5"/>
      <c r="H42" s="5"/>
    </row>
    <row r="43" ht="15.75" customHeight="1">
      <c r="A43" s="5"/>
      <c r="B43" s="5"/>
      <c r="C43" s="5"/>
      <c r="D43" s="5"/>
      <c r="E43" s="5"/>
      <c r="F43" s="5"/>
      <c r="G43" s="5"/>
      <c r="H43" s="5"/>
    </row>
    <row r="44" ht="15.75" customHeight="1">
      <c r="A44" s="5"/>
      <c r="B44" s="5"/>
      <c r="C44" s="5"/>
      <c r="D44" s="5"/>
      <c r="E44" s="5"/>
      <c r="F44" s="5"/>
      <c r="G44" s="5"/>
      <c r="H44" s="5"/>
    </row>
    <row r="45" ht="15.75" customHeight="1">
      <c r="A45" s="5"/>
      <c r="B45" s="5"/>
      <c r="C45" s="5"/>
      <c r="D45" s="5"/>
      <c r="E45" s="5"/>
      <c r="F45" s="5"/>
      <c r="G45" s="5"/>
      <c r="H45" s="5"/>
    </row>
    <row r="46" ht="15.75" customHeight="1">
      <c r="A46" s="5"/>
      <c r="B46" s="5"/>
      <c r="C46" s="5"/>
      <c r="D46" s="5"/>
      <c r="E46" s="5"/>
      <c r="F46" s="5"/>
      <c r="G46" s="5"/>
      <c r="H46" s="5"/>
    </row>
    <row r="47" ht="15.75" customHeight="1">
      <c r="A47" s="5"/>
      <c r="B47" s="5"/>
      <c r="C47" s="5"/>
      <c r="D47" s="5"/>
      <c r="E47" s="5"/>
      <c r="F47" s="5"/>
      <c r="G47" s="5"/>
      <c r="H47" s="5"/>
    </row>
    <row r="48" ht="15.75" customHeight="1">
      <c r="A48" s="5"/>
      <c r="B48" s="5"/>
      <c r="C48" s="5"/>
      <c r="D48" s="5"/>
      <c r="E48" s="5"/>
      <c r="F48" s="5"/>
      <c r="G48" s="5"/>
      <c r="H48" s="5"/>
    </row>
    <row r="49" ht="15.75" customHeight="1">
      <c r="A49" s="5"/>
      <c r="B49" s="5"/>
      <c r="C49" s="5"/>
      <c r="D49" s="5"/>
      <c r="E49" s="5"/>
      <c r="F49" s="5"/>
      <c r="G49" s="5"/>
      <c r="H49" s="5"/>
    </row>
    <row r="50" ht="15.75" customHeight="1">
      <c r="A50" s="5"/>
      <c r="B50" s="5"/>
      <c r="C50" s="5"/>
      <c r="D50" s="5"/>
      <c r="E50" s="5"/>
      <c r="F50" s="5"/>
      <c r="G50" s="5"/>
      <c r="H50" s="5"/>
    </row>
    <row r="51" ht="15.75" customHeight="1">
      <c r="A51" s="5"/>
      <c r="B51" s="5"/>
      <c r="C51" s="5"/>
      <c r="D51" s="5"/>
      <c r="E51" s="5"/>
      <c r="F51" s="5"/>
      <c r="G51" s="5"/>
      <c r="H51" s="5"/>
    </row>
    <row r="52" ht="15.75" customHeight="1">
      <c r="A52" s="5"/>
      <c r="B52" s="5"/>
      <c r="C52" s="5"/>
      <c r="D52" s="5"/>
      <c r="E52" s="5"/>
      <c r="F52" s="5"/>
      <c r="G52" s="5"/>
      <c r="H52" s="5"/>
    </row>
    <row r="53" ht="15.75" customHeight="1">
      <c r="A53" s="5"/>
      <c r="B53" s="5"/>
      <c r="C53" s="5"/>
      <c r="D53" s="5"/>
      <c r="E53" s="5"/>
      <c r="F53" s="5"/>
      <c r="G53" s="5"/>
      <c r="H53" s="5"/>
    </row>
    <row r="54" ht="15.75" customHeight="1">
      <c r="A54" s="5"/>
      <c r="B54" s="5"/>
      <c r="C54" s="5"/>
      <c r="D54" s="5"/>
      <c r="E54" s="5"/>
      <c r="F54" s="5"/>
      <c r="G54" s="5"/>
      <c r="H54" s="5"/>
    </row>
    <row r="55" ht="15.75" customHeight="1">
      <c r="A55" s="5"/>
      <c r="B55" s="5"/>
      <c r="C55" s="5"/>
      <c r="D55" s="5"/>
      <c r="E55" s="5"/>
      <c r="F55" s="5"/>
      <c r="G55" s="5"/>
      <c r="H55" s="5"/>
    </row>
    <row r="56" ht="15.75" customHeight="1">
      <c r="A56" s="5"/>
      <c r="B56" s="5"/>
      <c r="C56" s="5"/>
      <c r="D56" s="5"/>
      <c r="E56" s="5"/>
      <c r="F56" s="5"/>
      <c r="G56" s="5"/>
      <c r="H56" s="5"/>
    </row>
    <row r="57" ht="15.75" customHeight="1">
      <c r="A57" s="5"/>
      <c r="B57" s="5"/>
      <c r="C57" s="5"/>
      <c r="D57" s="5"/>
      <c r="E57" s="5"/>
      <c r="F57" s="5"/>
      <c r="G57" s="5"/>
      <c r="H57" s="5"/>
    </row>
    <row r="58" ht="15.75" customHeight="1">
      <c r="A58" s="5"/>
      <c r="B58" s="5"/>
      <c r="C58" s="5"/>
      <c r="D58" s="5"/>
      <c r="E58" s="5"/>
      <c r="F58" s="5"/>
      <c r="G58" s="5"/>
      <c r="H58" s="5"/>
    </row>
    <row r="59" ht="15.75" customHeight="1">
      <c r="A59" s="5"/>
      <c r="B59" s="5"/>
      <c r="C59" s="5"/>
      <c r="D59" s="5"/>
      <c r="E59" s="5"/>
      <c r="F59" s="5"/>
      <c r="G59" s="5"/>
      <c r="H59" s="5"/>
    </row>
    <row r="60" ht="15.75" customHeight="1">
      <c r="A60" s="5"/>
      <c r="B60" s="5"/>
      <c r="C60" s="5"/>
      <c r="D60" s="5"/>
      <c r="E60" s="5"/>
      <c r="F60" s="5"/>
      <c r="G60" s="5"/>
      <c r="H60" s="5"/>
    </row>
    <row r="61" ht="15.75" customHeight="1">
      <c r="A61" s="5"/>
      <c r="B61" s="5"/>
      <c r="C61" s="5"/>
      <c r="D61" s="5"/>
      <c r="E61" s="5"/>
      <c r="F61" s="5"/>
      <c r="G61" s="5"/>
      <c r="H61" s="5"/>
    </row>
    <row r="62" ht="15.75" customHeight="1">
      <c r="A62" s="5"/>
      <c r="B62" s="5"/>
      <c r="C62" s="5"/>
      <c r="D62" s="5"/>
      <c r="E62" s="5"/>
      <c r="F62" s="5"/>
      <c r="G62" s="5"/>
      <c r="H62" s="5"/>
    </row>
    <row r="63" ht="15.75" customHeight="1">
      <c r="A63" s="5"/>
      <c r="B63" s="5"/>
      <c r="C63" s="5"/>
      <c r="D63" s="5"/>
      <c r="E63" s="5"/>
      <c r="F63" s="5"/>
      <c r="G63" s="5"/>
      <c r="H63" s="5"/>
    </row>
    <row r="64" ht="15.75" customHeight="1">
      <c r="A64" s="5"/>
      <c r="B64" s="5"/>
      <c r="C64" s="5"/>
      <c r="D64" s="5"/>
      <c r="E64" s="5"/>
      <c r="F64" s="5"/>
      <c r="G64" s="5"/>
      <c r="H64" s="5"/>
    </row>
    <row r="65" ht="15.75" customHeight="1">
      <c r="A65" s="5"/>
      <c r="B65" s="5"/>
      <c r="C65" s="5"/>
      <c r="D65" s="5"/>
      <c r="E65" s="5"/>
      <c r="F65" s="5"/>
      <c r="G65" s="5"/>
      <c r="H65" s="5"/>
    </row>
    <row r="66" ht="15.75" customHeight="1">
      <c r="A66" s="5"/>
      <c r="B66" s="5"/>
      <c r="C66" s="5"/>
      <c r="D66" s="5"/>
      <c r="E66" s="5"/>
      <c r="F66" s="5"/>
      <c r="G66" s="5"/>
      <c r="H66" s="5"/>
    </row>
    <row r="67" ht="15.75" customHeight="1">
      <c r="A67" s="5"/>
      <c r="B67" s="5"/>
      <c r="C67" s="5"/>
      <c r="D67" s="5"/>
      <c r="E67" s="5"/>
      <c r="F67" s="5"/>
      <c r="G67" s="5"/>
      <c r="H67" s="5"/>
    </row>
    <row r="68" ht="15.75" customHeight="1">
      <c r="A68" s="5"/>
      <c r="B68" s="5"/>
      <c r="C68" s="5"/>
      <c r="D68" s="5"/>
      <c r="E68" s="5"/>
      <c r="F68" s="5"/>
      <c r="G68" s="5"/>
      <c r="H68" s="5"/>
    </row>
    <row r="69" ht="15.75" customHeight="1">
      <c r="A69" s="5"/>
      <c r="B69" s="5"/>
      <c r="C69" s="5"/>
      <c r="D69" s="5"/>
      <c r="E69" s="5"/>
      <c r="F69" s="5"/>
      <c r="G69" s="5"/>
      <c r="H69" s="5"/>
    </row>
    <row r="70" ht="15.75" customHeight="1">
      <c r="A70" s="5"/>
      <c r="B70" s="5"/>
      <c r="C70" s="5"/>
      <c r="D70" s="5"/>
      <c r="E70" s="5"/>
      <c r="F70" s="5"/>
      <c r="G70" s="5"/>
      <c r="H70" s="5"/>
    </row>
    <row r="71" ht="15.75" customHeight="1">
      <c r="A71" s="5"/>
      <c r="B71" s="5"/>
      <c r="C71" s="5"/>
      <c r="D71" s="5"/>
      <c r="E71" s="5"/>
      <c r="F71" s="5"/>
      <c r="G71" s="5"/>
      <c r="H71" s="5"/>
    </row>
    <row r="72" ht="15.75" customHeight="1">
      <c r="A72" s="5"/>
      <c r="B72" s="5"/>
      <c r="C72" s="5"/>
      <c r="D72" s="5"/>
      <c r="E72" s="5"/>
      <c r="F72" s="5"/>
      <c r="G72" s="5"/>
      <c r="H72" s="5"/>
    </row>
    <row r="73" ht="15.75" customHeight="1">
      <c r="A73" s="5"/>
      <c r="B73" s="5"/>
      <c r="C73" s="5"/>
      <c r="D73" s="5"/>
      <c r="E73" s="5"/>
      <c r="F73" s="5"/>
      <c r="G73" s="5"/>
      <c r="H73" s="5"/>
    </row>
    <row r="74" ht="15.75" customHeight="1">
      <c r="A74" s="5"/>
      <c r="B74" s="5"/>
      <c r="C74" s="5"/>
      <c r="D74" s="5"/>
      <c r="E74" s="5"/>
      <c r="F74" s="5"/>
      <c r="G74" s="5"/>
      <c r="H74" s="5"/>
    </row>
    <row r="75" ht="15.75" customHeight="1">
      <c r="A75" s="5"/>
      <c r="B75" s="5"/>
      <c r="C75" s="5"/>
      <c r="D75" s="5"/>
      <c r="E75" s="5"/>
      <c r="F75" s="5"/>
      <c r="G75" s="5"/>
      <c r="H75" s="5"/>
    </row>
    <row r="76" ht="15.75" customHeight="1">
      <c r="A76" s="5"/>
      <c r="B76" s="5"/>
      <c r="C76" s="5"/>
      <c r="D76" s="5"/>
      <c r="E76" s="5"/>
      <c r="F76" s="5"/>
      <c r="G76" s="5"/>
      <c r="H76" s="5"/>
    </row>
    <row r="77" ht="15.75" customHeight="1">
      <c r="A77" s="5"/>
      <c r="B77" s="5"/>
      <c r="C77" s="5"/>
      <c r="D77" s="5"/>
      <c r="E77" s="5"/>
      <c r="F77" s="5"/>
      <c r="G77" s="5"/>
      <c r="H77" s="5"/>
    </row>
    <row r="78" ht="15.75" customHeight="1">
      <c r="A78" s="5"/>
      <c r="B78" s="5"/>
      <c r="C78" s="5"/>
      <c r="D78" s="5"/>
      <c r="E78" s="5"/>
      <c r="F78" s="5"/>
      <c r="G78" s="5"/>
      <c r="H78" s="5"/>
    </row>
    <row r="79" ht="15.75" customHeight="1">
      <c r="A79" s="5"/>
      <c r="B79" s="5"/>
      <c r="C79" s="5"/>
      <c r="D79" s="5"/>
      <c r="E79" s="5"/>
      <c r="F79" s="5"/>
      <c r="G79" s="5"/>
      <c r="H79" s="5"/>
    </row>
    <row r="80" ht="15.75" customHeight="1">
      <c r="A80" s="5"/>
      <c r="B80" s="5"/>
      <c r="C80" s="5"/>
      <c r="D80" s="5"/>
      <c r="E80" s="5"/>
      <c r="F80" s="5"/>
      <c r="G80" s="5"/>
      <c r="H80" s="5"/>
    </row>
    <row r="81" ht="15.75" customHeight="1">
      <c r="A81" s="5"/>
      <c r="B81" s="5"/>
      <c r="C81" s="5"/>
      <c r="D81" s="5"/>
      <c r="E81" s="5"/>
      <c r="F81" s="5"/>
      <c r="G81" s="5"/>
      <c r="H81" s="5"/>
    </row>
    <row r="82" ht="15.75" customHeight="1">
      <c r="A82" s="5"/>
      <c r="B82" s="5"/>
      <c r="C82" s="5"/>
      <c r="D82" s="5"/>
      <c r="E82" s="5"/>
      <c r="F82" s="5"/>
      <c r="G82" s="5"/>
      <c r="H82" s="5"/>
    </row>
    <row r="83" ht="15.75" customHeight="1">
      <c r="A83" s="5"/>
      <c r="B83" s="5"/>
      <c r="C83" s="5"/>
      <c r="D83" s="5"/>
      <c r="E83" s="5"/>
      <c r="F83" s="5"/>
      <c r="G83" s="5"/>
      <c r="H83" s="5"/>
    </row>
    <row r="84" ht="15.75" customHeight="1">
      <c r="A84" s="5"/>
      <c r="B84" s="5"/>
      <c r="C84" s="5"/>
      <c r="D84" s="5"/>
      <c r="E84" s="5"/>
      <c r="F84" s="5"/>
      <c r="G84" s="5"/>
      <c r="H84" s="5"/>
    </row>
    <row r="85" ht="15.75" customHeight="1">
      <c r="A85" s="5"/>
      <c r="B85" s="5"/>
      <c r="C85" s="5"/>
      <c r="D85" s="5"/>
      <c r="E85" s="5"/>
      <c r="F85" s="5"/>
      <c r="G85" s="5"/>
      <c r="H85" s="5"/>
    </row>
    <row r="86" ht="15.75" customHeight="1">
      <c r="A86" s="5"/>
      <c r="B86" s="5"/>
      <c r="C86" s="5"/>
      <c r="D86" s="5"/>
      <c r="E86" s="5"/>
      <c r="F86" s="5"/>
      <c r="G86" s="5"/>
      <c r="H86" s="5"/>
    </row>
    <row r="87" ht="15.75" customHeight="1">
      <c r="A87" s="5"/>
      <c r="B87" s="5"/>
      <c r="C87" s="5"/>
      <c r="D87" s="5"/>
      <c r="E87" s="5"/>
      <c r="F87" s="5"/>
      <c r="G87" s="5"/>
      <c r="H87" s="5"/>
    </row>
    <row r="88" ht="15.75" customHeight="1">
      <c r="A88" s="5"/>
      <c r="B88" s="5"/>
      <c r="C88" s="5"/>
      <c r="D88" s="5"/>
      <c r="E88" s="5"/>
      <c r="F88" s="5"/>
      <c r="G88" s="5"/>
      <c r="H88" s="5"/>
    </row>
    <row r="89" ht="15.75" customHeight="1">
      <c r="A89" s="5"/>
      <c r="B89" s="5"/>
      <c r="C89" s="5"/>
      <c r="D89" s="5"/>
      <c r="E89" s="5"/>
      <c r="F89" s="5"/>
      <c r="G89" s="5"/>
      <c r="H89" s="5"/>
    </row>
    <row r="90" ht="15.75" customHeight="1">
      <c r="A90" s="5"/>
      <c r="B90" s="5"/>
      <c r="C90" s="5"/>
      <c r="D90" s="5"/>
      <c r="E90" s="5"/>
      <c r="F90" s="5"/>
      <c r="G90" s="5"/>
      <c r="H90" s="5"/>
    </row>
    <row r="91" ht="15.75" customHeight="1">
      <c r="A91" s="5"/>
      <c r="B91" s="5"/>
      <c r="C91" s="5"/>
      <c r="D91" s="5"/>
      <c r="E91" s="5"/>
      <c r="F91" s="5"/>
      <c r="G91" s="5"/>
      <c r="H91" s="5"/>
    </row>
    <row r="92" ht="15.75" customHeight="1">
      <c r="A92" s="5"/>
      <c r="B92" s="5"/>
      <c r="C92" s="5"/>
      <c r="D92" s="5"/>
      <c r="E92" s="5"/>
      <c r="F92" s="5"/>
      <c r="G92" s="5"/>
      <c r="H92" s="5"/>
    </row>
    <row r="93" ht="15.75" customHeight="1">
      <c r="A93" s="5"/>
      <c r="B93" s="5"/>
      <c r="C93" s="5"/>
      <c r="D93" s="5"/>
      <c r="E93" s="5"/>
      <c r="F93" s="5"/>
      <c r="G93" s="5"/>
      <c r="H93" s="5"/>
    </row>
    <row r="94" ht="15.75" customHeight="1">
      <c r="A94" s="5"/>
      <c r="B94" s="5"/>
      <c r="C94" s="5"/>
      <c r="D94" s="5"/>
      <c r="E94" s="5"/>
      <c r="F94" s="5"/>
      <c r="G94" s="5"/>
      <c r="H94" s="5"/>
    </row>
    <row r="95" ht="15.75" customHeight="1">
      <c r="A95" s="5"/>
      <c r="B95" s="5"/>
      <c r="C95" s="5"/>
      <c r="D95" s="5"/>
      <c r="E95" s="5"/>
      <c r="F95" s="5"/>
      <c r="G95" s="5"/>
      <c r="H95" s="5"/>
    </row>
    <row r="96" ht="15.75" customHeight="1">
      <c r="A96" s="5"/>
      <c r="B96" s="5"/>
      <c r="C96" s="5"/>
      <c r="D96" s="5"/>
      <c r="E96" s="5"/>
      <c r="F96" s="5"/>
      <c r="G96" s="5"/>
      <c r="H96" s="5"/>
    </row>
    <row r="97" ht="15.75" customHeight="1">
      <c r="A97" s="5"/>
      <c r="B97" s="5"/>
      <c r="C97" s="5"/>
      <c r="D97" s="5"/>
      <c r="E97" s="5"/>
      <c r="F97" s="5"/>
      <c r="G97" s="5"/>
      <c r="H97" s="5"/>
    </row>
    <row r="98" ht="15.75" customHeight="1">
      <c r="A98" s="5"/>
      <c r="B98" s="5"/>
      <c r="C98" s="5"/>
      <c r="D98" s="5"/>
      <c r="E98" s="5"/>
      <c r="F98" s="5"/>
      <c r="G98" s="5"/>
      <c r="H98" s="5"/>
    </row>
    <row r="99" ht="15.75" customHeight="1">
      <c r="A99" s="5"/>
      <c r="B99" s="5"/>
      <c r="C99" s="5"/>
      <c r="D99" s="5"/>
      <c r="E99" s="5"/>
      <c r="F99" s="5"/>
      <c r="G99" s="5"/>
      <c r="H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22:E22"/>
    <mergeCell ref="B24:E24"/>
    <mergeCell ref="B25:E25"/>
    <mergeCell ref="B28:H28"/>
    <mergeCell ref="C29:D29"/>
    <mergeCell ref="C30:D30"/>
    <mergeCell ref="C31:D31"/>
    <mergeCell ref="A1:H1"/>
    <mergeCell ref="B4:H4"/>
    <mergeCell ref="B8:E8"/>
    <mergeCell ref="I8:K8"/>
    <mergeCell ref="B10:H10"/>
    <mergeCell ref="B15:E15"/>
    <mergeCell ref="B17:H1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6" width="18.0"/>
    <col customWidth="1" min="7" max="7" width="16.0"/>
    <col customWidth="1" min="8" max="8" width="14.0"/>
  </cols>
  <sheetData>
    <row r="1" ht="45.0" customHeight="1">
      <c r="A1" s="35" t="s">
        <v>70</v>
      </c>
      <c r="B1" s="2"/>
      <c r="C1" s="2"/>
      <c r="D1" s="2"/>
      <c r="E1" s="2"/>
      <c r="F1" s="2"/>
      <c r="G1" s="2"/>
      <c r="H1" s="3"/>
    </row>
    <row r="2" ht="18.0" customHeight="1">
      <c r="A2" s="4" t="s">
        <v>71</v>
      </c>
      <c r="B2" s="5"/>
      <c r="C2" s="5"/>
      <c r="D2" s="5"/>
      <c r="E2" s="5"/>
      <c r="F2" s="5"/>
      <c r="G2" s="5"/>
      <c r="H2" s="5"/>
    </row>
    <row r="3">
      <c r="A3" s="5"/>
      <c r="B3" s="5"/>
      <c r="C3" s="5"/>
      <c r="D3" s="5"/>
      <c r="E3" s="5"/>
      <c r="F3" s="5"/>
      <c r="G3" s="5"/>
      <c r="H3" s="5"/>
    </row>
    <row r="4" ht="21.75" customHeight="1">
      <c r="A4" s="5"/>
      <c r="B4" s="83" t="s">
        <v>72</v>
      </c>
      <c r="C4" s="38"/>
      <c r="D4" s="38"/>
      <c r="E4" s="38"/>
      <c r="F4" s="38"/>
      <c r="G4" s="38"/>
      <c r="H4" s="39"/>
    </row>
    <row r="5" ht="19.5" customHeight="1">
      <c r="A5" s="5"/>
      <c r="B5" s="84" t="s">
        <v>73</v>
      </c>
      <c r="C5" s="85" t="s">
        <v>8</v>
      </c>
      <c r="D5" s="85" t="s">
        <v>74</v>
      </c>
      <c r="E5" s="85" t="s">
        <v>13</v>
      </c>
      <c r="F5" s="84" t="s">
        <v>75</v>
      </c>
      <c r="G5" s="84" t="s">
        <v>76</v>
      </c>
      <c r="H5" s="84" t="s">
        <v>77</v>
      </c>
    </row>
    <row r="6" ht="24.0" customHeight="1">
      <c r="A6" s="5"/>
      <c r="B6" s="86" t="s">
        <v>78</v>
      </c>
      <c r="C6" s="87">
        <v>2.78345454E8</v>
      </c>
      <c r="D6" s="87">
        <v>3.48E7</v>
      </c>
      <c r="E6" s="87">
        <v>1.0E7</v>
      </c>
      <c r="F6" s="88">
        <f t="shared" ref="F6:F7" si="1">IFERROR(C6+D6+E6,"-")</f>
        <v>323145454</v>
      </c>
      <c r="G6" s="89" t="s">
        <v>79</v>
      </c>
      <c r="H6" s="90" t="s">
        <v>80</v>
      </c>
    </row>
    <row r="7" ht="24.0" customHeight="1">
      <c r="A7" s="5"/>
      <c r="B7" s="91" t="s">
        <v>81</v>
      </c>
      <c r="C7" s="87">
        <v>3.2121393E7</v>
      </c>
      <c r="D7" s="87">
        <v>2227200.0</v>
      </c>
      <c r="E7" s="87">
        <v>1.0E7</v>
      </c>
      <c r="F7" s="88">
        <f t="shared" si="1"/>
        <v>44348593</v>
      </c>
      <c r="G7" s="92">
        <f>IFERROR(F7/F6,"-")</f>
        <v>0.1372403432</v>
      </c>
      <c r="H7" s="90" t="s">
        <v>80</v>
      </c>
    </row>
    <row r="8" ht="24.0" customHeight="1">
      <c r="A8" s="5"/>
      <c r="B8" s="93" t="s">
        <v>82</v>
      </c>
      <c r="C8" s="94" t="s">
        <v>83</v>
      </c>
      <c r="D8" s="87">
        <v>211800.0</v>
      </c>
      <c r="E8" s="87">
        <v>353000.0</v>
      </c>
      <c r="F8" s="88">
        <f>IFERROR(D8+E8,"-")</f>
        <v>564800</v>
      </c>
      <c r="G8" s="92">
        <f>IFERROR((D8+E8)/(D7+E7),"-")</f>
        <v>0.04619209631</v>
      </c>
      <c r="H8" s="95" t="s">
        <v>84</v>
      </c>
    </row>
    <row r="9" ht="24.0" customHeight="1">
      <c r="A9" s="5"/>
      <c r="B9" s="96" t="s">
        <v>85</v>
      </c>
      <c r="C9" s="94" t="s">
        <v>86</v>
      </c>
      <c r="D9" s="94" t="s">
        <v>86</v>
      </c>
      <c r="E9" s="94" t="s">
        <v>86</v>
      </c>
      <c r="F9" s="97" t="s">
        <v>43</v>
      </c>
      <c r="G9" s="98" t="s">
        <v>83</v>
      </c>
      <c r="H9" s="95" t="s">
        <v>87</v>
      </c>
    </row>
    <row r="10" ht="24.0" customHeight="1">
      <c r="A10" s="5"/>
      <c r="B10" s="99" t="s">
        <v>88</v>
      </c>
      <c r="C10" s="94" t="s">
        <v>86</v>
      </c>
      <c r="D10" s="94" t="s">
        <v>86</v>
      </c>
      <c r="E10" s="94" t="s">
        <v>86</v>
      </c>
      <c r="F10" s="97" t="s">
        <v>43</v>
      </c>
      <c r="G10" s="98" t="s">
        <v>83</v>
      </c>
      <c r="H10" s="100" t="s">
        <v>89</v>
      </c>
    </row>
    <row r="11">
      <c r="A11" s="5"/>
      <c r="B11" s="5"/>
      <c r="C11" s="5"/>
      <c r="D11" s="5"/>
      <c r="E11" s="5"/>
      <c r="F11" s="5"/>
      <c r="G11" s="5"/>
      <c r="H11" s="5"/>
    </row>
    <row r="12" ht="7.5" customHeight="1">
      <c r="A12" s="5"/>
      <c r="B12" s="5"/>
      <c r="C12" s="5"/>
      <c r="D12" s="5"/>
      <c r="E12" s="5"/>
      <c r="F12" s="5"/>
      <c r="G12" s="5"/>
      <c r="H12" s="5"/>
    </row>
    <row r="13" ht="21.75" customHeight="1">
      <c r="A13" s="5"/>
      <c r="B13" s="58" t="s">
        <v>90</v>
      </c>
      <c r="C13" s="38"/>
      <c r="D13" s="38"/>
      <c r="E13" s="38"/>
      <c r="F13" s="38"/>
      <c r="G13" s="38"/>
      <c r="H13" s="39"/>
    </row>
    <row r="14" ht="19.5" customHeight="1">
      <c r="A14" s="5"/>
      <c r="B14" s="101" t="s">
        <v>91</v>
      </c>
      <c r="C14" s="102" t="s">
        <v>92</v>
      </c>
      <c r="D14" s="75"/>
      <c r="E14" s="102" t="s">
        <v>93</v>
      </c>
      <c r="F14" s="103"/>
      <c r="G14" s="75"/>
      <c r="H14" s="101" t="s">
        <v>94</v>
      </c>
    </row>
    <row r="15" ht="25.5" customHeight="1">
      <c r="A15" s="5"/>
      <c r="B15" s="104" t="s">
        <v>95</v>
      </c>
      <c r="C15" s="105" t="s">
        <v>96</v>
      </c>
      <c r="D15" s="75"/>
      <c r="E15" s="105" t="s">
        <v>97</v>
      </c>
      <c r="F15" s="103"/>
      <c r="G15" s="75"/>
      <c r="H15" s="106" t="s">
        <v>98</v>
      </c>
    </row>
    <row r="16" ht="25.5" customHeight="1">
      <c r="A16" s="5"/>
      <c r="B16" s="107" t="s">
        <v>99</v>
      </c>
      <c r="C16" s="108" t="s">
        <v>100</v>
      </c>
      <c r="D16" s="75"/>
      <c r="E16" s="108" t="s">
        <v>101</v>
      </c>
      <c r="F16" s="103"/>
      <c r="G16" s="75"/>
      <c r="H16" s="106" t="s">
        <v>98</v>
      </c>
    </row>
    <row r="17" ht="25.5" customHeight="1">
      <c r="A17" s="5"/>
      <c r="B17" s="109" t="s">
        <v>102</v>
      </c>
      <c r="C17" s="105" t="s">
        <v>103</v>
      </c>
      <c r="D17" s="75"/>
      <c r="E17" s="105" t="s">
        <v>104</v>
      </c>
      <c r="F17" s="103"/>
      <c r="G17" s="75"/>
      <c r="H17" s="110" t="s">
        <v>105</v>
      </c>
    </row>
    <row r="18" ht="25.5" customHeight="1">
      <c r="A18" s="5"/>
      <c r="B18" s="107" t="s">
        <v>106</v>
      </c>
      <c r="C18" s="111" t="s">
        <v>107</v>
      </c>
      <c r="D18" s="75"/>
      <c r="E18" s="111" t="s">
        <v>108</v>
      </c>
      <c r="F18" s="103"/>
      <c r="G18" s="75"/>
      <c r="H18" s="110" t="s">
        <v>105</v>
      </c>
    </row>
    <row r="19" ht="25.5" customHeight="1">
      <c r="A19" s="5"/>
      <c r="B19" s="104" t="s">
        <v>109</v>
      </c>
      <c r="C19" s="105" t="s">
        <v>110</v>
      </c>
      <c r="D19" s="75"/>
      <c r="E19" s="105" t="s">
        <v>111</v>
      </c>
      <c r="F19" s="103"/>
      <c r="G19" s="75"/>
      <c r="H19" s="110" t="s">
        <v>105</v>
      </c>
    </row>
    <row r="20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>
      <c r="A28" s="5"/>
      <c r="B28" s="5"/>
      <c r="C28" s="5"/>
      <c r="D28" s="5"/>
      <c r="E28" s="5"/>
      <c r="F28" s="5"/>
      <c r="G28" s="5"/>
      <c r="H28" s="5"/>
    </row>
    <row r="29" ht="15.75" customHeight="1">
      <c r="A29" s="5"/>
      <c r="B29" s="5"/>
      <c r="C29" s="5"/>
      <c r="D29" s="5"/>
      <c r="E29" s="5"/>
      <c r="F29" s="5"/>
      <c r="G29" s="5"/>
      <c r="H29" s="5"/>
    </row>
    <row r="30" ht="15.75" customHeight="1">
      <c r="A30" s="5"/>
      <c r="B30" s="5"/>
      <c r="C30" s="5"/>
      <c r="D30" s="5"/>
      <c r="E30" s="5"/>
      <c r="F30" s="5"/>
      <c r="G30" s="5"/>
      <c r="H30" s="5"/>
    </row>
    <row r="31" ht="15.75" customHeight="1">
      <c r="A31" s="5"/>
      <c r="B31" s="5"/>
      <c r="C31" s="5"/>
      <c r="D31" s="5"/>
      <c r="E31" s="5"/>
      <c r="F31" s="5"/>
      <c r="G31" s="5"/>
      <c r="H31" s="5"/>
    </row>
    <row r="32" ht="15.75" customHeight="1">
      <c r="A32" s="5"/>
      <c r="B32" s="5"/>
      <c r="C32" s="5"/>
      <c r="D32" s="5"/>
      <c r="E32" s="5"/>
      <c r="F32" s="5"/>
      <c r="G32" s="5"/>
      <c r="H32" s="5"/>
    </row>
    <row r="33" ht="15.75" customHeight="1">
      <c r="A33" s="5"/>
      <c r="B33" s="5"/>
      <c r="C33" s="5"/>
      <c r="D33" s="5"/>
      <c r="E33" s="5"/>
      <c r="F33" s="5"/>
      <c r="G33" s="5"/>
      <c r="H33" s="5"/>
    </row>
    <row r="34" ht="15.75" customHeight="1">
      <c r="A34" s="5"/>
      <c r="B34" s="5"/>
      <c r="C34" s="5"/>
      <c r="D34" s="5"/>
      <c r="E34" s="5"/>
      <c r="F34" s="5"/>
      <c r="G34" s="5"/>
      <c r="H34" s="5"/>
    </row>
    <row r="35" ht="15.75" customHeight="1">
      <c r="A35" s="5"/>
      <c r="B35" s="5"/>
      <c r="C35" s="5"/>
      <c r="D35" s="5"/>
      <c r="E35" s="5"/>
      <c r="F35" s="5"/>
      <c r="G35" s="5"/>
      <c r="H35" s="5"/>
    </row>
    <row r="36" ht="15.75" customHeight="1">
      <c r="A36" s="5"/>
      <c r="B36" s="5"/>
      <c r="C36" s="5"/>
      <c r="D36" s="5"/>
      <c r="E36" s="5"/>
      <c r="F36" s="5"/>
      <c r="G36" s="5"/>
      <c r="H36" s="5"/>
    </row>
    <row r="37" ht="15.75" customHeight="1">
      <c r="A37" s="5"/>
      <c r="B37" s="5"/>
      <c r="C37" s="5"/>
      <c r="D37" s="5"/>
      <c r="E37" s="5"/>
      <c r="F37" s="5"/>
      <c r="G37" s="5"/>
      <c r="H37" s="5"/>
    </row>
    <row r="38" ht="15.75" customHeight="1">
      <c r="A38" s="5"/>
      <c r="B38" s="5"/>
      <c r="C38" s="5"/>
      <c r="D38" s="5"/>
      <c r="E38" s="5"/>
      <c r="F38" s="5"/>
      <c r="G38" s="5"/>
      <c r="H38" s="5"/>
    </row>
    <row r="39" ht="15.75" customHeight="1">
      <c r="A39" s="5"/>
      <c r="B39" s="5"/>
      <c r="C39" s="5"/>
      <c r="D39" s="5"/>
      <c r="E39" s="5"/>
      <c r="F39" s="5"/>
      <c r="G39" s="5"/>
      <c r="H39" s="5"/>
    </row>
    <row r="40" ht="15.75" customHeight="1">
      <c r="A40" s="5"/>
      <c r="B40" s="5"/>
      <c r="C40" s="5"/>
      <c r="D40" s="5"/>
      <c r="E40" s="5"/>
      <c r="F40" s="5"/>
      <c r="G40" s="5"/>
      <c r="H40" s="5"/>
    </row>
    <row r="41" ht="15.75" customHeight="1">
      <c r="A41" s="5"/>
      <c r="B41" s="5"/>
      <c r="C41" s="5"/>
      <c r="D41" s="5"/>
      <c r="E41" s="5"/>
      <c r="F41" s="5"/>
      <c r="G41" s="5"/>
      <c r="H41" s="5"/>
    </row>
    <row r="42" ht="15.75" customHeight="1">
      <c r="A42" s="5"/>
      <c r="B42" s="5"/>
      <c r="C42" s="5"/>
      <c r="D42" s="5"/>
      <c r="E42" s="5"/>
      <c r="F42" s="5"/>
      <c r="G42" s="5"/>
      <c r="H42" s="5"/>
    </row>
    <row r="43" ht="15.75" customHeight="1">
      <c r="A43" s="5"/>
      <c r="B43" s="5"/>
      <c r="C43" s="5"/>
      <c r="D43" s="5"/>
      <c r="E43" s="5"/>
      <c r="F43" s="5"/>
      <c r="G43" s="5"/>
      <c r="H43" s="5"/>
    </row>
    <row r="44" ht="15.75" customHeight="1">
      <c r="A44" s="5"/>
      <c r="B44" s="5"/>
      <c r="C44" s="5"/>
      <c r="D44" s="5"/>
      <c r="E44" s="5"/>
      <c r="F44" s="5"/>
      <c r="G44" s="5"/>
      <c r="H44" s="5"/>
    </row>
    <row r="45" ht="15.75" customHeight="1">
      <c r="A45" s="5"/>
      <c r="B45" s="5"/>
      <c r="C45" s="5"/>
      <c r="D45" s="5"/>
      <c r="E45" s="5"/>
      <c r="F45" s="5"/>
      <c r="G45" s="5"/>
      <c r="H45" s="5"/>
    </row>
    <row r="46" ht="15.75" customHeight="1">
      <c r="A46" s="5"/>
      <c r="B46" s="5"/>
      <c r="C46" s="5"/>
      <c r="D46" s="5"/>
      <c r="E46" s="5"/>
      <c r="F46" s="5"/>
      <c r="G46" s="5"/>
      <c r="H46" s="5"/>
    </row>
    <row r="47" ht="15.75" customHeight="1">
      <c r="A47" s="5"/>
      <c r="B47" s="5"/>
      <c r="C47" s="5"/>
      <c r="D47" s="5"/>
      <c r="E47" s="5"/>
      <c r="F47" s="5"/>
      <c r="G47" s="5"/>
      <c r="H47" s="5"/>
    </row>
    <row r="48" ht="15.75" customHeight="1">
      <c r="A48" s="5"/>
      <c r="B48" s="5"/>
      <c r="C48" s="5"/>
      <c r="D48" s="5"/>
      <c r="E48" s="5"/>
      <c r="F48" s="5"/>
      <c r="G48" s="5"/>
      <c r="H48" s="5"/>
    </row>
    <row r="49" ht="15.75" customHeight="1">
      <c r="A49" s="5"/>
      <c r="B49" s="5"/>
      <c r="C49" s="5"/>
      <c r="D49" s="5"/>
      <c r="E49" s="5"/>
      <c r="F49" s="5"/>
      <c r="G49" s="5"/>
      <c r="H49" s="5"/>
    </row>
    <row r="50" ht="15.75" customHeight="1">
      <c r="A50" s="5"/>
      <c r="B50" s="5"/>
      <c r="C50" s="5"/>
      <c r="D50" s="5"/>
      <c r="E50" s="5"/>
      <c r="F50" s="5"/>
      <c r="G50" s="5"/>
      <c r="H50" s="5"/>
    </row>
    <row r="51" ht="15.75" customHeight="1">
      <c r="A51" s="5"/>
      <c r="B51" s="5"/>
      <c r="C51" s="5"/>
      <c r="D51" s="5"/>
      <c r="E51" s="5"/>
      <c r="F51" s="5"/>
      <c r="G51" s="5"/>
      <c r="H51" s="5"/>
    </row>
    <row r="52" ht="15.75" customHeight="1">
      <c r="A52" s="5"/>
      <c r="B52" s="5"/>
      <c r="C52" s="5"/>
      <c r="D52" s="5"/>
      <c r="E52" s="5"/>
      <c r="F52" s="5"/>
      <c r="G52" s="5"/>
      <c r="H52" s="5"/>
    </row>
    <row r="53" ht="15.75" customHeight="1">
      <c r="A53" s="5"/>
      <c r="B53" s="5"/>
      <c r="C53" s="5"/>
      <c r="D53" s="5"/>
      <c r="E53" s="5"/>
      <c r="F53" s="5"/>
      <c r="G53" s="5"/>
      <c r="H53" s="5"/>
    </row>
    <row r="54" ht="15.75" customHeight="1">
      <c r="A54" s="5"/>
      <c r="B54" s="5"/>
      <c r="C54" s="5"/>
      <c r="D54" s="5"/>
      <c r="E54" s="5"/>
      <c r="F54" s="5"/>
      <c r="G54" s="5"/>
      <c r="H54" s="5"/>
    </row>
    <row r="55" ht="15.75" customHeight="1">
      <c r="A55" s="5"/>
      <c r="B55" s="5"/>
      <c r="C55" s="5"/>
      <c r="D55" s="5"/>
      <c r="E55" s="5"/>
      <c r="F55" s="5"/>
      <c r="G55" s="5"/>
      <c r="H55" s="5"/>
    </row>
    <row r="56" ht="15.75" customHeight="1">
      <c r="A56" s="5"/>
      <c r="B56" s="5"/>
      <c r="C56" s="5"/>
      <c r="D56" s="5"/>
      <c r="E56" s="5"/>
      <c r="F56" s="5"/>
      <c r="G56" s="5"/>
      <c r="H56" s="5"/>
    </row>
    <row r="57" ht="15.75" customHeight="1">
      <c r="A57" s="5"/>
      <c r="B57" s="5"/>
      <c r="C57" s="5"/>
      <c r="D57" s="5"/>
      <c r="E57" s="5"/>
      <c r="F57" s="5"/>
      <c r="G57" s="5"/>
      <c r="H57" s="5"/>
    </row>
    <row r="58" ht="15.75" customHeight="1">
      <c r="A58" s="5"/>
      <c r="B58" s="5"/>
      <c r="C58" s="5"/>
      <c r="D58" s="5"/>
      <c r="E58" s="5"/>
      <c r="F58" s="5"/>
      <c r="G58" s="5"/>
      <c r="H58" s="5"/>
    </row>
    <row r="59" ht="15.75" customHeight="1">
      <c r="A59" s="5"/>
      <c r="B59" s="5"/>
      <c r="C59" s="5"/>
      <c r="D59" s="5"/>
      <c r="E59" s="5"/>
      <c r="F59" s="5"/>
      <c r="G59" s="5"/>
      <c r="H59" s="5"/>
    </row>
    <row r="60" ht="15.75" customHeight="1">
      <c r="A60" s="5"/>
      <c r="B60" s="5"/>
      <c r="C60" s="5"/>
      <c r="D60" s="5"/>
      <c r="E60" s="5"/>
      <c r="F60" s="5"/>
      <c r="G60" s="5"/>
      <c r="H60" s="5"/>
    </row>
    <row r="61" ht="15.75" customHeight="1">
      <c r="A61" s="5"/>
      <c r="B61" s="5"/>
      <c r="C61" s="5"/>
      <c r="D61" s="5"/>
      <c r="E61" s="5"/>
      <c r="F61" s="5"/>
      <c r="G61" s="5"/>
      <c r="H61" s="5"/>
    </row>
    <row r="62" ht="15.75" customHeight="1">
      <c r="A62" s="5"/>
      <c r="B62" s="5"/>
      <c r="C62" s="5"/>
      <c r="D62" s="5"/>
      <c r="E62" s="5"/>
      <c r="F62" s="5"/>
      <c r="G62" s="5"/>
      <c r="H62" s="5"/>
    </row>
    <row r="63" ht="15.75" customHeight="1">
      <c r="A63" s="5"/>
      <c r="B63" s="5"/>
      <c r="C63" s="5"/>
      <c r="D63" s="5"/>
      <c r="E63" s="5"/>
      <c r="F63" s="5"/>
      <c r="G63" s="5"/>
      <c r="H63" s="5"/>
    </row>
    <row r="64" ht="15.75" customHeight="1">
      <c r="A64" s="5"/>
      <c r="B64" s="5"/>
      <c r="C64" s="5"/>
      <c r="D64" s="5"/>
      <c r="E64" s="5"/>
      <c r="F64" s="5"/>
      <c r="G64" s="5"/>
      <c r="H64" s="5"/>
    </row>
    <row r="65" ht="15.75" customHeight="1">
      <c r="A65" s="5"/>
      <c r="B65" s="5"/>
      <c r="C65" s="5"/>
      <c r="D65" s="5"/>
      <c r="E65" s="5"/>
      <c r="F65" s="5"/>
      <c r="G65" s="5"/>
      <c r="H65" s="5"/>
    </row>
    <row r="66" ht="15.75" customHeight="1">
      <c r="A66" s="5"/>
      <c r="B66" s="5"/>
      <c r="C66" s="5"/>
      <c r="D66" s="5"/>
      <c r="E66" s="5"/>
      <c r="F66" s="5"/>
      <c r="G66" s="5"/>
      <c r="H66" s="5"/>
    </row>
    <row r="67" ht="15.75" customHeight="1">
      <c r="A67" s="5"/>
      <c r="B67" s="5"/>
      <c r="C67" s="5"/>
      <c r="D67" s="5"/>
      <c r="E67" s="5"/>
      <c r="F67" s="5"/>
      <c r="G67" s="5"/>
      <c r="H67" s="5"/>
    </row>
    <row r="68" ht="15.75" customHeight="1">
      <c r="A68" s="5"/>
      <c r="B68" s="5"/>
      <c r="C68" s="5"/>
      <c r="D68" s="5"/>
      <c r="E68" s="5"/>
      <c r="F68" s="5"/>
      <c r="G68" s="5"/>
      <c r="H68" s="5"/>
    </row>
    <row r="69" ht="15.75" customHeight="1">
      <c r="A69" s="5"/>
      <c r="B69" s="5"/>
      <c r="C69" s="5"/>
      <c r="D69" s="5"/>
      <c r="E69" s="5"/>
      <c r="F69" s="5"/>
      <c r="G69" s="5"/>
      <c r="H69" s="5"/>
    </row>
    <row r="70" ht="15.75" customHeight="1">
      <c r="A70" s="5"/>
      <c r="B70" s="5"/>
      <c r="C70" s="5"/>
      <c r="D70" s="5"/>
      <c r="E70" s="5"/>
      <c r="F70" s="5"/>
      <c r="G70" s="5"/>
      <c r="H70" s="5"/>
    </row>
    <row r="71" ht="15.75" customHeight="1">
      <c r="A71" s="5"/>
      <c r="B71" s="5"/>
      <c r="C71" s="5"/>
      <c r="D71" s="5"/>
      <c r="E71" s="5"/>
      <c r="F71" s="5"/>
      <c r="G71" s="5"/>
      <c r="H71" s="5"/>
    </row>
    <row r="72" ht="15.75" customHeight="1">
      <c r="A72" s="5"/>
      <c r="B72" s="5"/>
      <c r="C72" s="5"/>
      <c r="D72" s="5"/>
      <c r="E72" s="5"/>
      <c r="F72" s="5"/>
      <c r="G72" s="5"/>
      <c r="H72" s="5"/>
    </row>
    <row r="73" ht="15.75" customHeight="1">
      <c r="A73" s="5"/>
      <c r="B73" s="5"/>
      <c r="C73" s="5"/>
      <c r="D73" s="5"/>
      <c r="E73" s="5"/>
      <c r="F73" s="5"/>
      <c r="G73" s="5"/>
      <c r="H73" s="5"/>
    </row>
    <row r="74" ht="15.75" customHeight="1">
      <c r="A74" s="5"/>
      <c r="B74" s="5"/>
      <c r="C74" s="5"/>
      <c r="D74" s="5"/>
      <c r="E74" s="5"/>
      <c r="F74" s="5"/>
      <c r="G74" s="5"/>
      <c r="H74" s="5"/>
    </row>
    <row r="75" ht="15.75" customHeight="1">
      <c r="A75" s="5"/>
      <c r="B75" s="5"/>
      <c r="C75" s="5"/>
      <c r="D75" s="5"/>
      <c r="E75" s="5"/>
      <c r="F75" s="5"/>
      <c r="G75" s="5"/>
      <c r="H75" s="5"/>
    </row>
    <row r="76" ht="15.75" customHeight="1">
      <c r="A76" s="5"/>
      <c r="B76" s="5"/>
      <c r="C76" s="5"/>
      <c r="D76" s="5"/>
      <c r="E76" s="5"/>
      <c r="F76" s="5"/>
      <c r="G76" s="5"/>
      <c r="H76" s="5"/>
    </row>
    <row r="77" ht="15.75" customHeight="1">
      <c r="A77" s="5"/>
      <c r="B77" s="5"/>
      <c r="C77" s="5"/>
      <c r="D77" s="5"/>
      <c r="E77" s="5"/>
      <c r="F77" s="5"/>
      <c r="G77" s="5"/>
      <c r="H77" s="5"/>
    </row>
    <row r="78" ht="15.75" customHeight="1">
      <c r="A78" s="5"/>
      <c r="B78" s="5"/>
      <c r="C78" s="5"/>
      <c r="D78" s="5"/>
      <c r="E78" s="5"/>
      <c r="F78" s="5"/>
      <c r="G78" s="5"/>
      <c r="H78" s="5"/>
    </row>
    <row r="79" ht="15.75" customHeight="1">
      <c r="A79" s="5"/>
      <c r="B79" s="5"/>
      <c r="C79" s="5"/>
      <c r="D79" s="5"/>
      <c r="E79" s="5"/>
      <c r="F79" s="5"/>
      <c r="G79" s="5"/>
      <c r="H79" s="5"/>
    </row>
    <row r="80" ht="15.75" customHeight="1">
      <c r="A80" s="5"/>
      <c r="B80" s="5"/>
      <c r="C80" s="5"/>
      <c r="D80" s="5"/>
      <c r="E80" s="5"/>
      <c r="F80" s="5"/>
      <c r="G80" s="5"/>
      <c r="H80" s="5"/>
    </row>
    <row r="81" ht="15.75" customHeight="1">
      <c r="A81" s="5"/>
      <c r="B81" s="5"/>
      <c r="C81" s="5"/>
      <c r="D81" s="5"/>
      <c r="E81" s="5"/>
      <c r="F81" s="5"/>
      <c r="G81" s="5"/>
      <c r="H81" s="5"/>
    </row>
    <row r="82" ht="15.75" customHeight="1">
      <c r="A82" s="5"/>
      <c r="B82" s="5"/>
      <c r="C82" s="5"/>
      <c r="D82" s="5"/>
      <c r="E82" s="5"/>
      <c r="F82" s="5"/>
      <c r="G82" s="5"/>
      <c r="H82" s="5"/>
    </row>
    <row r="83" ht="15.75" customHeight="1">
      <c r="A83" s="5"/>
      <c r="B83" s="5"/>
      <c r="C83" s="5"/>
      <c r="D83" s="5"/>
      <c r="E83" s="5"/>
      <c r="F83" s="5"/>
      <c r="G83" s="5"/>
      <c r="H83" s="5"/>
    </row>
    <row r="84" ht="15.75" customHeight="1">
      <c r="A84" s="5"/>
      <c r="B84" s="5"/>
      <c r="C84" s="5"/>
      <c r="D84" s="5"/>
      <c r="E84" s="5"/>
      <c r="F84" s="5"/>
      <c r="G84" s="5"/>
      <c r="H84" s="5"/>
    </row>
    <row r="85" ht="15.75" customHeight="1">
      <c r="A85" s="5"/>
      <c r="B85" s="5"/>
      <c r="C85" s="5"/>
      <c r="D85" s="5"/>
      <c r="E85" s="5"/>
      <c r="F85" s="5"/>
      <c r="G85" s="5"/>
      <c r="H85" s="5"/>
    </row>
    <row r="86" ht="15.75" customHeight="1">
      <c r="A86" s="5"/>
      <c r="B86" s="5"/>
      <c r="C86" s="5"/>
      <c r="D86" s="5"/>
      <c r="E86" s="5"/>
      <c r="F86" s="5"/>
      <c r="G86" s="5"/>
      <c r="H86" s="5"/>
    </row>
    <row r="87" ht="15.75" customHeight="1">
      <c r="A87" s="5"/>
      <c r="B87" s="5"/>
      <c r="C87" s="5"/>
      <c r="D87" s="5"/>
      <c r="E87" s="5"/>
      <c r="F87" s="5"/>
      <c r="G87" s="5"/>
      <c r="H87" s="5"/>
    </row>
    <row r="88" ht="15.75" customHeight="1">
      <c r="A88" s="5"/>
      <c r="B88" s="5"/>
      <c r="C88" s="5"/>
      <c r="D88" s="5"/>
      <c r="E88" s="5"/>
      <c r="F88" s="5"/>
      <c r="G88" s="5"/>
      <c r="H88" s="5"/>
    </row>
    <row r="89" ht="15.75" customHeight="1">
      <c r="A89" s="5"/>
      <c r="B89" s="5"/>
      <c r="C89" s="5"/>
      <c r="D89" s="5"/>
      <c r="E89" s="5"/>
      <c r="F89" s="5"/>
      <c r="G89" s="5"/>
      <c r="H89" s="5"/>
    </row>
    <row r="90" ht="15.75" customHeight="1">
      <c r="A90" s="5"/>
      <c r="B90" s="5"/>
      <c r="C90" s="5"/>
      <c r="D90" s="5"/>
      <c r="E90" s="5"/>
      <c r="F90" s="5"/>
      <c r="G90" s="5"/>
      <c r="H90" s="5"/>
    </row>
    <row r="91" ht="15.75" customHeight="1">
      <c r="A91" s="5"/>
      <c r="B91" s="5"/>
      <c r="C91" s="5"/>
      <c r="D91" s="5"/>
      <c r="E91" s="5"/>
      <c r="F91" s="5"/>
      <c r="G91" s="5"/>
      <c r="H91" s="5"/>
    </row>
    <row r="92" ht="15.75" customHeight="1">
      <c r="A92" s="5"/>
      <c r="B92" s="5"/>
      <c r="C92" s="5"/>
      <c r="D92" s="5"/>
      <c r="E92" s="5"/>
      <c r="F92" s="5"/>
      <c r="G92" s="5"/>
      <c r="H92" s="5"/>
    </row>
    <row r="93" ht="15.75" customHeight="1">
      <c r="A93" s="5"/>
      <c r="B93" s="5"/>
      <c r="C93" s="5"/>
      <c r="D93" s="5"/>
      <c r="E93" s="5"/>
      <c r="F93" s="5"/>
      <c r="G93" s="5"/>
      <c r="H93" s="5"/>
    </row>
    <row r="94" ht="15.75" customHeight="1">
      <c r="A94" s="5"/>
      <c r="B94" s="5"/>
      <c r="C94" s="5"/>
      <c r="D94" s="5"/>
      <c r="E94" s="5"/>
      <c r="F94" s="5"/>
      <c r="G94" s="5"/>
      <c r="H94" s="5"/>
    </row>
    <row r="95" ht="15.75" customHeight="1">
      <c r="A95" s="5"/>
      <c r="B95" s="5"/>
      <c r="C95" s="5"/>
      <c r="D95" s="5"/>
      <c r="E95" s="5"/>
      <c r="F95" s="5"/>
      <c r="G95" s="5"/>
      <c r="H95" s="5"/>
    </row>
    <row r="96" ht="15.75" customHeight="1">
      <c r="A96" s="5"/>
      <c r="B96" s="5"/>
      <c r="C96" s="5"/>
      <c r="D96" s="5"/>
      <c r="E96" s="5"/>
      <c r="F96" s="5"/>
      <c r="G96" s="5"/>
      <c r="H96" s="5"/>
    </row>
    <row r="97" ht="15.75" customHeight="1">
      <c r="A97" s="5"/>
      <c r="B97" s="5"/>
      <c r="C97" s="5"/>
      <c r="D97" s="5"/>
      <c r="E97" s="5"/>
      <c r="F97" s="5"/>
      <c r="G97" s="5"/>
      <c r="H97" s="5"/>
    </row>
    <row r="98" ht="15.75" customHeight="1">
      <c r="A98" s="5"/>
      <c r="B98" s="5"/>
      <c r="C98" s="5"/>
      <c r="D98" s="5"/>
      <c r="E98" s="5"/>
      <c r="F98" s="5"/>
      <c r="G98" s="5"/>
      <c r="H98" s="5"/>
    </row>
    <row r="99" ht="15.75" customHeight="1">
      <c r="A99" s="5"/>
      <c r="B99" s="5"/>
      <c r="C99" s="5"/>
      <c r="D99" s="5"/>
      <c r="E99" s="5"/>
      <c r="F99" s="5"/>
      <c r="G99" s="5"/>
      <c r="H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16:D16"/>
    <mergeCell ref="E16:G16"/>
    <mergeCell ref="C17:D17"/>
    <mergeCell ref="E17:G17"/>
    <mergeCell ref="C18:D18"/>
    <mergeCell ref="E18:G18"/>
    <mergeCell ref="C19:D19"/>
    <mergeCell ref="E19:G19"/>
    <mergeCell ref="A1:H1"/>
    <mergeCell ref="B4:H4"/>
    <mergeCell ref="B13:H13"/>
    <mergeCell ref="C14:D14"/>
    <mergeCell ref="E14:G14"/>
    <mergeCell ref="C15:D15"/>
    <mergeCell ref="E15:G15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86"/>
    <col customWidth="1" min="2" max="5" width="18.0"/>
    <col customWidth="1" min="6" max="6" width="42.0"/>
    <col customWidth="1" min="7" max="24" width="8.71"/>
  </cols>
  <sheetData>
    <row r="1" ht="25.5" customHeight="1">
      <c r="A1" s="112" t="s">
        <v>112</v>
      </c>
      <c r="B1" s="113"/>
      <c r="C1" s="113"/>
      <c r="D1" s="113"/>
      <c r="E1" s="113"/>
      <c r="F1" s="114"/>
    </row>
    <row r="2" ht="15.0" customHeight="1">
      <c r="A2" s="115" t="s">
        <v>113</v>
      </c>
      <c r="B2" s="113"/>
      <c r="C2" s="113"/>
      <c r="D2" s="113"/>
      <c r="E2" s="113"/>
      <c r="F2" s="114"/>
    </row>
    <row r="4" ht="15.0" customHeight="1">
      <c r="A4" s="116" t="s">
        <v>114</v>
      </c>
      <c r="B4" s="113"/>
      <c r="C4" s="113"/>
      <c r="D4" s="113"/>
      <c r="E4" s="113"/>
      <c r="F4" s="114"/>
    </row>
    <row r="5" ht="15.0" customHeight="1">
      <c r="A5" s="117" t="s">
        <v>115</v>
      </c>
      <c r="B5" s="118">
        <v>0.01</v>
      </c>
      <c r="C5" s="119" t="s">
        <v>116</v>
      </c>
      <c r="D5" s="113"/>
      <c r="E5" s="113"/>
      <c r="F5" s="114"/>
    </row>
    <row r="6" ht="15.0" customHeight="1">
      <c r="A6" s="117" t="s">
        <v>117</v>
      </c>
      <c r="B6" s="118">
        <v>0.015</v>
      </c>
      <c r="C6" s="120" t="s">
        <v>118</v>
      </c>
      <c r="D6" s="113"/>
      <c r="E6" s="113"/>
      <c r="F6" s="114"/>
    </row>
    <row r="7" ht="15.0" customHeight="1">
      <c r="A7" s="117" t="s">
        <v>119</v>
      </c>
      <c r="B7" s="121">
        <v>5500.0</v>
      </c>
      <c r="C7" s="119" t="s">
        <v>120</v>
      </c>
      <c r="D7" s="113"/>
      <c r="E7" s="113"/>
      <c r="F7" s="114"/>
    </row>
    <row r="9" ht="15.0" customHeight="1">
      <c r="A9" s="116" t="s">
        <v>121</v>
      </c>
      <c r="B9" s="113"/>
      <c r="C9" s="113"/>
      <c r="D9" s="113"/>
      <c r="E9" s="113"/>
      <c r="F9" s="114"/>
    </row>
    <row r="10">
      <c r="A10" s="122" t="s">
        <v>73</v>
      </c>
      <c r="B10" s="123" t="s">
        <v>8</v>
      </c>
      <c r="C10" s="123" t="s">
        <v>122</v>
      </c>
      <c r="D10" s="123" t="s">
        <v>13</v>
      </c>
      <c r="E10" s="122" t="s">
        <v>21</v>
      </c>
      <c r="F10" s="122" t="s">
        <v>123</v>
      </c>
    </row>
    <row r="11">
      <c r="A11" s="124" t="s">
        <v>124</v>
      </c>
      <c r="B11" s="121">
        <v>2.78345454E8</v>
      </c>
      <c r="C11" s="121">
        <v>3.48E7</v>
      </c>
      <c r="D11" s="121">
        <v>1.0E7</v>
      </c>
      <c r="E11" s="125">
        <f t="shared" ref="E11:E16" si="1">B11+C11+D11</f>
        <v>323145454</v>
      </c>
      <c r="F11" s="126" t="s">
        <v>125</v>
      </c>
    </row>
    <row r="12">
      <c r="A12" s="124" t="s">
        <v>126</v>
      </c>
      <c r="B12" s="121">
        <v>3.2121393E7</v>
      </c>
      <c r="C12" s="125">
        <f>C11*0.064</f>
        <v>2227200</v>
      </c>
      <c r="D12" s="121">
        <v>1.0E7</v>
      </c>
      <c r="E12" s="125">
        <f t="shared" si="1"/>
        <v>44348593</v>
      </c>
      <c r="F12" s="127" t="s">
        <v>127</v>
      </c>
    </row>
    <row r="13">
      <c r="A13" s="124" t="s">
        <v>128</v>
      </c>
      <c r="B13" s="125">
        <f>B12*0.003</f>
        <v>96364.179</v>
      </c>
      <c r="C13" s="121">
        <v>211800.0</v>
      </c>
      <c r="D13" s="121">
        <v>353000.0</v>
      </c>
      <c r="E13" s="125">
        <f t="shared" si="1"/>
        <v>661164.179</v>
      </c>
      <c r="F13" s="127" t="s">
        <v>129</v>
      </c>
    </row>
    <row r="14">
      <c r="A14" s="128" t="s">
        <v>130</v>
      </c>
      <c r="B14" s="125">
        <f>B13*0.05</f>
        <v>4818.20895</v>
      </c>
      <c r="C14" s="125">
        <f t="shared" ref="C14:D14" si="2">C13*0.07</f>
        <v>14826</v>
      </c>
      <c r="D14" s="125">
        <f t="shared" si="2"/>
        <v>24710</v>
      </c>
      <c r="E14" s="125">
        <f t="shared" si="1"/>
        <v>44354.20895</v>
      </c>
      <c r="F14" s="126" t="s">
        <v>131</v>
      </c>
    </row>
    <row r="15">
      <c r="A15" s="124" t="s">
        <v>132</v>
      </c>
      <c r="B15" s="125">
        <f>B14*B5</f>
        <v>48.1820895</v>
      </c>
      <c r="C15" s="125">
        <f>C14*B5</f>
        <v>148.26</v>
      </c>
      <c r="D15" s="125">
        <f>D14*B5</f>
        <v>247.1</v>
      </c>
      <c r="E15" s="125">
        <f t="shared" si="1"/>
        <v>443.5420895</v>
      </c>
      <c r="F15" s="127" t="s">
        <v>133</v>
      </c>
    </row>
    <row r="16">
      <c r="A16" s="129" t="s">
        <v>134</v>
      </c>
      <c r="B16" s="130">
        <f>B15*B7</f>
        <v>265001.4923</v>
      </c>
      <c r="C16" s="130">
        <f>C15*B7</f>
        <v>815430</v>
      </c>
      <c r="D16" s="130">
        <f>D15*B7</f>
        <v>1359050</v>
      </c>
      <c r="E16" s="130">
        <f t="shared" si="1"/>
        <v>2439481.492</v>
      </c>
      <c r="F16" s="126" t="s">
        <v>135</v>
      </c>
    </row>
    <row r="18" ht="15.0" customHeight="1">
      <c r="A18" s="131" t="s">
        <v>136</v>
      </c>
      <c r="B18" s="113"/>
      <c r="C18" s="113"/>
      <c r="D18" s="113"/>
      <c r="E18" s="113"/>
      <c r="F18" s="114"/>
    </row>
    <row r="19">
      <c r="A19" s="132" t="s">
        <v>73</v>
      </c>
      <c r="B19" s="133" t="s">
        <v>8</v>
      </c>
      <c r="C19" s="133" t="s">
        <v>122</v>
      </c>
      <c r="D19" s="133" t="s">
        <v>13</v>
      </c>
      <c r="E19" s="132" t="s">
        <v>21</v>
      </c>
      <c r="F19" s="132" t="s">
        <v>137</v>
      </c>
    </row>
    <row r="20">
      <c r="A20" s="124" t="s">
        <v>138</v>
      </c>
      <c r="B20" s="125">
        <f t="shared" ref="B20:D20" si="3">B11</f>
        <v>278345454</v>
      </c>
      <c r="C20" s="125">
        <f t="shared" si="3"/>
        <v>34800000</v>
      </c>
      <c r="D20" s="125">
        <f t="shared" si="3"/>
        <v>10000000</v>
      </c>
      <c r="E20" s="125">
        <f t="shared" ref="E20:E25" si="5">B20+C20+D20</f>
        <v>323145454</v>
      </c>
      <c r="F20" s="126" t="s">
        <v>139</v>
      </c>
    </row>
    <row r="21" ht="15.75" customHeight="1">
      <c r="A21" s="124" t="s">
        <v>140</v>
      </c>
      <c r="B21" s="125">
        <f t="shared" ref="B21:D21" si="4">B12</f>
        <v>32121393</v>
      </c>
      <c r="C21" s="125">
        <f t="shared" si="4"/>
        <v>2227200</v>
      </c>
      <c r="D21" s="125">
        <f t="shared" si="4"/>
        <v>10000000</v>
      </c>
      <c r="E21" s="125">
        <f t="shared" si="5"/>
        <v>44348593</v>
      </c>
      <c r="F21" s="126" t="s">
        <v>141</v>
      </c>
    </row>
    <row r="22" ht="15.75" customHeight="1">
      <c r="A22" s="124" t="s">
        <v>142</v>
      </c>
      <c r="B22" s="134">
        <f>B12*0.005</f>
        <v>160606.965</v>
      </c>
      <c r="C22" s="134">
        <f t="shared" ref="C22:D22" si="6">C13*1.3</f>
        <v>275340</v>
      </c>
      <c r="D22" s="134">
        <f t="shared" si="6"/>
        <v>458900</v>
      </c>
      <c r="E22" s="135">
        <f t="shared" si="5"/>
        <v>894846.965</v>
      </c>
      <c r="F22" s="136" t="s">
        <v>143</v>
      </c>
    </row>
    <row r="23" ht="15.75" customHeight="1">
      <c r="A23" s="128" t="s">
        <v>144</v>
      </c>
      <c r="B23" s="134">
        <f>B22*0.08</f>
        <v>12848.5572</v>
      </c>
      <c r="C23" s="134">
        <f t="shared" ref="C23:D23" si="7">C22*0.12</f>
        <v>33040.8</v>
      </c>
      <c r="D23" s="134">
        <f t="shared" si="7"/>
        <v>55068</v>
      </c>
      <c r="E23" s="135">
        <f t="shared" si="5"/>
        <v>100957.3572</v>
      </c>
      <c r="F23" s="136" t="s">
        <v>145</v>
      </c>
    </row>
    <row r="24" ht="15.75" customHeight="1">
      <c r="A24" s="124" t="s">
        <v>146</v>
      </c>
      <c r="B24" s="134">
        <f t="shared" ref="B24:B25" si="8">B23*B6</f>
        <v>192.728358</v>
      </c>
      <c r="C24" s="134">
        <f t="shared" ref="C24:C25" si="9">C23*B6</f>
        <v>495.612</v>
      </c>
      <c r="D24" s="134">
        <f t="shared" ref="D24:D25" si="10">D23*B6</f>
        <v>826.02</v>
      </c>
      <c r="E24" s="135">
        <f t="shared" si="5"/>
        <v>1514.360358</v>
      </c>
      <c r="F24" s="136" t="s">
        <v>147</v>
      </c>
    </row>
    <row r="25" ht="15.75" customHeight="1">
      <c r="A25" s="129" t="s">
        <v>148</v>
      </c>
      <c r="B25" s="137">
        <f t="shared" si="8"/>
        <v>1060005.969</v>
      </c>
      <c r="C25" s="137">
        <f t="shared" si="9"/>
        <v>2725866</v>
      </c>
      <c r="D25" s="137">
        <f t="shared" si="10"/>
        <v>4543110</v>
      </c>
      <c r="E25" s="137">
        <f t="shared" si="5"/>
        <v>8328981.969</v>
      </c>
      <c r="F25" s="126" t="s">
        <v>149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8">
    <mergeCell ref="A1:F1"/>
    <mergeCell ref="A2:F2"/>
    <mergeCell ref="A4:F4"/>
    <mergeCell ref="C5:F5"/>
    <mergeCell ref="C6:F6"/>
    <mergeCell ref="C7:F7"/>
    <mergeCell ref="A9:F9"/>
    <mergeCell ref="A18:F18"/>
  </mergeCells>
  <printOptions/>
  <pageMargins bottom="1.0" footer="0.0" header="0.0" left="0.75" right="0.75" top="1.0"/>
  <pageSetup paperSize="9" orientation="portrait"/>
  <drawing r:id="rId1"/>
</worksheet>
</file>