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予算入力シート（MYS）" sheetId="1" r:id="rId5"/>
  </sheets>
  <definedNames/>
  <calcPr/>
</workbook>
</file>

<file path=xl/sharedStrings.xml><?xml version="1.0" encoding="utf-8"?>
<sst xmlns="http://schemas.openxmlformats.org/spreadsheetml/2006/main" count="72" uniqueCount="61">
  <si>
    <t>◆2026年2月期(計画)</t>
  </si>
  <si>
    <t>計画</t>
  </si>
  <si>
    <t>Ⅰ.MYS売上</t>
  </si>
  <si>
    <t>テスト受講料（スタンダード相当）</t>
  </si>
  <si>
    <t>テスト期間は全員同プラン。10月一括計上。15名×385,000円/半年</t>
  </si>
  <si>
    <t>卒業後コミュニティ月額</t>
  </si>
  <si>
    <t>本格展開後に設計。今期¥0</t>
  </si>
  <si>
    <t xml:space="preserve">①　　</t>
  </si>
  <si>
    <t>売上合計</t>
  </si>
  <si>
    <t>カリキュラム動画編集費（外注）</t>
  </si>
  <si>
    <t>準備期（3〜9月）：月2本×12,500円　テスト期（10月〜）：月3本×12,500円</t>
  </si>
  <si>
    <t>ワークシート・提出フォーマット制作</t>
  </si>
  <si>
    <t>5〜6月：カリキュラム制作メイン期。テスト期は継続更新分</t>
  </si>
  <si>
    <t>原価合計</t>
  </si>
  <si>
    <t xml:space="preserve">②　</t>
  </si>
  <si>
    <t>MYS粗利益</t>
  </si>
  <si>
    <t>Ⅱ.MYS販管費</t>
  </si>
  <si>
    <t>【人件費・業務委託】</t>
  </si>
  <si>
    <t>カリキュラム設計委託（かずひら）</t>
  </si>
  <si>
    <t>5〜6月：カリキュラム作成メイン（月15万）　7〜9月：SFFのためMYS停止　10月〜：テスト監修（月5万）</t>
  </si>
  <si>
    <t>マネージャー業務委託（1名）</t>
  </si>
  <si>
    <t>テスト開始（10月）から計上。時給4,500円×週15h×1.3倍 ≒ 35万円/月</t>
  </si>
  <si>
    <t>PM・運用スタッフ業務委託（按分）</t>
  </si>
  <si>
    <t>スタッフ教育開始（10月）から計上。管理部予算との按分。3〜9月は¥0</t>
  </si>
  <si>
    <t>人件費・業務委託合計</t>
  </si>
  <si>
    <t>【サービス基盤・制作】</t>
  </si>
  <si>
    <t>ツール費（UTAGE / 動画PF）</t>
  </si>
  <si>
    <t>6月セットアップ開始。月3万円。プラットフォーム確定後に更新</t>
  </si>
  <si>
    <t>ツール費（LINE公式）</t>
  </si>
  <si>
    <t>4月リスト育成開始に合わせて計上。月1.5万円</t>
  </si>
  <si>
    <t>ツール費（Zoom・その他）</t>
  </si>
  <si>
    <t>Zoom等。月0.5万円。6月〜</t>
  </si>
  <si>
    <t>LP制作費（外注・10月一括）</t>
  </si>
  <si>
    <t>テスト開始前に発注。15〜30万円レンジ中央値20万円を計上</t>
  </si>
  <si>
    <t>決済手数料（3.6%）</t>
  </si>
  <si>
    <t>UTAGE/Stripe等。売上5,775,000円×3.6% ≒ 208千円（10月）</t>
  </si>
  <si>
    <t>法務整備費（5月一括）</t>
  </si>
  <si>
    <t>利用規約・特商法・契約書。専門家監修。5〜10万円</t>
  </si>
  <si>
    <t>サービス基盤・制作合計</t>
  </si>
  <si>
    <t>【集客・リスト育成】</t>
  </si>
  <si>
    <t>SNS・YouTube発信関連費</t>
  </si>
  <si>
    <t>オーガニック発信のみ。外注なし。発生時は備考欄に記入</t>
  </si>
  <si>
    <t>広告宣伝費（Instagram等）</t>
  </si>
  <si>
    <t>テスト段階は¥0。広告に頼らずリスト・SFF参加者への告知で集客</t>
  </si>
  <si>
    <t>集客・リスト育成合計</t>
  </si>
  <si>
    <t>【オフライン直接費】</t>
  </si>
  <si>
    <t>会場費・場所代</t>
  </si>
  <si>
    <t>自社ジム（本店）使用のため¥0</t>
  </si>
  <si>
    <t>旅費・交通費（コーチング対応）</t>
  </si>
  <si>
    <t>3〜4月オフラインテスト期・10月以降セッション対応分</t>
  </si>
  <si>
    <t>オフライン直接費合計</t>
  </si>
  <si>
    <t>【その他販管費】</t>
  </si>
  <si>
    <t>備品・消耗品費</t>
  </si>
  <si>
    <t>月0.5万円 仮計上</t>
  </si>
  <si>
    <t>予備費・雑費</t>
  </si>
  <si>
    <t>準備期1万/月　テスト期3万/月</t>
  </si>
  <si>
    <t>その他販管費合計</t>
  </si>
  <si>
    <t xml:space="preserve">③　　</t>
  </si>
  <si>
    <t>販管費合計</t>
  </si>
  <si>
    <t xml:space="preserve">①＋②-③　</t>
  </si>
  <si>
    <t>MYS営業利益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</si>
</sst>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年&quot;m&quot;月&quot;"/>
  </numFmts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sz val="11.0"/>
      <color theme="1"/>
      <name val="Calibri"/>
    </font>
    <font>
      <color theme="1"/>
      <name val="Arial"/>
      <scheme val="minor"/>
    </font>
    <font>
      <sz val="10.0"/>
      <color rgb="FF000000"/>
      <name val="Arial"/>
    </font>
    <font>
      <sz val="9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D9E1F2"/>
        <bgColor rgb="FFD9E1F2"/>
      </patternFill>
    </fill>
    <fill>
      <patternFill patternType="solid">
        <fgColor rgb="FFF4CCCC"/>
        <bgColor rgb="FFF4CCCC"/>
      </patternFill>
    </fill>
  </fills>
  <borders count="3">
    <border/>
    <border>
      <left style="thin">
        <color rgb="FF000000"/>
      </left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2" numFmtId="1" xfId="0" applyAlignment="1" applyFont="1" applyNumberFormat="1">
      <alignment horizontal="center"/>
    </xf>
    <xf borderId="1" fillId="2" fontId="1" numFmtId="0" xfId="0" applyAlignment="1" applyBorder="1" applyFill="1" applyFont="1">
      <alignment horizontal="left" vertical="center"/>
    </xf>
    <xf borderId="0" fillId="2" fontId="3" numFmtId="0" xfId="0" applyFont="1"/>
    <xf borderId="2" fillId="2" fontId="1" numFmtId="164" xfId="0" applyBorder="1" applyFont="1" applyNumberFormat="1"/>
    <xf borderId="1" fillId="2" fontId="1" numFmtId="3" xfId="0" applyAlignment="1" applyBorder="1" applyFont="1" applyNumberFormat="1">
      <alignment horizontal="right" vertical="center"/>
    </xf>
    <xf borderId="1" fillId="2" fontId="1" numFmtId="0" xfId="0" applyAlignment="1" applyBorder="1" applyFont="1">
      <alignment horizontal="right" vertical="center"/>
    </xf>
    <xf borderId="1" fillId="0" fontId="1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0" fillId="0" fontId="4" numFmtId="3" xfId="0" applyAlignment="1" applyFont="1" applyNumberFormat="1">
      <alignment horizontal="right" vertical="center"/>
    </xf>
    <xf borderId="1" fillId="0" fontId="1" numFmtId="3" xfId="0" applyAlignment="1" applyBorder="1" applyFont="1" applyNumberFormat="1">
      <alignment horizontal="right" vertical="center"/>
    </xf>
    <xf borderId="1" fillId="0" fontId="5" numFmtId="0" xfId="0" applyAlignment="1" applyBorder="1" applyFont="1">
      <alignment horizontal="left" shrinkToFit="0" vertical="center" wrapText="1"/>
    </xf>
    <xf borderId="1" fillId="3" fontId="1" numFmtId="0" xfId="0" applyAlignment="1" applyBorder="1" applyFill="1" applyFont="1">
      <alignment horizontal="right" vertical="center"/>
    </xf>
    <xf borderId="2" fillId="3" fontId="4" numFmtId="0" xfId="0" applyAlignment="1" applyBorder="1" applyFont="1">
      <alignment vertical="center"/>
    </xf>
    <xf borderId="2" fillId="3" fontId="4" numFmtId="3" xfId="0" applyAlignment="1" applyBorder="1" applyFont="1" applyNumberFormat="1">
      <alignment horizontal="right" vertical="center"/>
    </xf>
    <xf borderId="1" fillId="3" fontId="1" numFmtId="3" xfId="0" applyAlignment="1" applyBorder="1" applyFont="1" applyNumberFormat="1">
      <alignment horizontal="right" vertical="center"/>
    </xf>
    <xf borderId="0" fillId="0" fontId="1" numFmtId="0" xfId="0" applyAlignment="1" applyFont="1">
      <alignment vertical="center"/>
    </xf>
    <xf borderId="0" fillId="0" fontId="1" numFmtId="3" xfId="0" applyAlignment="1" applyFont="1" applyNumberFormat="1">
      <alignment horizontal="right" vertical="center"/>
    </xf>
    <xf borderId="1" fillId="4" fontId="1" numFmtId="0" xfId="0" applyAlignment="1" applyBorder="1" applyFill="1" applyFont="1">
      <alignment horizontal="left" vertical="center"/>
    </xf>
    <xf borderId="0" fillId="4" fontId="3" numFmtId="0" xfId="0" applyFont="1"/>
    <xf borderId="2" fillId="4" fontId="1" numFmtId="3" xfId="0" applyBorder="1" applyFont="1" applyNumberFormat="1"/>
    <xf borderId="1" fillId="4" fontId="1" numFmtId="3" xfId="0" applyAlignment="1" applyBorder="1" applyFont="1" applyNumberFormat="1">
      <alignment horizontal="right" vertical="center"/>
    </xf>
    <xf borderId="1" fillId="4" fontId="1" numFmtId="0" xfId="0" applyAlignment="1" applyBorder="1" applyFont="1">
      <alignment horizontal="right" vertical="center"/>
    </xf>
    <xf borderId="1" fillId="5" fontId="1" numFmtId="0" xfId="0" applyAlignment="1" applyBorder="1" applyFill="1" applyFont="1">
      <alignment horizontal="right" vertical="center"/>
    </xf>
    <xf borderId="2" fillId="5" fontId="1" numFmtId="0" xfId="0" applyAlignment="1" applyBorder="1" applyFont="1">
      <alignment vertical="center"/>
    </xf>
    <xf borderId="2" fillId="5" fontId="1" numFmtId="3" xfId="0" applyAlignment="1" applyBorder="1" applyFont="1" applyNumberFormat="1">
      <alignment horizontal="right" vertical="center"/>
    </xf>
    <xf borderId="1" fillId="5" fontId="1" numFmtId="3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3.5"/>
    <col customWidth="1" min="2" max="2" width="3.0"/>
    <col customWidth="1" min="3" max="3" width="24.75"/>
    <col customWidth="1" min="4" max="4" width="9.5"/>
    <col customWidth="1" min="5" max="15" width="11.38"/>
    <col customWidth="1" min="16" max="16" width="12.0"/>
    <col customWidth="1" min="17" max="17" width="28.63"/>
    <col customWidth="1" min="18" max="26" width="7.63"/>
  </cols>
  <sheetData>
    <row r="1" ht="33.0" customHeight="1">
      <c r="B1" s="1" t="s">
        <v>0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</row>
    <row r="2" hidden="1">
      <c r="D2" s="3">
        <v>20263.0</v>
      </c>
      <c r="E2" s="3">
        <v>20264.0</v>
      </c>
      <c r="F2" s="3">
        <v>20265.0</v>
      </c>
      <c r="G2" s="3">
        <v>20266.0</v>
      </c>
      <c r="H2" s="3">
        <v>20267.0</v>
      </c>
      <c r="I2" s="3">
        <v>20268.0</v>
      </c>
      <c r="J2" s="3">
        <v>20269.0</v>
      </c>
      <c r="K2" s="3">
        <v>202610.0</v>
      </c>
      <c r="L2" s="3">
        <v>202611.0</v>
      </c>
      <c r="M2" s="3">
        <v>202612.0</v>
      </c>
      <c r="N2" s="3">
        <v>20271.0</v>
      </c>
      <c r="O2" s="3">
        <v>20272.0</v>
      </c>
    </row>
    <row r="3" ht="8.25" hidden="1" customHeight="1"/>
    <row r="4" ht="24.0" customHeight="1">
      <c r="B4" s="4" t="s">
        <v>2</v>
      </c>
      <c r="C4" s="5"/>
      <c r="D4" s="6">
        <v>46112.0</v>
      </c>
      <c r="E4" s="6">
        <f t="shared" ref="E4:O4" si="1">EOMONTH(D4,1)</f>
        <v>46142</v>
      </c>
      <c r="F4" s="6">
        <f t="shared" si="1"/>
        <v>46173</v>
      </c>
      <c r="G4" s="6">
        <f t="shared" si="1"/>
        <v>46203</v>
      </c>
      <c r="H4" s="6">
        <f t="shared" si="1"/>
        <v>46234</v>
      </c>
      <c r="I4" s="6">
        <f t="shared" si="1"/>
        <v>46265</v>
      </c>
      <c r="J4" s="6">
        <f t="shared" si="1"/>
        <v>46295</v>
      </c>
      <c r="K4" s="6">
        <f t="shared" si="1"/>
        <v>46326</v>
      </c>
      <c r="L4" s="6">
        <f t="shared" si="1"/>
        <v>46356</v>
      </c>
      <c r="M4" s="6">
        <f t="shared" si="1"/>
        <v>46387</v>
      </c>
      <c r="N4" s="6">
        <f t="shared" si="1"/>
        <v>46418</v>
      </c>
      <c r="O4" s="6">
        <f t="shared" si="1"/>
        <v>46446</v>
      </c>
      <c r="P4" s="7"/>
      <c r="Q4" s="8"/>
    </row>
    <row r="5">
      <c r="B5" s="9">
        <v>1.0</v>
      </c>
      <c r="C5" s="10" t="s">
        <v>3</v>
      </c>
      <c r="D5" s="11">
        <v>0.0</v>
      </c>
      <c r="E5" s="11">
        <v>0.0</v>
      </c>
      <c r="F5" s="11">
        <v>0.0</v>
      </c>
      <c r="G5" s="11">
        <v>0.0</v>
      </c>
      <c r="H5" s="11">
        <v>0.0</v>
      </c>
      <c r="I5" s="11">
        <v>0.0</v>
      </c>
      <c r="J5" s="11">
        <v>0.0</v>
      </c>
      <c r="K5" s="11">
        <v>5775000.0</v>
      </c>
      <c r="L5" s="11">
        <v>0.0</v>
      </c>
      <c r="M5" s="11">
        <v>0.0</v>
      </c>
      <c r="N5" s="11">
        <v>0.0</v>
      </c>
      <c r="O5" s="11">
        <v>0.0</v>
      </c>
      <c r="P5" s="12">
        <f t="shared" ref="P5:P11" si="2">SUM(D5:O5)</f>
        <v>5775000</v>
      </c>
      <c r="Q5" s="13" t="s">
        <v>4</v>
      </c>
    </row>
    <row r="6">
      <c r="B6" s="9">
        <f>B5+1</f>
        <v>2</v>
      </c>
      <c r="C6" s="10" t="s">
        <v>5</v>
      </c>
      <c r="D6" s="11">
        <v>0.0</v>
      </c>
      <c r="E6" s="11">
        <v>0.0</v>
      </c>
      <c r="F6" s="11">
        <v>0.0</v>
      </c>
      <c r="G6" s="11">
        <v>0.0</v>
      </c>
      <c r="H6" s="11">
        <v>0.0</v>
      </c>
      <c r="I6" s="11">
        <v>0.0</v>
      </c>
      <c r="J6" s="11">
        <v>0.0</v>
      </c>
      <c r="K6" s="11">
        <v>0.0</v>
      </c>
      <c r="L6" s="11">
        <v>0.0</v>
      </c>
      <c r="M6" s="11">
        <v>0.0</v>
      </c>
      <c r="N6" s="11">
        <v>0.0</v>
      </c>
      <c r="O6" s="11">
        <v>0.0</v>
      </c>
      <c r="P6" s="12">
        <f t="shared" si="2"/>
        <v>0</v>
      </c>
      <c r="Q6" s="13" t="s">
        <v>6</v>
      </c>
    </row>
    <row r="7">
      <c r="A7" s="10" t="s">
        <v>7</v>
      </c>
      <c r="B7" s="14"/>
      <c r="C7" s="15" t="s">
        <v>8</v>
      </c>
      <c r="D7" s="16">
        <f t="shared" ref="D7:O7" si="3">SUM(D5:D6)</f>
        <v>0</v>
      </c>
      <c r="E7" s="16">
        <f t="shared" si="3"/>
        <v>0</v>
      </c>
      <c r="F7" s="16">
        <f t="shared" si="3"/>
        <v>0</v>
      </c>
      <c r="G7" s="16">
        <f t="shared" si="3"/>
        <v>0</v>
      </c>
      <c r="H7" s="16">
        <f t="shared" si="3"/>
        <v>0</v>
      </c>
      <c r="I7" s="16">
        <f t="shared" si="3"/>
        <v>0</v>
      </c>
      <c r="J7" s="16">
        <f t="shared" si="3"/>
        <v>0</v>
      </c>
      <c r="K7" s="16">
        <f t="shared" si="3"/>
        <v>5775000</v>
      </c>
      <c r="L7" s="16">
        <f t="shared" si="3"/>
        <v>0</v>
      </c>
      <c r="M7" s="16">
        <f t="shared" si="3"/>
        <v>0</v>
      </c>
      <c r="N7" s="16">
        <f t="shared" si="3"/>
        <v>0</v>
      </c>
      <c r="O7" s="16">
        <f t="shared" si="3"/>
        <v>0</v>
      </c>
      <c r="P7" s="17">
        <f t="shared" si="2"/>
        <v>5775000</v>
      </c>
      <c r="Q7" s="14"/>
    </row>
    <row r="8">
      <c r="B8" s="9">
        <f>B6+1</f>
        <v>3</v>
      </c>
      <c r="C8" s="10" t="s">
        <v>9</v>
      </c>
      <c r="D8" s="11">
        <v>25000.0</v>
      </c>
      <c r="E8" s="11">
        <v>25000.0</v>
      </c>
      <c r="F8" s="11">
        <v>25000.0</v>
      </c>
      <c r="G8" s="11">
        <v>25000.0</v>
      </c>
      <c r="H8" s="11">
        <v>25000.0</v>
      </c>
      <c r="I8" s="11">
        <v>25000.0</v>
      </c>
      <c r="J8" s="11">
        <v>25000.0</v>
      </c>
      <c r="K8" s="11">
        <v>37500.0</v>
      </c>
      <c r="L8" s="11">
        <v>37500.0</v>
      </c>
      <c r="M8" s="11">
        <v>37500.0</v>
      </c>
      <c r="N8" s="11">
        <v>37500.0</v>
      </c>
      <c r="O8" s="11">
        <v>37500.0</v>
      </c>
      <c r="P8" s="12">
        <f t="shared" si="2"/>
        <v>362500</v>
      </c>
      <c r="Q8" s="13" t="s">
        <v>10</v>
      </c>
    </row>
    <row r="9">
      <c r="B9" s="9">
        <f>B8+1</f>
        <v>4</v>
      </c>
      <c r="C9" s="10" t="s">
        <v>11</v>
      </c>
      <c r="D9" s="11">
        <v>0.0</v>
      </c>
      <c r="E9" s="11">
        <v>0.0</v>
      </c>
      <c r="F9" s="11">
        <v>30000.0</v>
      </c>
      <c r="G9" s="11">
        <v>30000.0</v>
      </c>
      <c r="H9" s="11">
        <v>10000.0</v>
      </c>
      <c r="I9" s="11">
        <v>10000.0</v>
      </c>
      <c r="J9" s="11">
        <v>10000.0</v>
      </c>
      <c r="K9" s="11">
        <v>15000.0</v>
      </c>
      <c r="L9" s="11">
        <v>15000.0</v>
      </c>
      <c r="M9" s="11">
        <v>15000.0</v>
      </c>
      <c r="N9" s="11">
        <v>10000.0</v>
      </c>
      <c r="O9" s="11">
        <v>10000.0</v>
      </c>
      <c r="P9" s="12">
        <f t="shared" si="2"/>
        <v>155000</v>
      </c>
      <c r="Q9" s="13" t="s">
        <v>12</v>
      </c>
    </row>
    <row r="10">
      <c r="B10" s="14"/>
      <c r="C10" s="15" t="s">
        <v>13</v>
      </c>
      <c r="D10" s="16">
        <f t="shared" ref="D10:O10" si="4">SUM(D8:D9)</f>
        <v>25000</v>
      </c>
      <c r="E10" s="16">
        <f t="shared" si="4"/>
        <v>25000</v>
      </c>
      <c r="F10" s="16">
        <f t="shared" si="4"/>
        <v>55000</v>
      </c>
      <c r="G10" s="16">
        <f t="shared" si="4"/>
        <v>55000</v>
      </c>
      <c r="H10" s="16">
        <f t="shared" si="4"/>
        <v>35000</v>
      </c>
      <c r="I10" s="16">
        <f t="shared" si="4"/>
        <v>35000</v>
      </c>
      <c r="J10" s="16">
        <f t="shared" si="4"/>
        <v>35000</v>
      </c>
      <c r="K10" s="16">
        <f t="shared" si="4"/>
        <v>52500</v>
      </c>
      <c r="L10" s="16">
        <f t="shared" si="4"/>
        <v>52500</v>
      </c>
      <c r="M10" s="16">
        <f t="shared" si="4"/>
        <v>52500</v>
      </c>
      <c r="N10" s="16">
        <f t="shared" si="4"/>
        <v>47500</v>
      </c>
      <c r="O10" s="16">
        <f t="shared" si="4"/>
        <v>47500</v>
      </c>
      <c r="P10" s="17">
        <f t="shared" si="2"/>
        <v>517500</v>
      </c>
      <c r="Q10" s="14"/>
    </row>
    <row r="11">
      <c r="A11" s="10" t="s">
        <v>14</v>
      </c>
      <c r="C11" s="18" t="s">
        <v>15</v>
      </c>
      <c r="D11" s="19">
        <f t="shared" ref="D11:O11" si="5">D7-D10</f>
        <v>-25000</v>
      </c>
      <c r="E11" s="19">
        <f t="shared" si="5"/>
        <v>-25000</v>
      </c>
      <c r="F11" s="19">
        <f t="shared" si="5"/>
        <v>-55000</v>
      </c>
      <c r="G11" s="19">
        <f t="shared" si="5"/>
        <v>-55000</v>
      </c>
      <c r="H11" s="19">
        <f t="shared" si="5"/>
        <v>-35000</v>
      </c>
      <c r="I11" s="19">
        <f t="shared" si="5"/>
        <v>-35000</v>
      </c>
      <c r="J11" s="19">
        <f t="shared" si="5"/>
        <v>-35000</v>
      </c>
      <c r="K11" s="19">
        <f t="shared" si="5"/>
        <v>5722500</v>
      </c>
      <c r="L11" s="19">
        <f t="shared" si="5"/>
        <v>-52500</v>
      </c>
      <c r="M11" s="19">
        <f t="shared" si="5"/>
        <v>-52500</v>
      </c>
      <c r="N11" s="19">
        <f t="shared" si="5"/>
        <v>-47500</v>
      </c>
      <c r="O11" s="19">
        <f t="shared" si="5"/>
        <v>-47500</v>
      </c>
      <c r="P11" s="12">
        <f t="shared" si="2"/>
        <v>5257500</v>
      </c>
    </row>
    <row r="12" ht="8.25" customHeight="1"/>
    <row r="13" ht="24.0" customHeight="1">
      <c r="B13" s="4" t="s">
        <v>16</v>
      </c>
      <c r="C13" s="5"/>
      <c r="D13" s="6">
        <v>46112.0</v>
      </c>
      <c r="E13" s="6">
        <f t="shared" ref="E13:O13" si="6">EOMONTH(D4,1)</f>
        <v>46142</v>
      </c>
      <c r="F13" s="6">
        <f t="shared" si="6"/>
        <v>46173</v>
      </c>
      <c r="G13" s="6">
        <f t="shared" si="6"/>
        <v>46203</v>
      </c>
      <c r="H13" s="6">
        <f t="shared" si="6"/>
        <v>46234</v>
      </c>
      <c r="I13" s="6">
        <f t="shared" si="6"/>
        <v>46265</v>
      </c>
      <c r="J13" s="6">
        <f t="shared" si="6"/>
        <v>46295</v>
      </c>
      <c r="K13" s="6">
        <f t="shared" si="6"/>
        <v>46326</v>
      </c>
      <c r="L13" s="6">
        <f t="shared" si="6"/>
        <v>46356</v>
      </c>
      <c r="M13" s="6">
        <f t="shared" si="6"/>
        <v>46387</v>
      </c>
      <c r="N13" s="6">
        <f t="shared" si="6"/>
        <v>46418</v>
      </c>
      <c r="O13" s="6">
        <f t="shared" si="6"/>
        <v>46446</v>
      </c>
      <c r="P13" s="7"/>
      <c r="Q13" s="8"/>
    </row>
    <row r="14">
      <c r="B14" s="20" t="s">
        <v>17</v>
      </c>
      <c r="C14" s="21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/>
      <c r="Q14" s="24"/>
    </row>
    <row r="15">
      <c r="B15" s="9">
        <f>B9+1</f>
        <v>5</v>
      </c>
      <c r="C15" s="10" t="s">
        <v>18</v>
      </c>
      <c r="D15" s="11">
        <v>0.0</v>
      </c>
      <c r="E15" s="11">
        <v>0.0</v>
      </c>
      <c r="F15" s="11">
        <v>150000.0</v>
      </c>
      <c r="G15" s="11">
        <v>150000.0</v>
      </c>
      <c r="H15" s="11">
        <v>0.0</v>
      </c>
      <c r="I15" s="11">
        <v>0.0</v>
      </c>
      <c r="J15" s="11">
        <v>0.0</v>
      </c>
      <c r="K15" s="11">
        <v>50000.0</v>
      </c>
      <c r="L15" s="11">
        <v>50000.0</v>
      </c>
      <c r="M15" s="11">
        <v>50000.0</v>
      </c>
      <c r="N15" s="11">
        <v>50000.0</v>
      </c>
      <c r="O15" s="11">
        <v>50000.0</v>
      </c>
      <c r="P15" s="12">
        <f t="shared" ref="P15:P18" si="7">SUM(D15:O15)</f>
        <v>550000</v>
      </c>
      <c r="Q15" s="13" t="s">
        <v>19</v>
      </c>
    </row>
    <row r="16">
      <c r="B16" s="9">
        <f t="shared" ref="B16:B17" si="8">B15+1</f>
        <v>6</v>
      </c>
      <c r="C16" s="10" t="s">
        <v>20</v>
      </c>
      <c r="D16" s="11">
        <v>0.0</v>
      </c>
      <c r="E16" s="11">
        <v>0.0</v>
      </c>
      <c r="F16" s="11">
        <v>0.0</v>
      </c>
      <c r="G16" s="11">
        <v>0.0</v>
      </c>
      <c r="H16" s="11">
        <v>0.0</v>
      </c>
      <c r="I16" s="11">
        <v>0.0</v>
      </c>
      <c r="J16" s="11">
        <v>0.0</v>
      </c>
      <c r="K16" s="11">
        <v>350000.0</v>
      </c>
      <c r="L16" s="11">
        <v>350000.0</v>
      </c>
      <c r="M16" s="11">
        <v>350000.0</v>
      </c>
      <c r="N16" s="11">
        <v>350000.0</v>
      </c>
      <c r="O16" s="11">
        <v>350000.0</v>
      </c>
      <c r="P16" s="12">
        <f t="shared" si="7"/>
        <v>1750000</v>
      </c>
      <c r="Q16" s="13" t="s">
        <v>21</v>
      </c>
    </row>
    <row r="17">
      <c r="B17" s="9">
        <f t="shared" si="8"/>
        <v>7</v>
      </c>
      <c r="C17" s="10" t="s">
        <v>22</v>
      </c>
      <c r="D17" s="11">
        <v>0.0</v>
      </c>
      <c r="E17" s="11">
        <v>0.0</v>
      </c>
      <c r="F17" s="11">
        <v>0.0</v>
      </c>
      <c r="G17" s="11">
        <v>0.0</v>
      </c>
      <c r="H17" s="11">
        <v>0.0</v>
      </c>
      <c r="I17" s="11">
        <v>0.0</v>
      </c>
      <c r="J17" s="11">
        <v>0.0</v>
      </c>
      <c r="K17" s="11">
        <v>130000.0</v>
      </c>
      <c r="L17" s="11">
        <v>130000.0</v>
      </c>
      <c r="M17" s="11">
        <v>130000.0</v>
      </c>
      <c r="N17" s="11">
        <v>130000.0</v>
      </c>
      <c r="O17" s="11">
        <v>130000.0</v>
      </c>
      <c r="P17" s="12">
        <f t="shared" si="7"/>
        <v>650000</v>
      </c>
      <c r="Q17" s="13" t="s">
        <v>23</v>
      </c>
    </row>
    <row r="18">
      <c r="B18" s="14"/>
      <c r="C18" s="15" t="s">
        <v>24</v>
      </c>
      <c r="D18" s="16">
        <f t="shared" ref="D18:O18" si="9">SUM(D15:D17)</f>
        <v>0</v>
      </c>
      <c r="E18" s="16">
        <f t="shared" si="9"/>
        <v>0</v>
      </c>
      <c r="F18" s="16">
        <f t="shared" si="9"/>
        <v>150000</v>
      </c>
      <c r="G18" s="16">
        <f t="shared" si="9"/>
        <v>150000</v>
      </c>
      <c r="H18" s="16">
        <f t="shared" si="9"/>
        <v>0</v>
      </c>
      <c r="I18" s="16">
        <f t="shared" si="9"/>
        <v>0</v>
      </c>
      <c r="J18" s="16">
        <f t="shared" si="9"/>
        <v>0</v>
      </c>
      <c r="K18" s="16">
        <f t="shared" si="9"/>
        <v>530000</v>
      </c>
      <c r="L18" s="16">
        <f t="shared" si="9"/>
        <v>530000</v>
      </c>
      <c r="M18" s="16">
        <f t="shared" si="9"/>
        <v>530000</v>
      </c>
      <c r="N18" s="16">
        <f t="shared" si="9"/>
        <v>530000</v>
      </c>
      <c r="O18" s="16">
        <f t="shared" si="9"/>
        <v>530000</v>
      </c>
      <c r="P18" s="17">
        <f t="shared" si="7"/>
        <v>2950000</v>
      </c>
      <c r="Q18" s="14"/>
    </row>
    <row r="19">
      <c r="B19" s="20" t="s">
        <v>25</v>
      </c>
      <c r="C19" s="21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3"/>
      <c r="Q19" s="24"/>
    </row>
    <row r="20">
      <c r="B20" s="9">
        <f>B17+1</f>
        <v>8</v>
      </c>
      <c r="C20" s="10" t="s">
        <v>26</v>
      </c>
      <c r="D20" s="11">
        <v>0.0</v>
      </c>
      <c r="E20" s="11">
        <v>0.0</v>
      </c>
      <c r="F20" s="11">
        <v>0.0</v>
      </c>
      <c r="G20" s="11">
        <v>30000.0</v>
      </c>
      <c r="H20" s="11">
        <v>30000.0</v>
      </c>
      <c r="I20" s="11">
        <v>30000.0</v>
      </c>
      <c r="J20" s="11">
        <v>30000.0</v>
      </c>
      <c r="K20" s="11">
        <v>30000.0</v>
      </c>
      <c r="L20" s="11">
        <v>30000.0</v>
      </c>
      <c r="M20" s="11">
        <v>30000.0</v>
      </c>
      <c r="N20" s="11">
        <v>30000.0</v>
      </c>
      <c r="O20" s="11">
        <v>30000.0</v>
      </c>
      <c r="P20" s="12">
        <f t="shared" ref="P20:P26" si="10">SUM(D20:O20)</f>
        <v>270000</v>
      </c>
      <c r="Q20" s="13" t="s">
        <v>27</v>
      </c>
    </row>
    <row r="21">
      <c r="B21" s="9">
        <f t="shared" ref="B21:B25" si="11">B20+1</f>
        <v>9</v>
      </c>
      <c r="C21" s="10" t="s">
        <v>28</v>
      </c>
      <c r="D21" s="11">
        <v>0.0</v>
      </c>
      <c r="E21" s="11">
        <v>15000.0</v>
      </c>
      <c r="F21" s="11">
        <v>15000.0</v>
      </c>
      <c r="G21" s="11">
        <v>15000.0</v>
      </c>
      <c r="H21" s="11">
        <v>15000.0</v>
      </c>
      <c r="I21" s="11">
        <v>15000.0</v>
      </c>
      <c r="J21" s="11">
        <v>15000.0</v>
      </c>
      <c r="K21" s="11">
        <v>15000.0</v>
      </c>
      <c r="L21" s="11">
        <v>15000.0</v>
      </c>
      <c r="M21" s="11">
        <v>15000.0</v>
      </c>
      <c r="N21" s="11">
        <v>15000.0</v>
      </c>
      <c r="O21" s="11">
        <v>15000.0</v>
      </c>
      <c r="P21" s="12">
        <f t="shared" si="10"/>
        <v>165000</v>
      </c>
      <c r="Q21" s="13" t="s">
        <v>29</v>
      </c>
    </row>
    <row r="22">
      <c r="B22" s="9">
        <f t="shared" si="11"/>
        <v>10</v>
      </c>
      <c r="C22" s="10" t="s">
        <v>30</v>
      </c>
      <c r="D22" s="11">
        <v>0.0</v>
      </c>
      <c r="E22" s="11">
        <v>0.0</v>
      </c>
      <c r="F22" s="11">
        <v>0.0</v>
      </c>
      <c r="G22" s="11">
        <v>5000.0</v>
      </c>
      <c r="H22" s="11">
        <v>5000.0</v>
      </c>
      <c r="I22" s="11">
        <v>5000.0</v>
      </c>
      <c r="J22" s="11">
        <v>5000.0</v>
      </c>
      <c r="K22" s="11">
        <v>5000.0</v>
      </c>
      <c r="L22" s="11">
        <v>5000.0</v>
      </c>
      <c r="M22" s="11">
        <v>5000.0</v>
      </c>
      <c r="N22" s="11">
        <v>5000.0</v>
      </c>
      <c r="O22" s="11">
        <v>5000.0</v>
      </c>
      <c r="P22" s="12">
        <f t="shared" si="10"/>
        <v>45000</v>
      </c>
      <c r="Q22" s="13" t="s">
        <v>31</v>
      </c>
    </row>
    <row r="23">
      <c r="B23" s="9">
        <f t="shared" si="11"/>
        <v>11</v>
      </c>
      <c r="C23" s="10" t="s">
        <v>32</v>
      </c>
      <c r="D23" s="11">
        <v>0.0</v>
      </c>
      <c r="E23" s="11">
        <v>0.0</v>
      </c>
      <c r="F23" s="11">
        <v>0.0</v>
      </c>
      <c r="G23" s="11">
        <v>0.0</v>
      </c>
      <c r="H23" s="11">
        <v>0.0</v>
      </c>
      <c r="I23" s="11">
        <v>0.0</v>
      </c>
      <c r="J23" s="11">
        <v>0.0</v>
      </c>
      <c r="K23" s="11">
        <v>200000.0</v>
      </c>
      <c r="L23" s="11">
        <v>0.0</v>
      </c>
      <c r="M23" s="11">
        <v>0.0</v>
      </c>
      <c r="N23" s="11">
        <v>0.0</v>
      </c>
      <c r="O23" s="11">
        <v>0.0</v>
      </c>
      <c r="P23" s="12">
        <f t="shared" si="10"/>
        <v>200000</v>
      </c>
      <c r="Q23" s="13" t="s">
        <v>33</v>
      </c>
    </row>
    <row r="24">
      <c r="B24" s="9">
        <f t="shared" si="11"/>
        <v>12</v>
      </c>
      <c r="C24" s="10" t="s">
        <v>34</v>
      </c>
      <c r="D24" s="11">
        <v>0.0</v>
      </c>
      <c r="E24" s="11">
        <v>0.0</v>
      </c>
      <c r="F24" s="11">
        <v>0.0</v>
      </c>
      <c r="G24" s="11">
        <v>0.0</v>
      </c>
      <c r="H24" s="11">
        <v>0.0</v>
      </c>
      <c r="I24" s="11">
        <v>0.0</v>
      </c>
      <c r="J24" s="11">
        <v>0.0</v>
      </c>
      <c r="K24" s="11">
        <v>207900.0</v>
      </c>
      <c r="L24" s="11">
        <v>0.0</v>
      </c>
      <c r="M24" s="11">
        <v>0.0</v>
      </c>
      <c r="N24" s="11">
        <v>0.0</v>
      </c>
      <c r="O24" s="11">
        <v>0.0</v>
      </c>
      <c r="P24" s="12">
        <f t="shared" si="10"/>
        <v>207900</v>
      </c>
      <c r="Q24" s="13" t="s">
        <v>35</v>
      </c>
    </row>
    <row r="25">
      <c r="B25" s="9">
        <f t="shared" si="11"/>
        <v>13</v>
      </c>
      <c r="C25" s="10" t="s">
        <v>36</v>
      </c>
      <c r="D25" s="11">
        <v>0.0</v>
      </c>
      <c r="E25" s="11">
        <v>0.0</v>
      </c>
      <c r="F25" s="11">
        <v>75000.0</v>
      </c>
      <c r="G25" s="11">
        <v>0.0</v>
      </c>
      <c r="H25" s="11">
        <v>0.0</v>
      </c>
      <c r="I25" s="11">
        <v>0.0</v>
      </c>
      <c r="J25" s="11">
        <v>0.0</v>
      </c>
      <c r="K25" s="11">
        <v>0.0</v>
      </c>
      <c r="L25" s="11">
        <v>0.0</v>
      </c>
      <c r="M25" s="11">
        <v>0.0</v>
      </c>
      <c r="N25" s="11">
        <v>0.0</v>
      </c>
      <c r="O25" s="11">
        <v>0.0</v>
      </c>
      <c r="P25" s="12">
        <f t="shared" si="10"/>
        <v>75000</v>
      </c>
      <c r="Q25" s="13" t="s">
        <v>37</v>
      </c>
    </row>
    <row r="26">
      <c r="B26" s="14"/>
      <c r="C26" s="15" t="s">
        <v>38</v>
      </c>
      <c r="D26" s="16">
        <f t="shared" ref="D26:O26" si="12">SUM(D20:D25)</f>
        <v>0</v>
      </c>
      <c r="E26" s="16">
        <f t="shared" si="12"/>
        <v>15000</v>
      </c>
      <c r="F26" s="16">
        <f t="shared" si="12"/>
        <v>90000</v>
      </c>
      <c r="G26" s="16">
        <f t="shared" si="12"/>
        <v>50000</v>
      </c>
      <c r="H26" s="16">
        <f t="shared" si="12"/>
        <v>50000</v>
      </c>
      <c r="I26" s="16">
        <f t="shared" si="12"/>
        <v>50000</v>
      </c>
      <c r="J26" s="16">
        <f t="shared" si="12"/>
        <v>50000</v>
      </c>
      <c r="K26" s="16">
        <f t="shared" si="12"/>
        <v>457900</v>
      </c>
      <c r="L26" s="16">
        <f t="shared" si="12"/>
        <v>50000</v>
      </c>
      <c r="M26" s="16">
        <f t="shared" si="12"/>
        <v>50000</v>
      </c>
      <c r="N26" s="16">
        <f t="shared" si="12"/>
        <v>50000</v>
      </c>
      <c r="O26" s="16">
        <f t="shared" si="12"/>
        <v>50000</v>
      </c>
      <c r="P26" s="17">
        <f t="shared" si="10"/>
        <v>962900</v>
      </c>
      <c r="Q26" s="14"/>
    </row>
    <row r="27">
      <c r="B27" s="20" t="s">
        <v>39</v>
      </c>
      <c r="C27" s="21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3"/>
      <c r="Q27" s="24"/>
    </row>
    <row r="28">
      <c r="B28" s="9">
        <f>B25+1</f>
        <v>14</v>
      </c>
      <c r="C28" s="10" t="s">
        <v>40</v>
      </c>
      <c r="D28" s="11">
        <v>0.0</v>
      </c>
      <c r="E28" s="11">
        <v>0.0</v>
      </c>
      <c r="F28" s="11">
        <v>0.0</v>
      </c>
      <c r="G28" s="11">
        <v>0.0</v>
      </c>
      <c r="H28" s="11">
        <v>0.0</v>
      </c>
      <c r="I28" s="11">
        <v>0.0</v>
      </c>
      <c r="J28" s="11">
        <v>0.0</v>
      </c>
      <c r="K28" s="11">
        <v>0.0</v>
      </c>
      <c r="L28" s="11">
        <v>0.0</v>
      </c>
      <c r="M28" s="11">
        <v>0.0</v>
      </c>
      <c r="N28" s="11">
        <v>0.0</v>
      </c>
      <c r="O28" s="11">
        <v>0.0</v>
      </c>
      <c r="P28" s="12">
        <f t="shared" ref="P28:P30" si="13">SUM(D28:O28)</f>
        <v>0</v>
      </c>
      <c r="Q28" s="13" t="s">
        <v>41</v>
      </c>
    </row>
    <row r="29">
      <c r="B29" s="9">
        <f>B28+1</f>
        <v>15</v>
      </c>
      <c r="C29" s="10" t="s">
        <v>42</v>
      </c>
      <c r="D29" s="11">
        <v>0.0</v>
      </c>
      <c r="E29" s="11">
        <v>0.0</v>
      </c>
      <c r="F29" s="11">
        <v>0.0</v>
      </c>
      <c r="G29" s="11">
        <v>0.0</v>
      </c>
      <c r="H29" s="11">
        <v>0.0</v>
      </c>
      <c r="I29" s="11">
        <v>0.0</v>
      </c>
      <c r="J29" s="11">
        <v>0.0</v>
      </c>
      <c r="K29" s="11">
        <v>0.0</v>
      </c>
      <c r="L29" s="11">
        <v>0.0</v>
      </c>
      <c r="M29" s="11">
        <v>0.0</v>
      </c>
      <c r="N29" s="11">
        <v>0.0</v>
      </c>
      <c r="O29" s="11">
        <v>0.0</v>
      </c>
      <c r="P29" s="12">
        <f t="shared" si="13"/>
        <v>0</v>
      </c>
      <c r="Q29" s="13" t="s">
        <v>43</v>
      </c>
    </row>
    <row r="30">
      <c r="B30" s="14"/>
      <c r="C30" s="15" t="s">
        <v>44</v>
      </c>
      <c r="D30" s="16">
        <f t="shared" ref="D30:O30" si="14">SUM(D28:D29)</f>
        <v>0</v>
      </c>
      <c r="E30" s="16">
        <f t="shared" si="14"/>
        <v>0</v>
      </c>
      <c r="F30" s="16">
        <f t="shared" si="14"/>
        <v>0</v>
      </c>
      <c r="G30" s="16">
        <f t="shared" si="14"/>
        <v>0</v>
      </c>
      <c r="H30" s="16">
        <f t="shared" si="14"/>
        <v>0</v>
      </c>
      <c r="I30" s="16">
        <f t="shared" si="14"/>
        <v>0</v>
      </c>
      <c r="J30" s="16">
        <f t="shared" si="14"/>
        <v>0</v>
      </c>
      <c r="K30" s="16">
        <f t="shared" si="14"/>
        <v>0</v>
      </c>
      <c r="L30" s="16">
        <f t="shared" si="14"/>
        <v>0</v>
      </c>
      <c r="M30" s="16">
        <f t="shared" si="14"/>
        <v>0</v>
      </c>
      <c r="N30" s="16">
        <f t="shared" si="14"/>
        <v>0</v>
      </c>
      <c r="O30" s="16">
        <f t="shared" si="14"/>
        <v>0</v>
      </c>
      <c r="P30" s="17">
        <f t="shared" si="13"/>
        <v>0</v>
      </c>
      <c r="Q30" s="14"/>
    </row>
    <row r="31">
      <c r="B31" s="20" t="s">
        <v>45</v>
      </c>
      <c r="C31" s="21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3"/>
      <c r="Q31" s="24"/>
    </row>
    <row r="32">
      <c r="B32" s="9">
        <f>B29+1</f>
        <v>16</v>
      </c>
      <c r="C32" s="10" t="s">
        <v>46</v>
      </c>
      <c r="D32" s="11">
        <v>0.0</v>
      </c>
      <c r="E32" s="11">
        <v>0.0</v>
      </c>
      <c r="F32" s="11">
        <v>0.0</v>
      </c>
      <c r="G32" s="11">
        <v>0.0</v>
      </c>
      <c r="H32" s="11">
        <v>0.0</v>
      </c>
      <c r="I32" s="11">
        <v>0.0</v>
      </c>
      <c r="J32" s="11">
        <v>0.0</v>
      </c>
      <c r="K32" s="11">
        <v>0.0</v>
      </c>
      <c r="L32" s="11">
        <v>0.0</v>
      </c>
      <c r="M32" s="11">
        <v>0.0</v>
      </c>
      <c r="N32" s="11">
        <v>0.0</v>
      </c>
      <c r="O32" s="11">
        <v>0.0</v>
      </c>
      <c r="P32" s="12">
        <f t="shared" ref="P32:P34" si="15">SUM(D32:O32)</f>
        <v>0</v>
      </c>
      <c r="Q32" s="13" t="s">
        <v>47</v>
      </c>
    </row>
    <row r="33">
      <c r="B33" s="9">
        <f>B32+1</f>
        <v>17</v>
      </c>
      <c r="C33" s="10" t="s">
        <v>48</v>
      </c>
      <c r="D33" s="11">
        <v>5000.0</v>
      </c>
      <c r="E33" s="11">
        <v>5000.0</v>
      </c>
      <c r="F33" s="11">
        <v>3000.0</v>
      </c>
      <c r="G33" s="11">
        <v>3000.0</v>
      </c>
      <c r="H33" s="11">
        <v>3000.0</v>
      </c>
      <c r="I33" s="11">
        <v>3000.0</v>
      </c>
      <c r="J33" s="11">
        <v>3000.0</v>
      </c>
      <c r="K33" s="11">
        <v>5000.0</v>
      </c>
      <c r="L33" s="11">
        <v>5000.0</v>
      </c>
      <c r="M33" s="11">
        <v>5000.0</v>
      </c>
      <c r="N33" s="11">
        <v>3000.0</v>
      </c>
      <c r="O33" s="11">
        <v>3000.0</v>
      </c>
      <c r="P33" s="12">
        <f t="shared" si="15"/>
        <v>46000</v>
      </c>
      <c r="Q33" s="13" t="s">
        <v>49</v>
      </c>
    </row>
    <row r="34">
      <c r="B34" s="14"/>
      <c r="C34" s="15" t="s">
        <v>50</v>
      </c>
      <c r="D34" s="16">
        <f t="shared" ref="D34:O34" si="16">SUM(D32:D33)</f>
        <v>5000</v>
      </c>
      <c r="E34" s="16">
        <f t="shared" si="16"/>
        <v>5000</v>
      </c>
      <c r="F34" s="16">
        <f t="shared" si="16"/>
        <v>3000</v>
      </c>
      <c r="G34" s="16">
        <f t="shared" si="16"/>
        <v>3000</v>
      </c>
      <c r="H34" s="16">
        <f t="shared" si="16"/>
        <v>3000</v>
      </c>
      <c r="I34" s="16">
        <f t="shared" si="16"/>
        <v>3000</v>
      </c>
      <c r="J34" s="16">
        <f t="shared" si="16"/>
        <v>3000</v>
      </c>
      <c r="K34" s="16">
        <f t="shared" si="16"/>
        <v>5000</v>
      </c>
      <c r="L34" s="16">
        <f t="shared" si="16"/>
        <v>5000</v>
      </c>
      <c r="M34" s="16">
        <f t="shared" si="16"/>
        <v>5000</v>
      </c>
      <c r="N34" s="16">
        <f t="shared" si="16"/>
        <v>3000</v>
      </c>
      <c r="O34" s="16">
        <f t="shared" si="16"/>
        <v>3000</v>
      </c>
      <c r="P34" s="17">
        <f t="shared" si="15"/>
        <v>46000</v>
      </c>
      <c r="Q34" s="14"/>
    </row>
    <row r="35">
      <c r="B35" s="20" t="s">
        <v>51</v>
      </c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3"/>
      <c r="Q35" s="24"/>
    </row>
    <row r="36">
      <c r="B36" s="9">
        <f>B33+1</f>
        <v>18</v>
      </c>
      <c r="C36" s="10" t="s">
        <v>52</v>
      </c>
      <c r="D36" s="11">
        <v>5000.0</v>
      </c>
      <c r="E36" s="11">
        <v>5000.0</v>
      </c>
      <c r="F36" s="11">
        <v>5000.0</v>
      </c>
      <c r="G36" s="11">
        <v>5000.0</v>
      </c>
      <c r="H36" s="11">
        <v>5000.0</v>
      </c>
      <c r="I36" s="11">
        <v>5000.0</v>
      </c>
      <c r="J36" s="11">
        <v>5000.0</v>
      </c>
      <c r="K36" s="11">
        <v>5000.0</v>
      </c>
      <c r="L36" s="11">
        <v>5000.0</v>
      </c>
      <c r="M36" s="11">
        <v>5000.0</v>
      </c>
      <c r="N36" s="11">
        <v>5000.0</v>
      </c>
      <c r="O36" s="11">
        <v>5000.0</v>
      </c>
      <c r="P36" s="12">
        <f t="shared" ref="P36:P39" si="17">SUM(D36:O36)</f>
        <v>60000</v>
      </c>
      <c r="Q36" s="13" t="s">
        <v>53</v>
      </c>
    </row>
    <row r="37">
      <c r="B37" s="9">
        <f>B36+1</f>
        <v>19</v>
      </c>
      <c r="C37" s="10" t="s">
        <v>54</v>
      </c>
      <c r="D37" s="11">
        <v>10000.0</v>
      </c>
      <c r="E37" s="11">
        <v>10000.0</v>
      </c>
      <c r="F37" s="11">
        <v>10000.0</v>
      </c>
      <c r="G37" s="11">
        <v>10000.0</v>
      </c>
      <c r="H37" s="11">
        <v>10000.0</v>
      </c>
      <c r="I37" s="11">
        <v>10000.0</v>
      </c>
      <c r="J37" s="11">
        <v>10000.0</v>
      </c>
      <c r="K37" s="11">
        <v>30000.0</v>
      </c>
      <c r="L37" s="11">
        <v>30000.0</v>
      </c>
      <c r="M37" s="11">
        <v>30000.0</v>
      </c>
      <c r="N37" s="11">
        <v>30000.0</v>
      </c>
      <c r="O37" s="11">
        <v>30000.0</v>
      </c>
      <c r="P37" s="12">
        <f t="shared" si="17"/>
        <v>220000</v>
      </c>
      <c r="Q37" s="13" t="s">
        <v>55</v>
      </c>
    </row>
    <row r="38">
      <c r="B38" s="14"/>
      <c r="C38" s="15" t="s">
        <v>56</v>
      </c>
      <c r="D38" s="16">
        <f t="shared" ref="D38:O38" si="18">SUM(D36:D37)</f>
        <v>15000</v>
      </c>
      <c r="E38" s="16">
        <f t="shared" si="18"/>
        <v>15000</v>
      </c>
      <c r="F38" s="16">
        <f t="shared" si="18"/>
        <v>15000</v>
      </c>
      <c r="G38" s="16">
        <f t="shared" si="18"/>
        <v>15000</v>
      </c>
      <c r="H38" s="16">
        <f t="shared" si="18"/>
        <v>15000</v>
      </c>
      <c r="I38" s="16">
        <f t="shared" si="18"/>
        <v>15000</v>
      </c>
      <c r="J38" s="16">
        <f t="shared" si="18"/>
        <v>15000</v>
      </c>
      <c r="K38" s="16">
        <f t="shared" si="18"/>
        <v>35000</v>
      </c>
      <c r="L38" s="16">
        <f t="shared" si="18"/>
        <v>35000</v>
      </c>
      <c r="M38" s="16">
        <f t="shared" si="18"/>
        <v>35000</v>
      </c>
      <c r="N38" s="16">
        <f t="shared" si="18"/>
        <v>35000</v>
      </c>
      <c r="O38" s="16">
        <f t="shared" si="18"/>
        <v>35000</v>
      </c>
      <c r="P38" s="17">
        <f t="shared" si="17"/>
        <v>280000</v>
      </c>
      <c r="Q38" s="14"/>
    </row>
    <row r="39">
      <c r="A39" s="10" t="s">
        <v>57</v>
      </c>
      <c r="B39" s="14"/>
      <c r="C39" s="15" t="s">
        <v>58</v>
      </c>
      <c r="D39" s="16">
        <f t="shared" ref="D39:O39" si="19">D18+D26+D30+D34+D38</f>
        <v>20000</v>
      </c>
      <c r="E39" s="16">
        <f t="shared" si="19"/>
        <v>35000</v>
      </c>
      <c r="F39" s="16">
        <f t="shared" si="19"/>
        <v>258000</v>
      </c>
      <c r="G39" s="16">
        <f t="shared" si="19"/>
        <v>218000</v>
      </c>
      <c r="H39" s="16">
        <f t="shared" si="19"/>
        <v>68000</v>
      </c>
      <c r="I39" s="16">
        <f t="shared" si="19"/>
        <v>68000</v>
      </c>
      <c r="J39" s="16">
        <f t="shared" si="19"/>
        <v>68000</v>
      </c>
      <c r="K39" s="16">
        <f t="shared" si="19"/>
        <v>1027900</v>
      </c>
      <c r="L39" s="16">
        <f t="shared" si="19"/>
        <v>620000</v>
      </c>
      <c r="M39" s="16">
        <f t="shared" si="19"/>
        <v>620000</v>
      </c>
      <c r="N39" s="16">
        <f t="shared" si="19"/>
        <v>618000</v>
      </c>
      <c r="O39" s="16">
        <f t="shared" si="19"/>
        <v>618000</v>
      </c>
      <c r="P39" s="17">
        <f t="shared" si="17"/>
        <v>4238900</v>
      </c>
      <c r="Q39" s="14"/>
    </row>
    <row r="40" ht="10.5" customHeight="1"/>
    <row r="41">
      <c r="A41" s="10" t="s">
        <v>59</v>
      </c>
      <c r="B41" s="25"/>
      <c r="C41" s="26" t="s">
        <v>60</v>
      </c>
      <c r="D41" s="27">
        <f t="shared" ref="D41:O41" si="20">D7-D10-D39</f>
        <v>-45000</v>
      </c>
      <c r="E41" s="27">
        <f t="shared" si="20"/>
        <v>-60000</v>
      </c>
      <c r="F41" s="27">
        <f t="shared" si="20"/>
        <v>-313000</v>
      </c>
      <c r="G41" s="27">
        <f t="shared" si="20"/>
        <v>-273000</v>
      </c>
      <c r="H41" s="27">
        <f t="shared" si="20"/>
        <v>-103000</v>
      </c>
      <c r="I41" s="27">
        <f t="shared" si="20"/>
        <v>-103000</v>
      </c>
      <c r="J41" s="27">
        <f t="shared" si="20"/>
        <v>-103000</v>
      </c>
      <c r="K41" s="27">
        <f t="shared" si="20"/>
        <v>4694600</v>
      </c>
      <c r="L41" s="27">
        <f t="shared" si="20"/>
        <v>-672500</v>
      </c>
      <c r="M41" s="27">
        <f t="shared" si="20"/>
        <v>-672500</v>
      </c>
      <c r="N41" s="27">
        <f t="shared" si="20"/>
        <v>-665500</v>
      </c>
      <c r="O41" s="27">
        <f t="shared" si="20"/>
        <v>-665500</v>
      </c>
      <c r="P41" s="28">
        <f>SUM(D41:O41)</f>
        <v>1018600</v>
      </c>
      <c r="Q41" s="25"/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25" right="0.25" top="0.75"/>
  <pageSetup orientation="landscape"/>
  <drawing r:id="rId1"/>
</worksheet>
</file>