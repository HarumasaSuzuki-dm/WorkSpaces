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予算入力シート（全社売上）V2 ※入力不要" sheetId="1" r:id="rId5"/>
    <sheet state="visible" name="予算入力シート（YouTube※アパレル、フィットネス)" sheetId="2" r:id="rId6"/>
    <sheet state="visible" name="予算入力シート（MYS）" sheetId="3" r:id="rId7"/>
    <sheet state="visible" name="予算入力シート（SFC）" sheetId="4" r:id="rId8"/>
    <sheet state="visible" name="予算入力シート（SFF）" sheetId="5" r:id="rId9"/>
    <sheet state="visible" name="予算入力シート（管理部予算）" sheetId="6" r:id="rId10"/>
  </sheets>
  <definedNames>
    <definedName hidden="1" localSheetId="4" name="_xlnm._FilterDatabase">'予算入力シート（SFF）'!$Z$3:$AE$466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tc={0841cfaf-b758-4b49-9a49-0ed9fd870888}</author>
    <author>tc={129e6318-d65d-46f0-b514-44c32c63962f}</author>
    <author>tc={14d9386b-5e82-495f-9166-64468b181cfa}</author>
    <author>tc={2121ae7d-78bb-406c-be80-9cc128e9710d}</author>
    <author>tc={335fa970-a81e-4a79-bf00-19ba2c8b6990}</author>
    <author>tc={43cd0861-27c0-455b-8fd1-67c7733b303b}</author>
    <author>tc={4f6610e8-c945-48a6-a2cc-c4f80f8b2ba7}</author>
    <author>tc={55d991d1-29c3-464b-b408-fb5d79f31824}</author>
    <author>tc={6c9aaf54-03c9-4e2e-946e-ef4ae2eea706}</author>
    <author>tc={76b041a6-dfe1-4a36-816a-1b0977bf7d91}</author>
    <author>tc={b7a4f8b9-f371-4a54-9a4e-0c3f8dbfe226}</author>
    <author>tc={e49656da-5c32-452e-898a-e2a81440eae6}</author>
  </authors>
  <commentList>
    <comment authorId="0" xr:uid="{0841cfaf-b758-4b49-9a49-0ed9fd870888}" ref="Q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株）なーすけってここにいれる？？
</t>
      </text>
    </comment>
    <comment authorId="1" xr:uid="{129e6318-d65d-46f0-b514-44c32c63962f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単発案件：3ヶ月に1回はほしい
</t>
      </text>
    </comment>
    <comment authorId="2" xr:uid="{14d9386b-5e82-495f-9166-64468b181cfa}" ref="E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石田：325,000(65本)
佐久間：120,000(研修)
</t>
      </text>
    </comment>
    <comment authorId="3" xr:uid="{2121ae7d-78bb-406c-be80-9cc128e9710d}" ref="J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石田：400,000(80本)
佐久間：300,000(60本)
</t>
      </text>
    </comment>
    <comment authorId="4" xr:uid="{335fa970-a81e-4a79-bf00-19ba2c8b6990}" ref="G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奥谷さん撮影費用入れる
</t>
      </text>
    </comment>
    <comment authorId="5" xr:uid="{43cd0861-27c0-455b-8fd1-67c7733b303b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VITAS100万、極洋さん20万（2ヶ月）、VEATM30万（月）、Vanquishコード売り上げた分コミュッション制
</t>
      </text>
    </comment>
    <comment authorId="6" xr:uid="{4f6610e8-c945-48a6-a2cc-c4f80f8b2ba7}" ref="G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石田：400,000(80本)
佐久間：40,000(10本)＋100,000(作業委託)
</t>
      </text>
    </comment>
    <comment authorId="7" xr:uid="{55d991d1-29c3-464b-b408-fb5d79f31824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石田：400,000(80本)
佐久間：120,000(研修)
</t>
      </text>
    </comment>
    <comment authorId="8" xr:uid="{6c9aaf54-03c9-4e2e-946e-ef4ae2eea706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石田：400,000(80本)
佐久間：350,000(70本)
</t>
      </text>
    </comment>
    <comment authorId="9" xr:uid="{76b041a6-dfe1-4a36-816a-1b0977bf7d91}" ref="D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石田：250,000(60本)
佐久間：120,000(研修)
</t>
      </text>
    </comment>
    <comment authorId="10" xr:uid="{b7a4f8b9-f371-4a54-9a4e-0c3f8dbfe226}" ref="I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石田：400,000(80本)
佐久間：160,000(40本)＋100,000(作業委託)
</t>
      </text>
    </comment>
    <comment authorId="11" xr:uid="{e49656da-5c32-452e-898a-e2a81440eae6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石田：400,000(80本)
佐久間：80,000(20本)＋100,000(作業委託)
</t>
      </text>
    </comment>
  </commentList>
</comments>
</file>

<file path=xl/sharedStrings.xml><?xml version="1.0" encoding="utf-8"?>
<sst xmlns="http://schemas.openxmlformats.org/spreadsheetml/2006/main" count="1854" uniqueCount="227">
  <si>
    <t>◆2026年2月期(計画)</t>
  </si>
  <si>
    <t>計画</t>
  </si>
  <si>
    <t>事業/科目</t>
  </si>
  <si>
    <t>合計</t>
  </si>
  <si>
    <t>備考欄</t>
  </si>
  <si>
    <t>Ⅰ.SFF</t>
  </si>
  <si>
    <t>前年比較</t>
  </si>
  <si>
    <t>前年比</t>
  </si>
  <si>
    <t>協賛売上</t>
  </si>
  <si>
    <t>SFF</t>
  </si>
  <si>
    <t>来場者売上</t>
  </si>
  <si>
    <t>YouTube事業売上</t>
  </si>
  <si>
    <t>選手</t>
  </si>
  <si>
    <t>フィットネス事業売上</t>
  </si>
  <si>
    <t>バックサポート</t>
  </si>
  <si>
    <t>フィットネス事業売上（FC収入）</t>
  </si>
  <si>
    <t>物販売上</t>
  </si>
  <si>
    <t>アパレル売上</t>
  </si>
  <si>
    <t>フォトレコ</t>
  </si>
  <si>
    <t>売上高</t>
  </si>
  <si>
    <t>動画販売</t>
  </si>
  <si>
    <t>カラーリング</t>
  </si>
  <si>
    <t>YouTube経費</t>
  </si>
  <si>
    <t>SFFその他</t>
  </si>
  <si>
    <t>アパレル仕入高</t>
  </si>
  <si>
    <t>売上合計</t>
  </si>
  <si>
    <t>フィットネス業務委託費</t>
  </si>
  <si>
    <t>支払手数料</t>
  </si>
  <si>
    <t>決済手数料</t>
  </si>
  <si>
    <t>仕入高</t>
  </si>
  <si>
    <t>売上原価</t>
  </si>
  <si>
    <t>SFF業務委託費</t>
  </si>
  <si>
    <t>粗利益</t>
  </si>
  <si>
    <t>備品・消耗品費</t>
  </si>
  <si>
    <t>粗利益率(%)</t>
  </si>
  <si>
    <t>-%</t>
  </si>
  <si>
    <t>会議費</t>
  </si>
  <si>
    <t>販管費</t>
  </si>
  <si>
    <t>荷造運賃</t>
  </si>
  <si>
    <t>営業利益</t>
  </si>
  <si>
    <t>接待交際費</t>
  </si>
  <si>
    <t>通信費</t>
  </si>
  <si>
    <t>原価合計</t>
  </si>
  <si>
    <t xml:space="preserve">①　</t>
  </si>
  <si>
    <t>SFF粗利益</t>
  </si>
  <si>
    <t>Ⅱ.定常事業</t>
  </si>
  <si>
    <t>YouTube業務委託費</t>
  </si>
  <si>
    <t xml:space="preserve">　</t>
  </si>
  <si>
    <t xml:space="preserve">②　</t>
  </si>
  <si>
    <t>定常事業粗利益</t>
  </si>
  <si>
    <t>Ⅲ.共通部門</t>
  </si>
  <si>
    <t>本部人件費</t>
  </si>
  <si>
    <t>業務委託料</t>
  </si>
  <si>
    <t>地代家賃</t>
  </si>
  <si>
    <t>減価償却費</t>
  </si>
  <si>
    <t>租税公課</t>
  </si>
  <si>
    <t>旅費交通費</t>
  </si>
  <si>
    <t>保険料</t>
  </si>
  <si>
    <t>リース料</t>
  </si>
  <si>
    <t>広告宣伝費</t>
  </si>
  <si>
    <t xml:space="preserve">③　</t>
  </si>
  <si>
    <t>販管費計</t>
  </si>
  <si>
    <t>①＋②-③</t>
  </si>
  <si>
    <t>Ⅰ.YouTube事業</t>
  </si>
  <si>
    <t>案件収益</t>
  </si>
  <si>
    <t>VITAS様：100万、極洋様：10万、VEATM様：30万（月）、
Vanquishコード売り上げた分コミュッション制、ヒューロン様：10万
単発案件（YT90万：6・7・8・11月）、（IG40万：5月、9月、12月）</t>
  </si>
  <si>
    <t>広告収益</t>
  </si>
  <si>
    <t>アパレル売上高</t>
  </si>
  <si>
    <t>現状なし</t>
  </si>
  <si>
    <t>仕入れなし</t>
  </si>
  <si>
    <t>YouTube事業粗利益</t>
  </si>
  <si>
    <t>Ⅲ.YouTube販管費</t>
  </si>
  <si>
    <t>編集チーム30万（西銘様、髙島様）
大会編集：7月10万、12月6万（奥谷様）</t>
  </si>
  <si>
    <t>YouTubePremium会員費</t>
  </si>
  <si>
    <t>アパレルのみ</t>
  </si>
  <si>
    <t>12月PiTaPa維持管理料</t>
  </si>
  <si>
    <t>社用車リース代（〜11月）</t>
  </si>
  <si>
    <t>VITAS (バイタス)サプリメント代</t>
  </si>
  <si>
    <t>販管費合計</t>
  </si>
  <si>
    <t>YouTube営業利益</t>
  </si>
  <si>
    <t>Ⅰ.フィットネス事業</t>
  </si>
  <si>
    <t>フィットネス事業粗利益</t>
  </si>
  <si>
    <t>Ⅱ.フィットネス販管費</t>
  </si>
  <si>
    <t>組織コーチング20万＋インスタ運用</t>
  </si>
  <si>
    <t>ジム家賃（恭和産業）</t>
  </si>
  <si>
    <t>日本セーフティー㈱10月更新料</t>
  </si>
  <si>
    <t>Ⅰ.MYS売上</t>
  </si>
  <si>
    <t>テスト受講料（スタンダード相当）</t>
  </si>
  <si>
    <t>テスト期間は全員同プラン。10月一括計上。15名×385,000円/半年</t>
  </si>
  <si>
    <t>卒業後コミュニティ月額</t>
  </si>
  <si>
    <t>本格展開後に設計。今期¥0</t>
  </si>
  <si>
    <t xml:space="preserve">①　　</t>
  </si>
  <si>
    <t>カリキュラム動画編集費（外注）</t>
  </si>
  <si>
    <t>準備期（3〜9月）：月2本×12,500円　テスト期（10月〜）：月3本×12,500円</t>
  </si>
  <si>
    <t>ワークシート・提出フォーマット制作</t>
  </si>
  <si>
    <t>5〜6月：カリキュラム制作メイン期。テスト期は継続更新分</t>
  </si>
  <si>
    <t>MYS粗利益</t>
  </si>
  <si>
    <t>Ⅱ.MYS販管費</t>
  </si>
  <si>
    <t>【人件費・業務委託】</t>
  </si>
  <si>
    <t>カリキュラム設計委託（かずひら）</t>
  </si>
  <si>
    <t>5〜6月：カリキュラム作成メイン（月15万）　7〜9月：SFFのためMYS停止　10月〜：テスト監修（月5万）</t>
  </si>
  <si>
    <t>マネージャー業務委託（1名）</t>
  </si>
  <si>
    <t>テスト開始（10月）から計上。時給4,500円×週15h×1.3倍 ≒ 35万円/月</t>
  </si>
  <si>
    <t>PM・運用スタッフ業務委託（按分）</t>
  </si>
  <si>
    <t>スタッフ教育開始（10月）から計上。管理部予算との按分。3〜9月は¥0</t>
  </si>
  <si>
    <t>人件費・業務委託合計</t>
  </si>
  <si>
    <t>【サービス基盤・制作】</t>
  </si>
  <si>
    <t>ツール費（UTAGE / 動画PF）</t>
  </si>
  <si>
    <t>6月セットアップ開始。月3万円。プラットフォーム確定後に更新</t>
  </si>
  <si>
    <t>ツール費（LINE公式）</t>
  </si>
  <si>
    <t>4月リスト育成開始に合わせて計上。月1.5万円</t>
  </si>
  <si>
    <t>ツール費（Zoom・その他）</t>
  </si>
  <si>
    <t>Zoom等。月0.5万円。6月〜</t>
  </si>
  <si>
    <t>LP制作費（外注・10月一括）</t>
  </si>
  <si>
    <t>テスト開始前に発注。15〜30万円レンジ中央値20万円を計上</t>
  </si>
  <si>
    <t>決済手数料（3.6%）</t>
  </si>
  <si>
    <t>UTAGE/Stripe等。売上5,775,000円×3.6% ≒ 208千円（10月）</t>
  </si>
  <si>
    <t>法務整備費（5月一括）</t>
  </si>
  <si>
    <t>利用規約・特商法・契約書。専門家監修。5〜10万円</t>
  </si>
  <si>
    <t>サービス基盤・制作合計</t>
  </si>
  <si>
    <t>【集客・リスト育成】</t>
  </si>
  <si>
    <t>SNS・YouTube発信関連費</t>
  </si>
  <si>
    <t>オーガニック発信のみ。外注なし。発生時は備考欄に記入</t>
  </si>
  <si>
    <t>広告宣伝費（Instagram等）</t>
  </si>
  <si>
    <t>テスト段階は¥0。広告に頼らずリスト・SFF参加者への告知で集客</t>
  </si>
  <si>
    <t>集客・リスト育成合計</t>
  </si>
  <si>
    <t>【オフライン直接費】</t>
  </si>
  <si>
    <t>会場費・場所代</t>
  </si>
  <si>
    <t>自社ジム（本店）使用のため¥0</t>
  </si>
  <si>
    <t>旅費・交通費（コーチング対応）</t>
  </si>
  <si>
    <t>3〜4月オフラインテスト期・10月以降セッション対応分</t>
  </si>
  <si>
    <t>オフライン直接費合計</t>
  </si>
  <si>
    <t>【その他販管費】</t>
  </si>
  <si>
    <t>月0.5万円 仮計上</t>
  </si>
  <si>
    <t>予備費・雑費</t>
  </si>
  <si>
    <t>準備期1万/月　テスト期3万/月</t>
  </si>
  <si>
    <t>その他販管費合計</t>
  </si>
  <si>
    <t xml:space="preserve">③　　</t>
  </si>
  <si>
    <t xml:space="preserve">①＋②-③　</t>
  </si>
  <si>
    <t>MYS営業利益</t>
  </si>
  <si>
    <t>Ⅰ.SFC事業</t>
  </si>
  <si>
    <t>月額会費収入</t>
  </si>
  <si>
    <t>月額3,000円×想定会員数（10月10名→月8名純増）
テスト期（4〜9月）は無料運用のため売上ゼロ</t>
  </si>
  <si>
    <t>イベント参加費（非会員）</t>
  </si>
  <si>
    <t>1,500円/回（SFF参加者等非会員向け）
本格化フェーズ以降に計上予定</t>
  </si>
  <si>
    <t>その他収入</t>
  </si>
  <si>
    <t>合宿・特別WS等の追加課金
SFF後本格化フェーズ以降に計上予定</t>
  </si>
  <si>
    <t>会議費（イベント実費）</t>
  </si>
  <si>
    <t>月1回オフラインイベント実費
（会場費・飲食・備品含む）
1回あたり1万円以内設計。Phase1〜5（4〜8月）</t>
  </si>
  <si>
    <t>備品・消耗品費（クリアファイル）</t>
  </si>
  <si>
    <t>「Shapeの証し」クリアファイル16冊
約250円/冊×16冊。Phase2（5月）に計上</t>
  </si>
  <si>
    <t>支払手数料（Stripe 3.6%）</t>
  </si>
  <si>
    <t>月額会費収入の3.6%
テスト期（無料運用）はゼロ</t>
  </si>
  <si>
    <t>SFC事業粗利益</t>
  </si>
  <si>
    <t>Ⅲ.SFC販管費</t>
  </si>
  <si>
    <t>業務委託料（ロゴ・デザイン制作）</t>
  </si>
  <si>
    <t>IDAさん委託計35万
6月：初回制作30万、7月：最終調整5万</t>
  </si>
  <si>
    <t>業務委託料（運営スタッフ）</t>
  </si>
  <si>
    <t>本格化（10月〜）スタッフ2〜3名・業委
最低ライン15万/月で仮置き</t>
  </si>
  <si>
    <t>本格化（10月〜）レンタルスペース月1〜2回
テスト期はイベント実費（会議費）に含む</t>
  </si>
  <si>
    <t>LINEオープンチャット：無料
Stripe・Salesforce等
本格化（10月〜）1万円/月で仮置き</t>
  </si>
  <si>
    <t>テスト期は外部発信強化しない方針のためゼロ
本格化（10月〜）Instagram広告等：3万/月</t>
  </si>
  <si>
    <t>Phase5（8月）SFF決起会 Part2 ご飯会：1万円</t>
  </si>
  <si>
    <t>備品・消耗品費（名札・付箋等）</t>
  </si>
  <si>
    <t>テスト期：3,000円/月、本格化後：5,000円/月</t>
  </si>
  <si>
    <t>備品・消耗品費（会員証・印刷物）</t>
  </si>
  <si>
    <t>本格化決定後（10月）一括計上
会員証・印刷物初回100部：7万円</t>
  </si>
  <si>
    <t>SFCコミュニティ営業利益</t>
  </si>
  <si>
    <t>SFF売上台帳（予測）</t>
  </si>
  <si>
    <t>※Ｃ列から選択ください。</t>
  </si>
  <si>
    <t>SFF原価台帳（予測）</t>
  </si>
  <si>
    <t>※A列から選択ください。</t>
  </si>
  <si>
    <t>科目（細）</t>
  </si>
  <si>
    <t>大会発生月</t>
  </si>
  <si>
    <t>大会名</t>
  </si>
  <si>
    <t>入金月</t>
  </si>
  <si>
    <t>取引先/内容</t>
  </si>
  <si>
    <t>科目</t>
  </si>
  <si>
    <t>金額</t>
  </si>
  <si>
    <t>支払月</t>
  </si>
  <si>
    <t>記載例</t>
  </si>
  <si>
    <t>〇〇</t>
  </si>
  <si>
    <t>出場チケット手数料（3.6%)</t>
  </si>
  <si>
    <t>関東大会</t>
  </si>
  <si>
    <t>出場チケット手数料(3.6%)</t>
  </si>
  <si>
    <t>客席チケット手数料(3.6%)</t>
  </si>
  <si>
    <t>バックサポートチケット手数料(3.6%)</t>
  </si>
  <si>
    <t>カラーリングチケット手数料(3.2%)</t>
  </si>
  <si>
    <t>動画手数料(3.6%)</t>
  </si>
  <si>
    <t>アパレル仕入れ</t>
  </si>
  <si>
    <t>演出費</t>
  </si>
  <si>
    <t>人件費(審査員)</t>
  </si>
  <si>
    <t>人件費(MC)</t>
  </si>
  <si>
    <t>人件費(カメラ)</t>
  </si>
  <si>
    <t>その他外部委託費</t>
  </si>
  <si>
    <t>客席チケット手数料（3.6%)</t>
  </si>
  <si>
    <t>人件費(運営スタッフ)</t>
  </si>
  <si>
    <t>バックサポートチケット手数料（3.6%)</t>
  </si>
  <si>
    <t>メダルトロフィー代</t>
  </si>
  <si>
    <t>カラーリングチケット手数料（3.2%）</t>
  </si>
  <si>
    <t>会場費</t>
  </si>
  <si>
    <t>動画手数料（3.6%）</t>
  </si>
  <si>
    <t>備品消耗品費</t>
  </si>
  <si>
    <t>運搬費</t>
  </si>
  <si>
    <t>人件費（審査員）</t>
  </si>
  <si>
    <t>打ち上げ代</t>
  </si>
  <si>
    <t>人件費（MC）</t>
  </si>
  <si>
    <t>人件費（カメラ）</t>
  </si>
  <si>
    <t>スタッフTシャツ代</t>
  </si>
  <si>
    <t>人件費（運営スタッフ）</t>
  </si>
  <si>
    <t>---</t>
  </si>
  <si>
    <t>Ⅲ.SFF販管費</t>
  </si>
  <si>
    <t>Webサーバー費+データベース費</t>
  </si>
  <si>
    <t>倉庫費費用</t>
  </si>
  <si>
    <t>SFF営業利益</t>
  </si>
  <si>
    <t>関西大会</t>
  </si>
  <si>
    <t>役員報酬</t>
  </si>
  <si>
    <t>従業員給与</t>
  </si>
  <si>
    <t>法定福利費</t>
  </si>
  <si>
    <t>水道光熱費</t>
  </si>
  <si>
    <t>Ⅲ.管理本部</t>
  </si>
  <si>
    <t>管理部人件費</t>
  </si>
  <si>
    <t>鈴木晴勝　300,000円 3月より社員</t>
  </si>
  <si>
    <t>・（株）なーすけ600,000円
・Amelio　250,000円（〜7月）
・的場天佑　210,000円
・フレアネスト　210,000円
・鈴木社労士　20,000円
・宮木先生　60,000円
・諸業務対応者：210,000円
・人件費（追加者）：210000円</t>
  </si>
  <si>
    <t>Google Workspace/月額~4750 円含
Slack：10000月</t>
  </si>
  <si>
    <t>大川が群馬に移動する関係で高めに設定(+1万)
これまでYTに入っていたなーすけ交通費追加（＋1万）</t>
  </si>
  <si>
    <t>賠償責任保険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</si>
</sst>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年&quot;m&quot;月&quot;"/>
    <numFmt numFmtId="165" formatCode="yyyy年m月"/>
    <numFmt numFmtId="166" formatCode="yyyy/mm/dd"/>
    <numFmt numFmtId="167" formatCode="yyyy/m/d"/>
  </numFmts>
  <fonts count="19">
    <font>
      <sz val="10.0"/>
      <color rgb="FF000000"/>
      <name val="Arial"/>
      <scheme val="minor"/>
    </font>
    <font>
      <sz val="16.0"/>
      <color theme="1"/>
      <name val="Meiryo"/>
    </font>
    <font>
      <b/>
      <color theme="1"/>
      <name val="Meiryo"/>
    </font>
    <font>
      <color theme="1"/>
      <name val="Meiryo"/>
    </font>
    <font>
      <b/>
      <sz val="12.0"/>
      <color theme="1"/>
      <name val="Meiryo"/>
    </font>
    <font/>
    <font>
      <b/>
      <sz val="13.0"/>
      <color theme="1"/>
      <name val="Meiryo"/>
    </font>
    <font>
      <color theme="1"/>
      <name val="Arial"/>
    </font>
    <font>
      <color rgb="FFFF0000"/>
      <name val="Meiryo"/>
    </font>
    <font>
      <b/>
      <sz val="8.0"/>
      <color theme="1"/>
      <name val="Meiryo"/>
    </font>
    <font>
      <b/>
      <sz val="9.0"/>
      <color theme="1"/>
      <name val="Meiryo"/>
    </font>
    <font>
      <b/>
      <sz val="10.0"/>
      <color rgb="FF000000"/>
      <name val="Arial"/>
    </font>
    <font>
      <sz val="11.0"/>
      <color theme="1"/>
      <name val="Calibri"/>
    </font>
    <font>
      <color theme="1"/>
      <name val="Arial"/>
      <scheme val="minor"/>
    </font>
    <font>
      <sz val="10.0"/>
      <color rgb="FF000000"/>
      <name val="Arial"/>
    </font>
    <font>
      <sz val="9.0"/>
      <color rgb="FF000000"/>
      <name val="Arial"/>
    </font>
    <font>
      <b/>
      <sz val="10.0"/>
      <color theme="1"/>
      <name val="Meiryo"/>
    </font>
    <font>
      <b/>
      <color rgb="FFFF0000"/>
      <name val="Meiryo"/>
    </font>
    <font>
      <color rgb="FFFF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</fills>
  <borders count="4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dotted">
        <color rgb="FF000000"/>
      </bottom>
    </border>
    <border>
      <left/>
      <right/>
      <top/>
      <bottom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</border>
    <border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right" readingOrder="0"/>
    </xf>
    <xf borderId="1" fillId="0" fontId="4" numFmtId="0" xfId="0" applyAlignment="1" applyBorder="1" applyFont="1">
      <alignment readingOrder="0"/>
    </xf>
    <xf borderId="2" fillId="0" fontId="5" numFmtId="0" xfId="0" applyBorder="1" applyFont="1"/>
    <xf borderId="3" fillId="0" fontId="2" numFmtId="164" xfId="0" applyAlignment="1" applyBorder="1" applyFont="1" applyNumberFormat="1">
      <alignment readingOrder="0"/>
    </xf>
    <xf borderId="4" fillId="0" fontId="4" numFmtId="0" xfId="0" applyAlignment="1" applyBorder="1" applyFont="1">
      <alignment readingOrder="0"/>
    </xf>
    <xf borderId="5" fillId="2" fontId="6" numFmtId="0" xfId="0" applyAlignment="1" applyBorder="1" applyFill="1" applyFont="1">
      <alignment horizontal="left" readingOrder="0"/>
    </xf>
    <xf borderId="6" fillId="0" fontId="5" numFmtId="0" xfId="0" applyBorder="1" applyFont="1"/>
    <xf borderId="7" fillId="2" fontId="2" numFmtId="3" xfId="0" applyBorder="1" applyFont="1" applyNumberFormat="1"/>
    <xf borderId="8" fillId="2" fontId="2" numFmtId="3" xfId="0" applyBorder="1" applyFont="1" applyNumberFormat="1"/>
    <xf borderId="1" fillId="0" fontId="4" numFmtId="0" xfId="0" applyAlignment="1" applyBorder="1" applyFont="1">
      <alignment horizontal="center" vertical="bottom"/>
    </xf>
    <xf borderId="3" fillId="0" fontId="2" numFmtId="165" xfId="0" applyAlignment="1" applyBorder="1" applyFont="1" applyNumberFormat="1">
      <alignment horizontal="right" vertical="bottom"/>
    </xf>
    <xf borderId="4" fillId="0" fontId="2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8" fillId="0" fontId="2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7" fillId="0" fontId="3" numFmtId="3" xfId="0" applyAlignment="1" applyBorder="1" applyFont="1" applyNumberFormat="1">
      <alignment readingOrder="0"/>
    </xf>
    <xf borderId="7" fillId="0" fontId="3" numFmtId="3" xfId="0" applyBorder="1" applyFont="1" applyNumberFormat="1"/>
    <xf borderId="8" fillId="0" fontId="2" numFmtId="3" xfId="0" applyBorder="1" applyFont="1" applyNumberFormat="1"/>
    <xf borderId="8" fillId="0" fontId="2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3" xfId="0" applyAlignment="1" applyBorder="1" applyFont="1" applyNumberFormat="1">
      <alignment horizontal="right" vertical="bottom"/>
    </xf>
    <xf borderId="8" fillId="0" fontId="3" numFmtId="3" xfId="0" applyAlignment="1" applyBorder="1" applyFont="1" applyNumberFormat="1">
      <alignment horizontal="right" vertical="bottom"/>
    </xf>
    <xf borderId="8" fillId="0" fontId="3" numFmtId="10" xfId="0" applyAlignment="1" applyBorder="1" applyFont="1" applyNumberFormat="1">
      <alignment horizontal="right" vertical="bottom"/>
    </xf>
    <xf borderId="7" fillId="0" fontId="3" numFmtId="3" xfId="0" applyAlignment="1" applyBorder="1" applyFont="1" applyNumberFormat="1">
      <alignment horizontal="right" readingOrder="0" vertical="bottom"/>
    </xf>
    <xf borderId="9" fillId="3" fontId="7" numFmtId="0" xfId="0" applyAlignment="1" applyBorder="1" applyFill="1" applyFont="1">
      <alignment vertical="bottom"/>
    </xf>
    <xf borderId="10" fillId="3" fontId="3" numFmtId="0" xfId="0" applyAlignment="1" applyBorder="1" applyFont="1">
      <alignment horizontal="right" vertical="bottom"/>
    </xf>
    <xf borderId="0" fillId="3" fontId="3" numFmtId="3" xfId="0" applyAlignment="1" applyFont="1" applyNumberFormat="1">
      <alignment horizontal="right" vertical="bottom"/>
    </xf>
    <xf borderId="9" fillId="3" fontId="3" numFmtId="3" xfId="0" applyAlignment="1" applyBorder="1" applyFont="1" applyNumberFormat="1">
      <alignment horizontal="right" vertical="bottom"/>
    </xf>
    <xf borderId="9" fillId="3" fontId="3" numFmtId="10" xfId="0" applyAlignment="1" applyBorder="1" applyFont="1" applyNumberFormat="1">
      <alignment horizontal="right" vertical="bottom"/>
    </xf>
    <xf borderId="9" fillId="3" fontId="2" numFmtId="0" xfId="0" applyAlignment="1" applyBorder="1" applyFont="1">
      <alignment readingOrder="0"/>
    </xf>
    <xf borderId="10" fillId="3" fontId="3" numFmtId="0" xfId="0" applyAlignment="1" applyBorder="1" applyFont="1">
      <alignment horizontal="right" readingOrder="0"/>
    </xf>
    <xf borderId="0" fillId="3" fontId="3" numFmtId="3" xfId="0" applyFont="1" applyNumberFormat="1"/>
    <xf borderId="9" fillId="3" fontId="2" numFmtId="3" xfId="0" applyBorder="1" applyFont="1" applyNumberFormat="1"/>
    <xf borderId="6" fillId="0" fontId="3" numFmtId="0" xfId="0" applyBorder="1" applyFont="1"/>
    <xf borderId="4" fillId="3" fontId="7" numFmtId="0" xfId="0" applyAlignment="1" applyBorder="1" applyFont="1">
      <alignment vertical="bottom"/>
    </xf>
    <xf borderId="2" fillId="3" fontId="3" numFmtId="0" xfId="0" applyAlignment="1" applyBorder="1" applyFont="1">
      <alignment horizontal="right" vertical="bottom"/>
    </xf>
    <xf borderId="3" fillId="3" fontId="3" numFmtId="3" xfId="0" applyAlignment="1" applyBorder="1" applyFont="1" applyNumberFormat="1">
      <alignment horizontal="right" vertical="bottom"/>
    </xf>
    <xf borderId="4" fillId="3" fontId="3" numFmtId="3" xfId="0" applyAlignment="1" applyBorder="1" applyFont="1" applyNumberFormat="1">
      <alignment horizontal="right" vertical="bottom"/>
    </xf>
    <xf borderId="4" fillId="3" fontId="3" numFmtId="10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10" xfId="0" applyAlignment="1" applyBorder="1" applyFont="1" applyNumberFormat="1">
      <alignment horizontal="right" vertical="bottom"/>
    </xf>
    <xf borderId="4" fillId="0" fontId="3" numFmtId="10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3" fillId="3" fontId="3" numFmtId="3" xfId="0" applyAlignment="1" applyBorder="1" applyFont="1" applyNumberFormat="1">
      <alignment horizontal="right" readingOrder="0" vertical="bottom"/>
    </xf>
    <xf borderId="11" fillId="0" fontId="7" numFmtId="0" xfId="0" applyAlignment="1" applyBorder="1" applyFont="1">
      <alignment vertical="bottom"/>
    </xf>
    <xf borderId="12" fillId="0" fontId="8" numFmtId="0" xfId="0" applyAlignment="1" applyBorder="1" applyFont="1">
      <alignment horizontal="right" vertical="bottom"/>
    </xf>
    <xf borderId="13" fillId="0" fontId="8" numFmtId="3" xfId="0" applyAlignment="1" applyBorder="1" applyFont="1" applyNumberFormat="1">
      <alignment horizontal="right" vertical="bottom"/>
    </xf>
    <xf borderId="11" fillId="0" fontId="8" numFmtId="3" xfId="0" applyAlignment="1" applyBorder="1" applyFont="1" applyNumberFormat="1">
      <alignment horizontal="right" vertical="bottom"/>
    </xf>
    <xf borderId="11" fillId="0" fontId="7" numFmtId="10" xfId="0" applyAlignment="1" applyBorder="1" applyFont="1" applyNumberFormat="1">
      <alignment vertical="bottom"/>
    </xf>
    <xf borderId="4" fillId="3" fontId="2" numFmtId="0" xfId="0" applyAlignment="1" applyBorder="1" applyFont="1">
      <alignment readingOrder="0"/>
    </xf>
    <xf borderId="2" fillId="3" fontId="3" numFmtId="0" xfId="0" applyAlignment="1" applyBorder="1" applyFont="1">
      <alignment horizontal="right" readingOrder="0"/>
    </xf>
    <xf borderId="3" fillId="3" fontId="3" numFmtId="3" xfId="0" applyBorder="1" applyFont="1" applyNumberFormat="1"/>
    <xf borderId="4" fillId="3" fontId="2" numFmtId="3" xfId="0" applyBorder="1" applyFont="1" applyNumberFormat="1"/>
    <xf borderId="11" fillId="0" fontId="2" numFmtId="0" xfId="0" applyAlignment="1" applyBorder="1" applyFont="1">
      <alignment readingOrder="0"/>
    </xf>
    <xf borderId="12" fillId="0" fontId="2" numFmtId="0" xfId="0" applyAlignment="1" applyBorder="1" applyFont="1">
      <alignment horizontal="right" readingOrder="0"/>
    </xf>
    <xf borderId="13" fillId="0" fontId="2" numFmtId="3" xfId="0" applyBorder="1" applyFont="1" applyNumberFormat="1"/>
    <xf borderId="11" fillId="0" fontId="2" numFmtId="3" xfId="0" applyBorder="1" applyFont="1" applyNumberFormat="1"/>
    <xf borderId="14" fillId="0" fontId="2" numFmtId="0" xfId="0" applyAlignment="1" applyBorder="1" applyFont="1">
      <alignment readingOrder="0"/>
    </xf>
    <xf borderId="10" fillId="0" fontId="5" numFmtId="0" xfId="0" applyBorder="1" applyFont="1"/>
    <xf borderId="15" fillId="2" fontId="2" numFmtId="3" xfId="0" applyBorder="1" applyFont="1" applyNumberFormat="1"/>
    <xf borderId="16" fillId="0" fontId="3" numFmtId="0" xfId="0" applyAlignment="1" applyBorder="1" applyFont="1">
      <alignment readingOrder="0"/>
    </xf>
    <xf borderId="17" fillId="0" fontId="3" numFmtId="3" xfId="0" applyAlignment="1" applyBorder="1" applyFont="1" applyNumberFormat="1">
      <alignment readingOrder="0"/>
    </xf>
    <xf borderId="17" fillId="0" fontId="3" numFmtId="3" xfId="0" applyBorder="1" applyFont="1" applyNumberFormat="1"/>
    <xf borderId="18" fillId="0" fontId="2" numFmtId="3" xfId="0" applyBorder="1" applyFont="1" applyNumberFormat="1"/>
    <xf borderId="18" fillId="0" fontId="2" numFmtId="3" xfId="0" applyAlignment="1" applyBorder="1" applyFont="1" applyNumberFormat="1">
      <alignment readingOrder="0"/>
    </xf>
    <xf borderId="18" fillId="0" fontId="2" numFmtId="0" xfId="0" applyAlignment="1" applyBorder="1" applyFont="1">
      <alignment readingOrder="0"/>
    </xf>
    <xf borderId="8" fillId="0" fontId="2" numFmtId="3" xfId="0" applyAlignment="1" applyBorder="1" applyFont="1" applyNumberFormat="1">
      <alignment readingOrder="0"/>
    </xf>
    <xf borderId="11" fillId="3" fontId="2" numFmtId="0" xfId="0" applyAlignment="1" applyBorder="1" applyFont="1">
      <alignment readingOrder="0"/>
    </xf>
    <xf borderId="12" fillId="3" fontId="3" numFmtId="0" xfId="0" applyAlignment="1" applyBorder="1" applyFont="1">
      <alignment horizontal="right" readingOrder="0"/>
    </xf>
    <xf borderId="13" fillId="3" fontId="3" numFmtId="3" xfId="0" applyBorder="1" applyFont="1" applyNumberFormat="1"/>
    <xf borderId="11" fillId="3" fontId="2" numFmtId="3" xfId="0" applyBorder="1" applyFont="1" applyNumberFormat="1"/>
    <xf borderId="11" fillId="4" fontId="2" numFmtId="0" xfId="0" applyAlignment="1" applyBorder="1" applyFill="1" applyFont="1">
      <alignment readingOrder="0"/>
    </xf>
    <xf borderId="12" fillId="4" fontId="2" numFmtId="0" xfId="0" applyAlignment="1" applyBorder="1" applyFont="1">
      <alignment horizontal="right" readingOrder="0"/>
    </xf>
    <xf borderId="13" fillId="4" fontId="3" numFmtId="3" xfId="0" applyBorder="1" applyFont="1" applyNumberFormat="1"/>
    <xf borderId="11" fillId="4" fontId="2" numFmtId="3" xfId="0" applyBorder="1" applyFont="1" applyNumberFormat="1"/>
    <xf borderId="19" fillId="2" fontId="6" numFmtId="0" xfId="0" applyAlignment="1" applyBorder="1" applyFont="1">
      <alignment horizontal="left" readingOrder="0"/>
    </xf>
    <xf borderId="20" fillId="0" fontId="5" numFmtId="0" xfId="0" applyBorder="1" applyFont="1"/>
    <xf borderId="21" fillId="0" fontId="2" numFmtId="164" xfId="0" applyAlignment="1" applyBorder="1" applyFont="1" applyNumberFormat="1">
      <alignment readingOrder="0"/>
    </xf>
    <xf borderId="13" fillId="0" fontId="2" numFmtId="164" xfId="0" applyAlignment="1" applyBorder="1" applyFont="1" applyNumberFormat="1">
      <alignment readingOrder="0"/>
    </xf>
    <xf borderId="12" fillId="0" fontId="2" numFmtId="164" xfId="0" applyAlignment="1" applyBorder="1" applyFont="1" applyNumberFormat="1">
      <alignment readingOrder="0"/>
    </xf>
    <xf borderId="18" fillId="0" fontId="9" numFmtId="3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6" fillId="5" fontId="3" numFmtId="0" xfId="0" applyAlignment="1" applyBorder="1" applyFill="1" applyFont="1">
      <alignment readingOrder="0"/>
    </xf>
    <xf borderId="8" fillId="0" fontId="10" numFmtId="3" xfId="0" applyAlignment="1" applyBorder="1" applyFont="1" applyNumberFormat="1">
      <alignment readingOrder="0"/>
    </xf>
    <xf borderId="7" fillId="0" fontId="3" numFmtId="0" xfId="0" applyAlignment="1" applyBorder="1" applyFont="1">
      <alignment readingOrder="0"/>
    </xf>
    <xf borderId="22" fillId="2" fontId="2" numFmtId="3" xfId="0" applyBorder="1" applyFont="1" applyNumberFormat="1"/>
    <xf borderId="0" fillId="6" fontId="3" numFmtId="3" xfId="0" applyAlignment="1" applyFill="1" applyFont="1" applyNumberFormat="1">
      <alignment horizontal="right" vertical="bottom"/>
    </xf>
    <xf borderId="14" fillId="0" fontId="11" numFmtId="0" xfId="0" applyAlignment="1" applyBorder="1" applyFont="1">
      <alignment horizontal="left" vertical="center"/>
    </xf>
    <xf borderId="0" fillId="0" fontId="11" numFmtId="0" xfId="0" applyAlignment="1" applyFont="1">
      <alignment horizontal="center" vertical="center"/>
    </xf>
    <xf borderId="0" fillId="0" fontId="12" numFmtId="1" xfId="0" applyAlignment="1" applyFont="1" applyNumberFormat="1">
      <alignment horizontal="center"/>
    </xf>
    <xf borderId="14" fillId="2" fontId="11" numFmtId="0" xfId="0" applyAlignment="1" applyBorder="1" applyFont="1">
      <alignment horizontal="left" vertical="center"/>
    </xf>
    <xf borderId="0" fillId="2" fontId="13" numFmtId="0" xfId="0" applyFont="1"/>
    <xf borderId="23" fillId="2" fontId="11" numFmtId="164" xfId="0" applyBorder="1" applyFont="1" applyNumberFormat="1"/>
    <xf borderId="14" fillId="2" fontId="11" numFmtId="3" xfId="0" applyAlignment="1" applyBorder="1" applyFont="1" applyNumberFormat="1">
      <alignment horizontal="right" vertical="center"/>
    </xf>
    <xf borderId="14" fillId="2" fontId="11" numFmtId="0" xfId="0" applyAlignment="1" applyBorder="1" applyFont="1">
      <alignment horizontal="right" vertical="center"/>
    </xf>
    <xf borderId="14" fillId="0" fontId="11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0" fillId="0" fontId="14" numFmtId="3" xfId="0" applyAlignment="1" applyFont="1" applyNumberFormat="1">
      <alignment horizontal="right" vertical="center"/>
    </xf>
    <xf borderId="14" fillId="0" fontId="11" numFmtId="3" xfId="0" applyAlignment="1" applyBorder="1" applyFont="1" applyNumberFormat="1">
      <alignment horizontal="right" vertical="center"/>
    </xf>
    <xf borderId="14" fillId="0" fontId="15" numFmtId="0" xfId="0" applyAlignment="1" applyBorder="1" applyFont="1">
      <alignment horizontal="left" shrinkToFit="0" vertical="center" wrapText="1"/>
    </xf>
    <xf borderId="14" fillId="3" fontId="11" numFmtId="0" xfId="0" applyAlignment="1" applyBorder="1" applyFont="1">
      <alignment horizontal="right" vertical="center"/>
    </xf>
    <xf borderId="23" fillId="3" fontId="14" numFmtId="0" xfId="0" applyAlignment="1" applyBorder="1" applyFont="1">
      <alignment vertical="center"/>
    </xf>
    <xf borderId="23" fillId="3" fontId="14" numFmtId="3" xfId="0" applyAlignment="1" applyBorder="1" applyFont="1" applyNumberFormat="1">
      <alignment horizontal="right" vertical="center"/>
    </xf>
    <xf borderId="14" fillId="3" fontId="11" numFmtId="3" xfId="0" applyAlignment="1" applyBorder="1" applyFont="1" applyNumberFormat="1">
      <alignment horizontal="right" vertical="center"/>
    </xf>
    <xf borderId="0" fillId="0" fontId="11" numFmtId="0" xfId="0" applyAlignment="1" applyFont="1">
      <alignment vertical="center"/>
    </xf>
    <xf borderId="0" fillId="0" fontId="11" numFmtId="3" xfId="0" applyAlignment="1" applyFont="1" applyNumberFormat="1">
      <alignment horizontal="right" vertical="center"/>
    </xf>
    <xf borderId="14" fillId="7" fontId="11" numFmtId="0" xfId="0" applyAlignment="1" applyBorder="1" applyFill="1" applyFont="1">
      <alignment horizontal="left" vertical="center"/>
    </xf>
    <xf borderId="0" fillId="7" fontId="13" numFmtId="0" xfId="0" applyFont="1"/>
    <xf borderId="23" fillId="7" fontId="11" numFmtId="3" xfId="0" applyBorder="1" applyFont="1" applyNumberFormat="1"/>
    <xf borderId="14" fillId="7" fontId="11" numFmtId="3" xfId="0" applyAlignment="1" applyBorder="1" applyFont="1" applyNumberFormat="1">
      <alignment horizontal="right" vertical="center"/>
    </xf>
    <xf borderId="14" fillId="7" fontId="11" numFmtId="0" xfId="0" applyAlignment="1" applyBorder="1" applyFont="1">
      <alignment horizontal="right" vertical="center"/>
    </xf>
    <xf borderId="14" fillId="4" fontId="11" numFmtId="0" xfId="0" applyAlignment="1" applyBorder="1" applyFont="1">
      <alignment horizontal="right" vertical="center"/>
    </xf>
    <xf borderId="23" fillId="4" fontId="11" numFmtId="0" xfId="0" applyAlignment="1" applyBorder="1" applyFont="1">
      <alignment vertical="center"/>
    </xf>
    <xf borderId="23" fillId="4" fontId="11" numFmtId="3" xfId="0" applyAlignment="1" applyBorder="1" applyFont="1" applyNumberFormat="1">
      <alignment horizontal="right" vertical="center"/>
    </xf>
    <xf borderId="14" fillId="4" fontId="11" numFmtId="3" xfId="0" applyAlignment="1" applyBorder="1" applyFont="1" applyNumberFormat="1">
      <alignment horizontal="right" vertical="center"/>
    </xf>
    <xf borderId="20" fillId="2" fontId="6" numFmtId="0" xfId="0" applyAlignment="1" applyBorder="1" applyFont="1">
      <alignment horizontal="left" readingOrder="0"/>
    </xf>
    <xf borderId="18" fillId="0" fontId="16" numFmtId="3" xfId="0" applyAlignment="1" applyBorder="1" applyFont="1" applyNumberFormat="1">
      <alignment readingOrder="0"/>
    </xf>
    <xf borderId="8" fillId="0" fontId="16" numFmtId="3" xfId="0" applyAlignment="1" applyBorder="1" applyFont="1" applyNumberFormat="1">
      <alignment readingOrder="0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18" numFmtId="0" xfId="0" applyFont="1"/>
    <xf borderId="24" fillId="8" fontId="2" numFmtId="0" xfId="0" applyAlignment="1" applyBorder="1" applyFill="1" applyFont="1">
      <alignment readingOrder="0"/>
    </xf>
    <xf borderId="25" fillId="8" fontId="2" numFmtId="0" xfId="0" applyAlignment="1" applyBorder="1" applyFont="1">
      <alignment readingOrder="0"/>
    </xf>
    <xf borderId="26" fillId="8" fontId="2" numFmtId="0" xfId="0" applyAlignment="1" applyBorder="1" applyFont="1">
      <alignment readingOrder="0"/>
    </xf>
    <xf borderId="27" fillId="8" fontId="2" numFmtId="0" xfId="0" applyAlignment="1" applyBorder="1" applyFont="1">
      <alignment readingOrder="0"/>
    </xf>
    <xf borderId="24" fillId="2" fontId="2" numFmtId="0" xfId="0" applyAlignment="1" applyBorder="1" applyFont="1">
      <alignment readingOrder="0"/>
    </xf>
    <xf borderId="25" fillId="2" fontId="2" numFmtId="0" xfId="0" applyAlignment="1" applyBorder="1" applyFont="1">
      <alignment readingOrder="0"/>
    </xf>
    <xf borderId="26" fillId="2" fontId="2" numFmtId="0" xfId="0" applyAlignment="1" applyBorder="1" applyFont="1">
      <alignment readingOrder="0"/>
    </xf>
    <xf borderId="27" fillId="2" fontId="2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28" fillId="0" fontId="3" numFmtId="164" xfId="0" applyAlignment="1" applyBorder="1" applyFont="1" applyNumberFormat="1">
      <alignment readingOrder="0"/>
    </xf>
    <xf borderId="29" fillId="0" fontId="3" numFmtId="0" xfId="0" applyAlignment="1" applyBorder="1" applyFont="1">
      <alignment readingOrder="0"/>
    </xf>
    <xf borderId="30" fillId="0" fontId="3" numFmtId="164" xfId="0" applyAlignment="1" applyBorder="1" applyFont="1" applyNumberFormat="1">
      <alignment readingOrder="0"/>
    </xf>
    <xf borderId="30" fillId="0" fontId="3" numFmtId="0" xfId="0" applyAlignment="1" applyBorder="1" applyFont="1">
      <alignment readingOrder="0"/>
    </xf>
    <xf borderId="31" fillId="0" fontId="3" numFmtId="3" xfId="0" applyAlignment="1" applyBorder="1" applyFont="1" applyNumberFormat="1">
      <alignment readingOrder="0"/>
    </xf>
    <xf borderId="30" fillId="0" fontId="3" numFmtId="3" xfId="0" applyAlignment="1" applyBorder="1" applyFont="1" applyNumberFormat="1">
      <alignment readingOrder="0"/>
    </xf>
    <xf borderId="28" fillId="0" fontId="3" numFmtId="166" xfId="0" applyAlignment="1" applyBorder="1" applyFont="1" applyNumberFormat="1">
      <alignment readingOrder="0"/>
    </xf>
    <xf borderId="32" fillId="0" fontId="3" numFmtId="0" xfId="0" applyAlignment="1" applyBorder="1" applyFont="1">
      <alignment readingOrder="0"/>
    </xf>
    <xf borderId="33" fillId="0" fontId="3" numFmtId="164" xfId="0" applyAlignment="1" applyBorder="1" applyFont="1" applyNumberFormat="1">
      <alignment readingOrder="0"/>
    </xf>
    <xf borderId="34" fillId="0" fontId="3" numFmtId="3" xfId="0" applyAlignment="1" applyBorder="1" applyFont="1" applyNumberFormat="1">
      <alignment readingOrder="0"/>
    </xf>
    <xf borderId="33" fillId="0" fontId="3" numFmtId="166" xfId="0" applyAlignment="1" applyBorder="1" applyFont="1" applyNumberFormat="1">
      <alignment readingOrder="0"/>
    </xf>
    <xf borderId="33" fillId="0" fontId="3" numFmtId="3" xfId="0" applyAlignment="1" applyBorder="1" applyFont="1" applyNumberFormat="1">
      <alignment readingOrder="0"/>
    </xf>
    <xf borderId="33" fillId="0" fontId="3" numFmtId="0" xfId="0" applyAlignment="1" applyBorder="1" applyFont="1">
      <alignment readingOrder="0"/>
    </xf>
    <xf borderId="33" fillId="0" fontId="3" numFmtId="167" xfId="0" applyAlignment="1" applyBorder="1" applyFont="1" applyNumberFormat="1">
      <alignment readingOrder="0"/>
    </xf>
    <xf borderId="35" fillId="0" fontId="3" numFmtId="0" xfId="0" applyAlignment="1" applyBorder="1" applyFont="1">
      <alignment readingOrder="0"/>
    </xf>
    <xf borderId="36" fillId="0" fontId="3" numFmtId="3" xfId="0" applyBorder="1" applyFont="1" applyNumberFormat="1"/>
    <xf borderId="37" fillId="0" fontId="2" numFmtId="3" xfId="0" applyBorder="1" applyFont="1" applyNumberFormat="1"/>
    <xf borderId="38" fillId="0" fontId="3" numFmtId="0" xfId="0" applyAlignment="1" applyBorder="1" applyFont="1">
      <alignment readingOrder="0"/>
    </xf>
    <xf borderId="39" fillId="0" fontId="3" numFmtId="167" xfId="0" applyAlignment="1" applyBorder="1" applyFont="1" applyNumberFormat="1">
      <alignment readingOrder="0"/>
    </xf>
    <xf borderId="39" fillId="0" fontId="3" numFmtId="0" xfId="0" applyAlignment="1" applyBorder="1" applyFont="1">
      <alignment readingOrder="0"/>
    </xf>
    <xf borderId="40" fillId="0" fontId="3" numFmtId="3" xfId="0" applyAlignment="1" applyBorder="1" applyFont="1" applyNumberFormat="1">
      <alignment readingOrder="0"/>
    </xf>
    <xf borderId="39" fillId="0" fontId="3" numFmtId="3" xfId="0" applyAlignment="1" applyBorder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167" xfId="0" applyAlignment="1" applyFont="1" applyNumberFormat="1">
      <alignment readingOrder="0"/>
    </xf>
    <xf borderId="0" fillId="0" fontId="13" numFmtId="3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16" fillId="9" fontId="3" numFmtId="0" xfId="0" applyAlignment="1" applyBorder="1" applyFill="1" applyFont="1">
      <alignment readingOrder="0"/>
    </xf>
    <xf borderId="0" fillId="0" fontId="3" numFmtId="166" xfId="0" applyAlignment="1" applyFont="1" applyNumberFormat="1">
      <alignment readingOrder="0"/>
    </xf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大川菜菜子" id="{4b5ffe03-4f08-4c69-8c0e-4c5ee47ab609}" providerId="google-sheets"/>
  <x18tc:person displayName="神成栞" id="{5c7d86d7-d1fa-4f26-bfb7-61e07e32719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6" dT="2026-02-12T03:50:52.00" personId="{4b5ffe03-4f08-4c69-8c0e-4c5ee47ab609}" id="{e49656da-5c32-452e-898a-e2a81440eae6}" done="0">
    <x18tc:text xml:space="preserve">石田：400,000(80本)
佐久間：80,000(20本)＋100,000(作業委託)</x18tc:text>
  </x18tc:threadedComment>
  <x18tc:threadedComment ref="F36" dT="2026-02-12T03:54:05.00" personId="{4b5ffe03-4f08-4c69-8c0e-4c5ee47ab609}" id="{55d991d1-29c3-464b-b408-fb5d79f31824}" done="0">
    <x18tc:text xml:space="preserve">石田：400,000(80本)
佐久間：120,000(研修)</x18tc:text>
  </x18tc:threadedComment>
  <x18tc:threadedComment ref="J36" dT="2026-02-12T05:45:58.00" personId="{4b5ffe03-4f08-4c69-8c0e-4c5ee47ab609}" id="{2121ae7d-78bb-406c-be80-9cc128e9710d}" done="0">
    <x18tc:text xml:space="preserve">石田：400,000(80本)
佐久間：300,000(60本)</x18tc:text>
  </x18tc:threadedComment>
  <x18tc:threadedComment ref="D36" dT="2026-02-12T03:25:10.00" personId="{4b5ffe03-4f08-4c69-8c0e-4c5ee47ab609}" id="{76b041a6-dfe1-4a36-816a-1b0977bf7d91}" done="0">
    <x18tc:text xml:space="preserve">石田：250,000(60本)
佐久間：120,000(研修)</x18tc:text>
  </x18tc:threadedComment>
  <x18tc:threadedComment ref="Q16" dT="2026-02-04T08:39:09.00" personId="{5c7d86d7-d1fa-4f26-bfb7-61e07e327194}" id="{0841cfaf-b758-4b49-9a49-0ed9fd870888}" done="0">
    <x18tc:text xml:space="preserve">株）なーすけってここにいれる？？</x18tc:text>
  </x18tc:threadedComment>
  <x18tc:threadedComment ref="I36" dT="2026-02-12T03:57:39.00" personId="{4b5ffe03-4f08-4c69-8c0e-4c5ee47ab609}" id="{b7a4f8b9-f371-4a54-9a4e-0c3f8dbfe226}" done="0">
    <x18tc:text xml:space="preserve">石田：400,000(80本)
佐久間：160,000(40本)＋100,000(作業委託)</x18tc:text>
  </x18tc:threadedComment>
  <x18tc:threadedComment ref="C5" dT="2026-02-10T05:40:49.00" personId="{5c7d86d7-d1fa-4f26-bfb7-61e07e327194}" id="{129e6318-d65d-46f0-b514-44c32c63962f}" done="1">
    <x18tc:text xml:space="preserve">単発案件：3ヶ月に1回はほしい</x18tc:text>
  </x18tc:threadedComment>
  <x18tc:threadedComment ref="G36" dT="2026-02-12T03:45:17.00" personId="{4b5ffe03-4f08-4c69-8c0e-4c5ee47ab609}" id="{4f6610e8-c945-48a6-a2cc-c4f80f8b2ba7}" done="0">
    <x18tc:text xml:space="preserve">石田：400,000(80本)
佐久間：40,000(10本)＋100,000(作業委託)</x18tc:text>
  </x18tc:threadedComment>
  <x18tc:threadedComment ref="E36" dT="2026-02-12T03:42:53.00" personId="{4b5ffe03-4f08-4c69-8c0e-4c5ee47ab609}" id="{14d9386b-5e82-495f-9166-64468b181cfa}" done="0">
    <x18tc:text xml:space="preserve">石田：325,000(65本)
佐久間：120,000(研修)</x18tc:text>
  </x18tc:threadedComment>
  <x18tc:threadedComment ref="G16" dT="2026-02-04T08:41:57.00" personId="{5c7d86d7-d1fa-4f26-bfb7-61e07e327194}" id="{335fa970-a81e-4a79-bf00-19ba2c8b6990}" done="1">
    <x18tc:text xml:space="preserve">奥谷さん撮影費用入れる</x18tc:text>
  </x18tc:threadedComment>
  <x18tc:threadedComment ref="C5" dT="2026-02-10T05:36:37.00" personId="{5c7d86d7-d1fa-4f26-bfb7-61e07e327194}" id="{43cd0861-27c0-455b-8fd1-67c7733b303b}" done="1">
    <x18tc:text xml:space="preserve">VITAS100万、極洋さん20万（2ヶ月）、VEATM30万（月）、Vanquishコード売り上げた分コミュッション制</x18tc:text>
  </x18tc:threadedComment>
  <x18tc:threadedComment ref="K36" dT="2026-02-12T05:46:53.00" personId="{4b5ffe03-4f08-4c69-8c0e-4c5ee47ab609}" id="{6c9aaf54-03c9-4e2e-946e-ef4ae2eea706}" done="0">
    <x18tc:text xml:space="preserve">石田：400,000(80本)
佐久間：350,000(70本)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5.5"/>
    <col customWidth="1" min="2" max="2" width="3.38"/>
    <col customWidth="1" min="3" max="3" width="28.25"/>
    <col customWidth="1" min="4" max="15" width="10.88"/>
    <col customWidth="1" min="16" max="16" width="9.5"/>
    <col customWidth="1" min="17" max="17" width="32.75"/>
    <col customWidth="1" min="19" max="19" width="5.13"/>
  </cols>
  <sheetData>
    <row r="1" ht="33.0" customHeight="1" collapsed="1">
      <c r="A1" s="1"/>
      <c r="B1" s="2" t="s">
        <v>0</v>
      </c>
      <c r="C1" s="3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idden="1" outlineLevel="1">
      <c r="A2" s="1"/>
      <c r="B2" s="4"/>
      <c r="C2" s="4"/>
      <c r="D2" s="4" t="str">
        <f t="shared" ref="D2:O2" si="1">YEAR(D3)&amp;MONTH(D3)</f>
        <v>20263</v>
      </c>
      <c r="E2" s="4" t="str">
        <f t="shared" si="1"/>
        <v>20264</v>
      </c>
      <c r="F2" s="4" t="str">
        <f t="shared" si="1"/>
        <v>20265</v>
      </c>
      <c r="G2" s="4" t="str">
        <f t="shared" si="1"/>
        <v>20266</v>
      </c>
      <c r="H2" s="4" t="str">
        <f t="shared" si="1"/>
        <v>20267</v>
      </c>
      <c r="I2" s="4" t="str">
        <f t="shared" si="1"/>
        <v>20268</v>
      </c>
      <c r="J2" s="4" t="str">
        <f t="shared" si="1"/>
        <v>20269</v>
      </c>
      <c r="K2" s="4" t="str">
        <f t="shared" si="1"/>
        <v>202610</v>
      </c>
      <c r="L2" s="4" t="str">
        <f t="shared" si="1"/>
        <v>202611</v>
      </c>
      <c r="M2" s="4" t="str">
        <f t="shared" si="1"/>
        <v>202612</v>
      </c>
      <c r="N2" s="4" t="str">
        <f t="shared" si="1"/>
        <v>20271</v>
      </c>
      <c r="O2" s="4" t="str">
        <f t="shared" si="1"/>
        <v>20272</v>
      </c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</row>
    <row r="3" ht="18.0" customHeight="1">
      <c r="A3" s="5"/>
      <c r="B3" s="6" t="s">
        <v>2</v>
      </c>
      <c r="C3" s="7"/>
      <c r="D3" s="8">
        <v>46112.0</v>
      </c>
      <c r="E3" s="8">
        <f t="shared" ref="E3:O3" si="2">EOMONTH(D3,1)</f>
        <v>46142</v>
      </c>
      <c r="F3" s="8">
        <f t="shared" si="2"/>
        <v>46173</v>
      </c>
      <c r="G3" s="8">
        <f t="shared" si="2"/>
        <v>46203</v>
      </c>
      <c r="H3" s="8">
        <f t="shared" si="2"/>
        <v>46234</v>
      </c>
      <c r="I3" s="8">
        <f t="shared" si="2"/>
        <v>46265</v>
      </c>
      <c r="J3" s="8">
        <f t="shared" si="2"/>
        <v>46295</v>
      </c>
      <c r="K3" s="8">
        <f t="shared" si="2"/>
        <v>46326</v>
      </c>
      <c r="L3" s="8">
        <f t="shared" si="2"/>
        <v>46356</v>
      </c>
      <c r="M3" s="8">
        <f t="shared" si="2"/>
        <v>46387</v>
      </c>
      <c r="N3" s="8">
        <f t="shared" si="2"/>
        <v>46418</v>
      </c>
      <c r="O3" s="8">
        <f t="shared" si="2"/>
        <v>46446</v>
      </c>
      <c r="P3" s="9" t="s">
        <v>3</v>
      </c>
      <c r="Q3" s="9" t="s">
        <v>4</v>
      </c>
      <c r="R3" s="2"/>
      <c r="T3" s="3"/>
      <c r="U3" s="3"/>
      <c r="V3" s="3"/>
      <c r="W3" s="3"/>
      <c r="X3" s="3"/>
      <c r="Y3" s="3"/>
      <c r="Z3" s="3"/>
      <c r="AA3" s="3"/>
    </row>
    <row r="4" ht="24.0" customHeight="1">
      <c r="A4" s="5"/>
      <c r="B4" s="10" t="s">
        <v>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3"/>
      <c r="R4" s="3"/>
      <c r="S4" s="14" t="s">
        <v>6</v>
      </c>
      <c r="T4" s="7"/>
      <c r="U4" s="15">
        <v>46054.0</v>
      </c>
      <c r="V4" s="16">
        <f>EOMONTH(U4,12)</f>
        <v>46446</v>
      </c>
      <c r="W4" s="17" t="s">
        <v>7</v>
      </c>
      <c r="X4" s="3"/>
      <c r="Y4" s="3"/>
      <c r="Z4" s="3"/>
      <c r="AA4" s="3"/>
    </row>
    <row r="5">
      <c r="A5" s="5"/>
      <c r="B5" s="18">
        <v>1.0</v>
      </c>
      <c r="C5" s="19" t="s">
        <v>8</v>
      </c>
      <c r="D5" s="20">
        <f>'予算入力シート（SFF）'!D5</f>
        <v>0</v>
      </c>
      <c r="E5" s="21">
        <f>'予算入力シート（SFF）'!E5</f>
        <v>0</v>
      </c>
      <c r="F5" s="21">
        <f>'予算入力シート（SFF）'!F5</f>
        <v>0</v>
      </c>
      <c r="G5" s="21">
        <f>'予算入力シート（SFF）'!G5</f>
        <v>0</v>
      </c>
      <c r="H5" s="21">
        <f>'予算入力シート（SFF）'!H5</f>
        <v>0</v>
      </c>
      <c r="I5" s="21">
        <f>'予算入力シート（SFF）'!I5</f>
        <v>1300000</v>
      </c>
      <c r="J5" s="21">
        <f>'予算入力シート（SFF）'!J5</f>
        <v>8400000</v>
      </c>
      <c r="K5" s="21">
        <f>'予算入力シート（SFF）'!K5</f>
        <v>0</v>
      </c>
      <c r="L5" s="21">
        <f>'予算入力シート（SFF）'!L5</f>
        <v>0</v>
      </c>
      <c r="M5" s="21">
        <f>'予算入力シート（SFF）'!M5</f>
        <v>0</v>
      </c>
      <c r="N5" s="21">
        <f>'予算入力シート（SFF）'!N5</f>
        <v>0</v>
      </c>
      <c r="O5" s="21">
        <f>'予算入力シート（SFF）'!O5</f>
        <v>0</v>
      </c>
      <c r="P5" s="22">
        <f t="shared" ref="P5:P24" si="3">SUM(D5:O5)</f>
        <v>9700000</v>
      </c>
      <c r="Q5" s="22"/>
      <c r="R5" s="4"/>
      <c r="S5" s="23">
        <v>1.0</v>
      </c>
      <c r="T5" s="24" t="s">
        <v>9</v>
      </c>
      <c r="U5" s="25">
        <v>43571.0</v>
      </c>
      <c r="V5" s="26">
        <f>P14/1000</f>
        <v>48385</v>
      </c>
      <c r="W5" s="27">
        <f t="shared" ref="W5:W17" si="4">V5/U5</f>
        <v>1.110486333</v>
      </c>
      <c r="X5" s="4"/>
      <c r="Y5" s="4"/>
      <c r="Z5" s="4"/>
      <c r="AA5" s="4"/>
    </row>
    <row r="6">
      <c r="A6" s="5"/>
      <c r="B6" s="18">
        <f t="shared" ref="B6:B13" si="5">B5+1</f>
        <v>2</v>
      </c>
      <c r="C6" s="19" t="s">
        <v>10</v>
      </c>
      <c r="D6" s="21">
        <f>'予算入力シート（SFF）'!D6</f>
        <v>0</v>
      </c>
      <c r="E6" s="21">
        <f>'予算入力シート（SFF）'!E6</f>
        <v>0</v>
      </c>
      <c r="F6" s="21">
        <f>'予算入力シート（SFF）'!F6</f>
        <v>0</v>
      </c>
      <c r="G6" s="21">
        <f>'予算入力シート（SFF）'!G6</f>
        <v>0</v>
      </c>
      <c r="H6" s="21">
        <f>'予算入力シート（SFF）'!H6</f>
        <v>0</v>
      </c>
      <c r="I6" s="21">
        <f>'予算入力シート（SFF）'!I6</f>
        <v>11940000</v>
      </c>
      <c r="J6" s="21">
        <f>'予算入力シート（SFF）'!J6</f>
        <v>11940000</v>
      </c>
      <c r="K6" s="21">
        <f>'予算入力シート（SFF）'!K6</f>
        <v>0</v>
      </c>
      <c r="L6" s="21">
        <f>'予算入力シート（SFF）'!L6</f>
        <v>0</v>
      </c>
      <c r="M6" s="21">
        <f>'予算入力シート（SFF）'!M6</f>
        <v>0</v>
      </c>
      <c r="N6" s="21">
        <f>'予算入力シート（SFF）'!N6</f>
        <v>0</v>
      </c>
      <c r="O6" s="21">
        <f>'予算入力シート（SFF）'!O6</f>
        <v>0</v>
      </c>
      <c r="P6" s="22">
        <f t="shared" si="3"/>
        <v>23880000</v>
      </c>
      <c r="Q6" s="22"/>
      <c r="R6" s="4"/>
      <c r="S6" s="23">
        <f t="shared" ref="S6:S9" si="6">S5+1</f>
        <v>2</v>
      </c>
      <c r="T6" s="24" t="s">
        <v>11</v>
      </c>
      <c r="U6" s="28">
        <v>35361.0</v>
      </c>
      <c r="V6" s="26">
        <f t="shared" ref="V6:V9" si="7">P27/1000</f>
        <v>30190</v>
      </c>
      <c r="W6" s="27">
        <f t="shared" si="4"/>
        <v>0.8537654478</v>
      </c>
      <c r="X6" s="4"/>
      <c r="Y6" s="4"/>
      <c r="Z6" s="4"/>
      <c r="AA6" s="4"/>
    </row>
    <row r="7">
      <c r="A7" s="5"/>
      <c r="B7" s="18">
        <f t="shared" si="5"/>
        <v>3</v>
      </c>
      <c r="C7" s="19" t="s">
        <v>12</v>
      </c>
      <c r="D7" s="20">
        <f>'予算入力シート（SFF）'!D7</f>
        <v>0</v>
      </c>
      <c r="E7" s="20">
        <f>'予算入力シート（SFF）'!E7</f>
        <v>0</v>
      </c>
      <c r="F7" s="20">
        <f>'予算入力シート（SFF）'!F7</f>
        <v>0</v>
      </c>
      <c r="G7" s="20">
        <f>'予算入力シート（SFF）'!G7</f>
        <v>0</v>
      </c>
      <c r="H7" s="20">
        <f>'予算入力シート（SFF）'!H7</f>
        <v>0</v>
      </c>
      <c r="I7" s="21">
        <f>'予算入力シート（SFF）'!I7</f>
        <v>5033000</v>
      </c>
      <c r="J7" s="20">
        <f>'予算入力シート（SFF）'!J7</f>
        <v>5033000</v>
      </c>
      <c r="K7" s="20">
        <f>'予算入力シート（SFF）'!K7</f>
        <v>0</v>
      </c>
      <c r="L7" s="20">
        <f>'予算入力シート（SFF）'!L7</f>
        <v>0</v>
      </c>
      <c r="M7" s="20">
        <f>'予算入力シート（SFF）'!M7</f>
        <v>0</v>
      </c>
      <c r="N7" s="21">
        <f>'予算入力シート（SFF）'!N7</f>
        <v>0</v>
      </c>
      <c r="O7" s="21">
        <f>'予算入力シート（SFF）'!O7</f>
        <v>0</v>
      </c>
      <c r="P7" s="22">
        <f t="shared" si="3"/>
        <v>10066000</v>
      </c>
      <c r="Q7" s="22"/>
      <c r="R7" s="4"/>
      <c r="S7" s="23">
        <f t="shared" si="6"/>
        <v>3</v>
      </c>
      <c r="T7" s="24" t="s">
        <v>13</v>
      </c>
      <c r="U7" s="28">
        <v>21118.0</v>
      </c>
      <c r="V7" s="26">
        <f t="shared" si="7"/>
        <v>7700</v>
      </c>
      <c r="W7" s="27">
        <f t="shared" si="4"/>
        <v>0.3646178615</v>
      </c>
      <c r="X7" s="4"/>
      <c r="Y7" s="4"/>
      <c r="Z7" s="4"/>
      <c r="AA7" s="4"/>
    </row>
    <row r="8">
      <c r="A8" s="5"/>
      <c r="B8" s="18">
        <f t="shared" si="5"/>
        <v>4</v>
      </c>
      <c r="C8" s="19" t="s">
        <v>14</v>
      </c>
      <c r="D8" s="20">
        <f>'予算入力シート（SFF）'!D8</f>
        <v>0</v>
      </c>
      <c r="E8" s="20">
        <f>'予算入力シート（SFF）'!E8</f>
        <v>0</v>
      </c>
      <c r="F8" s="20">
        <f>'予算入力シート（SFF）'!F8</f>
        <v>0</v>
      </c>
      <c r="G8" s="20">
        <f>'予算入力シート（SFF）'!G8</f>
        <v>0</v>
      </c>
      <c r="H8" s="20">
        <f>'予算入力シート（SFF）'!H8</f>
        <v>0</v>
      </c>
      <c r="I8" s="21">
        <f>'予算入力シート（SFF）'!I8</f>
        <v>1089000</v>
      </c>
      <c r="J8" s="20">
        <f>'予算入力シート（SFF）'!J8</f>
        <v>1089000</v>
      </c>
      <c r="K8" s="20">
        <f>'予算入力シート（SFF）'!K8</f>
        <v>0</v>
      </c>
      <c r="L8" s="20">
        <f>'予算入力シート（SFF）'!L8</f>
        <v>0</v>
      </c>
      <c r="M8" s="20">
        <f>'予算入力シート（SFF）'!M8</f>
        <v>0</v>
      </c>
      <c r="N8" s="21">
        <f>'予算入力シート（SFF）'!N8</f>
        <v>0</v>
      </c>
      <c r="O8" s="21">
        <f>'予算入力シート（SFF）'!O8</f>
        <v>0</v>
      </c>
      <c r="P8" s="22">
        <f t="shared" si="3"/>
        <v>2178000</v>
      </c>
      <c r="Q8" s="22"/>
      <c r="R8" s="4"/>
      <c r="S8" s="23">
        <f t="shared" si="6"/>
        <v>4</v>
      </c>
      <c r="T8" s="24" t="s">
        <v>15</v>
      </c>
      <c r="U8" s="28">
        <v>6801.0</v>
      </c>
      <c r="V8" s="26">
        <f t="shared" si="7"/>
        <v>2500</v>
      </c>
      <c r="W8" s="27">
        <f t="shared" si="4"/>
        <v>0.367593001</v>
      </c>
      <c r="X8" s="4"/>
      <c r="Y8" s="4"/>
      <c r="Z8" s="4"/>
      <c r="AA8" s="4"/>
    </row>
    <row r="9">
      <c r="A9" s="5"/>
      <c r="B9" s="18">
        <f t="shared" si="5"/>
        <v>5</v>
      </c>
      <c r="C9" s="19" t="s">
        <v>16</v>
      </c>
      <c r="D9" s="21">
        <f>'予算入力シート（SFF）'!D9</f>
        <v>0</v>
      </c>
      <c r="E9" s="21">
        <f>'予算入力シート（SFF）'!E9</f>
        <v>0</v>
      </c>
      <c r="F9" s="21">
        <f>'予算入力シート（SFF）'!F9</f>
        <v>0</v>
      </c>
      <c r="G9" s="21">
        <f>'予算入力シート（SFF）'!G9</f>
        <v>0</v>
      </c>
      <c r="H9" s="21">
        <f>'予算入力シート（SFF）'!H9</f>
        <v>0</v>
      </c>
      <c r="I9" s="21">
        <f>'予算入力シート（SFF）'!I9</f>
        <v>400000</v>
      </c>
      <c r="J9" s="21">
        <f>'予算入力シート（SFF）'!J9</f>
        <v>400000</v>
      </c>
      <c r="K9" s="21">
        <f>'予算入力シート（SFF）'!K9</f>
        <v>0</v>
      </c>
      <c r="L9" s="21">
        <f>'予算入力シート（SFF）'!L9</f>
        <v>0</v>
      </c>
      <c r="M9" s="21">
        <f>'予算入力シート（SFF）'!M9</f>
        <v>0</v>
      </c>
      <c r="N9" s="21">
        <f>'予算入力シート（SFF）'!N9</f>
        <v>0</v>
      </c>
      <c r="O9" s="21">
        <f>'予算入力シート（SFF）'!O9</f>
        <v>0</v>
      </c>
      <c r="P9" s="22">
        <f t="shared" si="3"/>
        <v>800000</v>
      </c>
      <c r="Q9" s="22"/>
      <c r="R9" s="4"/>
      <c r="S9" s="23">
        <f t="shared" si="6"/>
        <v>5</v>
      </c>
      <c r="T9" s="24" t="s">
        <v>17</v>
      </c>
      <c r="U9" s="28">
        <v>2759.0</v>
      </c>
      <c r="V9" s="26">
        <f t="shared" si="7"/>
        <v>1500</v>
      </c>
      <c r="W9" s="27">
        <f t="shared" si="4"/>
        <v>0.5436752447</v>
      </c>
      <c r="X9" s="4"/>
      <c r="Y9" s="4"/>
      <c r="Z9" s="4"/>
      <c r="AA9" s="4"/>
    </row>
    <row r="10">
      <c r="A10" s="5"/>
      <c r="B10" s="18">
        <f t="shared" si="5"/>
        <v>6</v>
      </c>
      <c r="C10" s="19" t="s">
        <v>18</v>
      </c>
      <c r="D10" s="21">
        <f>'予算入力シート（SFF）'!D10</f>
        <v>0</v>
      </c>
      <c r="E10" s="21">
        <f>'予算入力シート（SFF）'!E10</f>
        <v>0</v>
      </c>
      <c r="F10" s="21">
        <f>'予算入力シート（SFF）'!F10</f>
        <v>0</v>
      </c>
      <c r="G10" s="21">
        <f>'予算入力シート（SFF）'!G10</f>
        <v>0</v>
      </c>
      <c r="H10" s="21">
        <f>'予算入力シート（SFF）'!H10</f>
        <v>0</v>
      </c>
      <c r="I10" s="21">
        <f>'予算入力シート（SFF）'!I10</f>
        <v>600000</v>
      </c>
      <c r="J10" s="21">
        <f>'予算入力シート（SFF）'!J10</f>
        <v>600000</v>
      </c>
      <c r="K10" s="21">
        <f>'予算入力シート（SFF）'!K10</f>
        <v>0</v>
      </c>
      <c r="L10" s="21">
        <f>'予算入力シート（SFF）'!L10</f>
        <v>0</v>
      </c>
      <c r="M10" s="21">
        <f>'予算入力シート（SFF）'!M10</f>
        <v>0</v>
      </c>
      <c r="N10" s="21">
        <f>'予算入力シート（SFF）'!N10</f>
        <v>0</v>
      </c>
      <c r="O10" s="21">
        <f>'予算入力シート（SFF）'!O10</f>
        <v>0</v>
      </c>
      <c r="P10" s="22">
        <f t="shared" si="3"/>
        <v>1200000</v>
      </c>
      <c r="Q10" s="22"/>
      <c r="R10" s="4"/>
      <c r="S10" s="29"/>
      <c r="T10" s="30" t="s">
        <v>19</v>
      </c>
      <c r="U10" s="31">
        <f t="shared" ref="U10:V10" si="8">SUM(U5:U9)</f>
        <v>109610</v>
      </c>
      <c r="V10" s="32">
        <f t="shared" si="8"/>
        <v>90275</v>
      </c>
      <c r="W10" s="33">
        <f t="shared" si="4"/>
        <v>0.8236018611</v>
      </c>
      <c r="X10" s="4"/>
      <c r="Y10" s="4"/>
      <c r="Z10" s="4"/>
      <c r="AA10" s="4"/>
    </row>
    <row r="11">
      <c r="A11" s="5"/>
      <c r="B11" s="18">
        <f t="shared" si="5"/>
        <v>7</v>
      </c>
      <c r="C11" s="19" t="s">
        <v>20</v>
      </c>
      <c r="D11" s="21">
        <f>'予算入力シート（SFF）'!D11</f>
        <v>0</v>
      </c>
      <c r="E11" s="21">
        <f>'予算入力シート（SFF）'!E11</f>
        <v>0</v>
      </c>
      <c r="F11" s="21">
        <f>'予算入力シート（SFF）'!F11</f>
        <v>0</v>
      </c>
      <c r="G11" s="21">
        <f>'予算入力シート（SFF）'!G11</f>
        <v>0</v>
      </c>
      <c r="H11" s="21">
        <f>'予算入力シート（SFF）'!H11</f>
        <v>0</v>
      </c>
      <c r="I11" s="21">
        <f>'予算入力シート（SFF）'!I11</f>
        <v>198000</v>
      </c>
      <c r="J11" s="21">
        <f>'予算入力シート（SFF）'!J11</f>
        <v>198000</v>
      </c>
      <c r="K11" s="21">
        <f>'予算入力シート（SFF）'!K11</f>
        <v>0</v>
      </c>
      <c r="L11" s="21">
        <f>'予算入力シート（SFF）'!L11</f>
        <v>0</v>
      </c>
      <c r="M11" s="21">
        <f>'予算入力シート（SFF）'!M11</f>
        <v>0</v>
      </c>
      <c r="N11" s="21">
        <f>'予算入力シート（SFF）'!N11</f>
        <v>0</v>
      </c>
      <c r="O11" s="21">
        <f>'予算入力シート（SFF）'!O11</f>
        <v>0</v>
      </c>
      <c r="P11" s="22">
        <f t="shared" si="3"/>
        <v>396000</v>
      </c>
      <c r="Q11" s="22"/>
      <c r="R11" s="4"/>
      <c r="S11" s="23">
        <f>S9+1</f>
        <v>6</v>
      </c>
      <c r="T11" s="24" t="s">
        <v>9</v>
      </c>
      <c r="U11" s="25">
        <v>13657.0</v>
      </c>
      <c r="V11" s="26">
        <f>P23/1000</f>
        <v>31366.26</v>
      </c>
      <c r="W11" s="27">
        <f t="shared" si="4"/>
        <v>2.296716702</v>
      </c>
      <c r="X11" s="4"/>
      <c r="Y11" s="4"/>
      <c r="Z11" s="4"/>
      <c r="AA11" s="4"/>
    </row>
    <row r="12">
      <c r="A12" s="5"/>
      <c r="B12" s="18">
        <f t="shared" si="5"/>
        <v>8</v>
      </c>
      <c r="C12" s="19" t="s">
        <v>21</v>
      </c>
      <c r="D12" s="21">
        <f>'予算入力シート（SFF）'!D12</f>
        <v>0</v>
      </c>
      <c r="E12" s="21">
        <f>'予算入力シート（SFF）'!E12</f>
        <v>0</v>
      </c>
      <c r="F12" s="21">
        <f>'予算入力シート（SFF）'!F12</f>
        <v>0</v>
      </c>
      <c r="G12" s="21">
        <f>'予算入力シート（SFF）'!G12</f>
        <v>0</v>
      </c>
      <c r="H12" s="21">
        <f>'予算入力シート（SFF）'!H12</f>
        <v>0</v>
      </c>
      <c r="I12" s="21">
        <f>'予算入力シート（SFF）'!I12</f>
        <v>82500</v>
      </c>
      <c r="J12" s="21">
        <f>'予算入力シート（SFF）'!J12</f>
        <v>82500</v>
      </c>
      <c r="K12" s="21">
        <f>'予算入力シート（SFF）'!K12</f>
        <v>0</v>
      </c>
      <c r="L12" s="21">
        <f>'予算入力シート（SFF）'!L12</f>
        <v>0</v>
      </c>
      <c r="M12" s="21">
        <f>'予算入力シート（SFF）'!M12</f>
        <v>0</v>
      </c>
      <c r="N12" s="21">
        <f>'予算入力シート（SFF）'!N12</f>
        <v>0</v>
      </c>
      <c r="O12" s="21">
        <f>'予算入力シート（SFF）'!O12</f>
        <v>0</v>
      </c>
      <c r="P12" s="22">
        <f t="shared" si="3"/>
        <v>165000</v>
      </c>
      <c r="Q12" s="22"/>
      <c r="R12" s="4"/>
      <c r="S12" s="23">
        <f t="shared" ref="S12:S15" si="9">S11+1</f>
        <v>7</v>
      </c>
      <c r="T12" s="24" t="s">
        <v>22</v>
      </c>
      <c r="U12" s="25">
        <v>506.0</v>
      </c>
      <c r="V12" s="26">
        <f>O32</f>
        <v>0</v>
      </c>
      <c r="W12" s="27">
        <f t="shared" si="4"/>
        <v>0</v>
      </c>
      <c r="X12" s="4"/>
      <c r="Y12" s="4"/>
      <c r="Z12" s="4"/>
      <c r="AA12" s="4"/>
    </row>
    <row r="13">
      <c r="A13" s="5"/>
      <c r="B13" s="18">
        <f t="shared" si="5"/>
        <v>9</v>
      </c>
      <c r="C13" s="19" t="s">
        <v>23</v>
      </c>
      <c r="D13" s="21">
        <f>'予算入力シート（SFF）'!D13</f>
        <v>0</v>
      </c>
      <c r="E13" s="21">
        <f>'予算入力シート（SFF）'!E13</f>
        <v>0</v>
      </c>
      <c r="F13" s="21">
        <f>'予算入力シート（SFF）'!F13</f>
        <v>0</v>
      </c>
      <c r="G13" s="21">
        <f>'予算入力シート（SFF）'!G13</f>
        <v>0</v>
      </c>
      <c r="H13" s="21">
        <f>'予算入力シート（SFF）'!H13</f>
        <v>0</v>
      </c>
      <c r="I13" s="21">
        <f>'予算入力シート（SFF）'!I13</f>
        <v>0</v>
      </c>
      <c r="J13" s="21">
        <f>'予算入力シート（SFF）'!J13</f>
        <v>0</v>
      </c>
      <c r="K13" s="21">
        <f>'予算入力シート（SFF）'!K13</f>
        <v>0</v>
      </c>
      <c r="L13" s="21">
        <f>'予算入力シート（SFF）'!L13</f>
        <v>0</v>
      </c>
      <c r="M13" s="21">
        <f>'予算入力シート（SFF）'!M13</f>
        <v>0</v>
      </c>
      <c r="N13" s="21">
        <f>'予算入力シート（SFF）'!N13</f>
        <v>0</v>
      </c>
      <c r="O13" s="21">
        <f>'予算入力シート（SFF）'!O13</f>
        <v>0</v>
      </c>
      <c r="P13" s="22">
        <f t="shared" si="3"/>
        <v>0</v>
      </c>
      <c r="Q13" s="22"/>
      <c r="R13" s="4"/>
      <c r="S13" s="23">
        <f t="shared" si="9"/>
        <v>8</v>
      </c>
      <c r="T13" s="24" t="s">
        <v>24</v>
      </c>
      <c r="U13" s="28">
        <v>528.0</v>
      </c>
      <c r="V13" s="26">
        <f>O34</f>
        <v>0</v>
      </c>
      <c r="W13" s="27">
        <f t="shared" si="4"/>
        <v>0</v>
      </c>
      <c r="X13" s="4"/>
      <c r="Y13" s="4"/>
      <c r="Z13" s="4"/>
      <c r="AA13" s="4"/>
    </row>
    <row r="14">
      <c r="A14" s="5"/>
      <c r="B14" s="34"/>
      <c r="C14" s="35" t="s">
        <v>25</v>
      </c>
      <c r="D14" s="36">
        <f t="shared" ref="D14:O14" si="10">SUM(D5:D13)</f>
        <v>0</v>
      </c>
      <c r="E14" s="36">
        <f t="shared" si="10"/>
        <v>0</v>
      </c>
      <c r="F14" s="36">
        <f t="shared" si="10"/>
        <v>0</v>
      </c>
      <c r="G14" s="36">
        <f t="shared" si="10"/>
        <v>0</v>
      </c>
      <c r="H14" s="36">
        <f t="shared" si="10"/>
        <v>0</v>
      </c>
      <c r="I14" s="36">
        <f t="shared" si="10"/>
        <v>20642500</v>
      </c>
      <c r="J14" s="36">
        <f t="shared" si="10"/>
        <v>27742500</v>
      </c>
      <c r="K14" s="36">
        <f t="shared" si="10"/>
        <v>0</v>
      </c>
      <c r="L14" s="36">
        <f t="shared" si="10"/>
        <v>0</v>
      </c>
      <c r="M14" s="36">
        <f t="shared" si="10"/>
        <v>0</v>
      </c>
      <c r="N14" s="36">
        <f t="shared" si="10"/>
        <v>0</v>
      </c>
      <c r="O14" s="36">
        <f t="shared" si="10"/>
        <v>0</v>
      </c>
      <c r="P14" s="37">
        <f t="shared" si="3"/>
        <v>48385000</v>
      </c>
      <c r="Q14" s="37"/>
      <c r="R14" s="4"/>
      <c r="S14" s="23">
        <f t="shared" si="9"/>
        <v>9</v>
      </c>
      <c r="T14" s="24" t="s">
        <v>26</v>
      </c>
      <c r="U14" s="28">
        <v>10452.0</v>
      </c>
      <c r="V14" s="26">
        <f t="shared" ref="V14:V15" si="11">P35/1000</f>
        <v>4990</v>
      </c>
      <c r="W14" s="27">
        <f t="shared" si="4"/>
        <v>0.4774205894</v>
      </c>
      <c r="X14" s="4"/>
      <c r="Y14" s="4"/>
      <c r="Z14" s="4"/>
      <c r="AA14" s="4"/>
    </row>
    <row r="15">
      <c r="A15" s="5"/>
      <c r="B15" s="18">
        <f>B13+1</f>
        <v>10</v>
      </c>
      <c r="C15" s="38" t="s">
        <v>27</v>
      </c>
      <c r="D15" s="21">
        <f>'予算入力シート（SFF）'!D15+'予算入力シート（SFF）'!D16+'予算入力シート（SFF）'!D17+'予算入力シート（SFF）'!D18+'予算入力シート（SFF）'!D19</f>
        <v>0</v>
      </c>
      <c r="E15" s="21">
        <f>'予算入力シート（SFF）'!E15+'予算入力シート（SFF）'!E16+'予算入力シート（SFF）'!E17+'予算入力シート（SFF）'!E18+'予算入力シート（SFF）'!E19</f>
        <v>0</v>
      </c>
      <c r="F15" s="21">
        <f>'予算入力シート（SFF）'!F15+'予算入力シート（SFF）'!F16+'予算入力シート（SFF）'!F17+'予算入力シート（SFF）'!F18+'予算入力シート（SFF）'!F19</f>
        <v>0</v>
      </c>
      <c r="G15" s="21">
        <f>'予算入力シート（SFF）'!G15+'予算入力シート（SFF）'!G16+'予算入力シート（SFF）'!G17+'予算入力シート（SFF）'!G18+'予算入力シート（SFF）'!G19</f>
        <v>0</v>
      </c>
      <c r="H15" s="21">
        <f>'予算入力シート（SFF）'!H15+'予算入力シート（SFF）'!H16+'予算入力シート（SFF）'!H17+'予算入力シート（SFF）'!H18+'予算入力シート（SFF）'!H19</f>
        <v>0</v>
      </c>
      <c r="I15" s="21">
        <f>'予算入力シート（SFF）'!I15+'予算入力シート（SFF）'!I16+'予算入力シート（SFF）'!I17+'予算入力シート（SFF）'!I18+'予算入力シート（SFF）'!I19</f>
        <v>678000</v>
      </c>
      <c r="J15" s="21">
        <f>'予算入力シート（SFF）'!J15+'予算入力シート（SFF）'!J16+'予算入力シート（SFF）'!J17+'予算入力シート（SFF）'!J18+'予算入力シート（SFF）'!J19</f>
        <v>660000</v>
      </c>
      <c r="K15" s="21">
        <f>'予算入力シート（SFF）'!K15+'予算入力シート（SFF）'!K16+'予算入力シート（SFF）'!K17+'予算入力シート（SFF）'!K18+'予算入力シート（SFF）'!K19</f>
        <v>0</v>
      </c>
      <c r="L15" s="21">
        <f>'予算入力シート（SFF）'!L15+'予算入力シート（SFF）'!L16+'予算入力シート（SFF）'!L17+'予算入力シート（SFF）'!L18+'予算入力シート（SFF）'!L19</f>
        <v>0</v>
      </c>
      <c r="M15" s="21">
        <f>'予算入力シート（SFF）'!M15+'予算入力シート（SFF）'!M16+'予算入力シート（SFF）'!M17+'予算入力シート（SFF）'!M18+'予算入力シート（SFF）'!M19</f>
        <v>0</v>
      </c>
      <c r="N15" s="21">
        <f>'予算入力シート（SFF）'!N15+'予算入力シート（SFF）'!N16+'予算入力シート（SFF）'!N17+'予算入力シート（SFF）'!N18+'予算入力シート（SFF）'!N19</f>
        <v>0</v>
      </c>
      <c r="O15" s="21">
        <f>'予算入力シート（SFF）'!O15+'予算入力シート（SFF）'!O16+'予算入力シート（SFF）'!O17+'予算入力シート（SFF）'!O18+'予算入力シート（SFF）'!O19</f>
        <v>0</v>
      </c>
      <c r="P15" s="22">
        <f t="shared" si="3"/>
        <v>1338000</v>
      </c>
      <c r="Q15" s="22"/>
      <c r="R15" s="4"/>
      <c r="S15" s="23">
        <f t="shared" si="9"/>
        <v>10</v>
      </c>
      <c r="T15" s="24" t="s">
        <v>28</v>
      </c>
      <c r="U15" s="28">
        <v>2138.0</v>
      </c>
      <c r="V15" s="26">
        <f t="shared" si="11"/>
        <v>367.2</v>
      </c>
      <c r="W15" s="27">
        <f t="shared" si="4"/>
        <v>0.1717492984</v>
      </c>
      <c r="X15" s="4"/>
      <c r="Y15" s="4"/>
      <c r="Z15" s="4"/>
      <c r="AA15" s="4"/>
    </row>
    <row r="16">
      <c r="A16" s="5"/>
      <c r="B16" s="18">
        <f t="shared" ref="B16:B22" si="13">B15+1</f>
        <v>11</v>
      </c>
      <c r="C16" s="38" t="s">
        <v>29</v>
      </c>
      <c r="D16" s="21">
        <f>'予算入力シート（SFF）'!D20</f>
        <v>0</v>
      </c>
      <c r="E16" s="21">
        <f>'予算入力シート（SFF）'!E20</f>
        <v>0</v>
      </c>
      <c r="F16" s="21">
        <f>'予算入力シート（SFF）'!F20</f>
        <v>0</v>
      </c>
      <c r="G16" s="21">
        <f>'予算入力シート（SFF）'!G20</f>
        <v>0</v>
      </c>
      <c r="H16" s="21">
        <f>'予算入力シート（SFF）'!H20</f>
        <v>0</v>
      </c>
      <c r="I16" s="21">
        <f>'予算入力シート（SFF）'!I20</f>
        <v>1050000</v>
      </c>
      <c r="J16" s="21">
        <f>'予算入力シート（SFF）'!J20</f>
        <v>1350000</v>
      </c>
      <c r="K16" s="21">
        <f>'予算入力シート（SFF）'!K20</f>
        <v>0</v>
      </c>
      <c r="L16" s="21">
        <f>'予算入力シート（SFF）'!L20</f>
        <v>0</v>
      </c>
      <c r="M16" s="21">
        <f>'予算入力シート（SFF）'!M20</f>
        <v>0</v>
      </c>
      <c r="N16" s="21">
        <f>'予算入力シート（SFF）'!N20</f>
        <v>0</v>
      </c>
      <c r="O16" s="21">
        <f>'予算入力シート（SFF）'!O20</f>
        <v>0</v>
      </c>
      <c r="P16" s="22">
        <f t="shared" si="3"/>
        <v>2400000</v>
      </c>
      <c r="Q16" s="22"/>
      <c r="R16" s="4"/>
      <c r="S16" s="39"/>
      <c r="T16" s="40" t="s">
        <v>30</v>
      </c>
      <c r="U16" s="41">
        <f t="shared" ref="U16:V16" si="12">SUM(U11:U15)</f>
        <v>27281</v>
      </c>
      <c r="V16" s="42">
        <f t="shared" si="12"/>
        <v>36723.46</v>
      </c>
      <c r="W16" s="43">
        <f t="shared" si="4"/>
        <v>1.346118544</v>
      </c>
      <c r="X16" s="4"/>
      <c r="Y16" s="4"/>
      <c r="Z16" s="4"/>
      <c r="AA16" s="4"/>
    </row>
    <row r="17">
      <c r="A17" s="5"/>
      <c r="B17" s="18">
        <f t="shared" si="13"/>
        <v>12</v>
      </c>
      <c r="C17" s="38" t="s">
        <v>31</v>
      </c>
      <c r="D17" s="21">
        <f>'予算入力シート（SFF）'!D21+'予算入力シート（SFF）'!D22+'予算入力シート（SFF）'!D23+'予算入力シート（SFF）'!D24+'予算入力シート（SFF）'!D25+'予算入力シート（SFF）'!D26</f>
        <v>0</v>
      </c>
      <c r="E17" s="21">
        <f>'予算入力シート（SFF）'!E21+'予算入力シート（SFF）'!E22+'予算入力シート（SFF）'!E23+'予算入力シート（SFF）'!E24+'予算入力シート（SFF）'!E25+'予算入力シート（SFF）'!E26</f>
        <v>0</v>
      </c>
      <c r="F17" s="21">
        <f>'予算入力シート（SFF）'!F21+'予算入力シート（SFF）'!F22+'予算入力シート（SFF）'!F23+'予算入力シート（SFF）'!F24+'予算入力シート（SFF）'!F25+'予算入力シート（SFF）'!F26</f>
        <v>0</v>
      </c>
      <c r="G17" s="21">
        <f>'予算入力シート（SFF）'!G21+'予算入力シート（SFF）'!G22+'予算入力シート（SFF）'!G23+'予算入力シート（SFF）'!G24+'予算入力シート（SFF）'!G25+'予算入力シート（SFF）'!G26</f>
        <v>0</v>
      </c>
      <c r="H17" s="21">
        <f>'予算入力シート（SFF）'!H21+'予算入力シート（SFF）'!H22+'予算入力シート（SFF）'!H23+'予算入力シート（SFF）'!H24+'予算入力シート（SFF）'!H25+'予算入力シート（SFF）'!H26</f>
        <v>0</v>
      </c>
      <c r="I17" s="21">
        <f>'予算入力シート（SFF）'!I21+'予算入力シート（SFF）'!I22+'予算入力シート（SFF）'!I23+'予算入力シート（SFF）'!I24+'予算入力シート（SFF）'!I25+'予算入力シート（SFF）'!I26</f>
        <v>5860000</v>
      </c>
      <c r="J17" s="21">
        <f>'予算入力シート（SFF）'!J21+'予算入力シート（SFF）'!J22+'予算入力シート（SFF）'!J23+'予算入力シート（SFF）'!J24+'予算入力シート（SFF）'!J25+'予算入力シート（SFF）'!J26</f>
        <v>11170000</v>
      </c>
      <c r="K17" s="21">
        <f>'予算入力シート（SFF）'!K21+'予算入力シート（SFF）'!K22+'予算入力シート（SFF）'!K23+'予算入力シート（SFF）'!K24+'予算入力シート（SFF）'!K25+'予算入力シート（SFF）'!K26</f>
        <v>0</v>
      </c>
      <c r="L17" s="21">
        <f>'予算入力シート（SFF）'!L21+'予算入力シート（SFF）'!L22+'予算入力シート（SFF）'!L23+'予算入力シート（SFF）'!L24+'予算入力シート（SFF）'!L25+'予算入力シート（SFF）'!L26</f>
        <v>0</v>
      </c>
      <c r="M17" s="21">
        <f>'予算入力シート（SFF）'!M21+'予算入力シート（SFF）'!M22+'予算入力シート（SFF）'!M23+'予算入力シート（SFF）'!M24+'予算入力シート（SFF）'!M25+'予算入力シート（SFF）'!M26</f>
        <v>0</v>
      </c>
      <c r="N17" s="21">
        <f>'予算入力シート（SFF）'!N21+'予算入力シート（SFF）'!N22+'予算入力シート（SFF）'!N23+'予算入力シート（SFF）'!N24+'予算入力シート（SFF）'!N25+'予算入力シート（SFF）'!N26</f>
        <v>0</v>
      </c>
      <c r="O17" s="21">
        <f>'予算入力シート（SFF）'!O21+'予算入力シート（SFF）'!O22+'予算入力シート（SFF）'!O23+'予算入力シート（SFF）'!O24+'予算入力シート（SFF）'!O25+'予算入力シート（SFF）'!O26</f>
        <v>0</v>
      </c>
      <c r="P17" s="22">
        <f t="shared" si="3"/>
        <v>17030000</v>
      </c>
      <c r="Q17" s="22"/>
      <c r="R17" s="4"/>
      <c r="S17" s="39"/>
      <c r="T17" s="40" t="s">
        <v>32</v>
      </c>
      <c r="U17" s="41">
        <f t="shared" ref="U17:V17" si="14">U10-U16</f>
        <v>82329</v>
      </c>
      <c r="V17" s="42">
        <f t="shared" si="14"/>
        <v>53551.54</v>
      </c>
      <c r="W17" s="43">
        <f t="shared" si="4"/>
        <v>0.6504577974</v>
      </c>
      <c r="X17" s="4"/>
      <c r="Y17" s="4"/>
      <c r="Z17" s="4"/>
      <c r="AA17" s="4"/>
    </row>
    <row r="18">
      <c r="A18" s="5"/>
      <c r="B18" s="18">
        <f t="shared" si="13"/>
        <v>13</v>
      </c>
      <c r="C18" s="38" t="s">
        <v>33</v>
      </c>
      <c r="D18" s="20">
        <f>'予算入力シート（SFF）'!D27+'予算入力シート（SFF）'!D29+'予算入力シート（SFF）'!D30+'予算入力シート（SFF）'!D34</f>
        <v>0</v>
      </c>
      <c r="E18" s="20">
        <f>'予算入力シート（SFF）'!E27+'予算入力シート（SFF）'!E29+'予算入力シート（SFF）'!E30+'予算入力シート（SFF）'!E34</f>
        <v>0</v>
      </c>
      <c r="F18" s="20">
        <f>'予算入力シート（SFF）'!F27+'予算入力シート（SFF）'!F29+'予算入力シート（SFF）'!F30+'予算入力シート（SFF）'!F34</f>
        <v>0</v>
      </c>
      <c r="G18" s="20">
        <f>'予算入力シート（SFF）'!G27+'予算入力シート（SFF）'!G29+'予算入力シート（SFF）'!G30+'予算入力シート（SFF）'!G34</f>
        <v>0</v>
      </c>
      <c r="H18" s="20">
        <f>'予算入力シート（SFF）'!H27+'予算入力シート（SFF）'!H29+'予算入力シート（SFF）'!H30+'予算入力シート（SFF）'!H34</f>
        <v>0</v>
      </c>
      <c r="I18" s="20">
        <f>'予算入力シート（SFF）'!I27+'予算入力シート（SFF）'!I29+'予算入力シート（SFF）'!I30+'予算入力シート（SFF）'!I34</f>
        <v>910000</v>
      </c>
      <c r="J18" s="20">
        <f>'予算入力シート（SFF）'!J27+'予算入力シート（SFF）'!J29+'予算入力シート（SFF）'!J30+'予算入力シート（SFF）'!J34</f>
        <v>910000</v>
      </c>
      <c r="K18" s="20">
        <f>'予算入力シート（SFF）'!K27+'予算入力シート（SFF）'!K29+'予算入力シート（SFF）'!K30+'予算入力シート（SFF）'!K34</f>
        <v>0</v>
      </c>
      <c r="L18" s="20">
        <f>'予算入力シート（SFF）'!L27+'予算入力シート（SFF）'!L29+'予算入力シート（SFF）'!L30+'予算入力シート（SFF）'!L34</f>
        <v>0</v>
      </c>
      <c r="M18" s="20">
        <f>'予算入力シート（SFF）'!M27+'予算入力シート（SFF）'!M29+'予算入力シート（SFF）'!M30+'予算入力シート（SFF）'!M34</f>
        <v>0</v>
      </c>
      <c r="N18" s="20">
        <f>'予算入力シート（SFF）'!N27+'予算入力シート（SFF）'!N29+'予算入力シート（SFF）'!N30+'予算入力シート（SFF）'!N34</f>
        <v>0</v>
      </c>
      <c r="O18" s="20">
        <f>'予算入力シート（SFF）'!O27+'予算入力シート（SFF）'!O29+'予算入力シート（SFF）'!O30+'予算入力シート（SFF）'!O34</f>
        <v>0</v>
      </c>
      <c r="P18" s="22">
        <f t="shared" si="3"/>
        <v>1820000</v>
      </c>
      <c r="Q18" s="22"/>
      <c r="R18" s="4"/>
      <c r="S18" s="44"/>
      <c r="T18" s="45" t="s">
        <v>34</v>
      </c>
      <c r="U18" s="46">
        <f t="shared" ref="U18:V18" si="15">U17/U10</f>
        <v>0.7511084755</v>
      </c>
      <c r="V18" s="47">
        <f t="shared" si="15"/>
        <v>0.5932045417</v>
      </c>
      <c r="W18" s="48" t="s">
        <v>35</v>
      </c>
      <c r="X18" s="4"/>
      <c r="Y18" s="4"/>
      <c r="Z18" s="4"/>
      <c r="AA18" s="4"/>
    </row>
    <row r="19">
      <c r="A19" s="5"/>
      <c r="B19" s="18">
        <f t="shared" si="13"/>
        <v>14</v>
      </c>
      <c r="C19" s="38" t="s">
        <v>36</v>
      </c>
      <c r="D19" s="21">
        <f>'予算入力シート（SFF）'!D28</f>
        <v>0</v>
      </c>
      <c r="E19" s="21">
        <f>'予算入力シート（SFF）'!E28</f>
        <v>0</v>
      </c>
      <c r="F19" s="21">
        <f>'予算入力シート（SFF）'!F28</f>
        <v>0</v>
      </c>
      <c r="G19" s="21">
        <f>'予算入力シート（SFF）'!G28</f>
        <v>0</v>
      </c>
      <c r="H19" s="21">
        <f>'予算入力シート（SFF）'!H28</f>
        <v>0</v>
      </c>
      <c r="I19" s="21">
        <f>'予算入力シート（SFF）'!I28</f>
        <v>3113100</v>
      </c>
      <c r="J19" s="21">
        <f>'予算入力シート（SFF）'!J28</f>
        <v>4795160</v>
      </c>
      <c r="K19" s="21">
        <f>'予算入力シート（SFF）'!K28</f>
        <v>0</v>
      </c>
      <c r="L19" s="21">
        <f>'予算入力シート（SFF）'!L28</f>
        <v>0</v>
      </c>
      <c r="M19" s="21">
        <f>'予算入力シート（SFF）'!M28</f>
        <v>0</v>
      </c>
      <c r="N19" s="21">
        <f>'予算入力シート（SFF）'!N28</f>
        <v>0</v>
      </c>
      <c r="O19" s="21">
        <f>'予算入力シート（SFF）'!O28</f>
        <v>0</v>
      </c>
      <c r="P19" s="22">
        <f t="shared" si="3"/>
        <v>7908260</v>
      </c>
      <c r="Q19" s="22"/>
      <c r="R19" s="4"/>
      <c r="S19" s="39"/>
      <c r="T19" s="40" t="s">
        <v>37</v>
      </c>
      <c r="U19" s="49">
        <v>85970.0</v>
      </c>
      <c r="V19" s="42">
        <f>P55/1000</f>
        <v>70706.0508</v>
      </c>
      <c r="W19" s="43">
        <f>V19/U19</f>
        <v>0.8224502827</v>
      </c>
      <c r="X19" s="4"/>
      <c r="Y19" s="4"/>
      <c r="Z19" s="4"/>
      <c r="AA19" s="4"/>
    </row>
    <row r="20">
      <c r="A20" s="5"/>
      <c r="B20" s="18">
        <f t="shared" si="13"/>
        <v>15</v>
      </c>
      <c r="C20" s="38" t="s">
        <v>38</v>
      </c>
      <c r="D20" s="21">
        <f>'予算入力シート（SFF）'!D31</f>
        <v>0</v>
      </c>
      <c r="E20" s="21">
        <f>'予算入力シート（SFF）'!E31</f>
        <v>0</v>
      </c>
      <c r="F20" s="21">
        <f>'予算入力シート（SFF）'!F31</f>
        <v>0</v>
      </c>
      <c r="G20" s="21">
        <f>'予算入力シート（SFF）'!G31</f>
        <v>0</v>
      </c>
      <c r="H20" s="21">
        <f>'予算入力シート（SFF）'!H31</f>
        <v>0</v>
      </c>
      <c r="I20" s="21">
        <f>'予算入力シート（SFF）'!I31</f>
        <v>150000</v>
      </c>
      <c r="J20" s="21">
        <f>'予算入力シート（SFF）'!J31</f>
        <v>600000</v>
      </c>
      <c r="K20" s="21">
        <f>'予算入力シート（SFF）'!K31</f>
        <v>0</v>
      </c>
      <c r="L20" s="21">
        <f>'予算入力シート（SFF）'!L31</f>
        <v>0</v>
      </c>
      <c r="M20" s="21">
        <f>'予算入力シート（SFF）'!M31</f>
        <v>0</v>
      </c>
      <c r="N20" s="21">
        <f>'予算入力シート（SFF）'!N31</f>
        <v>0</v>
      </c>
      <c r="O20" s="21">
        <f>'予算入力シート（SFF）'!O31</f>
        <v>0</v>
      </c>
      <c r="P20" s="22">
        <f t="shared" si="3"/>
        <v>750000</v>
      </c>
      <c r="Q20" s="22"/>
      <c r="R20" s="4"/>
      <c r="S20" s="50"/>
      <c r="T20" s="51" t="s">
        <v>39</v>
      </c>
      <c r="U20" s="52">
        <f t="shared" ref="U20:V20" si="16">U17-U19</f>
        <v>-3641</v>
      </c>
      <c r="V20" s="53">
        <f t="shared" si="16"/>
        <v>-17154.5108</v>
      </c>
      <c r="W20" s="54"/>
      <c r="X20" s="4"/>
      <c r="Y20" s="4"/>
      <c r="Z20" s="4"/>
      <c r="AA20" s="4"/>
    </row>
    <row r="21">
      <c r="A21" s="5"/>
      <c r="B21" s="18">
        <f t="shared" si="13"/>
        <v>16</v>
      </c>
      <c r="C21" s="38" t="s">
        <v>40</v>
      </c>
      <c r="D21" s="21">
        <f>'予算入力シート（SFF）'!D32</f>
        <v>0</v>
      </c>
      <c r="E21" s="21">
        <f>'予算入力シート（SFF）'!E32</f>
        <v>0</v>
      </c>
      <c r="F21" s="21">
        <f>'予算入力シート（SFF）'!F32</f>
        <v>0</v>
      </c>
      <c r="G21" s="21">
        <f>'予算入力シート（SFF）'!G32</f>
        <v>0</v>
      </c>
      <c r="H21" s="21">
        <f>'予算入力シート（SFF）'!H32</f>
        <v>0</v>
      </c>
      <c r="I21" s="21">
        <f>'予算入力シート（SFF）'!I32</f>
        <v>60000</v>
      </c>
      <c r="J21" s="21">
        <f>'予算入力シート（SFF）'!J32</f>
        <v>60000</v>
      </c>
      <c r="K21" s="21">
        <f>'予算入力シート（SFF）'!K32</f>
        <v>0</v>
      </c>
      <c r="L21" s="21">
        <f>'予算入力シート（SFF）'!L32</f>
        <v>0</v>
      </c>
      <c r="M21" s="21">
        <f>'予算入力シート（SFF）'!M32</f>
        <v>0</v>
      </c>
      <c r="N21" s="21">
        <f>'予算入力シート（SFF）'!N32</f>
        <v>0</v>
      </c>
      <c r="O21" s="21">
        <f>'予算入力シート（SFF）'!O32</f>
        <v>0</v>
      </c>
      <c r="P21" s="22">
        <f t="shared" si="3"/>
        <v>120000</v>
      </c>
      <c r="Q21" s="22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/>
      <c r="B22" s="18">
        <f t="shared" si="13"/>
        <v>17</v>
      </c>
      <c r="C22" s="38" t="s">
        <v>41</v>
      </c>
      <c r="D22" s="21">
        <f>'予算入力シート（SFF）'!D33</f>
        <v>0</v>
      </c>
      <c r="E22" s="21">
        <f>'予算入力シート（SFF）'!E33</f>
        <v>0</v>
      </c>
      <c r="F22" s="21">
        <f>'予算入力シート（SFF）'!F33</f>
        <v>0</v>
      </c>
      <c r="G22" s="21">
        <f>'予算入力シート（SFF）'!G33</f>
        <v>0</v>
      </c>
      <c r="H22" s="21">
        <f>'予算入力シート（SFF）'!H33</f>
        <v>0</v>
      </c>
      <c r="I22" s="21">
        <f>'予算入力シート（SFF）'!I33</f>
        <v>0</v>
      </c>
      <c r="J22" s="21">
        <f>'予算入力シート（SFF）'!J33</f>
        <v>0</v>
      </c>
      <c r="K22" s="21">
        <f>'予算入力シート（SFF）'!K33</f>
        <v>0</v>
      </c>
      <c r="L22" s="21">
        <f>'予算入力シート（SFF）'!L33</f>
        <v>0</v>
      </c>
      <c r="M22" s="21">
        <f>'予算入力シート（SFF）'!M33</f>
        <v>0</v>
      </c>
      <c r="N22" s="21">
        <f>'予算入力シート（SFF）'!N33</f>
        <v>0</v>
      </c>
      <c r="O22" s="21">
        <f>'予算入力シート（SFF）'!O33</f>
        <v>0</v>
      </c>
      <c r="P22" s="22">
        <f t="shared" si="3"/>
        <v>0</v>
      </c>
      <c r="Q22" s="22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/>
      <c r="B23" s="55"/>
      <c r="C23" s="56" t="s">
        <v>42</v>
      </c>
      <c r="D23" s="57">
        <f t="shared" ref="D23:O23" si="17">SUM(D15:D22)</f>
        <v>0</v>
      </c>
      <c r="E23" s="57">
        <f t="shared" si="17"/>
        <v>0</v>
      </c>
      <c r="F23" s="57">
        <f t="shared" si="17"/>
        <v>0</v>
      </c>
      <c r="G23" s="57">
        <f t="shared" si="17"/>
        <v>0</v>
      </c>
      <c r="H23" s="57">
        <f t="shared" si="17"/>
        <v>0</v>
      </c>
      <c r="I23" s="57">
        <f t="shared" si="17"/>
        <v>11821100</v>
      </c>
      <c r="J23" s="57">
        <f t="shared" si="17"/>
        <v>19545160</v>
      </c>
      <c r="K23" s="57">
        <f t="shared" si="17"/>
        <v>0</v>
      </c>
      <c r="L23" s="57">
        <f t="shared" si="17"/>
        <v>0</v>
      </c>
      <c r="M23" s="57">
        <f t="shared" si="17"/>
        <v>0</v>
      </c>
      <c r="N23" s="57">
        <f t="shared" si="17"/>
        <v>0</v>
      </c>
      <c r="O23" s="57">
        <f t="shared" si="17"/>
        <v>0</v>
      </c>
      <c r="P23" s="58">
        <f t="shared" si="3"/>
        <v>31366260</v>
      </c>
      <c r="Q23" s="58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">
        <v>43</v>
      </c>
      <c r="B24" s="59"/>
      <c r="C24" s="60" t="s">
        <v>44</v>
      </c>
      <c r="D24" s="61">
        <f t="shared" ref="D24:O24" si="18">D14-D23</f>
        <v>0</v>
      </c>
      <c r="E24" s="61">
        <f t="shared" si="18"/>
        <v>0</v>
      </c>
      <c r="F24" s="61">
        <f t="shared" si="18"/>
        <v>0</v>
      </c>
      <c r="G24" s="61">
        <f t="shared" si="18"/>
        <v>0</v>
      </c>
      <c r="H24" s="61">
        <f t="shared" si="18"/>
        <v>0</v>
      </c>
      <c r="I24" s="61">
        <f t="shared" si="18"/>
        <v>8821400</v>
      </c>
      <c r="J24" s="61">
        <f t="shared" si="18"/>
        <v>8197340</v>
      </c>
      <c r="K24" s="61">
        <f t="shared" si="18"/>
        <v>0</v>
      </c>
      <c r="L24" s="61">
        <f t="shared" si="18"/>
        <v>0</v>
      </c>
      <c r="M24" s="61">
        <f t="shared" si="18"/>
        <v>0</v>
      </c>
      <c r="N24" s="61">
        <f t="shared" si="18"/>
        <v>0</v>
      </c>
      <c r="O24" s="61">
        <f t="shared" si="18"/>
        <v>0</v>
      </c>
      <c r="P24" s="62">
        <f t="shared" si="3"/>
        <v>17018740</v>
      </c>
      <c r="Q24" s="62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8.25" customHeight="1">
      <c r="A25" s="5"/>
      <c r="B25" s="63"/>
      <c r="P25" s="64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4.0" customHeight="1">
      <c r="A26" s="5"/>
      <c r="B26" s="10" t="s">
        <v>45</v>
      </c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65"/>
      <c r="Q26" s="65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"/>
      <c r="B27" s="18">
        <f>B22+1</f>
        <v>18</v>
      </c>
      <c r="C27" s="66" t="s">
        <v>11</v>
      </c>
      <c r="D27" s="67">
        <f>'予算入力シート（YouTube※アパレル、フィットネス)'!D8</f>
        <v>2000000</v>
      </c>
      <c r="E27" s="68">
        <f>'予算入力シート（YouTube※アパレル、フィットネス)'!E8</f>
        <v>2050000</v>
      </c>
      <c r="F27" s="68">
        <f>'予算入力シート（YouTube※アパレル、フィットネス)'!F8</f>
        <v>2480000</v>
      </c>
      <c r="G27" s="68">
        <f>'予算入力シート（YouTube※アパレル、フィットネス)'!G8</f>
        <v>4000000</v>
      </c>
      <c r="H27" s="68">
        <f>'予算入力シート（YouTube※アパレル、フィットネス)'!H8</f>
        <v>3260000</v>
      </c>
      <c r="I27" s="68">
        <f>'予算入力シート（YouTube※アパレル、フィットネス)'!I8</f>
        <v>2930000</v>
      </c>
      <c r="J27" s="68">
        <f>'予算入力シート（YouTube※アパレル、フィットネス)'!J8</f>
        <v>2400000</v>
      </c>
      <c r="K27" s="68">
        <f>'予算入力シート（YouTube※アパレル、フィットネス)'!K8</f>
        <v>1930000</v>
      </c>
      <c r="L27" s="68">
        <f>'予算入力シート（YouTube※アパレル、フィットネス)'!L8</f>
        <v>2810000</v>
      </c>
      <c r="M27" s="68">
        <f>'予算入力シート（YouTube※アパレル、フィットネス)'!M8</f>
        <v>2550000</v>
      </c>
      <c r="N27" s="68">
        <f>'予算入力シート（YouTube※アパレル、フィットネス)'!N8</f>
        <v>1850000</v>
      </c>
      <c r="O27" s="68">
        <f>'予算入力シート（YouTube※アパレル、フィットネス)'!O8</f>
        <v>1930000</v>
      </c>
      <c r="P27" s="69">
        <f t="shared" ref="P27:P38" si="19">SUM(D27:O27)</f>
        <v>30190000</v>
      </c>
      <c r="Q27" s="70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/>
      <c r="B28" s="18">
        <f t="shared" ref="B28:B30" si="20">B27+1</f>
        <v>19</v>
      </c>
      <c r="C28" s="66" t="s">
        <v>13</v>
      </c>
      <c r="D28" s="67">
        <f>'予算入力シート（YouTube※アパレル、フィットネス)'!D33</f>
        <v>600000</v>
      </c>
      <c r="E28" s="68">
        <f>'予算入力シート（YouTube※アパレル、フィットネス)'!E33</f>
        <v>600000</v>
      </c>
      <c r="F28" s="68">
        <f>'予算入力シート（YouTube※アパレル、フィットネス)'!F33</f>
        <v>600000</v>
      </c>
      <c r="G28" s="68">
        <f>'予算入力シート（YouTube※アパレル、フィットネス)'!G33</f>
        <v>600000</v>
      </c>
      <c r="H28" s="68">
        <f>'予算入力シート（YouTube※アパレル、フィットネス)'!H33</f>
        <v>600000</v>
      </c>
      <c r="I28" s="68">
        <f>'予算入力シート（YouTube※アパレル、フィットネス)'!I33</f>
        <v>600000</v>
      </c>
      <c r="J28" s="68">
        <f>'予算入力シート（YouTube※アパレル、フィットネス)'!J33</f>
        <v>600000</v>
      </c>
      <c r="K28" s="68">
        <f>'予算入力シート（YouTube※アパレル、フィットネス)'!K33</f>
        <v>500000</v>
      </c>
      <c r="L28" s="68">
        <f>'予算入力シート（YouTube※アパレル、フィットネス)'!L33</f>
        <v>0</v>
      </c>
      <c r="M28" s="68">
        <f>'予算入力シート（YouTube※アパレル、フィットネス)'!M33</f>
        <v>0</v>
      </c>
      <c r="N28" s="68">
        <f>'予算入力シート（YouTube※アパレル、フィットネス)'!N33</f>
        <v>1000000</v>
      </c>
      <c r="O28" s="68">
        <f>'予算入力シート（YouTube※アパレル、フィットネス)'!O33</f>
        <v>2000000</v>
      </c>
      <c r="P28" s="69">
        <f t="shared" si="19"/>
        <v>7700000</v>
      </c>
      <c r="Q28" s="69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/>
      <c r="B29" s="18">
        <f t="shared" si="20"/>
        <v>20</v>
      </c>
      <c r="C29" s="66" t="s">
        <v>15</v>
      </c>
      <c r="D29" s="21">
        <f>'予算入力シート（YouTube※アパレル、フィットネス)'!D34</f>
        <v>400000</v>
      </c>
      <c r="E29" s="21">
        <f>'予算入力シート（YouTube※アパレル、フィットネス)'!E34</f>
        <v>400000</v>
      </c>
      <c r="F29" s="21">
        <f>'予算入力シート（YouTube※アパレル、フィットネス)'!F34</f>
        <v>450000</v>
      </c>
      <c r="G29" s="21">
        <f>'予算入力シート（YouTube※アパレル、フィットネス)'!G34</f>
        <v>600000</v>
      </c>
      <c r="H29" s="21">
        <f>'予算入力シート（YouTube※アパレル、フィットネス)'!H34</f>
        <v>650000</v>
      </c>
      <c r="I29" s="21">
        <f>'予算入力シート（YouTube※アパレル、フィットネス)'!I34</f>
        <v>0</v>
      </c>
      <c r="J29" s="21">
        <f>'予算入力シート（YouTube※アパレル、フィットネス)'!J34</f>
        <v>0</v>
      </c>
      <c r="K29" s="21">
        <f>'予算入力シート（YouTube※アパレル、フィットネス)'!K34</f>
        <v>0</v>
      </c>
      <c r="L29" s="21">
        <f>'予算入力シート（YouTube※アパレル、フィットネス)'!L34</f>
        <v>0</v>
      </c>
      <c r="M29" s="21">
        <f>'予算入力シート（YouTube※アパレル、フィットネス)'!M34</f>
        <v>0</v>
      </c>
      <c r="N29" s="21">
        <f>'予算入力シート（YouTube※アパレル、フィットネス)'!N34</f>
        <v>0</v>
      </c>
      <c r="O29" s="21">
        <f>'予算入力シート（YouTube※アパレル、フィットネス)'!O34</f>
        <v>0</v>
      </c>
      <c r="P29" s="22">
        <f t="shared" si="19"/>
        <v>2500000</v>
      </c>
      <c r="Q29" s="22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/>
      <c r="B30" s="18">
        <f t="shared" si="20"/>
        <v>21</v>
      </c>
      <c r="C30" s="19" t="s">
        <v>17</v>
      </c>
      <c r="D30" s="67">
        <f>'予算入力シート（YouTube※アパレル、フィットネス)'!D34</f>
        <v>400000</v>
      </c>
      <c r="E30" s="21">
        <f>'予算入力シート（YouTube※アパレル、フィットネス)'!E7</f>
        <v>100000</v>
      </c>
      <c r="F30" s="21">
        <f>'予算入力シート（YouTube※アパレル、フィットネス)'!F7</f>
        <v>100000</v>
      </c>
      <c r="G30" s="21">
        <f>'予算入力シート（YouTube※アパレル、フィットネス)'!G7</f>
        <v>100000</v>
      </c>
      <c r="H30" s="21">
        <f>'予算入力シート（YouTube※アパレル、フィットネス)'!H7</f>
        <v>100000</v>
      </c>
      <c r="I30" s="21">
        <f>'予算入力シート（YouTube※アパレル、フィットネス)'!I7</f>
        <v>100000</v>
      </c>
      <c r="J30" s="21">
        <f>'予算入力シート（YouTube※アパレル、フィットネス)'!J7</f>
        <v>100000</v>
      </c>
      <c r="K30" s="21">
        <f>'予算入力シート（YouTube※アパレル、フィットネス)'!K7</f>
        <v>100000</v>
      </c>
      <c r="L30" s="21">
        <f>'予算入力シート（YouTube※アパレル、フィットネス)'!L7</f>
        <v>100000</v>
      </c>
      <c r="M30" s="21">
        <f>'予算入力シート（YouTube※アパレル、フィットネス)'!M7</f>
        <v>100000</v>
      </c>
      <c r="N30" s="21">
        <f>'予算入力シート（YouTube※アパレル、フィットネス)'!N7</f>
        <v>100000</v>
      </c>
      <c r="O30" s="21">
        <f>'予算入力シート（YouTube※アパレル、フィットネス)'!O7</f>
        <v>100000</v>
      </c>
      <c r="P30" s="22">
        <f t="shared" si="19"/>
        <v>1500000</v>
      </c>
      <c r="Q30" s="22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/>
      <c r="B31" s="34"/>
      <c r="C31" s="35" t="s">
        <v>25</v>
      </c>
      <c r="D31" s="36">
        <f t="shared" ref="D31:O31" si="21">SUM(D27:D30)</f>
        <v>3400000</v>
      </c>
      <c r="E31" s="36">
        <f t="shared" si="21"/>
        <v>3150000</v>
      </c>
      <c r="F31" s="36">
        <f t="shared" si="21"/>
        <v>3630000</v>
      </c>
      <c r="G31" s="36">
        <f t="shared" si="21"/>
        <v>5300000</v>
      </c>
      <c r="H31" s="36">
        <f t="shared" si="21"/>
        <v>4610000</v>
      </c>
      <c r="I31" s="36">
        <f t="shared" si="21"/>
        <v>3630000</v>
      </c>
      <c r="J31" s="36">
        <f t="shared" si="21"/>
        <v>3100000</v>
      </c>
      <c r="K31" s="36">
        <f t="shared" si="21"/>
        <v>2530000</v>
      </c>
      <c r="L31" s="36">
        <f t="shared" si="21"/>
        <v>2910000</v>
      </c>
      <c r="M31" s="36">
        <f t="shared" si="21"/>
        <v>2650000</v>
      </c>
      <c r="N31" s="36">
        <f t="shared" si="21"/>
        <v>2950000</v>
      </c>
      <c r="O31" s="36">
        <f t="shared" si="21"/>
        <v>4030000</v>
      </c>
      <c r="P31" s="37">
        <f t="shared" si="19"/>
        <v>41890000</v>
      </c>
      <c r="Q31" s="37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/>
      <c r="B32" s="71">
        <f>B30+1</f>
        <v>22</v>
      </c>
      <c r="C32" s="66" t="s">
        <v>22</v>
      </c>
      <c r="D32" s="67">
        <f>'予算入力シート（YouTube※アパレル、フィットネス)'!D9</f>
        <v>0</v>
      </c>
      <c r="E32" s="68">
        <f>'予算入力シート（YouTube※アパレル、フィットネス)'!E9</f>
        <v>0</v>
      </c>
      <c r="F32" s="68">
        <f>'予算入力シート（YouTube※アパレル、フィットネス)'!F9</f>
        <v>0</v>
      </c>
      <c r="G32" s="68">
        <f>'予算入力シート（YouTube※アパレル、フィットネス)'!G9</f>
        <v>0</v>
      </c>
      <c r="H32" s="68">
        <f>'予算入力シート（YouTube※アパレル、フィットネス)'!H9</f>
        <v>0</v>
      </c>
      <c r="I32" s="68">
        <f>'予算入力シート（YouTube※アパレル、フィットネス)'!I9</f>
        <v>0</v>
      </c>
      <c r="J32" s="68">
        <f>'予算入力シート（YouTube※アパレル、フィットネス)'!J9</f>
        <v>0</v>
      </c>
      <c r="K32" s="68">
        <f>'予算入力シート（YouTube※アパレル、フィットネス)'!K9</f>
        <v>0</v>
      </c>
      <c r="L32" s="68">
        <f>'予算入力シート（YouTube※アパレル、フィットネス)'!L9</f>
        <v>0</v>
      </c>
      <c r="M32" s="68">
        <f>'予算入力シート（YouTube※アパレル、フィットネス)'!M9</f>
        <v>0</v>
      </c>
      <c r="N32" s="68">
        <f>'予算入力シート（YouTube※アパレル、フィットネス)'!N9</f>
        <v>0</v>
      </c>
      <c r="O32" s="68">
        <f>'予算入力シート（YouTube※アパレル、フィットネス)'!O9</f>
        <v>0</v>
      </c>
      <c r="P32" s="69">
        <f t="shared" si="19"/>
        <v>0</v>
      </c>
      <c r="Q32" s="69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/>
      <c r="B33" s="71">
        <f t="shared" ref="B33:B36" si="22">B32+1</f>
        <v>23</v>
      </c>
      <c r="C33" s="66" t="s">
        <v>46</v>
      </c>
      <c r="D33" s="67">
        <f>'予算入力シート（YouTube※アパレル、フィットネス)'!D10</f>
        <v>0</v>
      </c>
      <c r="E33" s="68">
        <f>'予算入力シート（YouTube※アパレル、フィットネス)'!E10</f>
        <v>0</v>
      </c>
      <c r="F33" s="68">
        <f>'予算入力シート（YouTube※アパレル、フィットネス)'!F10</f>
        <v>0</v>
      </c>
      <c r="G33" s="68">
        <f>'予算入力シート（YouTube※アパレル、フィットネス)'!G10</f>
        <v>0</v>
      </c>
      <c r="H33" s="68">
        <f>'予算入力シート（YouTube※アパレル、フィットネス)'!H10</f>
        <v>0</v>
      </c>
      <c r="I33" s="68">
        <f>'予算入力シート（YouTube※アパレル、フィットネス)'!I10</f>
        <v>0</v>
      </c>
      <c r="J33" s="68">
        <f>'予算入力シート（YouTube※アパレル、フィットネス)'!J10</f>
        <v>0</v>
      </c>
      <c r="K33" s="68">
        <f>'予算入力シート（YouTube※アパレル、フィットネス)'!K10</f>
        <v>0</v>
      </c>
      <c r="L33" s="68">
        <f>'予算入力シート（YouTube※アパレル、フィットネス)'!L10</f>
        <v>0</v>
      </c>
      <c r="M33" s="68">
        <f>'予算入力シート（YouTube※アパレル、フィットネス)'!M10</f>
        <v>0</v>
      </c>
      <c r="N33" s="68">
        <f>'予算入力シート（YouTube※アパレル、フィットネス)'!N10</f>
        <v>0</v>
      </c>
      <c r="O33" s="68">
        <f>'予算入力シート（YouTube※アパレル、フィットネス)'!O10</f>
        <v>0</v>
      </c>
      <c r="P33" s="69">
        <f t="shared" si="19"/>
        <v>0</v>
      </c>
      <c r="Q33" s="69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/>
      <c r="B34" s="71">
        <f t="shared" si="22"/>
        <v>24</v>
      </c>
      <c r="C34" s="66" t="s">
        <v>24</v>
      </c>
      <c r="D34" s="67">
        <f>'予算入力シート（YouTube※アパレル、フィットネス)'!D11</f>
        <v>0</v>
      </c>
      <c r="E34" s="68">
        <f>'予算入力シート（YouTube※アパレル、フィットネス)'!E11</f>
        <v>0</v>
      </c>
      <c r="F34" s="68">
        <f>'予算入力シート（YouTube※アパレル、フィットネス)'!F11</f>
        <v>0</v>
      </c>
      <c r="G34" s="68">
        <f>'予算入力シート（YouTube※アパレル、フィットネス)'!G11</f>
        <v>0</v>
      </c>
      <c r="H34" s="68">
        <f>'予算入力シート（YouTube※アパレル、フィットネス)'!H11</f>
        <v>0</v>
      </c>
      <c r="I34" s="68">
        <f>'予算入力シート（YouTube※アパレル、フィットネス)'!I11</f>
        <v>0</v>
      </c>
      <c r="J34" s="68">
        <f>'予算入力シート（YouTube※アパレル、フィットネス)'!J11</f>
        <v>0</v>
      </c>
      <c r="K34" s="68">
        <f>'予算入力シート（YouTube※アパレル、フィットネス)'!K11</f>
        <v>0</v>
      </c>
      <c r="L34" s="68">
        <f>'予算入力シート（YouTube※アパレル、フィットネス)'!L11</f>
        <v>0</v>
      </c>
      <c r="M34" s="68">
        <f>'予算入力シート（YouTube※アパレル、フィットネス)'!M11</f>
        <v>0</v>
      </c>
      <c r="N34" s="68">
        <f>'予算入力シート（YouTube※アパレル、フィットネス)'!N11</f>
        <v>0</v>
      </c>
      <c r="O34" s="68">
        <f>'予算入力シート（YouTube※アパレル、フィットネス)'!O11</f>
        <v>0</v>
      </c>
      <c r="P34" s="69">
        <f t="shared" si="19"/>
        <v>0</v>
      </c>
      <c r="Q34" s="69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/>
      <c r="B35" s="71">
        <f t="shared" si="22"/>
        <v>25</v>
      </c>
      <c r="C35" s="66" t="s">
        <v>26</v>
      </c>
      <c r="D35" s="67">
        <f>'予算入力シート（YouTube※アパレル、フィットネス)'!D36</f>
        <v>370000</v>
      </c>
      <c r="E35" s="68">
        <f>'予算入力シート（YouTube※アパレル、フィットネス)'!E36</f>
        <v>420000</v>
      </c>
      <c r="F35" s="68">
        <f>'予算入力シート（YouTube※アパレル、フィットネス)'!F36</f>
        <v>420000</v>
      </c>
      <c r="G35" s="68">
        <f>'予算入力シート（YouTube※アパレル、フィットネス)'!G36</f>
        <v>420000</v>
      </c>
      <c r="H35" s="68">
        <f>'予算入力シート（YouTube※アパレル、フィットネス)'!H36</f>
        <v>420000</v>
      </c>
      <c r="I35" s="68">
        <f>'予算入力シート（YouTube※アパレル、フィットネス)'!I36</f>
        <v>420000</v>
      </c>
      <c r="J35" s="68">
        <f>'予算入力シート（YouTube※アパレル、フィットネス)'!J36</f>
        <v>420000</v>
      </c>
      <c r="K35" s="68">
        <f>'予算入力シート（YouTube※アパレル、フィットネス)'!K36</f>
        <v>420000</v>
      </c>
      <c r="L35" s="68">
        <f>'予算入力シート（YouTube※アパレル、フィットネス)'!L36</f>
        <v>420000</v>
      </c>
      <c r="M35" s="68">
        <f>'予算入力シート（YouTube※アパレル、フィットネス)'!M36</f>
        <v>420000</v>
      </c>
      <c r="N35" s="68">
        <f>'予算入力シート（YouTube※アパレル、フィットネス)'!N36</f>
        <v>420000</v>
      </c>
      <c r="O35" s="68">
        <f>'予算入力シート（YouTube※アパレル、フィットネス)'!O36</f>
        <v>420000</v>
      </c>
      <c r="P35" s="69">
        <f t="shared" si="19"/>
        <v>4990000</v>
      </c>
      <c r="Q35" s="70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 t="s">
        <v>47</v>
      </c>
      <c r="B36" s="71">
        <f t="shared" si="22"/>
        <v>26</v>
      </c>
      <c r="C36" s="19" t="s">
        <v>28</v>
      </c>
      <c r="D36" s="21">
        <f>'予算入力シート（YouTube※アパレル、フィットネス)'!D37</f>
        <v>36000</v>
      </c>
      <c r="E36" s="21">
        <f>'予算入力シート（YouTube※アパレル、フィットネス)'!E37</f>
        <v>36000</v>
      </c>
      <c r="F36" s="21">
        <f>'予算入力シート（YouTube※アパレル、フィットネス)'!F37</f>
        <v>37800</v>
      </c>
      <c r="G36" s="21">
        <f>'予算入力シート（YouTube※アパレル、フィットネス)'!G37</f>
        <v>43200</v>
      </c>
      <c r="H36" s="21">
        <f>'予算入力シート（YouTube※アパレル、フィットネス)'!H37</f>
        <v>45000</v>
      </c>
      <c r="I36" s="21">
        <f>'予算入力シート（YouTube※アパレル、フィットネス)'!I37</f>
        <v>21600</v>
      </c>
      <c r="J36" s="21">
        <f>'予算入力シート（YouTube※アパレル、フィットネス)'!J37</f>
        <v>21600</v>
      </c>
      <c r="K36" s="21">
        <f>'予算入力シート（YouTube※アパレル、フィットネス)'!K37</f>
        <v>18000</v>
      </c>
      <c r="L36" s="21">
        <f>'予算入力シート（YouTube※アパレル、フィットネス)'!L37</f>
        <v>0</v>
      </c>
      <c r="M36" s="21">
        <f>'予算入力シート（YouTube※アパレル、フィットネス)'!M37</f>
        <v>0</v>
      </c>
      <c r="N36" s="21">
        <f>'予算入力シート（YouTube※アパレル、フィットネス)'!N37</f>
        <v>36000</v>
      </c>
      <c r="O36" s="21">
        <f>'予算入力シート（YouTube※アパレル、フィットネス)'!O37</f>
        <v>72000</v>
      </c>
      <c r="P36" s="22">
        <f t="shared" si="19"/>
        <v>367200</v>
      </c>
      <c r="Q36" s="72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/>
      <c r="B37" s="55"/>
      <c r="C37" s="56" t="s">
        <v>42</v>
      </c>
      <c r="D37" s="57">
        <f t="shared" ref="D37:O37" si="23">SUM(D32:D36)</f>
        <v>406000</v>
      </c>
      <c r="E37" s="57">
        <f t="shared" si="23"/>
        <v>456000</v>
      </c>
      <c r="F37" s="57">
        <f t="shared" si="23"/>
        <v>457800</v>
      </c>
      <c r="G37" s="57">
        <f t="shared" si="23"/>
        <v>463200</v>
      </c>
      <c r="H37" s="57">
        <f t="shared" si="23"/>
        <v>465000</v>
      </c>
      <c r="I37" s="57">
        <f t="shared" si="23"/>
        <v>441600</v>
      </c>
      <c r="J37" s="57">
        <f t="shared" si="23"/>
        <v>441600</v>
      </c>
      <c r="K37" s="57">
        <f t="shared" si="23"/>
        <v>438000</v>
      </c>
      <c r="L37" s="57">
        <f t="shared" si="23"/>
        <v>420000</v>
      </c>
      <c r="M37" s="57">
        <f t="shared" si="23"/>
        <v>420000</v>
      </c>
      <c r="N37" s="57">
        <f t="shared" si="23"/>
        <v>456000</v>
      </c>
      <c r="O37" s="57">
        <f t="shared" si="23"/>
        <v>492000</v>
      </c>
      <c r="P37" s="58">
        <f t="shared" si="19"/>
        <v>5357200</v>
      </c>
      <c r="Q37" s="58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 t="s">
        <v>48</v>
      </c>
      <c r="B38" s="59"/>
      <c r="C38" s="60" t="s">
        <v>49</v>
      </c>
      <c r="D38" s="61">
        <f t="shared" ref="D38:O38" si="24">D31-D37</f>
        <v>2994000</v>
      </c>
      <c r="E38" s="61">
        <f t="shared" si="24"/>
        <v>2694000</v>
      </c>
      <c r="F38" s="61">
        <f t="shared" si="24"/>
        <v>3172200</v>
      </c>
      <c r="G38" s="61">
        <f t="shared" si="24"/>
        <v>4836800</v>
      </c>
      <c r="H38" s="61">
        <f t="shared" si="24"/>
        <v>4145000</v>
      </c>
      <c r="I38" s="61">
        <f t="shared" si="24"/>
        <v>3188400</v>
      </c>
      <c r="J38" s="61">
        <f t="shared" si="24"/>
        <v>2658400</v>
      </c>
      <c r="K38" s="61">
        <f t="shared" si="24"/>
        <v>2092000</v>
      </c>
      <c r="L38" s="61">
        <f t="shared" si="24"/>
        <v>2490000</v>
      </c>
      <c r="M38" s="61">
        <f t="shared" si="24"/>
        <v>2230000</v>
      </c>
      <c r="N38" s="61">
        <f t="shared" si="24"/>
        <v>2494000</v>
      </c>
      <c r="O38" s="61">
        <f t="shared" si="24"/>
        <v>3538000</v>
      </c>
      <c r="P38" s="62">
        <f t="shared" si="19"/>
        <v>36532800</v>
      </c>
      <c r="Q38" s="62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8.25" customHeight="1">
      <c r="A39" s="5"/>
      <c r="B39" s="63"/>
      <c r="P39" s="64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4.0" customHeight="1">
      <c r="A40" s="5"/>
      <c r="B40" s="10" t="s">
        <v>50</v>
      </c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65"/>
      <c r="Q40" s="65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71">
        <v>27.0</v>
      </c>
      <c r="C41" s="66" t="s">
        <v>51</v>
      </c>
      <c r="D41" s="67">
        <f>'予算入力シート（管理部予算）'!D40</f>
        <v>2682000</v>
      </c>
      <c r="E41" s="67">
        <f>'予算入力シート（管理部予算）'!E40</f>
        <v>2682000</v>
      </c>
      <c r="F41" s="67">
        <f>'予算入力シート（管理部予算）'!F40</f>
        <v>2682000</v>
      </c>
      <c r="G41" s="67">
        <f>'予算入力シート（管理部予算）'!G40</f>
        <v>2682000</v>
      </c>
      <c r="H41" s="67">
        <f>'予算入力シート（管理部予算）'!H40</f>
        <v>2682000</v>
      </c>
      <c r="I41" s="67">
        <f>'予算入力シート（管理部予算）'!I40</f>
        <v>2682000</v>
      </c>
      <c r="J41" s="67">
        <f>'予算入力シート（管理部予算）'!J40</f>
        <v>2682000</v>
      </c>
      <c r="K41" s="67">
        <f>'予算入力シート（管理部予算）'!K40</f>
        <v>2682000</v>
      </c>
      <c r="L41" s="67">
        <f>'予算入力シート（管理部予算）'!L40</f>
        <v>2682000</v>
      </c>
      <c r="M41" s="67">
        <f>'予算入力シート（管理部予算）'!M40</f>
        <v>2682000</v>
      </c>
      <c r="N41" s="67">
        <f>'予算入力シート（管理部予算）'!N40</f>
        <v>2682000</v>
      </c>
      <c r="O41" s="67">
        <f>'予算入力シート（管理部予算）'!O40</f>
        <v>2682000</v>
      </c>
      <c r="P41" s="69">
        <f t="shared" ref="P41:P55" si="25">SUM(D41:O41)</f>
        <v>32184000</v>
      </c>
      <c r="Q41" s="69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/>
      <c r="B42" s="71">
        <f t="shared" ref="B42:B54" si="26">B41+1</f>
        <v>28</v>
      </c>
      <c r="C42" s="66" t="s">
        <v>52</v>
      </c>
      <c r="D42" s="67">
        <f>'予算入力シート（管理部予算）'!D41+'予算入力シート（YouTube※アパレル、フィットネス)'!D16+'予算入力シート（YouTube※アパレル、フィットネス)'!D42</f>
        <v>2360000</v>
      </c>
      <c r="E42" s="67">
        <f>'予算入力シート（管理部予算）'!E41+'予算入力シート（YouTube※アパレル、フィットネス)'!E16+'予算入力シート（YouTube※アパレル、フィットネス)'!E42</f>
        <v>2310000</v>
      </c>
      <c r="F42" s="67">
        <f>'予算入力シート（管理部予算）'!F41+'予算入力シート（YouTube※アパレル、フィットネス)'!F16+'予算入力シート（YouTube※アパレル、フィットネス)'!F42</f>
        <v>2310000</v>
      </c>
      <c r="G42" s="67">
        <f>'予算入力シート（管理部予算）'!G41+'予算入力シート（YouTube※アパレル、フィットネス)'!G16+'予算入力シート（YouTube※アパレル、フィットネス)'!G42</f>
        <v>2310000</v>
      </c>
      <c r="H42" s="67">
        <f>'予算入力シート（管理部予算）'!H41+'予算入力シート（YouTube※アパレル、フィットネス)'!H16+'予算入力シート（YouTube※アパレル、フィットネス)'!H42</f>
        <v>2410000</v>
      </c>
      <c r="I42" s="67">
        <f>'予算入力シート（管理部予算）'!I41+'予算入力シート（YouTube※アパレル、フィットネス)'!I16+'予算入力シート（YouTube※アパレル、フィットネス)'!I42</f>
        <v>2060000</v>
      </c>
      <c r="J42" s="67">
        <f>'予算入力シート（管理部予算）'!J41+'予算入力シート（YouTube※アパレル、フィットネス)'!J16+'予算入力シート（YouTube※アパレル、フィットネス)'!J42</f>
        <v>2060000</v>
      </c>
      <c r="K42" s="67">
        <f>'予算入力シート（管理部予算）'!K41+'予算入力シート（YouTube※アパレル、フィットネス)'!K16+'予算入力シート（YouTube※アパレル、フィットネス)'!K42</f>
        <v>2060000</v>
      </c>
      <c r="L42" s="67">
        <f>'予算入力シート（管理部予算）'!L41+'予算入力シート（YouTube※アパレル、フィットネス)'!L16+'予算入力シート（YouTube※アパレル、フィットネス)'!L42</f>
        <v>2060000</v>
      </c>
      <c r="M42" s="67">
        <f>'予算入力シート（管理部予算）'!M41+'予算入力シート（YouTube※アパレル、フィットネス)'!M16+'予算入力シート（YouTube※アパレル、フィットネス)'!M42</f>
        <v>2120000</v>
      </c>
      <c r="N42" s="67">
        <f>'予算入力シート（管理部予算）'!N41+'予算入力シート（YouTube※アパレル、フィットネス)'!N16+'予算入力シート（YouTube※アパレル、フィットネス)'!N42</f>
        <v>2060000</v>
      </c>
      <c r="O42" s="67">
        <f>'予算入力シート（管理部予算）'!O41+'予算入力シート（YouTube※アパレル、フィットネス)'!O16+'予算入力シート（YouTube※アパレル、フィットネス)'!O42</f>
        <v>2060000</v>
      </c>
      <c r="P42" s="69">
        <f t="shared" si="25"/>
        <v>26180000</v>
      </c>
      <c r="Q42" s="69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/>
      <c r="B43" s="71">
        <f t="shared" si="26"/>
        <v>29</v>
      </c>
      <c r="C43" s="66" t="s">
        <v>41</v>
      </c>
      <c r="D43" s="67">
        <f>'予算入力シート（管理部予算）'!D42+'予算入力シート（YouTube※アパレル、フィットネス)'!D17+'予算入力シート（SFF）'!D40</f>
        <v>55723</v>
      </c>
      <c r="E43" s="67">
        <f>'予算入力シート（管理部予算）'!E42+'予算入力シート（YouTube※アパレル、フィットネス)'!E17+'予算入力シート（SFF）'!E40</f>
        <v>55723</v>
      </c>
      <c r="F43" s="67">
        <f>'予算入力シート（管理部予算）'!F42+'予算入力シート（YouTube※アパレル、フィットネス)'!F17+'予算入力シート（SFF）'!F40</f>
        <v>55723</v>
      </c>
      <c r="G43" s="67">
        <f>'予算入力シート（管理部予算）'!G42+'予算入力シート（YouTube※アパレル、フィットネス)'!G17+'予算入力シート（SFF）'!G40</f>
        <v>55723</v>
      </c>
      <c r="H43" s="67">
        <f>'予算入力シート（管理部予算）'!H42+'予算入力シート（YouTube※アパレル、フィットネス)'!H17+'予算入力シート（SFF）'!H40</f>
        <v>55723</v>
      </c>
      <c r="I43" s="67">
        <f>'予算入力シート（管理部予算）'!I42+'予算入力シート（YouTube※アパレル、フィットネス)'!I17+'予算入力シート（SFF）'!I40</f>
        <v>55723</v>
      </c>
      <c r="J43" s="67">
        <f>'予算入力シート（管理部予算）'!J42+'予算入力シート（YouTube※アパレル、フィットネス)'!J17+'予算入力シート（SFF）'!J40</f>
        <v>55723</v>
      </c>
      <c r="K43" s="67">
        <f>'予算入力シート（管理部予算）'!K42+'予算入力シート（YouTube※アパレル、フィットネス)'!K17+'予算入力シート（SFF）'!K40</f>
        <v>55723</v>
      </c>
      <c r="L43" s="67">
        <f>'予算入力シート（管理部予算）'!L42+'予算入力シート（YouTube※アパレル、フィットネス)'!L17+'予算入力シート（SFF）'!L40</f>
        <v>55723</v>
      </c>
      <c r="M43" s="67">
        <f>'予算入力シート（管理部予算）'!M42+'予算入力シート（YouTube※アパレル、フィットネス)'!M17+'予算入力シート（SFF）'!M40</f>
        <v>55723</v>
      </c>
      <c r="N43" s="67">
        <f>'予算入力シート（管理部予算）'!N42+'予算入力シート（YouTube※アパレル、フィットネス)'!N17+'予算入力シート（SFF）'!N40</f>
        <v>55723</v>
      </c>
      <c r="O43" s="67">
        <f>'予算入力シート（管理部予算）'!O42+'予算入力シート（YouTube※アパレル、フィットネス)'!O17+'予算入力シート（SFF）'!O40</f>
        <v>55723</v>
      </c>
      <c r="P43" s="69">
        <f t="shared" si="25"/>
        <v>668676</v>
      </c>
      <c r="Q43" s="69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/>
      <c r="B44" s="71">
        <f t="shared" si="26"/>
        <v>30</v>
      </c>
      <c r="C44" s="66" t="s">
        <v>53</v>
      </c>
      <c r="D44" s="67">
        <f>'予算入力シート（管理部予算）'!D43+'予算入力シート（YouTube※アパレル、フィットネス)'!D43+'予算入力シート（SFF）'!D41+'予算入力シート（YouTube※アパレル、フィットネス)'!D18</f>
        <v>621396</v>
      </c>
      <c r="E44" s="67">
        <f>'予算入力シート（管理部予算）'!E43+'予算入力シート（YouTube※アパレル、フィットネス)'!E43+'予算入力シート（SFF）'!E41+'予算入力シート（YouTube※アパレル、フィットネス)'!E18</f>
        <v>621396</v>
      </c>
      <c r="F44" s="67">
        <f>'予算入力シート（管理部予算）'!F43+'予算入力シート（YouTube※アパレル、フィットネス)'!F43+'予算入力シート（SFF）'!F41+'予算入力シート（YouTube※アパレル、フィットネス)'!F18</f>
        <v>621396</v>
      </c>
      <c r="G44" s="67">
        <f>'予算入力シート（管理部予算）'!G43+'予算入力シート（YouTube※アパレル、フィットネス)'!G43+'予算入力シート（SFF）'!G41+'予算入力シート（YouTube※アパレル、フィットネス)'!G18</f>
        <v>621396</v>
      </c>
      <c r="H44" s="67">
        <f>'予算入力シート（管理部予算）'!H43+'予算入力シート（YouTube※アパレル、フィットネス)'!H43+'予算入力シート（SFF）'!H41+'予算入力シート（YouTube※アパレル、フィットネス)'!H18</f>
        <v>621396</v>
      </c>
      <c r="I44" s="67">
        <f>'予算入力シート（管理部予算）'!I43+'予算入力シート（YouTube※アパレル、フィットネス)'!I43+'予算入力シート（SFF）'!I41+'予算入力シート（YouTube※アパレル、フィットネス)'!I18</f>
        <v>621396</v>
      </c>
      <c r="J44" s="67">
        <f>'予算入力シート（管理部予算）'!J43+'予算入力シート（YouTube※アパレル、フィットネス)'!J43+'予算入力シート（SFF）'!J41+'予算入力シート（YouTube※アパレル、フィットネス)'!J18</f>
        <v>621396</v>
      </c>
      <c r="K44" s="67">
        <f>'予算入力シート（管理部予算）'!K43+'予算入力シート（YouTube※アパレル、フィットネス)'!K43+'予算入力シート（SFF）'!K41+'予算入力シート（YouTube※アパレル、フィットネス)'!K18</f>
        <v>621396</v>
      </c>
      <c r="L44" s="67">
        <f>'予算入力シート（管理部予算）'!L43+'予算入力シート（YouTube※アパレル、フィットネス)'!L43+'予算入力シート（SFF）'!L41+'予算入力シート（YouTube※アパレル、フィットネス)'!L18</f>
        <v>621396</v>
      </c>
      <c r="M44" s="67">
        <f>'予算入力シート（管理部予算）'!M43+'予算入力シート（YouTube※アパレル、フィットネス)'!M43+'予算入力シート（SFF）'!M41+'予算入力シート（YouTube※アパレル、フィットネス)'!M18</f>
        <v>621396</v>
      </c>
      <c r="N44" s="67">
        <f>'予算入力シート（管理部予算）'!N43+'予算入力シート（YouTube※アパレル、フィットネス)'!N43+'予算入力シート（SFF）'!N41+'予算入力シート（YouTube※アパレル、フィットネス)'!N18</f>
        <v>621396</v>
      </c>
      <c r="O44" s="67">
        <f>'予算入力シート（管理部予算）'!O43+'予算入力シート（YouTube※アパレル、フィットネス)'!O43+'予算入力シート（SFF）'!O41+'予算入力シート（YouTube※アパレル、フィットネス)'!O18</f>
        <v>621396</v>
      </c>
      <c r="P44" s="69">
        <f t="shared" si="25"/>
        <v>7456752</v>
      </c>
      <c r="Q44" s="69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/>
      <c r="B45" s="71">
        <f t="shared" si="26"/>
        <v>31</v>
      </c>
      <c r="C45" s="66" t="s">
        <v>27</v>
      </c>
      <c r="D45" s="67">
        <f>'予算入力シート（管理部予算）'!D44+'予算入力シート（YouTube※アパレル、フィットネス)'!D44+'予算入力シート（YouTube※アパレル、フィットネス)'!D19</f>
        <v>50000</v>
      </c>
      <c r="E45" s="67">
        <f>'予算入力シート（管理部予算）'!E44+'予算入力シート（YouTube※アパレル、フィットネス)'!E44+'予算入力シート（YouTube※アパレル、フィットネス)'!E19</f>
        <v>50000</v>
      </c>
      <c r="F45" s="67">
        <f>'予算入力シート（管理部予算）'!F44+'予算入力シート（YouTube※アパレル、フィットネス)'!F44+'予算入力シート（YouTube※アパレル、フィットネス)'!F19</f>
        <v>50000</v>
      </c>
      <c r="G45" s="67">
        <f>'予算入力シート（管理部予算）'!G44+'予算入力シート（YouTube※アパレル、フィットネス)'!G44+'予算入力シート（YouTube※アパレル、フィットネス)'!G19</f>
        <v>50000</v>
      </c>
      <c r="H45" s="67">
        <f>'予算入力シート（管理部予算）'!H44+'予算入力シート（YouTube※アパレル、フィットネス)'!H44+'予算入力シート（YouTube※アパレル、フィットネス)'!H19</f>
        <v>50000</v>
      </c>
      <c r="I45" s="67">
        <f>'予算入力シート（管理部予算）'!I44+'予算入力シート（YouTube※アパレル、フィットネス)'!I44+'予算入力シート（YouTube※アパレル、フィットネス)'!I19</f>
        <v>50000</v>
      </c>
      <c r="J45" s="67">
        <f>'予算入力シート（管理部予算）'!J44+'予算入力シート（YouTube※アパレル、フィットネス)'!J44+'予算入力シート（YouTube※アパレル、フィットネス)'!J19</f>
        <v>50000</v>
      </c>
      <c r="K45" s="67">
        <f>'予算入力シート（管理部予算）'!K44+'予算入力シート（YouTube※アパレル、フィットネス)'!K44+'予算入力シート（YouTube※アパレル、フィットネス)'!K19</f>
        <v>50000</v>
      </c>
      <c r="L45" s="67">
        <f>'予算入力シート（管理部予算）'!L44+'予算入力シート（YouTube※アパレル、フィットネス)'!L44+'予算入力シート（YouTube※アパレル、フィットネス)'!L19</f>
        <v>70800</v>
      </c>
      <c r="M45" s="67">
        <f>'予算入力シート（管理部予算）'!M44+'予算入力シート（YouTube※アパレル、フィットネス)'!M44+'予算入力シート（YouTube※アパレル、フィットネス)'!M19</f>
        <v>51000</v>
      </c>
      <c r="N45" s="67">
        <f>'予算入力シート（管理部予算）'!N44+'予算入力シート（YouTube※アパレル、フィットネス)'!N44+'予算入力シート（YouTube※アパレル、フィットネス)'!N19</f>
        <v>50000</v>
      </c>
      <c r="O45" s="67">
        <f>'予算入力シート（管理部予算）'!O44+'予算入力シート（YouTube※アパレル、フィットネス)'!O44+'予算入力シート（YouTube※アパレル、フィットネス)'!O19</f>
        <v>50000</v>
      </c>
      <c r="P45" s="69">
        <f t="shared" si="25"/>
        <v>621800</v>
      </c>
      <c r="Q45" s="69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/>
      <c r="B46" s="71">
        <f t="shared" si="26"/>
        <v>32</v>
      </c>
      <c r="C46" s="66" t="s">
        <v>54</v>
      </c>
      <c r="D46" s="67">
        <f>'予算入力シート（管理部予算）'!D45+'予算入力シート（YouTube※アパレル、フィットネス)'!D45</f>
        <v>43681</v>
      </c>
      <c r="E46" s="67">
        <f>'予算入力シート（管理部予算）'!E45+'予算入力シート（YouTube※アパレル、フィットネス)'!E45</f>
        <v>43681</v>
      </c>
      <c r="F46" s="67">
        <f>'予算入力シート（管理部予算）'!F45+'予算入力シート（YouTube※アパレル、フィットネス)'!F45</f>
        <v>43681</v>
      </c>
      <c r="G46" s="67">
        <f>'予算入力シート（管理部予算）'!G45+'予算入力シート（YouTube※アパレル、フィットネス)'!G45</f>
        <v>43681</v>
      </c>
      <c r="H46" s="67">
        <f>'予算入力シート（管理部予算）'!H45+'予算入力シート（YouTube※アパレル、フィットネス)'!H45</f>
        <v>43681</v>
      </c>
      <c r="I46" s="67">
        <f>'予算入力シート（管理部予算）'!I45+'予算入力シート（YouTube※アパレル、フィットネス)'!I45</f>
        <v>43681</v>
      </c>
      <c r="J46" s="67">
        <f>'予算入力シート（管理部予算）'!J45+'予算入力シート（YouTube※アパレル、フィットネス)'!J45</f>
        <v>43681</v>
      </c>
      <c r="K46" s="67">
        <f>'予算入力シート（管理部予算）'!K45+'予算入力シート（YouTube※アパレル、フィットネス)'!K45</f>
        <v>43681</v>
      </c>
      <c r="L46" s="67">
        <f>'予算入力シート（管理部予算）'!L45+'予算入力シート（YouTube※アパレル、フィットネス)'!L45</f>
        <v>43681</v>
      </c>
      <c r="M46" s="67">
        <f>'予算入力シート（管理部予算）'!M45+'予算入力シート（YouTube※アパレル、フィットネス)'!M45</f>
        <v>43681</v>
      </c>
      <c r="N46" s="67">
        <f>'予算入力シート（管理部予算）'!N45+'予算入力シート（YouTube※アパレル、フィットネス)'!N45</f>
        <v>43681</v>
      </c>
      <c r="O46" s="67">
        <f>'予算入力シート（管理部予算）'!O45+'予算入力シート（YouTube※アパレル、フィットネス)'!O45</f>
        <v>43681</v>
      </c>
      <c r="P46" s="69">
        <f t="shared" si="25"/>
        <v>524172</v>
      </c>
      <c r="Q46" s="69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/>
      <c r="B47" s="71">
        <f t="shared" si="26"/>
        <v>33</v>
      </c>
      <c r="C47" s="66" t="s">
        <v>36</v>
      </c>
      <c r="D47" s="67">
        <f>'予算入力シート（管理部予算）'!D46+'予算入力シート（YouTube※アパレル、フィットネス)'!D21</f>
        <v>30840</v>
      </c>
      <c r="E47" s="67">
        <f>'予算入力シート（管理部予算）'!E46+'予算入力シート（YouTube※アパレル、フィットネス)'!E21</f>
        <v>30840</v>
      </c>
      <c r="F47" s="67">
        <f>'予算入力シート（管理部予算）'!F46+'予算入力シート（YouTube※アパレル、フィットネス)'!F21</f>
        <v>30840</v>
      </c>
      <c r="G47" s="67">
        <f>'予算入力シート（管理部予算）'!G46+'予算入力シート（YouTube※アパレル、フィットネス)'!G21</f>
        <v>30840</v>
      </c>
      <c r="H47" s="67">
        <f>'予算入力シート（管理部予算）'!H46+'予算入力シート（YouTube※アパレル、フィットネス)'!H21</f>
        <v>30840</v>
      </c>
      <c r="I47" s="67">
        <f>'予算入力シート（管理部予算）'!I46+'予算入力シート（YouTube※アパレル、フィットネス)'!I21</f>
        <v>30840</v>
      </c>
      <c r="J47" s="67">
        <f>'予算入力シート（管理部予算）'!J46+'予算入力シート（YouTube※アパレル、フィットネス)'!J21</f>
        <v>30840</v>
      </c>
      <c r="K47" s="67">
        <f>'予算入力シート（管理部予算）'!K46+'予算入力シート（YouTube※アパレル、フィットネス)'!K21</f>
        <v>30840</v>
      </c>
      <c r="L47" s="67">
        <f>'予算入力シート（管理部予算）'!L46+'予算入力シート（YouTube※アパレル、フィットネス)'!L21</f>
        <v>30840</v>
      </c>
      <c r="M47" s="67">
        <f>'予算入力シート（管理部予算）'!M46+'予算入力シート（YouTube※アパレル、フィットネス)'!M21</f>
        <v>30840</v>
      </c>
      <c r="N47" s="67">
        <f>'予算入力シート（管理部予算）'!N46+'予算入力シート（YouTube※アパレル、フィットネス)'!N21</f>
        <v>30840</v>
      </c>
      <c r="O47" s="67">
        <f>'予算入力シート（管理部予算）'!O46+'予算入力シート（YouTube※アパレル、フィットネス)'!O21</f>
        <v>30840</v>
      </c>
      <c r="P47" s="69">
        <f t="shared" si="25"/>
        <v>370080</v>
      </c>
      <c r="Q47" s="69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/>
      <c r="B48" s="71">
        <f t="shared" si="26"/>
        <v>34</v>
      </c>
      <c r="C48" s="66" t="s">
        <v>55</v>
      </c>
      <c r="D48" s="67">
        <f>'予算入力シート（管理部予算）'!D47</f>
        <v>2700</v>
      </c>
      <c r="E48" s="67">
        <f>'予算入力シート（管理部予算）'!E47</f>
        <v>42400</v>
      </c>
      <c r="F48" s="67">
        <f>'予算入力シート（管理部予算）'!F47</f>
        <v>0</v>
      </c>
      <c r="G48" s="67">
        <f>'予算入力シート（管理部予算）'!G47</f>
        <v>0</v>
      </c>
      <c r="H48" s="67">
        <f>'予算入力シート（管理部予算）'!H47</f>
        <v>0</v>
      </c>
      <c r="I48" s="67">
        <f>'予算入力シート（管理部予算）'!I47</f>
        <v>16000</v>
      </c>
      <c r="J48" s="67">
        <f>'予算入力シート（管理部予算）'!J47</f>
        <v>5000</v>
      </c>
      <c r="K48" s="67">
        <f>'予算入力シート（管理部予算）'!K47</f>
        <v>0</v>
      </c>
      <c r="L48" s="67">
        <f>'予算入力シート（管理部予算）'!L47</f>
        <v>0</v>
      </c>
      <c r="M48" s="67">
        <f>'予算入力シート（管理部予算）'!M47</f>
        <v>0</v>
      </c>
      <c r="N48" s="67">
        <f>'予算入力シート（管理部予算）'!N47</f>
        <v>0</v>
      </c>
      <c r="O48" s="67">
        <f>'予算入力シート（管理部予算）'!O47</f>
        <v>0</v>
      </c>
      <c r="P48" s="69">
        <f t="shared" si="25"/>
        <v>66100</v>
      </c>
      <c r="Q48" s="69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/>
      <c r="B49" s="71">
        <f t="shared" si="26"/>
        <v>35</v>
      </c>
      <c r="C49" s="66" t="s">
        <v>56</v>
      </c>
      <c r="D49" s="67">
        <f>'予算入力シート（管理部予算）'!D48+'予算入力シート（YouTube※アパレル、フィットネス)'!D22</f>
        <v>134582</v>
      </c>
      <c r="E49" s="67">
        <f>'予算入力シート（管理部予算）'!E48+'予算入力シート（YouTube※アパレル、フィットネス)'!E22</f>
        <v>134582</v>
      </c>
      <c r="F49" s="67">
        <f>'予算入力シート（管理部予算）'!F48+'予算入力シート（YouTube※アパレル、フィットネス)'!F22</f>
        <v>134582</v>
      </c>
      <c r="G49" s="67">
        <f>'予算入力シート（管理部予算）'!G48+'予算入力シート（YouTube※アパレル、フィットネス)'!G22</f>
        <v>134582</v>
      </c>
      <c r="H49" s="67">
        <f>'予算入力シート（管理部予算）'!H48+'予算入力シート（YouTube※アパレル、フィットネス)'!H22</f>
        <v>134582</v>
      </c>
      <c r="I49" s="67">
        <f>'予算入力シート（管理部予算）'!I48+'予算入力シート（YouTube※アパレル、フィットネス)'!I22</f>
        <v>134582</v>
      </c>
      <c r="J49" s="67">
        <f>'予算入力シート（管理部予算）'!J48+'予算入力シート（YouTube※アパレル、フィットネス)'!J22</f>
        <v>134582</v>
      </c>
      <c r="K49" s="67">
        <f>'予算入力シート（管理部予算）'!K48+'予算入力シート（YouTube※アパレル、フィットネス)'!K22</f>
        <v>134582</v>
      </c>
      <c r="L49" s="67">
        <f>'予算入力シート（管理部予算）'!L48+'予算入力シート（YouTube※アパレル、フィットネス)'!L22</f>
        <v>134582</v>
      </c>
      <c r="M49" s="67">
        <f>'予算入力シート（管理部予算）'!M48+'予算入力シート（YouTube※アパレル、フィットネス)'!M22</f>
        <v>134582</v>
      </c>
      <c r="N49" s="67">
        <f>'予算入力シート（管理部予算）'!N48+'予算入力シート（YouTube※アパレル、フィットネス)'!N22</f>
        <v>134582</v>
      </c>
      <c r="O49" s="67">
        <f>'予算入力シート（管理部予算）'!O48+'予算入力シート（YouTube※アパレル、フィットネス)'!O22</f>
        <v>134582</v>
      </c>
      <c r="P49" s="69">
        <f t="shared" si="25"/>
        <v>1614984</v>
      </c>
      <c r="Q49" s="69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/>
      <c r="B50" s="71">
        <f t="shared" si="26"/>
        <v>36</v>
      </c>
      <c r="C50" s="66" t="s">
        <v>57</v>
      </c>
      <c r="D50" s="67">
        <f>'予算入力シート（管理部予算）'!D49</f>
        <v>0</v>
      </c>
      <c r="E50" s="67">
        <f>'予算入力シート（管理部予算）'!E49</f>
        <v>0</v>
      </c>
      <c r="F50" s="67">
        <f>'予算入力シート（管理部予算）'!F49</f>
        <v>0</v>
      </c>
      <c r="G50" s="67">
        <f>'予算入力シート（管理部予算）'!G49</f>
        <v>0</v>
      </c>
      <c r="H50" s="67">
        <f>'予算入力シート（管理部予算）'!H49</f>
        <v>28180</v>
      </c>
      <c r="I50" s="67">
        <f>'予算入力シート（管理部予算）'!I49</f>
        <v>0</v>
      </c>
      <c r="J50" s="67">
        <f>'予算入力シート（管理部予算）'!J49</f>
        <v>0</v>
      </c>
      <c r="K50" s="67">
        <f>'予算入力シート（管理部予算）'!K49</f>
        <v>0</v>
      </c>
      <c r="L50" s="67">
        <f>'予算入力シート（管理部予算）'!L49</f>
        <v>0</v>
      </c>
      <c r="M50" s="67">
        <f>'予算入力シート（管理部予算）'!M49</f>
        <v>0</v>
      </c>
      <c r="N50" s="67">
        <f>'予算入力シート（管理部予算）'!N49</f>
        <v>0</v>
      </c>
      <c r="O50" s="67">
        <f>'予算入力シート（管理部予算）'!O49</f>
        <v>0</v>
      </c>
      <c r="P50" s="69">
        <f t="shared" si="25"/>
        <v>28180</v>
      </c>
      <c r="Q50" s="69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/>
      <c r="B51" s="71">
        <f t="shared" si="26"/>
        <v>37</v>
      </c>
      <c r="C51" s="66" t="s">
        <v>33</v>
      </c>
      <c r="D51" s="67">
        <f>'予算入力シート（管理部予算）'!D50+'予算入力シート（YouTube※アパレル、フィットネス)'!D46+'予算入力シート（YouTube※アパレル、フィットネス)'!D25</f>
        <v>15083</v>
      </c>
      <c r="E51" s="67">
        <f>'予算入力シート（管理部予算）'!E50+'予算入力シート（YouTube※アパレル、フィットネス)'!E46+'予算入力シート（YouTube※アパレル、フィットネス)'!E25</f>
        <v>15083</v>
      </c>
      <c r="F51" s="67">
        <f>'予算入力シート（管理部予算）'!F50+'予算入力シート（YouTube※アパレル、フィットネス)'!F46+'予算入力シート（YouTube※アパレル、フィットネス)'!F25</f>
        <v>15083</v>
      </c>
      <c r="G51" s="67">
        <f>'予算入力シート（管理部予算）'!G50+'予算入力シート（YouTube※アパレル、フィットネス)'!G46+'予算入力シート（YouTube※アパレル、フィットネス)'!G25</f>
        <v>15083</v>
      </c>
      <c r="H51" s="67">
        <f>'予算入力シート（管理部予算）'!H50+'予算入力シート（YouTube※アパレル、フィットネス)'!H46+'予算入力シート（YouTube※アパレル、フィットネス)'!H25</f>
        <v>15083</v>
      </c>
      <c r="I51" s="67">
        <f>'予算入力シート（管理部予算）'!I50+'予算入力シート（YouTube※アパレル、フィットネス)'!I46+'予算入力シート（YouTube※アパレル、フィットネス)'!I25</f>
        <v>15083</v>
      </c>
      <c r="J51" s="67">
        <f>'予算入力シート（管理部予算）'!J50+'予算入力シート（YouTube※アパレル、フィットネス)'!J46+'予算入力シート（YouTube※アパレル、フィットネス)'!J25</f>
        <v>15083</v>
      </c>
      <c r="K51" s="67">
        <f>'予算入力シート（管理部予算）'!K50+'予算入力シート（YouTube※アパレル、フィットネス)'!K46+'予算入力シート（YouTube※アパレル、フィットネス)'!K25</f>
        <v>15083</v>
      </c>
      <c r="L51" s="67">
        <f>'予算入力シート（管理部予算）'!L50+'予算入力シート（YouTube※アパレル、フィットネス)'!L46+'予算入力シート（YouTube※アパレル、フィットネス)'!L25</f>
        <v>15083</v>
      </c>
      <c r="M51" s="67">
        <f>'予算入力シート（管理部予算）'!M50+'予算入力シート（YouTube※アパレル、フィットネス)'!M46+'予算入力シート（YouTube※アパレル、フィットネス)'!M25</f>
        <v>15083</v>
      </c>
      <c r="N51" s="67">
        <f>'予算入力シート（管理部予算）'!N50+'予算入力シート（YouTube※アパレル、フィットネス)'!N46+'予算入力シート（YouTube※アパレル、フィットネス)'!N25</f>
        <v>15083</v>
      </c>
      <c r="O51" s="67">
        <f>'予算入力シート（管理部予算）'!O50+'予算入力シート（YouTube※アパレル、フィットネス)'!O46+'予算入力シート（YouTube※アパレル、フィットネス)'!O25</f>
        <v>15083</v>
      </c>
      <c r="P51" s="69">
        <f t="shared" si="25"/>
        <v>180996</v>
      </c>
      <c r="Q51" s="69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/>
      <c r="B52" s="71">
        <f t="shared" si="26"/>
        <v>38</v>
      </c>
      <c r="C52" s="66" t="s">
        <v>58</v>
      </c>
      <c r="D52" s="67">
        <f>'予算入力シート（YouTube※アパレル、フィットネス)'!D20</f>
        <v>57700</v>
      </c>
      <c r="E52" s="67">
        <f>'予算入力シート（YouTube※アパレル、フィットネス)'!E20</f>
        <v>57700</v>
      </c>
      <c r="F52" s="67">
        <f>'予算入力シート（YouTube※アパレル、フィットネス)'!F20</f>
        <v>57700</v>
      </c>
      <c r="G52" s="67">
        <f>'予算入力シート（YouTube※アパレル、フィットネス)'!G20</f>
        <v>57700</v>
      </c>
      <c r="H52" s="67">
        <f>'予算入力シート（YouTube※アパレル、フィットネス)'!H20</f>
        <v>57700</v>
      </c>
      <c r="I52" s="67">
        <f>'予算入力シート（YouTube※アパレル、フィットネス)'!I20</f>
        <v>57700</v>
      </c>
      <c r="J52" s="67">
        <f>'予算入力シート（YouTube※アパレル、フィットネス)'!J20</f>
        <v>57700</v>
      </c>
      <c r="K52" s="67">
        <f>'予算入力シート（YouTube※アパレル、フィットネス)'!K20</f>
        <v>57700</v>
      </c>
      <c r="L52" s="67">
        <f>'予算入力シート（YouTube※アパレル、フィットネス)'!L20</f>
        <v>57700</v>
      </c>
      <c r="M52" s="67">
        <f>'予算入力シート（YouTube※アパレル、フィットネス)'!M20</f>
        <v>0</v>
      </c>
      <c r="N52" s="67">
        <f>'予算入力シート（YouTube※アパレル、フィットネス)'!N20</f>
        <v>0</v>
      </c>
      <c r="O52" s="67">
        <f>'予算入力シート（YouTube※アパレル、フィットネス)'!O20</f>
        <v>0</v>
      </c>
      <c r="P52" s="69">
        <f t="shared" si="25"/>
        <v>519300</v>
      </c>
      <c r="Q52" s="69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/>
      <c r="B53" s="71">
        <f t="shared" si="26"/>
        <v>39</v>
      </c>
      <c r="C53" s="66" t="s">
        <v>59</v>
      </c>
      <c r="D53" s="67">
        <f>'予算入力シート（YouTube※アパレル、フィットネス)'!D23</f>
        <v>4250.9</v>
      </c>
      <c r="E53" s="67">
        <f>'予算入力シート（YouTube※アパレル、フィットネス)'!E23</f>
        <v>4250.9</v>
      </c>
      <c r="F53" s="67">
        <f>'予算入力シート（YouTube※アパレル、フィットネス)'!F23</f>
        <v>4250.9</v>
      </c>
      <c r="G53" s="67">
        <f>'予算入力シート（YouTube※アパレル、フィットネス)'!G23</f>
        <v>4250.9</v>
      </c>
      <c r="H53" s="67">
        <f>'予算入力シート（YouTube※アパレル、フィットネス)'!H23</f>
        <v>4250.9</v>
      </c>
      <c r="I53" s="67">
        <f>'予算入力シート（YouTube※アパレル、フィットネス)'!I23</f>
        <v>4250.9</v>
      </c>
      <c r="J53" s="67">
        <f>'予算入力シート（YouTube※アパレル、フィットネス)'!J23</f>
        <v>4250.9</v>
      </c>
      <c r="K53" s="67">
        <f>'予算入力シート（YouTube※アパレル、フィットネス)'!K23</f>
        <v>4250.9</v>
      </c>
      <c r="L53" s="67">
        <f>'予算入力シート（YouTube※アパレル、フィットネス)'!L23</f>
        <v>4250.9</v>
      </c>
      <c r="M53" s="67">
        <f>'予算入力シート（YouTube※アパレル、フィットネス)'!M23</f>
        <v>4250.9</v>
      </c>
      <c r="N53" s="67">
        <f>'予算入力シート（YouTube※アパレル、フィットネス)'!N23</f>
        <v>4250.9</v>
      </c>
      <c r="O53" s="67">
        <f>'予算入力シート（YouTube※アパレル、フィットネス)'!O23</f>
        <v>4250.9</v>
      </c>
      <c r="P53" s="69">
        <f t="shared" si="25"/>
        <v>51010.8</v>
      </c>
      <c r="Q53" s="69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/>
      <c r="B54" s="71">
        <f t="shared" si="26"/>
        <v>40</v>
      </c>
      <c r="C54" s="66" t="s">
        <v>40</v>
      </c>
      <c r="D54" s="67">
        <f>'予算入力シート（YouTube※アパレル、フィットネス)'!D24</f>
        <v>20000</v>
      </c>
      <c r="E54" s="67">
        <f>'予算入力シート（YouTube※アパレル、フィットネス)'!E24</f>
        <v>20000</v>
      </c>
      <c r="F54" s="67">
        <f>'予算入力シート（YouTube※アパレル、フィットネス)'!F24</f>
        <v>20000</v>
      </c>
      <c r="G54" s="67">
        <f>'予算入力シート（YouTube※アパレル、フィットネス)'!G24</f>
        <v>20000</v>
      </c>
      <c r="H54" s="67">
        <f>'予算入力シート（YouTube※アパレル、フィットネス)'!H24</f>
        <v>20000</v>
      </c>
      <c r="I54" s="67">
        <f>'予算入力シート（YouTube※アパレル、フィットネス)'!I24</f>
        <v>20000</v>
      </c>
      <c r="J54" s="67">
        <f>'予算入力シート（YouTube※アパレル、フィットネス)'!J24</f>
        <v>20000</v>
      </c>
      <c r="K54" s="67">
        <f>'予算入力シート（YouTube※アパレル、フィットネス)'!K24</f>
        <v>20000</v>
      </c>
      <c r="L54" s="67">
        <f>'予算入力シート（YouTube※アパレル、フィットネス)'!L24</f>
        <v>20000</v>
      </c>
      <c r="M54" s="67">
        <f>'予算入力シート（YouTube※アパレル、フィットネス)'!M24</f>
        <v>20000</v>
      </c>
      <c r="N54" s="67">
        <f>'予算入力シート（YouTube※アパレル、フィットネス)'!N24</f>
        <v>20000</v>
      </c>
      <c r="O54" s="67">
        <f>'予算入力シート（YouTube※アパレル、フィットネス)'!O24</f>
        <v>20000</v>
      </c>
      <c r="P54" s="69">
        <f t="shared" si="25"/>
        <v>240000</v>
      </c>
      <c r="Q54" s="69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 t="s">
        <v>60</v>
      </c>
      <c r="B55" s="73"/>
      <c r="C55" s="74" t="s">
        <v>61</v>
      </c>
      <c r="D55" s="75">
        <f t="shared" ref="D55:O55" si="27">SUM(D41:D54)</f>
        <v>6077955.9</v>
      </c>
      <c r="E55" s="75">
        <f t="shared" si="27"/>
        <v>6067655.9</v>
      </c>
      <c r="F55" s="75">
        <f t="shared" si="27"/>
        <v>6025255.9</v>
      </c>
      <c r="G55" s="75">
        <f t="shared" si="27"/>
        <v>6025255.9</v>
      </c>
      <c r="H55" s="75">
        <f t="shared" si="27"/>
        <v>6153435.9</v>
      </c>
      <c r="I55" s="75">
        <f t="shared" si="27"/>
        <v>5791255.9</v>
      </c>
      <c r="J55" s="75">
        <f t="shared" si="27"/>
        <v>5780255.9</v>
      </c>
      <c r="K55" s="75">
        <f t="shared" si="27"/>
        <v>5775255.9</v>
      </c>
      <c r="L55" s="75">
        <f t="shared" si="27"/>
        <v>5796055.9</v>
      </c>
      <c r="M55" s="75">
        <f t="shared" si="27"/>
        <v>5778555.9</v>
      </c>
      <c r="N55" s="75">
        <f t="shared" si="27"/>
        <v>5717555.9</v>
      </c>
      <c r="O55" s="75">
        <f t="shared" si="27"/>
        <v>5717555.9</v>
      </c>
      <c r="P55" s="76">
        <f t="shared" si="25"/>
        <v>70706050.8</v>
      </c>
      <c r="Q55" s="76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0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3"/>
      <c r="Q56" s="3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 t="s">
        <v>62</v>
      </c>
      <c r="B57" s="77"/>
      <c r="C57" s="78" t="s">
        <v>39</v>
      </c>
      <c r="D57" s="79">
        <f t="shared" ref="D57:O57" si="28">D24+D38-D55</f>
        <v>-3083955.9</v>
      </c>
      <c r="E57" s="79">
        <f t="shared" si="28"/>
        <v>-3373655.9</v>
      </c>
      <c r="F57" s="79">
        <f t="shared" si="28"/>
        <v>-2853055.9</v>
      </c>
      <c r="G57" s="79">
        <f t="shared" si="28"/>
        <v>-1188455.9</v>
      </c>
      <c r="H57" s="79">
        <f t="shared" si="28"/>
        <v>-2008435.9</v>
      </c>
      <c r="I57" s="79">
        <f t="shared" si="28"/>
        <v>6218544.1</v>
      </c>
      <c r="J57" s="79">
        <f t="shared" si="28"/>
        <v>5075484.1</v>
      </c>
      <c r="K57" s="79">
        <f t="shared" si="28"/>
        <v>-3683255.9</v>
      </c>
      <c r="L57" s="79">
        <f t="shared" si="28"/>
        <v>-3306055.9</v>
      </c>
      <c r="M57" s="79">
        <f t="shared" si="28"/>
        <v>-3548555.9</v>
      </c>
      <c r="N57" s="79">
        <f t="shared" si="28"/>
        <v>-3223555.9</v>
      </c>
      <c r="O57" s="79">
        <f t="shared" si="28"/>
        <v>-2179555.9</v>
      </c>
      <c r="P57" s="80">
        <f>SUM(D57:O57)</f>
        <v>-17154510.8</v>
      </c>
      <c r="Q57" s="80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3"/>
      <c r="Q59" s="3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3"/>
      <c r="Q60" s="3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3"/>
      <c r="Q61" s="3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3"/>
      <c r="Q70" s="3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3"/>
      <c r="Q71" s="3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3"/>
      <c r="Q72" s="3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3"/>
      <c r="Q73" s="3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3"/>
      <c r="Q74" s="3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3"/>
      <c r="Q75" s="3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3"/>
      <c r="Q76" s="3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3"/>
      <c r="Q77" s="3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3"/>
      <c r="Q78" s="3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3"/>
      <c r="Q79" s="3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3"/>
      <c r="Q80" s="3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3"/>
      <c r="Q81" s="3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3"/>
      <c r="Q82" s="3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3"/>
      <c r="Q83" s="3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3"/>
      <c r="Q84" s="3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3"/>
      <c r="Q85" s="3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3"/>
      <c r="Q86" s="3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3"/>
      <c r="Q87" s="3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3"/>
      <c r="Q88" s="3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3"/>
      <c r="Q89" s="3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3"/>
      <c r="Q90" s="3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3"/>
      <c r="Q91" s="3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3"/>
      <c r="Q92" s="3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3"/>
      <c r="Q93" s="3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3"/>
      <c r="Q94" s="3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3"/>
      <c r="Q95" s="3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3"/>
      <c r="Q96" s="3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3"/>
      <c r="Q97" s="3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3"/>
      <c r="Q98" s="3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3"/>
      <c r="Q99" s="3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3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3"/>
      <c r="Q101" s="3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3"/>
      <c r="Q102" s="3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3"/>
      <c r="Q103" s="3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3"/>
      <c r="Q104" s="3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3"/>
      <c r="Q105" s="3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3"/>
      <c r="Q106" s="3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3"/>
      <c r="Q107" s="3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3"/>
      <c r="Q108" s="3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3"/>
      <c r="Q109" s="3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3"/>
      <c r="Q110" s="3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3"/>
      <c r="Q111" s="3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3"/>
      <c r="Q112" s="3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3"/>
      <c r="Q113" s="3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3"/>
      <c r="Q114" s="3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3"/>
      <c r="Q115" s="3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3"/>
      <c r="Q116" s="3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3"/>
      <c r="Q119" s="3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3"/>
      <c r="Q120" s="3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3"/>
      <c r="Q121" s="3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3"/>
      <c r="Q122" s="3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3"/>
      <c r="Q123" s="3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3"/>
      <c r="Q124" s="3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3"/>
      <c r="Q126" s="3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3"/>
      <c r="Q127" s="3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3"/>
      <c r="Q128" s="3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3"/>
      <c r="Q129" s="3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3"/>
      <c r="Q130" s="3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3"/>
      <c r="Q131" s="3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3"/>
      <c r="Q132" s="3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3"/>
      <c r="Q133" s="3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3"/>
      <c r="Q134" s="3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3"/>
      <c r="Q135" s="3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3"/>
      <c r="Q136" s="3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3"/>
      <c r="Q137" s="3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3"/>
      <c r="Q138" s="3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3"/>
      <c r="Q139" s="3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3"/>
      <c r="Q140" s="3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3"/>
      <c r="Q141" s="3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3"/>
      <c r="Q142" s="3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3"/>
      <c r="Q143" s="3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3"/>
      <c r="Q144" s="3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3"/>
      <c r="Q145" s="3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3"/>
      <c r="Q146" s="3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3"/>
      <c r="Q147" s="3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3"/>
      <c r="Q148" s="3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3"/>
      <c r="Q149" s="3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Q150" s="3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3"/>
      <c r="Q151" s="3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3"/>
      <c r="Q153" s="3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3"/>
      <c r="Q154" s="3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3"/>
      <c r="Q155" s="3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3"/>
      <c r="Q156" s="3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3"/>
      <c r="Q157" s="3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3"/>
      <c r="Q158" s="3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3"/>
      <c r="Q159" s="3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3"/>
      <c r="Q160" s="3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3"/>
      <c r="Q161" s="3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3"/>
      <c r="Q162" s="3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3"/>
      <c r="Q163" s="3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3"/>
      <c r="Q164" s="3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3"/>
      <c r="Q165" s="3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"/>
      <c r="Q166" s="3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3"/>
      <c r="Q167" s="3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3"/>
      <c r="Q168" s="3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3"/>
      <c r="Q169" s="3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3"/>
      <c r="Q170" s="3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3"/>
      <c r="Q171" s="3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3"/>
      <c r="Q172" s="3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3"/>
      <c r="Q173" s="3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3"/>
      <c r="Q174" s="3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3"/>
      <c r="Q175" s="3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"/>
      <c r="Q176" s="3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3"/>
      <c r="Q177" s="3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3"/>
      <c r="Q178" s="3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3"/>
      <c r="Q179" s="3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3"/>
      <c r="Q180" s="3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3"/>
      <c r="Q181" s="3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3"/>
      <c r="Q182" s="3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"/>
      <c r="Q183" s="3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3"/>
      <c r="Q184" s="3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3"/>
      <c r="Q185" s="3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3"/>
      <c r="Q186" s="3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3"/>
      <c r="Q187" s="3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"/>
      <c r="Q188" s="3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3"/>
      <c r="Q189" s="3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3"/>
      <c r="Q190" s="3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3"/>
      <c r="Q191" s="3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3"/>
      <c r="Q192" s="3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3"/>
      <c r="Q193" s="3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3"/>
      <c r="Q194" s="3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3"/>
      <c r="Q195" s="3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3"/>
      <c r="Q196" s="3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3"/>
      <c r="Q197" s="3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3"/>
      <c r="Q198" s="3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3"/>
      <c r="Q199" s="3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3"/>
      <c r="Q200" s="3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3"/>
      <c r="Q201" s="3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3"/>
      <c r="Q202" s="3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3"/>
      <c r="Q203" s="3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3"/>
      <c r="Q204" s="3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3"/>
      <c r="Q205" s="3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3"/>
      <c r="Q206" s="3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3"/>
      <c r="Q207" s="3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3"/>
      <c r="Q208" s="3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3"/>
      <c r="Q209" s="3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3"/>
      <c r="Q210" s="3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3"/>
      <c r="Q211" s="3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3"/>
      <c r="Q212" s="3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3"/>
      <c r="Q213" s="3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3"/>
      <c r="Q214" s="3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3"/>
      <c r="Q215" s="3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3"/>
      <c r="Q216" s="3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3"/>
      <c r="Q217" s="3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3"/>
      <c r="Q218" s="3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3"/>
      <c r="Q219" s="3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3"/>
      <c r="Q220" s="3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3"/>
      <c r="Q221" s="3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3"/>
      <c r="Q222" s="3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3"/>
      <c r="Q223" s="3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3"/>
      <c r="Q224" s="3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3"/>
      <c r="Q225" s="3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3"/>
      <c r="Q245" s="3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3"/>
      <c r="Q246" s="3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3"/>
      <c r="Q247" s="3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3"/>
      <c r="Q248" s="3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3"/>
      <c r="Q249" s="3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3"/>
      <c r="Q250" s="3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3"/>
      <c r="Q251" s="3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3"/>
      <c r="Q252" s="3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3"/>
      <c r="Q253" s="3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3"/>
      <c r="Q254" s="3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3"/>
      <c r="Q255" s="3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3"/>
      <c r="Q256" s="3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3"/>
      <c r="Q257" s="3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3"/>
      <c r="Q258" s="3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3"/>
      <c r="Q259" s="3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3"/>
      <c r="Q260" s="3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"/>
      <c r="Q261" s="3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"/>
      <c r="Q262" s="3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3"/>
      <c r="Q263" s="3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3"/>
      <c r="Q264" s="3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3"/>
      <c r="Q265" s="3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3"/>
      <c r="Q266" s="3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3"/>
      <c r="Q267" s="3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3"/>
      <c r="Q268" s="3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3"/>
      <c r="Q269" s="3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3"/>
      <c r="Q270" s="3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3"/>
      <c r="Q271" s="3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3"/>
      <c r="Q272" s="3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3"/>
      <c r="Q273" s="3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3"/>
      <c r="Q274" s="3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3"/>
      <c r="Q275" s="3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3"/>
      <c r="Q276" s="3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3"/>
      <c r="Q277" s="3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3"/>
      <c r="Q278" s="3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3"/>
      <c r="Q279" s="3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3"/>
      <c r="Q280" s="3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3"/>
      <c r="Q281" s="3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3"/>
      <c r="Q282" s="3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3"/>
      <c r="Q283" s="3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3"/>
      <c r="Q284" s="3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3"/>
      <c r="Q285" s="3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3"/>
      <c r="Q286" s="3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3"/>
      <c r="Q287" s="3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3"/>
      <c r="Q288" s="3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3"/>
      <c r="Q289" s="3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3"/>
      <c r="Q290" s="3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3"/>
      <c r="Q291" s="3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3"/>
      <c r="Q292" s="3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3"/>
      <c r="Q293" s="3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3"/>
      <c r="Q294" s="3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3"/>
      <c r="Q295" s="3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3"/>
      <c r="Q296" s="3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3"/>
      <c r="Q297" s="3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3"/>
      <c r="Q298" s="3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3"/>
      <c r="Q299" s="3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3"/>
      <c r="Q300" s="3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3"/>
      <c r="Q301" s="3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3"/>
      <c r="Q302" s="3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3"/>
      <c r="Q303" s="3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3"/>
      <c r="Q304" s="3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3"/>
      <c r="Q305" s="3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3"/>
      <c r="Q306" s="3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3"/>
      <c r="Q307" s="3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3"/>
      <c r="Q308" s="3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3"/>
      <c r="Q309" s="3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3"/>
      <c r="Q310" s="3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3"/>
      <c r="Q311" s="3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3"/>
      <c r="Q312" s="3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3"/>
      <c r="Q313" s="3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3"/>
      <c r="Q314" s="3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3"/>
      <c r="Q315" s="3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3"/>
      <c r="Q316" s="3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3"/>
      <c r="Q317" s="3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3"/>
      <c r="Q318" s="3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3"/>
      <c r="Q319" s="3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3"/>
      <c r="Q320" s="3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3"/>
      <c r="Q321" s="3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3"/>
      <c r="Q322" s="3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3"/>
      <c r="Q323" s="3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3"/>
      <c r="Q324" s="3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3"/>
      <c r="Q325" s="3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3"/>
      <c r="Q326" s="3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3"/>
      <c r="Q327" s="3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3"/>
      <c r="Q328" s="3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3"/>
      <c r="Q329" s="3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3"/>
      <c r="Q330" s="3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3"/>
      <c r="Q331" s="3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3"/>
      <c r="Q332" s="3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3"/>
      <c r="Q333" s="3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3"/>
      <c r="Q334" s="3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3"/>
      <c r="Q335" s="3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3"/>
      <c r="Q336" s="3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3"/>
      <c r="Q337" s="3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3"/>
      <c r="Q338" s="3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3"/>
      <c r="Q339" s="3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3"/>
      <c r="Q340" s="3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3"/>
      <c r="Q341" s="3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3"/>
      <c r="Q342" s="3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3"/>
      <c r="Q343" s="3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3"/>
      <c r="Q344" s="3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3"/>
      <c r="Q345" s="3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3"/>
      <c r="Q346" s="3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3"/>
      <c r="Q347" s="3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3"/>
      <c r="Q348" s="3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3"/>
      <c r="Q349" s="3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3"/>
      <c r="Q350" s="3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3"/>
      <c r="Q351" s="3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3"/>
      <c r="Q352" s="3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3"/>
      <c r="Q353" s="3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3"/>
      <c r="Q354" s="3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3"/>
      <c r="Q355" s="3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3"/>
      <c r="Q356" s="3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3"/>
      <c r="Q357" s="3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3"/>
      <c r="Q358" s="3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3"/>
      <c r="Q359" s="3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3"/>
      <c r="Q360" s="3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3"/>
      <c r="Q361" s="3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3"/>
      <c r="Q362" s="3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3"/>
      <c r="Q363" s="3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3"/>
      <c r="Q364" s="3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3"/>
      <c r="Q365" s="3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3"/>
      <c r="Q366" s="3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3"/>
      <c r="Q367" s="3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3"/>
      <c r="Q368" s="3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3"/>
      <c r="Q369" s="3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3"/>
      <c r="Q370" s="3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3"/>
      <c r="Q371" s="3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3"/>
      <c r="Q372" s="3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3"/>
      <c r="Q373" s="3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3"/>
      <c r="Q374" s="3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3"/>
      <c r="Q375" s="3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3"/>
      <c r="Q376" s="3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3"/>
      <c r="Q377" s="3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3"/>
      <c r="Q378" s="3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3"/>
      <c r="Q379" s="3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3"/>
      <c r="Q380" s="3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3"/>
      <c r="Q381" s="3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3"/>
      <c r="Q382" s="3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3"/>
      <c r="Q383" s="3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3"/>
      <c r="Q384" s="3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3"/>
      <c r="Q385" s="3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3"/>
      <c r="Q386" s="3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3"/>
      <c r="Q387" s="3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3"/>
      <c r="Q388" s="3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3"/>
      <c r="Q389" s="3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3"/>
      <c r="Q390" s="3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3"/>
      <c r="Q391" s="3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3"/>
      <c r="Q392" s="3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3"/>
      <c r="Q393" s="3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3"/>
      <c r="Q394" s="3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3"/>
      <c r="Q395" s="3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3"/>
      <c r="Q396" s="3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3"/>
      <c r="Q397" s="3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3"/>
      <c r="Q398" s="3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3"/>
      <c r="Q399" s="3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3"/>
      <c r="Q400" s="3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3"/>
      <c r="Q401" s="3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3"/>
      <c r="Q402" s="3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3"/>
      <c r="Q403" s="3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3"/>
      <c r="Q404" s="3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3"/>
      <c r="Q405" s="3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3"/>
      <c r="Q406" s="3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3"/>
      <c r="Q407" s="3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3"/>
      <c r="Q408" s="3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3"/>
      <c r="Q409" s="3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3"/>
      <c r="Q410" s="3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3"/>
      <c r="Q411" s="3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3"/>
      <c r="Q412" s="3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3"/>
      <c r="Q413" s="3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3"/>
      <c r="Q414" s="3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3"/>
      <c r="Q415" s="3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3"/>
      <c r="Q416" s="3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3"/>
      <c r="Q417" s="3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3"/>
      <c r="Q418" s="3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3"/>
      <c r="Q419" s="3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3"/>
      <c r="Q420" s="3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3"/>
      <c r="Q421" s="3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3"/>
      <c r="Q422" s="3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3"/>
      <c r="Q423" s="3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3"/>
      <c r="Q424" s="3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3"/>
      <c r="Q425" s="3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3"/>
      <c r="Q426" s="3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3"/>
      <c r="Q427" s="3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3"/>
      <c r="Q428" s="3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3"/>
      <c r="Q429" s="3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3"/>
      <c r="Q430" s="3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3"/>
      <c r="Q431" s="3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3"/>
      <c r="Q432" s="3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3"/>
      <c r="Q433" s="3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3"/>
      <c r="Q434" s="3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3"/>
      <c r="Q435" s="3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3"/>
      <c r="Q436" s="3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3"/>
      <c r="Q437" s="3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3"/>
      <c r="Q438" s="3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3"/>
      <c r="Q439" s="3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3"/>
      <c r="Q440" s="3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3"/>
      <c r="Q441" s="3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3"/>
      <c r="Q442" s="3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3"/>
      <c r="Q443" s="3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3"/>
      <c r="Q444" s="3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3"/>
      <c r="Q445" s="3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3"/>
      <c r="Q446" s="3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3"/>
      <c r="Q447" s="3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3"/>
      <c r="Q448" s="3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3"/>
      <c r="Q449" s="3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3"/>
      <c r="Q450" s="3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3"/>
      <c r="Q451" s="3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3"/>
      <c r="Q452" s="3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3"/>
      <c r="Q453" s="3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3"/>
      <c r="Q454" s="3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3"/>
      <c r="Q455" s="3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3"/>
      <c r="Q456" s="3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3"/>
      <c r="Q457" s="3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3"/>
      <c r="Q458" s="3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3"/>
      <c r="Q459" s="3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3"/>
      <c r="Q460" s="3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3"/>
      <c r="Q461" s="3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3"/>
      <c r="Q462" s="3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3"/>
      <c r="Q463" s="3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3"/>
      <c r="Q464" s="3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3"/>
      <c r="Q465" s="3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3"/>
      <c r="Q466" s="3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3"/>
      <c r="Q467" s="3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3"/>
      <c r="Q468" s="3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3"/>
      <c r="Q469" s="3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3"/>
      <c r="Q470" s="3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3"/>
      <c r="Q471" s="3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3"/>
      <c r="Q472" s="3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3"/>
      <c r="Q473" s="3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3"/>
      <c r="Q474" s="3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3"/>
      <c r="Q475" s="3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3"/>
      <c r="Q476" s="3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3"/>
      <c r="Q477" s="3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3"/>
      <c r="Q478" s="3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3"/>
      <c r="Q479" s="3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3"/>
      <c r="Q480" s="3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3"/>
      <c r="Q481" s="3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3"/>
      <c r="Q482" s="3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3"/>
      <c r="Q483" s="3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3"/>
      <c r="Q484" s="3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3"/>
      <c r="Q485" s="3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3"/>
      <c r="Q486" s="3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3"/>
      <c r="Q487" s="3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3"/>
      <c r="Q488" s="3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3"/>
      <c r="Q489" s="3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3"/>
      <c r="Q490" s="3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3"/>
      <c r="Q491" s="3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3"/>
      <c r="Q492" s="3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3"/>
      <c r="Q493" s="3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3"/>
      <c r="Q494" s="3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3"/>
      <c r="Q495" s="3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3"/>
      <c r="Q496" s="3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3"/>
      <c r="Q497" s="3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3"/>
      <c r="Q498" s="3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3"/>
      <c r="Q499" s="3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3"/>
      <c r="Q500" s="3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3"/>
      <c r="Q501" s="3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3"/>
      <c r="Q502" s="3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3"/>
      <c r="Q503" s="3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3"/>
      <c r="Q504" s="3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3"/>
      <c r="Q505" s="3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3"/>
      <c r="Q506" s="3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3"/>
      <c r="Q507" s="3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3"/>
      <c r="Q508" s="3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3"/>
      <c r="Q509" s="3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3"/>
      <c r="Q510" s="3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3"/>
      <c r="Q511" s="3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3"/>
      <c r="Q512" s="3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3"/>
      <c r="Q513" s="3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3"/>
      <c r="Q514" s="3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3"/>
      <c r="Q515" s="3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3"/>
      <c r="Q516" s="3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3"/>
      <c r="Q517" s="3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3"/>
      <c r="Q518" s="3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3"/>
      <c r="Q519" s="3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3"/>
      <c r="Q520" s="3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3"/>
      <c r="Q521" s="3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3"/>
      <c r="Q522" s="3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3"/>
      <c r="Q523" s="3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3"/>
      <c r="Q524" s="3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3"/>
      <c r="Q525" s="3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3"/>
      <c r="Q526" s="3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3"/>
      <c r="Q527" s="3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3"/>
      <c r="Q528" s="3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3"/>
      <c r="Q529" s="3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3"/>
      <c r="Q530" s="3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3"/>
      <c r="Q531" s="3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3"/>
      <c r="Q532" s="3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3"/>
      <c r="Q533" s="3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3"/>
      <c r="Q534" s="3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3"/>
      <c r="Q535" s="3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3"/>
      <c r="Q536" s="3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3"/>
      <c r="Q537" s="3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3"/>
      <c r="Q538" s="3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3"/>
      <c r="Q539" s="3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3"/>
      <c r="Q540" s="3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3"/>
      <c r="Q541" s="3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3"/>
      <c r="Q542" s="3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3"/>
      <c r="Q543" s="3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3"/>
      <c r="Q544" s="3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3"/>
      <c r="Q545" s="3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3"/>
      <c r="Q546" s="3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3"/>
      <c r="Q547" s="3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3"/>
      <c r="Q548" s="3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3"/>
      <c r="Q549" s="3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3"/>
      <c r="Q550" s="3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3"/>
      <c r="Q551" s="3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3"/>
      <c r="Q552" s="3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3"/>
      <c r="Q553" s="3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3"/>
      <c r="Q554" s="3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3"/>
      <c r="Q555" s="3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3"/>
      <c r="Q556" s="3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3"/>
      <c r="Q557" s="3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3"/>
      <c r="Q558" s="3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3"/>
      <c r="Q559" s="3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3"/>
      <c r="Q560" s="3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3"/>
      <c r="Q561" s="3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3"/>
      <c r="Q562" s="3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3"/>
      <c r="Q563" s="3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3"/>
      <c r="Q564" s="3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3"/>
      <c r="Q565" s="3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3"/>
      <c r="Q566" s="3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3"/>
      <c r="Q567" s="3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3"/>
      <c r="Q568" s="3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3"/>
      <c r="Q569" s="3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3"/>
      <c r="Q570" s="3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3"/>
      <c r="Q571" s="3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3"/>
      <c r="Q572" s="3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3"/>
      <c r="Q573" s="3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3"/>
      <c r="Q574" s="3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3"/>
      <c r="Q575" s="3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3"/>
      <c r="Q576" s="3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3"/>
      <c r="Q577" s="3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3"/>
      <c r="Q578" s="3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3"/>
      <c r="Q579" s="3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3"/>
      <c r="Q580" s="3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3"/>
      <c r="Q581" s="3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3"/>
      <c r="Q582" s="3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3"/>
      <c r="Q583" s="3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3"/>
      <c r="Q584" s="3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3"/>
      <c r="Q585" s="3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3"/>
      <c r="Q586" s="3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3"/>
      <c r="Q587" s="3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3"/>
      <c r="Q588" s="3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3"/>
      <c r="Q589" s="3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3"/>
      <c r="Q590" s="3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3"/>
      <c r="Q591" s="3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3"/>
      <c r="Q592" s="3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3"/>
      <c r="Q593" s="3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3"/>
      <c r="Q594" s="3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3"/>
      <c r="Q595" s="3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3"/>
      <c r="Q596" s="3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3"/>
      <c r="Q597" s="3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3"/>
      <c r="Q598" s="3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3"/>
      <c r="Q599" s="3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3"/>
      <c r="Q600" s="3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3"/>
      <c r="Q601" s="3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3"/>
      <c r="Q602" s="3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3"/>
      <c r="Q603" s="3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3"/>
      <c r="Q604" s="3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3"/>
      <c r="Q605" s="3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3"/>
      <c r="Q606" s="3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3"/>
      <c r="Q607" s="3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3"/>
      <c r="Q608" s="3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3"/>
      <c r="Q609" s="3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3"/>
      <c r="Q610" s="3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3"/>
      <c r="Q611" s="3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3"/>
      <c r="Q612" s="3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3"/>
      <c r="Q613" s="3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3"/>
      <c r="Q614" s="3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3"/>
      <c r="Q615" s="3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3"/>
      <c r="Q616" s="3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3"/>
      <c r="Q617" s="3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3"/>
      <c r="Q618" s="3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3"/>
      <c r="Q619" s="3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3"/>
      <c r="Q620" s="3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3"/>
      <c r="Q621" s="3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3"/>
      <c r="Q622" s="3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3"/>
      <c r="Q623" s="3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3"/>
      <c r="Q624" s="3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3"/>
      <c r="Q625" s="3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3"/>
      <c r="Q626" s="3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3"/>
      <c r="Q627" s="3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3"/>
      <c r="Q628" s="3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3"/>
      <c r="Q629" s="3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3"/>
      <c r="Q630" s="3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3"/>
      <c r="Q631" s="3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3"/>
      <c r="Q632" s="3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3"/>
      <c r="Q633" s="3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3"/>
      <c r="Q634" s="3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3"/>
      <c r="Q635" s="3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3"/>
      <c r="Q636" s="3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3"/>
      <c r="Q637" s="3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3"/>
      <c r="Q638" s="3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3"/>
      <c r="Q639" s="3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3"/>
      <c r="Q640" s="3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3"/>
      <c r="Q641" s="3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3"/>
      <c r="Q642" s="3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3"/>
      <c r="Q643" s="3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3"/>
      <c r="Q644" s="3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3"/>
      <c r="Q645" s="3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3"/>
      <c r="Q646" s="3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3"/>
      <c r="Q647" s="3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3"/>
      <c r="Q648" s="3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3"/>
      <c r="Q649" s="3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3"/>
      <c r="Q650" s="3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3"/>
      <c r="Q651" s="3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3"/>
      <c r="Q652" s="3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3"/>
      <c r="Q653" s="3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3"/>
      <c r="Q654" s="3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3"/>
      <c r="Q655" s="3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3"/>
      <c r="Q656" s="3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3"/>
      <c r="Q657" s="3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3"/>
      <c r="Q658" s="3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3"/>
      <c r="Q659" s="3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3"/>
      <c r="Q660" s="3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3"/>
      <c r="Q661" s="3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3"/>
      <c r="Q662" s="3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3"/>
      <c r="Q663" s="3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3"/>
      <c r="Q664" s="3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3"/>
      <c r="Q665" s="3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3"/>
      <c r="Q666" s="3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3"/>
      <c r="Q667" s="3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3"/>
      <c r="Q668" s="3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3"/>
      <c r="Q669" s="3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3"/>
      <c r="Q670" s="3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3"/>
      <c r="Q671" s="3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3"/>
      <c r="Q672" s="3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3"/>
      <c r="Q673" s="3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3"/>
      <c r="Q674" s="3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3"/>
      <c r="Q675" s="3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3"/>
      <c r="Q676" s="3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3"/>
      <c r="Q677" s="3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3"/>
      <c r="Q678" s="3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3"/>
      <c r="Q679" s="3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3"/>
      <c r="Q680" s="3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3"/>
      <c r="Q681" s="3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3"/>
      <c r="Q682" s="3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3"/>
      <c r="Q683" s="3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3"/>
      <c r="Q684" s="3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3"/>
      <c r="Q685" s="3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3"/>
      <c r="Q686" s="3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3"/>
      <c r="Q687" s="3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3"/>
      <c r="Q688" s="3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3"/>
      <c r="Q689" s="3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3"/>
      <c r="Q690" s="3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3"/>
      <c r="Q691" s="3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3"/>
      <c r="Q692" s="3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3"/>
      <c r="Q693" s="3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3"/>
      <c r="Q694" s="3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3"/>
      <c r="Q695" s="3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3"/>
      <c r="Q696" s="3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3"/>
      <c r="Q697" s="3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3"/>
      <c r="Q698" s="3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3"/>
      <c r="Q699" s="3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3"/>
      <c r="Q700" s="3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3"/>
      <c r="Q701" s="3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3"/>
      <c r="Q702" s="3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3"/>
      <c r="Q703" s="3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3"/>
      <c r="Q704" s="3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3"/>
      <c r="Q705" s="3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3"/>
      <c r="Q706" s="3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3"/>
      <c r="Q707" s="3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3"/>
      <c r="Q708" s="3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3"/>
      <c r="Q709" s="3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3"/>
      <c r="Q710" s="3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3"/>
      <c r="Q711" s="3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3"/>
      <c r="Q712" s="3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3"/>
      <c r="Q713" s="3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3"/>
      <c r="Q714" s="3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3"/>
      <c r="Q715" s="3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3"/>
      <c r="Q716" s="3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3"/>
      <c r="Q717" s="3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3"/>
      <c r="Q718" s="3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3"/>
      <c r="Q719" s="3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3"/>
      <c r="Q720" s="3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3"/>
      <c r="Q721" s="3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3"/>
      <c r="Q722" s="3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3"/>
      <c r="Q723" s="3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3"/>
      <c r="Q724" s="3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3"/>
      <c r="Q725" s="3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3"/>
      <c r="Q726" s="3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3"/>
      <c r="Q727" s="3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3"/>
      <c r="Q728" s="3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3"/>
      <c r="Q729" s="3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3"/>
      <c r="Q730" s="3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3"/>
      <c r="Q731" s="3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3"/>
      <c r="Q732" s="3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3"/>
      <c r="Q733" s="3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3"/>
      <c r="Q734" s="3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3"/>
      <c r="Q735" s="3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3"/>
      <c r="Q736" s="3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3"/>
      <c r="Q737" s="3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3"/>
      <c r="Q738" s="3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3"/>
      <c r="Q739" s="3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3"/>
      <c r="Q740" s="3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3"/>
      <c r="Q741" s="3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3"/>
      <c r="Q742" s="3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3"/>
      <c r="Q743" s="3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3"/>
      <c r="Q744" s="3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3"/>
      <c r="Q745" s="3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3"/>
      <c r="Q746" s="3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3"/>
      <c r="Q747" s="3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3"/>
      <c r="Q748" s="3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3"/>
      <c r="Q749" s="3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3"/>
      <c r="Q750" s="3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3"/>
      <c r="Q751" s="3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3"/>
      <c r="Q752" s="3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3"/>
      <c r="Q753" s="3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3"/>
      <c r="Q754" s="3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3"/>
      <c r="Q755" s="3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3"/>
      <c r="Q756" s="3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3"/>
      <c r="Q757" s="3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3"/>
      <c r="Q758" s="3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3"/>
      <c r="Q759" s="3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3"/>
      <c r="Q760" s="3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3"/>
      <c r="Q761" s="3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3"/>
      <c r="Q762" s="3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3"/>
      <c r="Q763" s="3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3"/>
      <c r="Q764" s="3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3"/>
      <c r="Q765" s="3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3"/>
      <c r="Q766" s="3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3"/>
      <c r="Q767" s="3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3"/>
      <c r="Q768" s="3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3"/>
      <c r="Q769" s="3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3"/>
      <c r="Q770" s="3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3"/>
      <c r="Q771" s="3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3"/>
      <c r="Q772" s="3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3"/>
      <c r="Q773" s="3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3"/>
      <c r="Q774" s="3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3"/>
      <c r="Q775" s="3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3"/>
      <c r="Q776" s="3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3"/>
      <c r="Q777" s="3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3"/>
      <c r="Q778" s="3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3"/>
      <c r="Q779" s="3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3"/>
      <c r="Q780" s="3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3"/>
      <c r="Q781" s="3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3"/>
      <c r="Q782" s="3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3"/>
      <c r="Q783" s="3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3"/>
      <c r="Q784" s="3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3"/>
      <c r="Q785" s="3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3"/>
      <c r="Q786" s="3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3"/>
      <c r="Q787" s="3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3"/>
      <c r="Q788" s="3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3"/>
      <c r="Q789" s="3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3"/>
      <c r="Q790" s="3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3"/>
      <c r="Q791" s="3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3"/>
      <c r="Q792" s="3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3"/>
      <c r="Q793" s="3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3"/>
      <c r="Q794" s="3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3"/>
      <c r="Q795" s="3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3"/>
      <c r="Q796" s="3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3"/>
      <c r="Q797" s="3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3"/>
      <c r="Q798" s="3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3"/>
      <c r="Q799" s="3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3"/>
      <c r="Q800" s="3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3"/>
      <c r="Q801" s="3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3"/>
      <c r="Q802" s="3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3"/>
      <c r="Q803" s="3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3"/>
      <c r="Q804" s="3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3"/>
      <c r="Q805" s="3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3"/>
      <c r="Q806" s="3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3"/>
      <c r="Q807" s="3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3"/>
      <c r="Q808" s="3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3"/>
      <c r="Q809" s="3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3"/>
      <c r="Q810" s="3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3"/>
      <c r="Q811" s="3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3"/>
      <c r="Q812" s="3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3"/>
      <c r="Q813" s="3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3"/>
      <c r="Q814" s="3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3"/>
      <c r="Q815" s="3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3"/>
      <c r="Q816" s="3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3"/>
      <c r="Q817" s="3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3"/>
      <c r="Q818" s="3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3"/>
      <c r="Q819" s="3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3"/>
      <c r="Q820" s="3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3"/>
      <c r="Q821" s="3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3"/>
      <c r="Q822" s="3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3"/>
      <c r="Q823" s="3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3"/>
      <c r="Q824" s="3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3"/>
      <c r="Q825" s="3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3"/>
      <c r="Q826" s="3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3"/>
      <c r="Q827" s="3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3"/>
      <c r="Q828" s="3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3"/>
      <c r="Q829" s="3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3"/>
      <c r="Q830" s="3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3"/>
      <c r="Q831" s="3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3"/>
      <c r="Q832" s="3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3"/>
      <c r="Q833" s="3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3"/>
      <c r="Q834" s="3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3"/>
      <c r="Q835" s="3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3"/>
      <c r="Q836" s="3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3"/>
      <c r="Q837" s="3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3"/>
      <c r="Q838" s="3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3"/>
      <c r="Q839" s="3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3"/>
      <c r="Q840" s="3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3"/>
      <c r="Q841" s="3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3"/>
      <c r="Q842" s="3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3"/>
      <c r="Q843" s="3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3"/>
      <c r="Q844" s="3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3"/>
      <c r="Q845" s="3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3"/>
      <c r="Q846" s="3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3"/>
      <c r="Q847" s="3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3"/>
      <c r="Q848" s="3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3"/>
      <c r="Q849" s="3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3"/>
      <c r="Q850" s="3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3"/>
      <c r="Q851" s="3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3"/>
      <c r="Q852" s="3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3"/>
      <c r="Q853" s="3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3"/>
      <c r="Q854" s="3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3"/>
      <c r="Q855" s="3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3"/>
      <c r="Q856" s="3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3"/>
      <c r="Q857" s="3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3"/>
      <c r="Q858" s="3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3"/>
      <c r="Q859" s="3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3"/>
      <c r="Q860" s="3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3"/>
      <c r="Q861" s="3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3"/>
      <c r="Q862" s="3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3"/>
      <c r="Q863" s="3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3"/>
      <c r="Q864" s="3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3"/>
      <c r="Q865" s="3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3"/>
      <c r="Q866" s="3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3"/>
      <c r="Q867" s="3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3"/>
      <c r="Q868" s="3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3"/>
      <c r="Q869" s="3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3"/>
      <c r="Q870" s="3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3"/>
      <c r="Q871" s="3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3"/>
      <c r="Q872" s="3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3"/>
      <c r="Q873" s="3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3"/>
      <c r="Q874" s="3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3"/>
      <c r="Q875" s="3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3"/>
      <c r="Q876" s="3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3"/>
      <c r="Q877" s="3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3"/>
      <c r="Q878" s="3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3"/>
      <c r="Q879" s="3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3"/>
      <c r="Q880" s="3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3"/>
      <c r="Q881" s="3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3"/>
      <c r="Q882" s="3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3"/>
      <c r="Q883" s="3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3"/>
      <c r="Q884" s="3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3"/>
      <c r="Q885" s="3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3"/>
      <c r="Q886" s="3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3"/>
      <c r="Q887" s="3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3"/>
      <c r="Q888" s="3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3"/>
      <c r="Q889" s="3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3"/>
      <c r="Q890" s="3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3"/>
      <c r="Q891" s="3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3"/>
      <c r="Q892" s="3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3"/>
      <c r="Q893" s="3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3"/>
      <c r="Q894" s="3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3"/>
      <c r="Q895" s="3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3"/>
      <c r="Q896" s="3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3"/>
      <c r="Q897" s="3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3"/>
      <c r="Q898" s="3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3"/>
      <c r="Q899" s="3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3"/>
      <c r="Q900" s="3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3"/>
      <c r="Q901" s="3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3"/>
      <c r="Q902" s="3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3"/>
      <c r="Q903" s="3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3"/>
      <c r="Q904" s="3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3"/>
      <c r="Q905" s="3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3"/>
      <c r="Q906" s="3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3"/>
      <c r="Q907" s="3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3"/>
      <c r="Q908" s="3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3"/>
      <c r="Q909" s="3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3"/>
      <c r="Q910" s="3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3"/>
      <c r="Q911" s="3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3"/>
      <c r="Q912" s="3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3"/>
      <c r="Q913" s="3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3"/>
      <c r="Q914" s="3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3"/>
      <c r="Q915" s="3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3"/>
      <c r="Q916" s="3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3"/>
      <c r="Q917" s="3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3"/>
      <c r="Q918" s="3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3"/>
      <c r="Q919" s="3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3"/>
      <c r="Q920" s="3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3"/>
      <c r="Q921" s="3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3"/>
      <c r="Q922" s="3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3"/>
      <c r="Q923" s="3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3"/>
      <c r="Q924" s="3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3"/>
      <c r="Q925" s="3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3"/>
      <c r="Q926" s="3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3"/>
      <c r="Q927" s="3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3"/>
      <c r="Q928" s="3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3"/>
      <c r="Q929" s="3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3"/>
      <c r="Q930" s="3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3"/>
      <c r="Q931" s="3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3"/>
      <c r="Q932" s="3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3"/>
      <c r="Q933" s="3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3"/>
      <c r="Q934" s="3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3"/>
      <c r="Q935" s="3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3"/>
      <c r="Q936" s="3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3"/>
      <c r="Q937" s="3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3"/>
      <c r="Q938" s="3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3"/>
      <c r="Q939" s="3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3"/>
      <c r="Q940" s="3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3"/>
      <c r="Q941" s="3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3"/>
      <c r="Q942" s="3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3"/>
      <c r="Q943" s="3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3"/>
      <c r="Q944" s="3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3"/>
      <c r="Q945" s="3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3"/>
      <c r="Q946" s="3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3"/>
      <c r="Q947" s="3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3"/>
      <c r="Q948" s="3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3"/>
      <c r="Q949" s="3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3"/>
      <c r="Q950" s="3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3"/>
      <c r="Q951" s="3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3"/>
      <c r="Q952" s="3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3"/>
      <c r="Q953" s="3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3"/>
      <c r="Q954" s="3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3"/>
      <c r="Q955" s="3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3"/>
      <c r="Q956" s="3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3"/>
      <c r="Q957" s="3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3"/>
      <c r="Q958" s="3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3"/>
      <c r="Q959" s="3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3"/>
      <c r="Q960" s="3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3"/>
      <c r="Q961" s="3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3"/>
      <c r="Q962" s="3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3"/>
      <c r="Q963" s="3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3"/>
      <c r="Q964" s="3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3"/>
      <c r="Q965" s="3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3"/>
      <c r="Q966" s="3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3"/>
      <c r="Q967" s="3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3"/>
      <c r="Q968" s="3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3"/>
      <c r="Q969" s="3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3"/>
      <c r="Q970" s="3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3"/>
      <c r="Q971" s="3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3"/>
      <c r="Q972" s="3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3"/>
      <c r="Q973" s="3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3"/>
      <c r="Q974" s="3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3"/>
      <c r="Q975" s="3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3"/>
      <c r="Q976" s="3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3"/>
      <c r="Q977" s="3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3"/>
      <c r="Q978" s="3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3"/>
      <c r="Q979" s="3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3"/>
      <c r="Q980" s="3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3"/>
      <c r="Q981" s="3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3"/>
      <c r="Q982" s="3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3"/>
      <c r="Q983" s="3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3"/>
      <c r="Q984" s="3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3"/>
      <c r="Q985" s="3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3"/>
      <c r="Q986" s="3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3"/>
      <c r="Q987" s="3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3"/>
      <c r="Q988" s="3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3"/>
      <c r="Q989" s="3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3"/>
      <c r="Q990" s="3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3"/>
      <c r="Q991" s="3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3"/>
      <c r="Q992" s="3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3"/>
      <c r="Q993" s="3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3"/>
      <c r="Q994" s="3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3"/>
      <c r="Q995" s="3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3"/>
      <c r="Q996" s="3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3"/>
      <c r="Q997" s="3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3"/>
      <c r="Q998" s="3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3"/>
      <c r="Q999" s="3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7">
    <mergeCell ref="B3:C3"/>
    <mergeCell ref="B4:C4"/>
    <mergeCell ref="S4:T4"/>
    <mergeCell ref="B25:P25"/>
    <mergeCell ref="B26:C26"/>
    <mergeCell ref="B39:P39"/>
    <mergeCell ref="B40:C4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5.5"/>
    <col customWidth="1" min="2" max="2" width="3.38"/>
    <col customWidth="1" min="3" max="3" width="28.25"/>
    <col customWidth="1" min="4" max="15" width="10.88"/>
    <col customWidth="1" min="16" max="16" width="13.75"/>
    <col customWidth="1" min="17" max="17" width="32.75"/>
  </cols>
  <sheetData>
    <row r="1" ht="33.0" customHeight="1" collapsed="1">
      <c r="A1" s="1"/>
      <c r="B1" s="2" t="s">
        <v>0</v>
      </c>
      <c r="C1" s="3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idden="1" outlineLevel="1">
      <c r="A2" s="1"/>
      <c r="B2" s="4"/>
      <c r="C2" s="4"/>
      <c r="D2" s="4" t="str">
        <f t="shared" ref="D2:O2" si="1">YEAR(#REF!)&amp;MONTH(#REF!)</f>
        <v>#REF!</v>
      </c>
      <c r="E2" s="4" t="str">
        <f t="shared" si="1"/>
        <v>#REF!</v>
      </c>
      <c r="F2" s="4" t="str">
        <f t="shared" si="1"/>
        <v>#REF!</v>
      </c>
      <c r="G2" s="4" t="str">
        <f t="shared" si="1"/>
        <v>#REF!</v>
      </c>
      <c r="H2" s="4" t="str">
        <f t="shared" si="1"/>
        <v>#REF!</v>
      </c>
      <c r="I2" s="4" t="str">
        <f t="shared" si="1"/>
        <v>#REF!</v>
      </c>
      <c r="J2" s="4" t="str">
        <f t="shared" si="1"/>
        <v>#REF!</v>
      </c>
      <c r="K2" s="4" t="str">
        <f t="shared" si="1"/>
        <v>#REF!</v>
      </c>
      <c r="L2" s="4" t="str">
        <f t="shared" si="1"/>
        <v>#REF!</v>
      </c>
      <c r="M2" s="4" t="str">
        <f t="shared" si="1"/>
        <v>#REF!</v>
      </c>
      <c r="N2" s="4" t="str">
        <f t="shared" si="1"/>
        <v>#REF!</v>
      </c>
      <c r="O2" s="4" t="str">
        <f t="shared" si="1"/>
        <v>#REF!</v>
      </c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</row>
    <row r="3" ht="8.25" customHeight="1">
      <c r="A3" s="5"/>
      <c r="B3" s="63"/>
      <c r="P3" s="64"/>
      <c r="R3" s="3"/>
      <c r="S3" s="3"/>
      <c r="T3" s="3"/>
      <c r="U3" s="3"/>
      <c r="V3" s="3"/>
      <c r="W3" s="3"/>
      <c r="X3" s="3"/>
      <c r="Y3" s="3"/>
      <c r="Z3" s="3"/>
      <c r="AA3" s="3"/>
    </row>
    <row r="4" ht="24.0" customHeight="1">
      <c r="A4" s="5"/>
      <c r="B4" s="81" t="s">
        <v>63</v>
      </c>
      <c r="C4" s="82"/>
      <c r="D4" s="83">
        <v>46112.0</v>
      </c>
      <c r="E4" s="84">
        <f t="shared" ref="E4:O4" si="2">EOMONTH(D4,1)</f>
        <v>46142</v>
      </c>
      <c r="F4" s="84">
        <f t="shared" si="2"/>
        <v>46173</v>
      </c>
      <c r="G4" s="84">
        <f t="shared" si="2"/>
        <v>46203</v>
      </c>
      <c r="H4" s="84">
        <f t="shared" si="2"/>
        <v>46234</v>
      </c>
      <c r="I4" s="84">
        <f t="shared" si="2"/>
        <v>46265</v>
      </c>
      <c r="J4" s="84">
        <f t="shared" si="2"/>
        <v>46295</v>
      </c>
      <c r="K4" s="84">
        <f t="shared" si="2"/>
        <v>46326</v>
      </c>
      <c r="L4" s="84">
        <f t="shared" si="2"/>
        <v>46356</v>
      </c>
      <c r="M4" s="84">
        <f t="shared" si="2"/>
        <v>46387</v>
      </c>
      <c r="N4" s="84">
        <f t="shared" si="2"/>
        <v>46418</v>
      </c>
      <c r="O4" s="85">
        <f t="shared" si="2"/>
        <v>46446</v>
      </c>
      <c r="P4" s="65"/>
      <c r="Q4" s="65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/>
      <c r="B5" s="18">
        <v>1.0</v>
      </c>
      <c r="C5" s="66" t="s">
        <v>64</v>
      </c>
      <c r="D5" s="67">
        <v>1400000.0</v>
      </c>
      <c r="E5" s="67">
        <v>1400000.0</v>
      </c>
      <c r="F5" s="67">
        <v>1800000.0</v>
      </c>
      <c r="G5" s="67">
        <v>2300000.0</v>
      </c>
      <c r="H5" s="67">
        <v>2300000.0</v>
      </c>
      <c r="I5" s="67">
        <v>2300000.0</v>
      </c>
      <c r="J5" s="67">
        <v>1800000.0</v>
      </c>
      <c r="K5" s="67">
        <v>1400000.0</v>
      </c>
      <c r="L5" s="67">
        <v>2300000.0</v>
      </c>
      <c r="M5" s="67">
        <v>1800000.0</v>
      </c>
      <c r="N5" s="67">
        <v>1400000.0</v>
      </c>
      <c r="O5" s="67">
        <v>1400000.0</v>
      </c>
      <c r="P5" s="69">
        <f t="shared" ref="P5:P13" si="3">SUM(D5:O5)</f>
        <v>21600000</v>
      </c>
      <c r="Q5" s="86" t="s">
        <v>65</v>
      </c>
      <c r="R5" s="4"/>
      <c r="S5" s="87"/>
      <c r="T5" s="4"/>
      <c r="U5" s="4"/>
      <c r="V5" s="4"/>
      <c r="W5" s="4"/>
      <c r="X5" s="4"/>
      <c r="Y5" s="4"/>
      <c r="Z5" s="4"/>
      <c r="AA5" s="4"/>
    </row>
    <row r="6">
      <c r="A6" s="5"/>
      <c r="B6" s="18">
        <f t="shared" ref="B6:B7" si="4">B5+1</f>
        <v>2</v>
      </c>
      <c r="C6" s="19" t="s">
        <v>66</v>
      </c>
      <c r="D6" s="20">
        <v>500000.0</v>
      </c>
      <c r="E6" s="20">
        <v>550000.0</v>
      </c>
      <c r="F6" s="20">
        <v>580000.0</v>
      </c>
      <c r="G6" s="20">
        <v>1600000.0</v>
      </c>
      <c r="H6" s="20">
        <v>860000.0</v>
      </c>
      <c r="I6" s="20">
        <v>530000.0</v>
      </c>
      <c r="J6" s="20">
        <v>500000.0</v>
      </c>
      <c r="K6" s="20">
        <v>430000.0</v>
      </c>
      <c r="L6" s="20">
        <v>410000.0</v>
      </c>
      <c r="M6" s="20">
        <v>650000.0</v>
      </c>
      <c r="N6" s="20">
        <v>350000.0</v>
      </c>
      <c r="O6" s="20">
        <v>430000.0</v>
      </c>
      <c r="P6" s="22">
        <f t="shared" si="3"/>
        <v>7390000</v>
      </c>
      <c r="Q6" s="22"/>
      <c r="R6" s="4"/>
      <c r="S6" s="87"/>
      <c r="T6" s="4"/>
      <c r="U6" s="4"/>
      <c r="V6" s="4"/>
      <c r="W6" s="4"/>
      <c r="X6" s="4"/>
      <c r="Y6" s="4"/>
      <c r="Z6" s="4"/>
      <c r="AA6" s="4"/>
    </row>
    <row r="7">
      <c r="A7" s="5"/>
      <c r="B7" s="18">
        <f t="shared" si="4"/>
        <v>3</v>
      </c>
      <c r="C7" s="19" t="s">
        <v>67</v>
      </c>
      <c r="D7" s="20">
        <v>100000.0</v>
      </c>
      <c r="E7" s="20">
        <v>100000.0</v>
      </c>
      <c r="F7" s="20">
        <v>100000.0</v>
      </c>
      <c r="G7" s="20">
        <v>100000.0</v>
      </c>
      <c r="H7" s="20">
        <v>100000.0</v>
      </c>
      <c r="I7" s="20">
        <v>100000.0</v>
      </c>
      <c r="J7" s="20">
        <v>100000.0</v>
      </c>
      <c r="K7" s="20">
        <v>100000.0</v>
      </c>
      <c r="L7" s="20">
        <v>100000.0</v>
      </c>
      <c r="M7" s="20">
        <v>100000.0</v>
      </c>
      <c r="N7" s="20">
        <v>100000.0</v>
      </c>
      <c r="O7" s="20">
        <v>100000.0</v>
      </c>
      <c r="P7" s="22">
        <f t="shared" si="3"/>
        <v>1200000</v>
      </c>
      <c r="Q7" s="22"/>
      <c r="R7" s="4"/>
      <c r="S7" s="87"/>
      <c r="T7" s="4"/>
      <c r="U7" s="4"/>
      <c r="V7" s="4"/>
      <c r="W7" s="4"/>
      <c r="X7" s="4"/>
      <c r="Y7" s="4"/>
      <c r="Z7" s="4"/>
      <c r="AA7" s="4"/>
    </row>
    <row r="8">
      <c r="A8" s="5" t="s">
        <v>43</v>
      </c>
      <c r="B8" s="34"/>
      <c r="C8" s="35" t="s">
        <v>25</v>
      </c>
      <c r="D8" s="36">
        <f t="shared" ref="D8:O8" si="5">SUM(D5:D7)</f>
        <v>2000000</v>
      </c>
      <c r="E8" s="36">
        <f t="shared" si="5"/>
        <v>2050000</v>
      </c>
      <c r="F8" s="36">
        <f t="shared" si="5"/>
        <v>2480000</v>
      </c>
      <c r="G8" s="36">
        <f t="shared" si="5"/>
        <v>4000000</v>
      </c>
      <c r="H8" s="36">
        <f t="shared" si="5"/>
        <v>3260000</v>
      </c>
      <c r="I8" s="36">
        <f t="shared" si="5"/>
        <v>2930000</v>
      </c>
      <c r="J8" s="36">
        <f t="shared" si="5"/>
        <v>2400000</v>
      </c>
      <c r="K8" s="36">
        <f t="shared" si="5"/>
        <v>1930000</v>
      </c>
      <c r="L8" s="36">
        <f t="shared" si="5"/>
        <v>2810000</v>
      </c>
      <c r="M8" s="36">
        <f t="shared" si="5"/>
        <v>2550000</v>
      </c>
      <c r="N8" s="36">
        <f t="shared" si="5"/>
        <v>1850000</v>
      </c>
      <c r="O8" s="36">
        <f t="shared" si="5"/>
        <v>1930000</v>
      </c>
      <c r="P8" s="37">
        <f t="shared" si="3"/>
        <v>30190000</v>
      </c>
      <c r="Q8" s="37"/>
      <c r="R8" s="4"/>
      <c r="S8" s="87"/>
      <c r="T8" s="4"/>
      <c r="U8" s="4"/>
      <c r="V8" s="4"/>
      <c r="W8" s="4"/>
      <c r="X8" s="4"/>
      <c r="Y8" s="4"/>
      <c r="Z8" s="4"/>
      <c r="AA8" s="4"/>
    </row>
    <row r="9">
      <c r="A9" s="5"/>
      <c r="B9" s="71">
        <f>B6+1</f>
        <v>3</v>
      </c>
      <c r="C9" s="66" t="s">
        <v>22</v>
      </c>
      <c r="D9" s="67">
        <v>0.0</v>
      </c>
      <c r="E9" s="67">
        <v>0.0</v>
      </c>
      <c r="F9" s="67">
        <v>0.0</v>
      </c>
      <c r="G9" s="67">
        <v>0.0</v>
      </c>
      <c r="H9" s="67">
        <v>0.0</v>
      </c>
      <c r="I9" s="67">
        <v>0.0</v>
      </c>
      <c r="J9" s="67">
        <v>0.0</v>
      </c>
      <c r="K9" s="67">
        <v>0.0</v>
      </c>
      <c r="L9" s="67">
        <v>0.0</v>
      </c>
      <c r="M9" s="67">
        <v>0.0</v>
      </c>
      <c r="N9" s="67">
        <v>0.0</v>
      </c>
      <c r="O9" s="67">
        <v>0.0</v>
      </c>
      <c r="P9" s="69">
        <f t="shared" si="3"/>
        <v>0</v>
      </c>
      <c r="Q9" s="70" t="s">
        <v>68</v>
      </c>
      <c r="R9" s="4"/>
      <c r="S9" s="87"/>
      <c r="T9" s="4"/>
      <c r="U9" s="4"/>
      <c r="V9" s="4"/>
      <c r="W9" s="4"/>
      <c r="X9" s="4"/>
      <c r="Y9" s="4"/>
      <c r="Z9" s="4"/>
      <c r="AA9" s="4"/>
    </row>
    <row r="10">
      <c r="A10" s="5"/>
      <c r="B10" s="71">
        <f t="shared" ref="B10:B11" si="6">B9+1</f>
        <v>4</v>
      </c>
      <c r="C10" s="66" t="s">
        <v>46</v>
      </c>
      <c r="D10" s="67">
        <v>0.0</v>
      </c>
      <c r="E10" s="67">
        <v>0.0</v>
      </c>
      <c r="F10" s="67">
        <v>0.0</v>
      </c>
      <c r="G10" s="67">
        <v>0.0</v>
      </c>
      <c r="H10" s="67">
        <v>0.0</v>
      </c>
      <c r="I10" s="67">
        <v>0.0</v>
      </c>
      <c r="J10" s="67">
        <v>0.0</v>
      </c>
      <c r="K10" s="67">
        <v>0.0</v>
      </c>
      <c r="L10" s="67">
        <v>0.0</v>
      </c>
      <c r="M10" s="67">
        <v>0.0</v>
      </c>
      <c r="N10" s="67">
        <v>0.0</v>
      </c>
      <c r="O10" s="67">
        <v>0.0</v>
      </c>
      <c r="P10" s="69">
        <f t="shared" si="3"/>
        <v>0</v>
      </c>
      <c r="Q10" s="70" t="s">
        <v>68</v>
      </c>
      <c r="R10" s="4"/>
      <c r="S10" s="87"/>
      <c r="T10" s="4"/>
      <c r="U10" s="4"/>
      <c r="V10" s="4"/>
      <c r="W10" s="4"/>
      <c r="X10" s="4"/>
      <c r="Y10" s="4"/>
      <c r="Z10" s="4"/>
      <c r="AA10" s="4"/>
    </row>
    <row r="11">
      <c r="A11" s="5" t="s">
        <v>47</v>
      </c>
      <c r="B11" s="71">
        <f t="shared" si="6"/>
        <v>5</v>
      </c>
      <c r="C11" s="19" t="s">
        <v>24</v>
      </c>
      <c r="D11" s="67">
        <v>0.0</v>
      </c>
      <c r="E11" s="67">
        <v>0.0</v>
      </c>
      <c r="F11" s="67">
        <v>0.0</v>
      </c>
      <c r="G11" s="67">
        <v>0.0</v>
      </c>
      <c r="H11" s="67">
        <v>0.0</v>
      </c>
      <c r="I11" s="67">
        <v>0.0</v>
      </c>
      <c r="J11" s="67">
        <v>0.0</v>
      </c>
      <c r="K11" s="67">
        <v>0.0</v>
      </c>
      <c r="L11" s="67">
        <v>0.0</v>
      </c>
      <c r="M11" s="67">
        <v>0.0</v>
      </c>
      <c r="N11" s="67">
        <v>0.0</v>
      </c>
      <c r="O11" s="67">
        <v>0.0</v>
      </c>
      <c r="P11" s="22">
        <f t="shared" si="3"/>
        <v>0</v>
      </c>
      <c r="Q11" s="72" t="s">
        <v>69</v>
      </c>
      <c r="R11" s="4"/>
      <c r="S11" s="87"/>
      <c r="T11" s="4"/>
      <c r="U11" s="4"/>
      <c r="V11" s="4"/>
      <c r="W11" s="4"/>
      <c r="X11" s="4"/>
      <c r="Y11" s="4"/>
      <c r="Z11" s="4"/>
      <c r="AA11" s="4"/>
    </row>
    <row r="12">
      <c r="A12" s="5"/>
      <c r="B12" s="55"/>
      <c r="C12" s="56" t="s">
        <v>42</v>
      </c>
      <c r="D12" s="57">
        <f t="shared" ref="D12:O12" si="7">SUM(D9:D11)</f>
        <v>0</v>
      </c>
      <c r="E12" s="57">
        <f t="shared" si="7"/>
        <v>0</v>
      </c>
      <c r="F12" s="57">
        <f t="shared" si="7"/>
        <v>0</v>
      </c>
      <c r="G12" s="57">
        <f t="shared" si="7"/>
        <v>0</v>
      </c>
      <c r="H12" s="57">
        <f t="shared" si="7"/>
        <v>0</v>
      </c>
      <c r="I12" s="57">
        <f t="shared" si="7"/>
        <v>0</v>
      </c>
      <c r="J12" s="57">
        <f t="shared" si="7"/>
        <v>0</v>
      </c>
      <c r="K12" s="57">
        <f t="shared" si="7"/>
        <v>0</v>
      </c>
      <c r="L12" s="57">
        <f t="shared" si="7"/>
        <v>0</v>
      </c>
      <c r="M12" s="57">
        <f t="shared" si="7"/>
        <v>0</v>
      </c>
      <c r="N12" s="57">
        <f t="shared" si="7"/>
        <v>0</v>
      </c>
      <c r="O12" s="57">
        <f t="shared" si="7"/>
        <v>0</v>
      </c>
      <c r="P12" s="58">
        <f t="shared" si="3"/>
        <v>0</v>
      </c>
      <c r="Q12" s="58"/>
      <c r="R12" s="4"/>
      <c r="S12" s="87"/>
      <c r="T12" s="4"/>
      <c r="U12" s="4"/>
      <c r="V12" s="4"/>
      <c r="W12" s="4"/>
      <c r="X12" s="4"/>
      <c r="Y12" s="4"/>
      <c r="Z12" s="4"/>
      <c r="AA12" s="4"/>
    </row>
    <row r="13">
      <c r="A13" s="5" t="s">
        <v>48</v>
      </c>
      <c r="B13" s="59"/>
      <c r="C13" s="60" t="s">
        <v>70</v>
      </c>
      <c r="D13" s="61">
        <f t="shared" ref="D13:O13" si="8">D8-D12</f>
        <v>2000000</v>
      </c>
      <c r="E13" s="61">
        <f t="shared" si="8"/>
        <v>2050000</v>
      </c>
      <c r="F13" s="61">
        <f t="shared" si="8"/>
        <v>2480000</v>
      </c>
      <c r="G13" s="61">
        <f t="shared" si="8"/>
        <v>4000000</v>
      </c>
      <c r="H13" s="61">
        <f t="shared" si="8"/>
        <v>3260000</v>
      </c>
      <c r="I13" s="61">
        <f t="shared" si="8"/>
        <v>2930000</v>
      </c>
      <c r="J13" s="61">
        <f t="shared" si="8"/>
        <v>2400000</v>
      </c>
      <c r="K13" s="61">
        <f t="shared" si="8"/>
        <v>1930000</v>
      </c>
      <c r="L13" s="61">
        <f t="shared" si="8"/>
        <v>2810000</v>
      </c>
      <c r="M13" s="61">
        <f t="shared" si="8"/>
        <v>2550000</v>
      </c>
      <c r="N13" s="61">
        <f t="shared" si="8"/>
        <v>1850000</v>
      </c>
      <c r="O13" s="61">
        <f t="shared" si="8"/>
        <v>1930000</v>
      </c>
      <c r="P13" s="62">
        <f t="shared" si="3"/>
        <v>30190000</v>
      </c>
      <c r="Q13" s="62"/>
      <c r="R13" s="4"/>
      <c r="S13" s="87"/>
      <c r="T13" s="4"/>
      <c r="U13" s="4"/>
      <c r="V13" s="4"/>
      <c r="W13" s="4"/>
      <c r="X13" s="4"/>
      <c r="Y13" s="4"/>
      <c r="Z13" s="4"/>
      <c r="AA13" s="4"/>
    </row>
    <row r="14" ht="8.25" customHeight="1">
      <c r="A14" s="5"/>
      <c r="B14" s="63"/>
      <c r="P14" s="64"/>
      <c r="R14" s="3"/>
      <c r="S14" s="2"/>
      <c r="T14" s="3"/>
      <c r="U14" s="3"/>
      <c r="V14" s="3"/>
      <c r="W14" s="3"/>
      <c r="X14" s="3"/>
      <c r="Y14" s="3"/>
      <c r="Z14" s="3"/>
      <c r="AA14" s="3"/>
    </row>
    <row r="15" ht="24.0" customHeight="1">
      <c r="A15" s="5"/>
      <c r="B15" s="10" t="s">
        <v>71</v>
      </c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65"/>
      <c r="Q15" s="65"/>
      <c r="R15" s="3"/>
      <c r="S15" s="2"/>
      <c r="T15" s="3"/>
      <c r="U15" s="3"/>
      <c r="V15" s="3"/>
      <c r="W15" s="3"/>
      <c r="X15" s="3"/>
      <c r="Y15" s="3"/>
      <c r="Z15" s="3"/>
      <c r="AA15" s="3"/>
    </row>
    <row r="16">
      <c r="A16" s="5"/>
      <c r="B16" s="18">
        <f>B11+1</f>
        <v>6</v>
      </c>
      <c r="C16" s="88" t="s">
        <v>52</v>
      </c>
      <c r="D16" s="20">
        <v>300000.0</v>
      </c>
      <c r="E16" s="20">
        <v>300000.0</v>
      </c>
      <c r="F16" s="20">
        <v>300000.0</v>
      </c>
      <c r="G16" s="20">
        <v>300000.0</v>
      </c>
      <c r="H16" s="20">
        <v>400000.0</v>
      </c>
      <c r="I16" s="20">
        <v>300000.0</v>
      </c>
      <c r="J16" s="20">
        <v>300000.0</v>
      </c>
      <c r="K16" s="20">
        <v>300000.0</v>
      </c>
      <c r="L16" s="20">
        <v>300000.0</v>
      </c>
      <c r="M16" s="20">
        <v>360000.0</v>
      </c>
      <c r="N16" s="20">
        <v>300000.0</v>
      </c>
      <c r="O16" s="20">
        <v>300000.0</v>
      </c>
      <c r="P16" s="22">
        <f t="shared" ref="P16:P26" si="9">SUM(D16:O16)</f>
        <v>3760000</v>
      </c>
      <c r="Q16" s="89" t="s">
        <v>72</v>
      </c>
      <c r="R16" s="4"/>
      <c r="S16" s="87"/>
      <c r="T16" s="4"/>
      <c r="U16" s="4"/>
      <c r="V16" s="4"/>
      <c r="W16" s="4"/>
      <c r="X16" s="4"/>
      <c r="Y16" s="4"/>
      <c r="Z16" s="4"/>
      <c r="AA16" s="4"/>
    </row>
    <row r="17">
      <c r="A17" s="5"/>
      <c r="B17" s="18">
        <f t="shared" ref="B17:B25" si="10">B16+1</f>
        <v>7</v>
      </c>
      <c r="C17" s="88" t="s">
        <v>41</v>
      </c>
      <c r="D17" s="20">
        <v>2073.0</v>
      </c>
      <c r="E17" s="20">
        <v>2073.0</v>
      </c>
      <c r="F17" s="20">
        <v>2073.0</v>
      </c>
      <c r="G17" s="20">
        <v>2073.0</v>
      </c>
      <c r="H17" s="20">
        <v>2073.0</v>
      </c>
      <c r="I17" s="20">
        <v>2073.0</v>
      </c>
      <c r="J17" s="20">
        <v>2073.0</v>
      </c>
      <c r="K17" s="20">
        <v>2073.0</v>
      </c>
      <c r="L17" s="20">
        <v>2073.0</v>
      </c>
      <c r="M17" s="20">
        <v>2073.0</v>
      </c>
      <c r="N17" s="20">
        <v>2073.0</v>
      </c>
      <c r="O17" s="20">
        <v>2073.0</v>
      </c>
      <c r="P17" s="22">
        <f t="shared" si="9"/>
        <v>24876</v>
      </c>
      <c r="Q17" s="72" t="s">
        <v>73</v>
      </c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/>
      <c r="B18" s="18">
        <f t="shared" si="10"/>
        <v>8</v>
      </c>
      <c r="C18" s="88" t="s">
        <v>53</v>
      </c>
      <c r="D18" s="90">
        <v>101391.0</v>
      </c>
      <c r="E18" s="90">
        <v>101391.0</v>
      </c>
      <c r="F18" s="90">
        <v>101391.0</v>
      </c>
      <c r="G18" s="90">
        <v>101391.0</v>
      </c>
      <c r="H18" s="90">
        <v>101391.0</v>
      </c>
      <c r="I18" s="90">
        <v>101391.0</v>
      </c>
      <c r="J18" s="90">
        <v>101391.0</v>
      </c>
      <c r="K18" s="90">
        <v>101391.0</v>
      </c>
      <c r="L18" s="90">
        <v>101391.0</v>
      </c>
      <c r="M18" s="90">
        <v>101391.0</v>
      </c>
      <c r="N18" s="90">
        <v>101391.0</v>
      </c>
      <c r="O18" s="90">
        <v>101391.0</v>
      </c>
      <c r="P18" s="22">
        <f t="shared" si="9"/>
        <v>1216692</v>
      </c>
      <c r="Q18" s="72" t="s">
        <v>74</v>
      </c>
      <c r="R18" s="87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/>
      <c r="B19" s="18">
        <f t="shared" si="10"/>
        <v>9</v>
      </c>
      <c r="C19" s="88" t="s">
        <v>27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M19" s="20">
        <v>1000.0</v>
      </c>
      <c r="N19" s="20">
        <v>0.0</v>
      </c>
      <c r="O19" s="20">
        <v>0.0</v>
      </c>
      <c r="P19" s="22">
        <f t="shared" si="9"/>
        <v>1000</v>
      </c>
      <c r="Q19" s="72" t="s">
        <v>75</v>
      </c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/>
      <c r="B20" s="18">
        <f t="shared" si="10"/>
        <v>10</v>
      </c>
      <c r="C20" s="88" t="s">
        <v>58</v>
      </c>
      <c r="D20" s="20">
        <v>57700.0</v>
      </c>
      <c r="E20" s="20">
        <v>57700.0</v>
      </c>
      <c r="F20" s="20">
        <v>57700.0</v>
      </c>
      <c r="G20" s="20">
        <v>57700.0</v>
      </c>
      <c r="H20" s="20">
        <v>57700.0</v>
      </c>
      <c r="I20" s="20">
        <v>57700.0</v>
      </c>
      <c r="J20" s="20">
        <v>57700.0</v>
      </c>
      <c r="K20" s="20">
        <v>57700.0</v>
      </c>
      <c r="L20" s="20">
        <v>57700.0</v>
      </c>
      <c r="M20" s="20">
        <v>0.0</v>
      </c>
      <c r="N20" s="20">
        <v>0.0</v>
      </c>
      <c r="O20" s="20">
        <v>0.0</v>
      </c>
      <c r="P20" s="22">
        <f t="shared" si="9"/>
        <v>519300</v>
      </c>
      <c r="Q20" s="72" t="s">
        <v>76</v>
      </c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/>
      <c r="B21" s="18">
        <f t="shared" si="10"/>
        <v>11</v>
      </c>
      <c r="C21" s="66" t="s">
        <v>36</v>
      </c>
      <c r="D21" s="90">
        <v>3229.0</v>
      </c>
      <c r="E21" s="90">
        <v>3229.0</v>
      </c>
      <c r="F21" s="90">
        <v>3229.0</v>
      </c>
      <c r="G21" s="90">
        <v>3229.0</v>
      </c>
      <c r="H21" s="90">
        <v>3229.0</v>
      </c>
      <c r="I21" s="90">
        <v>3229.0</v>
      </c>
      <c r="J21" s="90">
        <v>3229.0</v>
      </c>
      <c r="K21" s="90">
        <v>3229.0</v>
      </c>
      <c r="L21" s="90">
        <v>3229.0</v>
      </c>
      <c r="M21" s="90">
        <v>3229.0</v>
      </c>
      <c r="N21" s="90">
        <v>3229.0</v>
      </c>
      <c r="O21" s="90">
        <v>3229.0</v>
      </c>
      <c r="P21" s="22">
        <f t="shared" si="9"/>
        <v>38748</v>
      </c>
      <c r="Q21" s="22"/>
      <c r="R21" s="87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/>
      <c r="B22" s="18">
        <f t="shared" si="10"/>
        <v>12</v>
      </c>
      <c r="C22" s="66" t="s">
        <v>56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  <c r="J22" s="20">
        <v>0.0</v>
      </c>
      <c r="K22" s="20">
        <v>0.0</v>
      </c>
      <c r="L22" s="20">
        <v>0.0</v>
      </c>
      <c r="M22" s="20">
        <v>0.0</v>
      </c>
      <c r="N22" s="20">
        <v>0.0</v>
      </c>
      <c r="O22" s="20">
        <v>0.0</v>
      </c>
      <c r="P22" s="22">
        <f t="shared" si="9"/>
        <v>0</v>
      </c>
      <c r="Q22" s="22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/>
      <c r="B23" s="18">
        <f t="shared" si="10"/>
        <v>13</v>
      </c>
      <c r="C23" s="66" t="s">
        <v>59</v>
      </c>
      <c r="D23" s="21">
        <v>4250.9</v>
      </c>
      <c r="E23" s="21">
        <v>4250.9</v>
      </c>
      <c r="F23" s="21">
        <v>4250.9</v>
      </c>
      <c r="G23" s="21">
        <v>4250.9</v>
      </c>
      <c r="H23" s="21">
        <v>4250.9</v>
      </c>
      <c r="I23" s="21">
        <v>4250.9</v>
      </c>
      <c r="J23" s="21">
        <v>4250.9</v>
      </c>
      <c r="K23" s="21">
        <v>4250.9</v>
      </c>
      <c r="L23" s="21">
        <v>4250.9</v>
      </c>
      <c r="M23" s="21">
        <v>4250.9</v>
      </c>
      <c r="N23" s="21">
        <v>4250.9</v>
      </c>
      <c r="O23" s="21">
        <v>4250.9</v>
      </c>
      <c r="P23" s="22">
        <f t="shared" si="9"/>
        <v>51010.8</v>
      </c>
      <c r="Q23" s="22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/>
      <c r="B24" s="18">
        <f t="shared" si="10"/>
        <v>14</v>
      </c>
      <c r="C24" s="66" t="s">
        <v>40</v>
      </c>
      <c r="D24" s="90">
        <v>20000.0</v>
      </c>
      <c r="E24" s="90">
        <v>20000.0</v>
      </c>
      <c r="F24" s="90">
        <v>20000.0</v>
      </c>
      <c r="G24" s="90">
        <v>20000.0</v>
      </c>
      <c r="H24" s="90">
        <v>20000.0</v>
      </c>
      <c r="I24" s="90">
        <v>20000.0</v>
      </c>
      <c r="J24" s="90">
        <v>20000.0</v>
      </c>
      <c r="K24" s="90">
        <v>20000.0</v>
      </c>
      <c r="L24" s="90">
        <v>20000.0</v>
      </c>
      <c r="M24" s="90">
        <v>20000.0</v>
      </c>
      <c r="N24" s="90">
        <v>20000.0</v>
      </c>
      <c r="O24" s="90">
        <v>20000.0</v>
      </c>
      <c r="P24" s="22">
        <f t="shared" si="9"/>
        <v>240000</v>
      </c>
      <c r="Q24" s="22"/>
      <c r="R24" s="87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/>
      <c r="B25" s="18">
        <f t="shared" si="10"/>
        <v>15</v>
      </c>
      <c r="C25" s="66" t="s">
        <v>33</v>
      </c>
      <c r="D25" s="90">
        <v>6196.0</v>
      </c>
      <c r="E25" s="90">
        <v>6196.0</v>
      </c>
      <c r="F25" s="90">
        <v>6196.0</v>
      </c>
      <c r="G25" s="90">
        <v>6196.0</v>
      </c>
      <c r="H25" s="90">
        <v>6196.0</v>
      </c>
      <c r="I25" s="90">
        <v>6196.0</v>
      </c>
      <c r="J25" s="90">
        <v>6196.0</v>
      </c>
      <c r="K25" s="90">
        <v>6196.0</v>
      </c>
      <c r="L25" s="90">
        <v>6196.0</v>
      </c>
      <c r="M25" s="90">
        <v>6196.0</v>
      </c>
      <c r="N25" s="90">
        <v>6196.0</v>
      </c>
      <c r="O25" s="90">
        <v>6196.0</v>
      </c>
      <c r="P25" s="22">
        <f t="shared" si="9"/>
        <v>74352</v>
      </c>
      <c r="Q25" s="72" t="s">
        <v>77</v>
      </c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 t="s">
        <v>60</v>
      </c>
      <c r="B26" s="73"/>
      <c r="C26" s="74" t="s">
        <v>78</v>
      </c>
      <c r="D26" s="75">
        <f t="shared" ref="D26:O26" si="11">SUM(D16:D25)</f>
        <v>494839.9</v>
      </c>
      <c r="E26" s="75">
        <f t="shared" si="11"/>
        <v>494839.9</v>
      </c>
      <c r="F26" s="75">
        <f t="shared" si="11"/>
        <v>494839.9</v>
      </c>
      <c r="G26" s="75">
        <f t="shared" si="11"/>
        <v>494839.9</v>
      </c>
      <c r="H26" s="75">
        <f t="shared" si="11"/>
        <v>594839.9</v>
      </c>
      <c r="I26" s="75">
        <f t="shared" si="11"/>
        <v>494839.9</v>
      </c>
      <c r="J26" s="75">
        <f t="shared" si="11"/>
        <v>494839.9</v>
      </c>
      <c r="K26" s="75">
        <f t="shared" si="11"/>
        <v>494839.9</v>
      </c>
      <c r="L26" s="75">
        <f t="shared" si="11"/>
        <v>494839.9</v>
      </c>
      <c r="M26" s="75">
        <f t="shared" si="11"/>
        <v>498139.9</v>
      </c>
      <c r="N26" s="75">
        <f t="shared" si="11"/>
        <v>437139.9</v>
      </c>
      <c r="O26" s="75">
        <f t="shared" si="11"/>
        <v>437139.9</v>
      </c>
      <c r="P26" s="76">
        <f t="shared" si="9"/>
        <v>5925978.8</v>
      </c>
      <c r="Q26" s="76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0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3"/>
      <c r="Q27" s="3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 t="s">
        <v>62</v>
      </c>
      <c r="B28" s="77"/>
      <c r="C28" s="78" t="s">
        <v>79</v>
      </c>
      <c r="D28" s="79">
        <f t="shared" ref="D28:O28" si="12">D13-D26</f>
        <v>1505160.1</v>
      </c>
      <c r="E28" s="79">
        <f t="shared" si="12"/>
        <v>1555160.1</v>
      </c>
      <c r="F28" s="79">
        <f t="shared" si="12"/>
        <v>1985160.1</v>
      </c>
      <c r="G28" s="79">
        <f t="shared" si="12"/>
        <v>3505160.1</v>
      </c>
      <c r="H28" s="79">
        <f t="shared" si="12"/>
        <v>2665160.1</v>
      </c>
      <c r="I28" s="79">
        <f t="shared" si="12"/>
        <v>2435160.1</v>
      </c>
      <c r="J28" s="79">
        <f t="shared" si="12"/>
        <v>1905160.1</v>
      </c>
      <c r="K28" s="79">
        <f t="shared" si="12"/>
        <v>1435160.1</v>
      </c>
      <c r="L28" s="79">
        <f t="shared" si="12"/>
        <v>2315160.1</v>
      </c>
      <c r="M28" s="79">
        <f t="shared" si="12"/>
        <v>2051860.1</v>
      </c>
      <c r="N28" s="79">
        <f t="shared" si="12"/>
        <v>1412860.1</v>
      </c>
      <c r="O28" s="79">
        <f t="shared" si="12"/>
        <v>1492860.1</v>
      </c>
      <c r="P28" s="80">
        <f>SUM(D28:O28)</f>
        <v>24264021.2</v>
      </c>
      <c r="Q28" s="80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3"/>
      <c r="Q29" s="3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3"/>
      <c r="Q30" s="3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3"/>
      <c r="Q31" s="3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/>
      <c r="B32" s="81" t="s">
        <v>80</v>
      </c>
      <c r="C32" s="82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65"/>
      <c r="Q32" s="65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/>
      <c r="B33" s="18">
        <v>1.0</v>
      </c>
      <c r="C33" s="66" t="s">
        <v>13</v>
      </c>
      <c r="D33" s="67">
        <v>600000.0</v>
      </c>
      <c r="E33" s="67">
        <v>600000.0</v>
      </c>
      <c r="F33" s="67">
        <v>600000.0</v>
      </c>
      <c r="G33" s="67">
        <v>600000.0</v>
      </c>
      <c r="H33" s="67">
        <v>600000.0</v>
      </c>
      <c r="I33" s="67">
        <v>600000.0</v>
      </c>
      <c r="J33" s="67">
        <v>600000.0</v>
      </c>
      <c r="K33" s="67">
        <v>500000.0</v>
      </c>
      <c r="L33" s="67">
        <v>0.0</v>
      </c>
      <c r="M33" s="67">
        <v>0.0</v>
      </c>
      <c r="N33" s="67">
        <v>1000000.0</v>
      </c>
      <c r="O33" s="67">
        <v>2000000.0</v>
      </c>
      <c r="P33" s="69">
        <f t="shared" ref="P33:P39" si="13">SUM(D33:O33)</f>
        <v>7700000</v>
      </c>
      <c r="Q33" s="70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/>
      <c r="B34" s="18">
        <f>B33+1</f>
        <v>2</v>
      </c>
      <c r="C34" s="19" t="s">
        <v>15</v>
      </c>
      <c r="D34" s="25">
        <v>400000.0</v>
      </c>
      <c r="E34" s="25">
        <v>400000.0</v>
      </c>
      <c r="F34" s="25">
        <v>450000.0</v>
      </c>
      <c r="G34" s="25">
        <v>600000.0</v>
      </c>
      <c r="H34" s="25">
        <v>650000.0</v>
      </c>
      <c r="I34" s="28">
        <v>0.0</v>
      </c>
      <c r="J34" s="28">
        <v>0.0</v>
      </c>
      <c r="K34" s="28">
        <v>0.0</v>
      </c>
      <c r="L34" s="28">
        <v>0.0</v>
      </c>
      <c r="M34" s="28">
        <v>0.0</v>
      </c>
      <c r="N34" s="28">
        <v>0.0</v>
      </c>
      <c r="O34" s="28">
        <v>0.0</v>
      </c>
      <c r="P34" s="22">
        <f t="shared" si="13"/>
        <v>2500000</v>
      </c>
      <c r="Q34" s="22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 t="s">
        <v>43</v>
      </c>
      <c r="B35" s="34"/>
      <c r="C35" s="35" t="s">
        <v>25</v>
      </c>
      <c r="D35" s="36">
        <f t="shared" ref="D35:O35" si="14">SUM(D33:D34)</f>
        <v>1000000</v>
      </c>
      <c r="E35" s="36">
        <f t="shared" si="14"/>
        <v>1000000</v>
      </c>
      <c r="F35" s="36">
        <f t="shared" si="14"/>
        <v>1050000</v>
      </c>
      <c r="G35" s="36">
        <f t="shared" si="14"/>
        <v>1200000</v>
      </c>
      <c r="H35" s="36">
        <f t="shared" si="14"/>
        <v>1250000</v>
      </c>
      <c r="I35" s="36">
        <f t="shared" si="14"/>
        <v>600000</v>
      </c>
      <c r="J35" s="36">
        <f t="shared" si="14"/>
        <v>600000</v>
      </c>
      <c r="K35" s="36">
        <f t="shared" si="14"/>
        <v>500000</v>
      </c>
      <c r="L35" s="36">
        <f t="shared" si="14"/>
        <v>0</v>
      </c>
      <c r="M35" s="36">
        <f t="shared" si="14"/>
        <v>0</v>
      </c>
      <c r="N35" s="36">
        <f t="shared" si="14"/>
        <v>1000000</v>
      </c>
      <c r="O35" s="36">
        <f t="shared" si="14"/>
        <v>2000000</v>
      </c>
      <c r="P35" s="37">
        <f t="shared" si="13"/>
        <v>10200000</v>
      </c>
      <c r="Q35" s="37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/>
      <c r="B36" s="71">
        <f>B34+1</f>
        <v>3</v>
      </c>
      <c r="C36" s="66" t="s">
        <v>26</v>
      </c>
      <c r="D36" s="20">
        <v>370000.0</v>
      </c>
      <c r="E36" s="20">
        <v>420000.0</v>
      </c>
      <c r="F36" s="20">
        <v>420000.0</v>
      </c>
      <c r="G36" s="20">
        <v>420000.0</v>
      </c>
      <c r="H36" s="20">
        <v>420000.0</v>
      </c>
      <c r="I36" s="20">
        <v>420000.0</v>
      </c>
      <c r="J36" s="20">
        <v>420000.0</v>
      </c>
      <c r="K36" s="20">
        <v>420000.0</v>
      </c>
      <c r="L36" s="20">
        <v>420000.0</v>
      </c>
      <c r="M36" s="20">
        <v>420000.0</v>
      </c>
      <c r="N36" s="20">
        <v>420000.0</v>
      </c>
      <c r="O36" s="20">
        <v>420000.0</v>
      </c>
      <c r="P36" s="69">
        <f t="shared" si="13"/>
        <v>4990000</v>
      </c>
      <c r="Q36" s="69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 t="s">
        <v>47</v>
      </c>
      <c r="B37" s="71">
        <v>4.0</v>
      </c>
      <c r="C37" s="19" t="s">
        <v>28</v>
      </c>
      <c r="D37" s="20">
        <f t="shared" ref="D37:O37" si="15">D35*0.036</f>
        <v>36000</v>
      </c>
      <c r="E37" s="20">
        <f t="shared" si="15"/>
        <v>36000</v>
      </c>
      <c r="F37" s="20">
        <f t="shared" si="15"/>
        <v>37800</v>
      </c>
      <c r="G37" s="20">
        <f t="shared" si="15"/>
        <v>43200</v>
      </c>
      <c r="H37" s="20">
        <f t="shared" si="15"/>
        <v>45000</v>
      </c>
      <c r="I37" s="20">
        <f t="shared" si="15"/>
        <v>21600</v>
      </c>
      <c r="J37" s="20">
        <f t="shared" si="15"/>
        <v>21600</v>
      </c>
      <c r="K37" s="20">
        <f t="shared" si="15"/>
        <v>18000</v>
      </c>
      <c r="L37" s="20">
        <f t="shared" si="15"/>
        <v>0</v>
      </c>
      <c r="M37" s="20">
        <f t="shared" si="15"/>
        <v>0</v>
      </c>
      <c r="N37" s="20">
        <f t="shared" si="15"/>
        <v>36000</v>
      </c>
      <c r="O37" s="20">
        <f t="shared" si="15"/>
        <v>72000</v>
      </c>
      <c r="P37" s="22">
        <f t="shared" si="13"/>
        <v>367200</v>
      </c>
      <c r="Q37" s="72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/>
      <c r="B38" s="55"/>
      <c r="C38" s="56" t="s">
        <v>42</v>
      </c>
      <c r="D38" s="57">
        <f t="shared" ref="D38:O38" si="16">SUM(D36:D37)</f>
        <v>406000</v>
      </c>
      <c r="E38" s="57">
        <f t="shared" si="16"/>
        <v>456000</v>
      </c>
      <c r="F38" s="57">
        <f t="shared" si="16"/>
        <v>457800</v>
      </c>
      <c r="G38" s="57">
        <f t="shared" si="16"/>
        <v>463200</v>
      </c>
      <c r="H38" s="57">
        <f t="shared" si="16"/>
        <v>465000</v>
      </c>
      <c r="I38" s="57">
        <f t="shared" si="16"/>
        <v>441600</v>
      </c>
      <c r="J38" s="57">
        <f t="shared" si="16"/>
        <v>441600</v>
      </c>
      <c r="K38" s="57">
        <f t="shared" si="16"/>
        <v>438000</v>
      </c>
      <c r="L38" s="57">
        <f t="shared" si="16"/>
        <v>420000</v>
      </c>
      <c r="M38" s="57">
        <f t="shared" si="16"/>
        <v>420000</v>
      </c>
      <c r="N38" s="57">
        <f t="shared" si="16"/>
        <v>456000</v>
      </c>
      <c r="O38" s="57">
        <f t="shared" si="16"/>
        <v>492000</v>
      </c>
      <c r="P38" s="58">
        <f t="shared" si="13"/>
        <v>5357200</v>
      </c>
      <c r="Q38" s="58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">
        <v>48</v>
      </c>
      <c r="B39" s="59"/>
      <c r="C39" s="60" t="s">
        <v>81</v>
      </c>
      <c r="D39" s="61">
        <f t="shared" ref="D39:O39" si="17">D35-D38</f>
        <v>594000</v>
      </c>
      <c r="E39" s="61">
        <f t="shared" si="17"/>
        <v>544000</v>
      </c>
      <c r="F39" s="61">
        <f t="shared" si="17"/>
        <v>592200</v>
      </c>
      <c r="G39" s="61">
        <f t="shared" si="17"/>
        <v>736800</v>
      </c>
      <c r="H39" s="61">
        <f t="shared" si="17"/>
        <v>785000</v>
      </c>
      <c r="I39" s="61">
        <f t="shared" si="17"/>
        <v>158400</v>
      </c>
      <c r="J39" s="61">
        <f t="shared" si="17"/>
        <v>158400</v>
      </c>
      <c r="K39" s="61">
        <f t="shared" si="17"/>
        <v>62000</v>
      </c>
      <c r="L39" s="61">
        <f t="shared" si="17"/>
        <v>-420000</v>
      </c>
      <c r="M39" s="61">
        <f t="shared" si="17"/>
        <v>-420000</v>
      </c>
      <c r="N39" s="61">
        <f t="shared" si="17"/>
        <v>544000</v>
      </c>
      <c r="O39" s="61">
        <f t="shared" si="17"/>
        <v>1508000</v>
      </c>
      <c r="P39" s="62">
        <f t="shared" si="13"/>
        <v>4842800</v>
      </c>
      <c r="Q39" s="62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/>
      <c r="B40" s="63"/>
      <c r="P40" s="6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/>
      <c r="B41" s="10" t="s">
        <v>82</v>
      </c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65"/>
      <c r="Q41" s="65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/>
      <c r="B42" s="18">
        <f>B37+1</f>
        <v>5</v>
      </c>
      <c r="C42" s="88" t="s">
        <v>52</v>
      </c>
      <c r="D42" s="67">
        <v>250000.0</v>
      </c>
      <c r="E42" s="67">
        <v>200000.0</v>
      </c>
      <c r="F42" s="67">
        <v>200000.0</v>
      </c>
      <c r="G42" s="67">
        <v>200000.0</v>
      </c>
      <c r="H42" s="67">
        <v>200000.0</v>
      </c>
      <c r="I42" s="67">
        <v>200000.0</v>
      </c>
      <c r="J42" s="67">
        <v>200000.0</v>
      </c>
      <c r="K42" s="67">
        <v>200000.0</v>
      </c>
      <c r="L42" s="67">
        <v>200000.0</v>
      </c>
      <c r="M42" s="67">
        <v>200000.0</v>
      </c>
      <c r="N42" s="67">
        <v>200000.0</v>
      </c>
      <c r="O42" s="67">
        <v>200000.0</v>
      </c>
      <c r="P42" s="22">
        <f t="shared" ref="P42:P47" si="18">SUM(D42:O42)</f>
        <v>2450000</v>
      </c>
      <c r="Q42" s="72" t="s">
        <v>83</v>
      </c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/>
      <c r="B43" s="18">
        <f t="shared" ref="B43:B46" si="19">B42+1</f>
        <v>6</v>
      </c>
      <c r="C43" s="88" t="s">
        <v>53</v>
      </c>
      <c r="D43" s="20">
        <v>208000.0</v>
      </c>
      <c r="E43" s="20">
        <v>208000.0</v>
      </c>
      <c r="F43" s="20">
        <v>208000.0</v>
      </c>
      <c r="G43" s="20">
        <v>208000.0</v>
      </c>
      <c r="H43" s="20">
        <v>208000.0</v>
      </c>
      <c r="I43" s="20">
        <v>208000.0</v>
      </c>
      <c r="J43" s="20">
        <v>208000.0</v>
      </c>
      <c r="K43" s="20">
        <v>208000.0</v>
      </c>
      <c r="L43" s="20">
        <v>208000.0</v>
      </c>
      <c r="M43" s="20">
        <v>208000.0</v>
      </c>
      <c r="N43" s="20">
        <v>208000.0</v>
      </c>
      <c r="O43" s="20">
        <v>208000.0</v>
      </c>
      <c r="P43" s="22">
        <f t="shared" si="18"/>
        <v>2496000</v>
      </c>
      <c r="Q43" s="72" t="s">
        <v>84</v>
      </c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/>
      <c r="B44" s="18">
        <f t="shared" si="19"/>
        <v>7</v>
      </c>
      <c r="C44" s="88" t="s">
        <v>27</v>
      </c>
      <c r="D44" s="20">
        <v>0.0</v>
      </c>
      <c r="E44" s="20">
        <v>0.0</v>
      </c>
      <c r="F44" s="20">
        <v>0.0</v>
      </c>
      <c r="G44" s="20">
        <v>0.0</v>
      </c>
      <c r="H44" s="20">
        <v>0.0</v>
      </c>
      <c r="I44" s="20">
        <v>0.0</v>
      </c>
      <c r="J44" s="20">
        <v>0.0</v>
      </c>
      <c r="K44" s="20">
        <v>0.0</v>
      </c>
      <c r="L44" s="20">
        <v>20800.0</v>
      </c>
      <c r="M44" s="20">
        <v>0.0</v>
      </c>
      <c r="N44" s="20">
        <v>0.0</v>
      </c>
      <c r="O44" s="20">
        <v>0.0</v>
      </c>
      <c r="P44" s="22">
        <f t="shared" si="18"/>
        <v>20800</v>
      </c>
      <c r="Q44" s="72" t="s">
        <v>85</v>
      </c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/>
      <c r="B45" s="18">
        <f t="shared" si="19"/>
        <v>8</v>
      </c>
      <c r="C45" s="88" t="s">
        <v>54</v>
      </c>
      <c r="D45" s="20">
        <v>32488.0</v>
      </c>
      <c r="E45" s="20">
        <v>32488.0</v>
      </c>
      <c r="F45" s="20">
        <v>32488.0</v>
      </c>
      <c r="G45" s="20">
        <v>32488.0</v>
      </c>
      <c r="H45" s="20">
        <v>32488.0</v>
      </c>
      <c r="I45" s="20">
        <v>32488.0</v>
      </c>
      <c r="J45" s="20">
        <v>32488.0</v>
      </c>
      <c r="K45" s="20">
        <v>32488.0</v>
      </c>
      <c r="L45" s="20">
        <v>32488.0</v>
      </c>
      <c r="M45" s="20">
        <v>32488.0</v>
      </c>
      <c r="N45" s="20">
        <v>32488.0</v>
      </c>
      <c r="O45" s="20">
        <v>32488.0</v>
      </c>
      <c r="P45" s="22">
        <f t="shared" si="18"/>
        <v>389856</v>
      </c>
      <c r="Q45" s="22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/>
      <c r="B46" s="18">
        <f t="shared" si="19"/>
        <v>9</v>
      </c>
      <c r="C46" s="66" t="s">
        <v>33</v>
      </c>
      <c r="D46" s="20">
        <v>3902.0</v>
      </c>
      <c r="E46" s="20">
        <v>3902.0</v>
      </c>
      <c r="F46" s="20">
        <v>3902.0</v>
      </c>
      <c r="G46" s="20">
        <v>3902.0</v>
      </c>
      <c r="H46" s="20">
        <v>3902.0</v>
      </c>
      <c r="I46" s="20">
        <v>3902.0</v>
      </c>
      <c r="J46" s="20">
        <v>3902.0</v>
      </c>
      <c r="K46" s="20">
        <v>3902.0</v>
      </c>
      <c r="L46" s="20">
        <v>3902.0</v>
      </c>
      <c r="M46" s="20">
        <v>3902.0</v>
      </c>
      <c r="N46" s="20">
        <v>3902.0</v>
      </c>
      <c r="O46" s="20">
        <v>3902.0</v>
      </c>
      <c r="P46" s="22">
        <f t="shared" si="18"/>
        <v>46824</v>
      </c>
      <c r="Q46" s="22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 t="s">
        <v>60</v>
      </c>
      <c r="B47" s="73"/>
      <c r="C47" s="74" t="s">
        <v>78</v>
      </c>
      <c r="D47" s="75">
        <f t="shared" ref="D47:O47" si="20">SUM(D42:D46)</f>
        <v>494390</v>
      </c>
      <c r="E47" s="75">
        <f t="shared" si="20"/>
        <v>444390</v>
      </c>
      <c r="F47" s="75">
        <f t="shared" si="20"/>
        <v>444390</v>
      </c>
      <c r="G47" s="75">
        <f t="shared" si="20"/>
        <v>444390</v>
      </c>
      <c r="H47" s="75">
        <f t="shared" si="20"/>
        <v>444390</v>
      </c>
      <c r="I47" s="75">
        <f t="shared" si="20"/>
        <v>444390</v>
      </c>
      <c r="J47" s="75">
        <f t="shared" si="20"/>
        <v>444390</v>
      </c>
      <c r="K47" s="75">
        <f t="shared" si="20"/>
        <v>444390</v>
      </c>
      <c r="L47" s="75">
        <f t="shared" si="20"/>
        <v>465190</v>
      </c>
      <c r="M47" s="75">
        <f t="shared" si="20"/>
        <v>444390</v>
      </c>
      <c r="N47" s="75">
        <f t="shared" si="20"/>
        <v>444390</v>
      </c>
      <c r="O47" s="75">
        <f t="shared" si="20"/>
        <v>444390</v>
      </c>
      <c r="P47" s="76">
        <f t="shared" si="18"/>
        <v>5403480</v>
      </c>
      <c r="Q47" s="76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3"/>
      <c r="Q48" s="3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 t="s">
        <v>62</v>
      </c>
      <c r="B49" s="77"/>
      <c r="C49" s="78" t="s">
        <v>39</v>
      </c>
      <c r="D49" s="79">
        <f t="shared" ref="D49:O49" si="21">D39-D47</f>
        <v>99610</v>
      </c>
      <c r="E49" s="79">
        <f t="shared" si="21"/>
        <v>99610</v>
      </c>
      <c r="F49" s="79">
        <f t="shared" si="21"/>
        <v>147810</v>
      </c>
      <c r="G49" s="79">
        <f t="shared" si="21"/>
        <v>292410</v>
      </c>
      <c r="H49" s="79">
        <f t="shared" si="21"/>
        <v>340610</v>
      </c>
      <c r="I49" s="79">
        <f t="shared" si="21"/>
        <v>-285990</v>
      </c>
      <c r="J49" s="79">
        <f t="shared" si="21"/>
        <v>-285990</v>
      </c>
      <c r="K49" s="79">
        <f t="shared" si="21"/>
        <v>-382390</v>
      </c>
      <c r="L49" s="79">
        <f t="shared" si="21"/>
        <v>-885190</v>
      </c>
      <c r="M49" s="79">
        <f t="shared" si="21"/>
        <v>-864390</v>
      </c>
      <c r="N49" s="79">
        <f t="shared" si="21"/>
        <v>99610</v>
      </c>
      <c r="O49" s="79">
        <f t="shared" si="21"/>
        <v>1063610</v>
      </c>
      <c r="P49" s="80">
        <f>SUM(D49:O49)</f>
        <v>-560680</v>
      </c>
      <c r="Q49" s="80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"/>
      <c r="Q50" s="3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3"/>
      <c r="Q51" s="3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3"/>
      <c r="Q52" s="3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3"/>
      <c r="Q53" s="3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3"/>
      <c r="Q54" s="3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3"/>
      <c r="Q55" s="3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3"/>
      <c r="Q56" s="3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3"/>
      <c r="Q57" s="3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3"/>
      <c r="Q59" s="3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3"/>
      <c r="Q60" s="3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3"/>
      <c r="Q61" s="3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3"/>
      <c r="Q70" s="3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3"/>
      <c r="Q71" s="3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3"/>
      <c r="Q72" s="3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3"/>
      <c r="Q73" s="3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3"/>
      <c r="Q74" s="3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3"/>
      <c r="Q75" s="3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3"/>
      <c r="Q76" s="3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3"/>
      <c r="Q77" s="3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3"/>
      <c r="Q78" s="3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3"/>
      <c r="Q79" s="3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3"/>
      <c r="Q80" s="3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3"/>
      <c r="Q81" s="3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3"/>
      <c r="Q82" s="3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3"/>
      <c r="Q83" s="3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3"/>
      <c r="Q84" s="3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3"/>
      <c r="Q85" s="3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3"/>
      <c r="Q86" s="3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3"/>
      <c r="Q87" s="3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3"/>
      <c r="Q88" s="3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3"/>
      <c r="Q89" s="3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3"/>
      <c r="Q90" s="3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3"/>
      <c r="Q91" s="3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3"/>
      <c r="Q92" s="3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3"/>
      <c r="Q93" s="3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3"/>
      <c r="Q94" s="3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3"/>
      <c r="Q95" s="3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3"/>
      <c r="Q96" s="3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3"/>
      <c r="Q97" s="3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3"/>
      <c r="Q98" s="3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3"/>
      <c r="Q99" s="3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3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3"/>
      <c r="Q101" s="3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3"/>
      <c r="Q102" s="3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3"/>
      <c r="Q103" s="3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3"/>
      <c r="Q104" s="3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3"/>
      <c r="Q105" s="3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3"/>
      <c r="Q106" s="3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3"/>
      <c r="Q107" s="3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3"/>
      <c r="Q108" s="3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3"/>
      <c r="Q109" s="3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3"/>
      <c r="Q110" s="3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3"/>
      <c r="Q111" s="3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3"/>
      <c r="Q112" s="3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3"/>
      <c r="Q113" s="3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3"/>
      <c r="Q114" s="3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3"/>
      <c r="Q115" s="3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3"/>
      <c r="Q116" s="3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3"/>
      <c r="Q119" s="3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3"/>
      <c r="Q120" s="3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3"/>
      <c r="Q121" s="3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3"/>
      <c r="Q122" s="3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3"/>
      <c r="Q123" s="3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3"/>
      <c r="Q124" s="3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3"/>
      <c r="Q126" s="3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3"/>
      <c r="Q127" s="3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3"/>
      <c r="Q128" s="3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3"/>
      <c r="Q129" s="3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3"/>
      <c r="Q130" s="3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3"/>
      <c r="Q131" s="3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3"/>
      <c r="Q132" s="3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3"/>
      <c r="Q133" s="3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3"/>
      <c r="Q134" s="3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3"/>
      <c r="Q135" s="3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3"/>
      <c r="Q136" s="3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3"/>
      <c r="Q137" s="3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3"/>
      <c r="Q138" s="3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3"/>
      <c r="Q139" s="3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3"/>
      <c r="Q140" s="3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3"/>
      <c r="Q141" s="3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3"/>
      <c r="Q142" s="3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3"/>
      <c r="Q143" s="3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3"/>
      <c r="Q144" s="3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3"/>
      <c r="Q145" s="3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3"/>
      <c r="Q146" s="3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3"/>
      <c r="Q147" s="3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3"/>
      <c r="Q148" s="3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3"/>
      <c r="Q149" s="3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Q150" s="3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3"/>
      <c r="Q151" s="3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3"/>
      <c r="Q153" s="3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3"/>
      <c r="Q154" s="3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3"/>
      <c r="Q155" s="3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3"/>
      <c r="Q156" s="3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3"/>
      <c r="Q157" s="3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3"/>
      <c r="Q158" s="3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3"/>
      <c r="Q159" s="3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3"/>
      <c r="Q160" s="3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3"/>
      <c r="Q161" s="3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3"/>
      <c r="Q162" s="3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3"/>
      <c r="Q163" s="3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3"/>
      <c r="Q164" s="3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3"/>
      <c r="Q165" s="3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"/>
      <c r="Q166" s="3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3"/>
      <c r="Q167" s="3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3"/>
      <c r="Q168" s="3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3"/>
      <c r="Q169" s="3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3"/>
      <c r="Q170" s="3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3"/>
      <c r="Q171" s="3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3"/>
      <c r="Q172" s="3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3"/>
      <c r="Q173" s="3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3"/>
      <c r="Q174" s="3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3"/>
      <c r="Q175" s="3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"/>
      <c r="Q176" s="3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3"/>
      <c r="Q177" s="3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3"/>
      <c r="Q178" s="3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3"/>
      <c r="Q179" s="3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3"/>
      <c r="Q180" s="3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3"/>
      <c r="Q181" s="3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3"/>
      <c r="Q182" s="3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"/>
      <c r="Q183" s="3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3"/>
      <c r="Q184" s="3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3"/>
      <c r="Q185" s="3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3"/>
      <c r="Q186" s="3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3"/>
      <c r="Q187" s="3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"/>
      <c r="Q188" s="3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3"/>
      <c r="Q189" s="3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3"/>
      <c r="Q190" s="3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3"/>
      <c r="Q191" s="3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3"/>
      <c r="Q192" s="3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3"/>
      <c r="Q193" s="3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3"/>
      <c r="Q194" s="3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3"/>
      <c r="Q195" s="3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3"/>
      <c r="Q196" s="3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3"/>
      <c r="Q197" s="3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3"/>
      <c r="Q198" s="3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3"/>
      <c r="Q199" s="3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3"/>
      <c r="Q200" s="3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3"/>
      <c r="Q201" s="3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3"/>
      <c r="Q202" s="3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3"/>
      <c r="Q203" s="3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3"/>
      <c r="Q204" s="3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3"/>
      <c r="Q205" s="3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3"/>
      <c r="Q206" s="3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3"/>
      <c r="Q207" s="3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3"/>
      <c r="Q208" s="3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3"/>
      <c r="Q209" s="3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3"/>
      <c r="Q210" s="3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3"/>
      <c r="Q211" s="3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3"/>
      <c r="Q212" s="3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3"/>
      <c r="Q213" s="3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3"/>
      <c r="Q214" s="3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3"/>
      <c r="Q215" s="3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3"/>
      <c r="Q216" s="3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3"/>
      <c r="Q217" s="3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3"/>
      <c r="Q218" s="3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3"/>
      <c r="Q219" s="3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3"/>
      <c r="Q220" s="3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3"/>
      <c r="Q221" s="3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3"/>
      <c r="Q222" s="3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3"/>
      <c r="Q223" s="3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3"/>
      <c r="Q224" s="3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3"/>
      <c r="Q225" s="3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3"/>
      <c r="Q245" s="3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3"/>
      <c r="Q246" s="3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3"/>
      <c r="Q247" s="3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3"/>
      <c r="Q248" s="3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3"/>
      <c r="Q249" s="3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3"/>
      <c r="Q250" s="3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3"/>
      <c r="Q251" s="3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3"/>
      <c r="Q252" s="3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3"/>
      <c r="Q253" s="3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3"/>
      <c r="Q254" s="3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3"/>
      <c r="Q255" s="3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3"/>
      <c r="Q256" s="3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3"/>
      <c r="Q257" s="3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3"/>
      <c r="Q258" s="3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3"/>
      <c r="Q259" s="3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3"/>
      <c r="Q260" s="3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"/>
      <c r="Q261" s="3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"/>
      <c r="Q262" s="3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3"/>
      <c r="Q263" s="3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3"/>
      <c r="Q264" s="3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3"/>
      <c r="Q265" s="3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3"/>
      <c r="Q266" s="3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3"/>
      <c r="Q267" s="3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3"/>
      <c r="Q268" s="3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3"/>
      <c r="Q269" s="3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3"/>
      <c r="Q270" s="3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3"/>
      <c r="Q271" s="3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3"/>
      <c r="Q272" s="3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3"/>
      <c r="Q273" s="3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3"/>
      <c r="Q274" s="3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3"/>
      <c r="Q275" s="3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3"/>
      <c r="Q276" s="3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3"/>
      <c r="Q277" s="3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3"/>
      <c r="Q278" s="3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3"/>
      <c r="Q279" s="3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3"/>
      <c r="Q280" s="3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3"/>
      <c r="Q281" s="3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3"/>
      <c r="Q282" s="3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3"/>
      <c r="Q283" s="3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3"/>
      <c r="Q284" s="3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3"/>
      <c r="Q285" s="3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3"/>
      <c r="Q286" s="3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3"/>
      <c r="Q287" s="3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3"/>
      <c r="Q288" s="3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3"/>
      <c r="Q289" s="3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3"/>
      <c r="Q290" s="3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3"/>
      <c r="Q291" s="3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3"/>
      <c r="Q292" s="3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3"/>
      <c r="Q293" s="3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3"/>
      <c r="Q294" s="3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3"/>
      <c r="Q295" s="3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3"/>
      <c r="Q296" s="3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3"/>
      <c r="Q297" s="3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3"/>
      <c r="Q298" s="3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3"/>
      <c r="Q299" s="3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3"/>
      <c r="Q300" s="3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3"/>
      <c r="Q301" s="3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3"/>
      <c r="Q302" s="3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3"/>
      <c r="Q303" s="3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3"/>
      <c r="Q304" s="3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3"/>
      <c r="Q305" s="3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3"/>
      <c r="Q306" s="3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3"/>
      <c r="Q307" s="3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3"/>
      <c r="Q308" s="3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3"/>
      <c r="Q309" s="3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3"/>
      <c r="Q310" s="3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3"/>
      <c r="Q311" s="3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3"/>
      <c r="Q312" s="3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3"/>
      <c r="Q313" s="3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3"/>
      <c r="Q314" s="3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3"/>
      <c r="Q315" s="3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3"/>
      <c r="Q316" s="3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3"/>
      <c r="Q317" s="3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3"/>
      <c r="Q318" s="3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3"/>
      <c r="Q319" s="3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3"/>
      <c r="Q320" s="3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3"/>
      <c r="Q321" s="3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3"/>
      <c r="Q322" s="3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3"/>
      <c r="Q323" s="3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3"/>
      <c r="Q324" s="3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3"/>
      <c r="Q325" s="3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3"/>
      <c r="Q326" s="3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3"/>
      <c r="Q327" s="3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3"/>
      <c r="Q328" s="3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3"/>
      <c r="Q329" s="3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3"/>
      <c r="Q330" s="3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3"/>
      <c r="Q331" s="3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3"/>
      <c r="Q332" s="3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3"/>
      <c r="Q333" s="3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3"/>
      <c r="Q334" s="3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3"/>
      <c r="Q335" s="3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3"/>
      <c r="Q336" s="3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3"/>
      <c r="Q337" s="3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3"/>
      <c r="Q338" s="3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3"/>
      <c r="Q339" s="3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3"/>
      <c r="Q340" s="3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3"/>
      <c r="Q341" s="3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3"/>
      <c r="Q342" s="3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3"/>
      <c r="Q343" s="3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3"/>
      <c r="Q344" s="3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3"/>
      <c r="Q345" s="3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3"/>
      <c r="Q346" s="3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3"/>
      <c r="Q347" s="3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3"/>
      <c r="Q348" s="3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3"/>
      <c r="Q349" s="3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3"/>
      <c r="Q350" s="3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3"/>
      <c r="Q351" s="3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3"/>
      <c r="Q352" s="3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3"/>
      <c r="Q353" s="3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3"/>
      <c r="Q354" s="3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3"/>
      <c r="Q355" s="3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3"/>
      <c r="Q356" s="3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3"/>
      <c r="Q357" s="3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3"/>
      <c r="Q358" s="3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3"/>
      <c r="Q359" s="3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3"/>
      <c r="Q360" s="3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3"/>
      <c r="Q361" s="3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3"/>
      <c r="Q362" s="3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3"/>
      <c r="Q363" s="3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3"/>
      <c r="Q364" s="3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3"/>
      <c r="Q365" s="3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3"/>
      <c r="Q366" s="3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3"/>
      <c r="Q367" s="3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3"/>
      <c r="Q368" s="3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3"/>
      <c r="Q369" s="3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3"/>
      <c r="Q370" s="3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3"/>
      <c r="Q371" s="3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3"/>
      <c r="Q372" s="3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3"/>
      <c r="Q373" s="3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3"/>
      <c r="Q374" s="3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3"/>
      <c r="Q375" s="3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3"/>
      <c r="Q376" s="3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3"/>
      <c r="Q377" s="3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3"/>
      <c r="Q378" s="3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3"/>
      <c r="Q379" s="3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3"/>
      <c r="Q380" s="3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3"/>
      <c r="Q381" s="3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3"/>
      <c r="Q382" s="3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3"/>
      <c r="Q383" s="3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3"/>
      <c r="Q384" s="3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3"/>
      <c r="Q385" s="3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3"/>
      <c r="Q386" s="3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3"/>
      <c r="Q387" s="3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3"/>
      <c r="Q388" s="3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3"/>
      <c r="Q389" s="3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3"/>
      <c r="Q390" s="3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3"/>
      <c r="Q391" s="3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3"/>
      <c r="Q392" s="3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3"/>
      <c r="Q393" s="3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3"/>
      <c r="Q394" s="3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3"/>
      <c r="Q395" s="3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3"/>
      <c r="Q396" s="3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3"/>
      <c r="Q397" s="3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3"/>
      <c r="Q398" s="3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3"/>
      <c r="Q399" s="3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3"/>
      <c r="Q400" s="3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3"/>
      <c r="Q401" s="3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3"/>
      <c r="Q402" s="3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3"/>
      <c r="Q403" s="3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3"/>
      <c r="Q404" s="3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3"/>
      <c r="Q405" s="3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3"/>
      <c r="Q406" s="3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3"/>
      <c r="Q407" s="3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3"/>
      <c r="Q408" s="3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3"/>
      <c r="Q409" s="3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3"/>
      <c r="Q410" s="3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3"/>
      <c r="Q411" s="3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3"/>
      <c r="Q412" s="3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3"/>
      <c r="Q413" s="3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3"/>
      <c r="Q414" s="3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3"/>
      <c r="Q415" s="3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3"/>
      <c r="Q416" s="3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3"/>
      <c r="Q417" s="3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3"/>
      <c r="Q418" s="3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3"/>
      <c r="Q419" s="3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3"/>
      <c r="Q420" s="3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3"/>
      <c r="Q421" s="3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3"/>
      <c r="Q422" s="3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3"/>
      <c r="Q423" s="3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3"/>
      <c r="Q424" s="3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3"/>
      <c r="Q425" s="3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3"/>
      <c r="Q426" s="3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3"/>
      <c r="Q427" s="3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3"/>
      <c r="Q428" s="3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3"/>
      <c r="Q429" s="3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3"/>
      <c r="Q430" s="3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3"/>
      <c r="Q431" s="3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3"/>
      <c r="Q432" s="3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3"/>
      <c r="Q433" s="3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3"/>
      <c r="Q434" s="3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3"/>
      <c r="Q435" s="3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3"/>
      <c r="Q436" s="3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3"/>
      <c r="Q437" s="3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3"/>
      <c r="Q438" s="3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3"/>
      <c r="Q439" s="3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3"/>
      <c r="Q440" s="3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3"/>
      <c r="Q441" s="3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3"/>
      <c r="Q442" s="3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3"/>
      <c r="Q443" s="3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3"/>
      <c r="Q444" s="3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3"/>
      <c r="Q445" s="3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3"/>
      <c r="Q446" s="3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3"/>
      <c r="Q447" s="3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3"/>
      <c r="Q448" s="3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3"/>
      <c r="Q449" s="3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3"/>
      <c r="Q450" s="3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3"/>
      <c r="Q451" s="3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3"/>
      <c r="Q452" s="3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3"/>
      <c r="Q453" s="3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3"/>
      <c r="Q454" s="3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3"/>
      <c r="Q455" s="3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3"/>
      <c r="Q456" s="3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3"/>
      <c r="Q457" s="3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3"/>
      <c r="Q458" s="3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3"/>
      <c r="Q459" s="3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3"/>
      <c r="Q460" s="3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3"/>
      <c r="Q461" s="3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3"/>
      <c r="Q462" s="3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3"/>
      <c r="Q463" s="3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3"/>
      <c r="Q464" s="3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3"/>
      <c r="Q465" s="3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3"/>
      <c r="Q466" s="3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3"/>
      <c r="Q467" s="3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3"/>
      <c r="Q468" s="3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3"/>
      <c r="Q469" s="3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3"/>
      <c r="Q470" s="3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3"/>
      <c r="Q471" s="3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3"/>
      <c r="Q472" s="3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3"/>
      <c r="Q473" s="3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3"/>
      <c r="Q474" s="3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3"/>
      <c r="Q475" s="3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3"/>
      <c r="Q476" s="3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3"/>
      <c r="Q477" s="3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3"/>
      <c r="Q478" s="3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3"/>
      <c r="Q479" s="3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3"/>
      <c r="Q480" s="3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3"/>
      <c r="Q481" s="3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3"/>
      <c r="Q482" s="3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3"/>
      <c r="Q483" s="3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3"/>
      <c r="Q484" s="3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3"/>
      <c r="Q485" s="3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3"/>
      <c r="Q486" s="3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3"/>
      <c r="Q487" s="3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3"/>
      <c r="Q488" s="3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3"/>
      <c r="Q489" s="3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3"/>
      <c r="Q490" s="3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3"/>
      <c r="Q491" s="3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3"/>
      <c r="Q492" s="3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3"/>
      <c r="Q493" s="3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3"/>
      <c r="Q494" s="3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3"/>
      <c r="Q495" s="3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3"/>
      <c r="Q496" s="3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3"/>
      <c r="Q497" s="3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3"/>
      <c r="Q498" s="3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3"/>
      <c r="Q499" s="3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3"/>
      <c r="Q500" s="3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3"/>
      <c r="Q501" s="3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3"/>
      <c r="Q502" s="3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3"/>
      <c r="Q503" s="3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3"/>
      <c r="Q504" s="3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3"/>
      <c r="Q505" s="3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3"/>
      <c r="Q506" s="3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3"/>
      <c r="Q507" s="3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3"/>
      <c r="Q508" s="3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3"/>
      <c r="Q509" s="3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3"/>
      <c r="Q510" s="3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3"/>
      <c r="Q511" s="3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3"/>
      <c r="Q512" s="3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3"/>
      <c r="Q513" s="3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3"/>
      <c r="Q514" s="3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3"/>
      <c r="Q515" s="3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3"/>
      <c r="Q516" s="3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3"/>
      <c r="Q517" s="3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3"/>
      <c r="Q518" s="3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3"/>
      <c r="Q519" s="3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3"/>
      <c r="Q520" s="3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3"/>
      <c r="Q521" s="3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3"/>
      <c r="Q522" s="3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3"/>
      <c r="Q523" s="3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3"/>
      <c r="Q524" s="3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3"/>
      <c r="Q525" s="3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3"/>
      <c r="Q526" s="3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3"/>
      <c r="Q527" s="3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3"/>
      <c r="Q528" s="3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3"/>
      <c r="Q529" s="3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3"/>
      <c r="Q530" s="3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3"/>
      <c r="Q531" s="3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3"/>
      <c r="Q532" s="3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3"/>
      <c r="Q533" s="3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3"/>
      <c r="Q534" s="3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3"/>
      <c r="Q535" s="3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3"/>
      <c r="Q536" s="3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3"/>
      <c r="Q537" s="3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3"/>
      <c r="Q538" s="3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3"/>
      <c r="Q539" s="3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3"/>
      <c r="Q540" s="3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3"/>
      <c r="Q541" s="3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3"/>
      <c r="Q542" s="3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3"/>
      <c r="Q543" s="3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3"/>
      <c r="Q544" s="3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3"/>
      <c r="Q545" s="3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3"/>
      <c r="Q546" s="3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3"/>
      <c r="Q547" s="3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3"/>
      <c r="Q548" s="3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3"/>
      <c r="Q549" s="3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3"/>
      <c r="Q550" s="3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3"/>
      <c r="Q551" s="3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3"/>
      <c r="Q552" s="3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3"/>
      <c r="Q553" s="3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3"/>
      <c r="Q554" s="3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3"/>
      <c r="Q555" s="3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3"/>
      <c r="Q556" s="3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3"/>
      <c r="Q557" s="3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3"/>
      <c r="Q558" s="3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3"/>
      <c r="Q559" s="3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3"/>
      <c r="Q560" s="3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3"/>
      <c r="Q561" s="3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3"/>
      <c r="Q562" s="3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3"/>
      <c r="Q563" s="3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3"/>
      <c r="Q564" s="3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3"/>
      <c r="Q565" s="3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3"/>
      <c r="Q566" s="3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3"/>
      <c r="Q567" s="3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3"/>
      <c r="Q568" s="3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3"/>
      <c r="Q569" s="3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3"/>
      <c r="Q570" s="3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3"/>
      <c r="Q571" s="3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3"/>
      <c r="Q572" s="3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3"/>
      <c r="Q573" s="3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3"/>
      <c r="Q574" s="3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3"/>
      <c r="Q575" s="3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3"/>
      <c r="Q576" s="3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3"/>
      <c r="Q577" s="3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3"/>
      <c r="Q578" s="3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3"/>
      <c r="Q579" s="3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3"/>
      <c r="Q580" s="3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3"/>
      <c r="Q581" s="3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3"/>
      <c r="Q582" s="3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3"/>
      <c r="Q583" s="3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3"/>
      <c r="Q584" s="3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3"/>
      <c r="Q585" s="3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3"/>
      <c r="Q586" s="3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3"/>
      <c r="Q587" s="3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3"/>
      <c r="Q588" s="3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3"/>
      <c r="Q589" s="3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3"/>
      <c r="Q590" s="3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3"/>
      <c r="Q591" s="3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3"/>
      <c r="Q592" s="3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3"/>
      <c r="Q593" s="3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3"/>
      <c r="Q594" s="3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3"/>
      <c r="Q595" s="3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3"/>
      <c r="Q596" s="3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3"/>
      <c r="Q597" s="3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3"/>
      <c r="Q598" s="3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3"/>
      <c r="Q599" s="3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3"/>
      <c r="Q600" s="3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3"/>
      <c r="Q601" s="3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3"/>
      <c r="Q602" s="3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3"/>
      <c r="Q603" s="3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3"/>
      <c r="Q604" s="3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3"/>
      <c r="Q605" s="3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3"/>
      <c r="Q606" s="3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3"/>
      <c r="Q607" s="3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3"/>
      <c r="Q608" s="3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3"/>
      <c r="Q609" s="3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3"/>
      <c r="Q610" s="3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3"/>
      <c r="Q611" s="3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3"/>
      <c r="Q612" s="3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3"/>
      <c r="Q613" s="3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3"/>
      <c r="Q614" s="3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3"/>
      <c r="Q615" s="3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3"/>
      <c r="Q616" s="3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3"/>
      <c r="Q617" s="3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3"/>
      <c r="Q618" s="3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3"/>
      <c r="Q619" s="3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3"/>
      <c r="Q620" s="3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3"/>
      <c r="Q621" s="3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3"/>
      <c r="Q622" s="3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3"/>
      <c r="Q623" s="3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3"/>
      <c r="Q624" s="3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3"/>
      <c r="Q625" s="3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3"/>
      <c r="Q626" s="3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3"/>
      <c r="Q627" s="3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3"/>
      <c r="Q628" s="3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3"/>
      <c r="Q629" s="3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3"/>
      <c r="Q630" s="3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3"/>
      <c r="Q631" s="3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3"/>
      <c r="Q632" s="3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3"/>
      <c r="Q633" s="3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3"/>
      <c r="Q634" s="3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3"/>
      <c r="Q635" s="3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3"/>
      <c r="Q636" s="3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3"/>
      <c r="Q637" s="3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3"/>
      <c r="Q638" s="3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3"/>
      <c r="Q639" s="3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3"/>
      <c r="Q640" s="3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3"/>
      <c r="Q641" s="3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3"/>
      <c r="Q642" s="3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3"/>
      <c r="Q643" s="3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3"/>
      <c r="Q644" s="3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3"/>
      <c r="Q645" s="3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3"/>
      <c r="Q646" s="3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3"/>
      <c r="Q647" s="3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3"/>
      <c r="Q648" s="3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3"/>
      <c r="Q649" s="3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3"/>
      <c r="Q650" s="3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3"/>
      <c r="Q651" s="3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3"/>
      <c r="Q652" s="3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3"/>
      <c r="Q653" s="3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3"/>
      <c r="Q654" s="3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3"/>
      <c r="Q655" s="3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3"/>
      <c r="Q656" s="3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3"/>
      <c r="Q657" s="3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3"/>
      <c r="Q658" s="3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3"/>
      <c r="Q659" s="3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3"/>
      <c r="Q660" s="3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3"/>
      <c r="Q661" s="3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3"/>
      <c r="Q662" s="3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3"/>
      <c r="Q663" s="3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3"/>
      <c r="Q664" s="3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3"/>
      <c r="Q665" s="3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3"/>
      <c r="Q666" s="3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3"/>
      <c r="Q667" s="3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3"/>
      <c r="Q668" s="3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3"/>
      <c r="Q669" s="3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3"/>
      <c r="Q670" s="3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3"/>
      <c r="Q671" s="3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3"/>
      <c r="Q672" s="3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3"/>
      <c r="Q673" s="3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3"/>
      <c r="Q674" s="3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3"/>
      <c r="Q675" s="3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3"/>
      <c r="Q676" s="3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3"/>
      <c r="Q677" s="3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3"/>
      <c r="Q678" s="3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3"/>
      <c r="Q679" s="3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3"/>
      <c r="Q680" s="3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3"/>
      <c r="Q681" s="3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3"/>
      <c r="Q682" s="3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3"/>
      <c r="Q683" s="3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3"/>
      <c r="Q684" s="3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3"/>
      <c r="Q685" s="3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3"/>
      <c r="Q686" s="3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3"/>
      <c r="Q687" s="3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3"/>
      <c r="Q688" s="3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3"/>
      <c r="Q689" s="3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3"/>
      <c r="Q690" s="3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3"/>
      <c r="Q691" s="3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3"/>
      <c r="Q692" s="3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3"/>
      <c r="Q693" s="3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3"/>
      <c r="Q694" s="3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3"/>
      <c r="Q695" s="3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3"/>
      <c r="Q696" s="3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3"/>
      <c r="Q697" s="3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3"/>
      <c r="Q698" s="3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3"/>
      <c r="Q699" s="3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3"/>
      <c r="Q700" s="3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3"/>
      <c r="Q701" s="3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3"/>
      <c r="Q702" s="3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3"/>
      <c r="Q703" s="3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3"/>
      <c r="Q704" s="3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3"/>
      <c r="Q705" s="3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3"/>
      <c r="Q706" s="3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3"/>
      <c r="Q707" s="3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3"/>
      <c r="Q708" s="3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3"/>
      <c r="Q709" s="3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3"/>
      <c r="Q710" s="3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3"/>
      <c r="Q711" s="3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3"/>
      <c r="Q712" s="3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3"/>
      <c r="Q713" s="3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3"/>
      <c r="Q714" s="3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3"/>
      <c r="Q715" s="3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3"/>
      <c r="Q716" s="3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3"/>
      <c r="Q717" s="3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3"/>
      <c r="Q718" s="3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3"/>
      <c r="Q719" s="3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3"/>
      <c r="Q720" s="3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3"/>
      <c r="Q721" s="3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3"/>
      <c r="Q722" s="3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3"/>
      <c r="Q723" s="3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3"/>
      <c r="Q724" s="3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3"/>
      <c r="Q725" s="3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3"/>
      <c r="Q726" s="3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3"/>
      <c r="Q727" s="3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3"/>
      <c r="Q728" s="3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3"/>
      <c r="Q729" s="3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3"/>
      <c r="Q730" s="3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3"/>
      <c r="Q731" s="3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3"/>
      <c r="Q732" s="3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3"/>
      <c r="Q733" s="3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3"/>
      <c r="Q734" s="3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3"/>
      <c r="Q735" s="3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3"/>
      <c r="Q736" s="3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3"/>
      <c r="Q737" s="3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3"/>
      <c r="Q738" s="3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3"/>
      <c r="Q739" s="3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3"/>
      <c r="Q740" s="3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3"/>
      <c r="Q741" s="3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3"/>
      <c r="Q742" s="3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3"/>
      <c r="Q743" s="3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3"/>
      <c r="Q744" s="3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3"/>
      <c r="Q745" s="3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3"/>
      <c r="Q746" s="3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3"/>
      <c r="Q747" s="3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3"/>
      <c r="Q748" s="3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3"/>
      <c r="Q749" s="3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3"/>
      <c r="Q750" s="3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3"/>
      <c r="Q751" s="3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3"/>
      <c r="Q752" s="3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3"/>
      <c r="Q753" s="3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3"/>
      <c r="Q754" s="3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3"/>
      <c r="Q755" s="3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3"/>
      <c r="Q756" s="3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3"/>
      <c r="Q757" s="3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3"/>
      <c r="Q758" s="3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3"/>
      <c r="Q759" s="3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3"/>
      <c r="Q760" s="3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3"/>
      <c r="Q761" s="3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3"/>
      <c r="Q762" s="3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3"/>
      <c r="Q763" s="3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3"/>
      <c r="Q764" s="3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3"/>
      <c r="Q765" s="3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3"/>
      <c r="Q766" s="3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3"/>
      <c r="Q767" s="3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3"/>
      <c r="Q768" s="3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3"/>
      <c r="Q769" s="3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3"/>
      <c r="Q770" s="3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3"/>
      <c r="Q771" s="3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3"/>
      <c r="Q772" s="3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3"/>
      <c r="Q773" s="3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3"/>
      <c r="Q774" s="3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3"/>
      <c r="Q775" s="3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3"/>
      <c r="Q776" s="3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3"/>
      <c r="Q777" s="3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3"/>
      <c r="Q778" s="3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3"/>
      <c r="Q779" s="3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3"/>
      <c r="Q780" s="3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3"/>
      <c r="Q781" s="3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3"/>
      <c r="Q782" s="3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3"/>
      <c r="Q783" s="3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3"/>
      <c r="Q784" s="3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3"/>
      <c r="Q785" s="3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3"/>
      <c r="Q786" s="3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3"/>
      <c r="Q787" s="3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3"/>
      <c r="Q788" s="3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3"/>
      <c r="Q789" s="3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3"/>
      <c r="Q790" s="3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3"/>
      <c r="Q791" s="3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3"/>
      <c r="Q792" s="3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3"/>
      <c r="Q793" s="3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3"/>
      <c r="Q794" s="3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3"/>
      <c r="Q795" s="3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3"/>
      <c r="Q796" s="3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3"/>
      <c r="Q797" s="3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3"/>
      <c r="Q798" s="3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3"/>
      <c r="Q799" s="3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3"/>
      <c r="Q800" s="3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3"/>
      <c r="Q801" s="3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3"/>
      <c r="Q802" s="3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3"/>
      <c r="Q803" s="3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3"/>
      <c r="Q804" s="3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3"/>
      <c r="Q805" s="3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3"/>
      <c r="Q806" s="3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3"/>
      <c r="Q807" s="3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3"/>
      <c r="Q808" s="3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3"/>
      <c r="Q809" s="3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3"/>
      <c r="Q810" s="3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3"/>
      <c r="Q811" s="3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3"/>
      <c r="Q812" s="3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3"/>
      <c r="Q813" s="3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3"/>
      <c r="Q814" s="3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3"/>
      <c r="Q815" s="3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3"/>
      <c r="Q816" s="3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3"/>
      <c r="Q817" s="3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3"/>
      <c r="Q818" s="3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3"/>
      <c r="Q819" s="3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3"/>
      <c r="Q820" s="3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3"/>
      <c r="Q821" s="3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3"/>
      <c r="Q822" s="3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3"/>
      <c r="Q823" s="3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3"/>
      <c r="Q824" s="3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3"/>
      <c r="Q825" s="3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3"/>
      <c r="Q826" s="3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3"/>
      <c r="Q827" s="3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3"/>
      <c r="Q828" s="3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3"/>
      <c r="Q829" s="3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3"/>
      <c r="Q830" s="3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3"/>
      <c r="Q831" s="3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3"/>
      <c r="Q832" s="3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3"/>
      <c r="Q833" s="3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3"/>
      <c r="Q834" s="3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3"/>
      <c r="Q835" s="3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3"/>
      <c r="Q836" s="3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3"/>
      <c r="Q837" s="3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3"/>
      <c r="Q838" s="3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3"/>
      <c r="Q839" s="3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3"/>
      <c r="Q840" s="3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3"/>
      <c r="Q841" s="3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3"/>
      <c r="Q842" s="3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3"/>
      <c r="Q843" s="3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3"/>
      <c r="Q844" s="3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3"/>
      <c r="Q845" s="3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3"/>
      <c r="Q846" s="3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3"/>
      <c r="Q847" s="3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3"/>
      <c r="Q848" s="3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3"/>
      <c r="Q849" s="3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3"/>
      <c r="Q850" s="3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3"/>
      <c r="Q851" s="3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3"/>
      <c r="Q852" s="3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3"/>
      <c r="Q853" s="3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3"/>
      <c r="Q854" s="3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3"/>
      <c r="Q855" s="3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3"/>
      <c r="Q856" s="3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3"/>
      <c r="Q857" s="3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3"/>
      <c r="Q858" s="3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3"/>
      <c r="Q859" s="3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3"/>
      <c r="Q860" s="3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3"/>
      <c r="Q861" s="3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3"/>
      <c r="Q862" s="3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3"/>
      <c r="Q863" s="3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3"/>
      <c r="Q864" s="3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3"/>
      <c r="Q865" s="3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3"/>
      <c r="Q866" s="3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3"/>
      <c r="Q867" s="3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3"/>
      <c r="Q868" s="3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3"/>
      <c r="Q869" s="3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3"/>
      <c r="Q870" s="3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3"/>
      <c r="Q871" s="3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3"/>
      <c r="Q872" s="3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3"/>
      <c r="Q873" s="3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3"/>
      <c r="Q874" s="3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3"/>
      <c r="Q875" s="3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3"/>
      <c r="Q876" s="3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3"/>
      <c r="Q877" s="3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3"/>
      <c r="Q878" s="3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3"/>
      <c r="Q879" s="3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3"/>
      <c r="Q880" s="3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3"/>
      <c r="Q881" s="3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3"/>
      <c r="Q882" s="3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3"/>
      <c r="Q883" s="3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3"/>
      <c r="Q884" s="3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3"/>
      <c r="Q885" s="3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3"/>
      <c r="Q886" s="3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3"/>
      <c r="Q887" s="3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3"/>
      <c r="Q888" s="3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3"/>
      <c r="Q889" s="3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3"/>
      <c r="Q890" s="3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3"/>
      <c r="Q891" s="3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3"/>
      <c r="Q892" s="3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3"/>
      <c r="Q893" s="3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3"/>
      <c r="Q894" s="3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3"/>
      <c r="Q895" s="3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3"/>
      <c r="Q896" s="3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3"/>
      <c r="Q897" s="3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3"/>
      <c r="Q898" s="3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3"/>
      <c r="Q899" s="3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3"/>
      <c r="Q900" s="3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3"/>
      <c r="Q901" s="3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3"/>
      <c r="Q902" s="3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3"/>
      <c r="Q903" s="3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3"/>
      <c r="Q904" s="3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3"/>
      <c r="Q905" s="3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3"/>
      <c r="Q906" s="3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3"/>
      <c r="Q907" s="3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3"/>
      <c r="Q908" s="3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3"/>
      <c r="Q909" s="3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3"/>
      <c r="Q910" s="3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3"/>
      <c r="Q911" s="3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3"/>
      <c r="Q912" s="3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3"/>
      <c r="Q913" s="3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3"/>
      <c r="Q914" s="3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3"/>
      <c r="Q915" s="3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3"/>
      <c r="Q916" s="3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3"/>
      <c r="Q917" s="3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3"/>
      <c r="Q918" s="3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3"/>
      <c r="Q919" s="3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3"/>
      <c r="Q920" s="3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3"/>
      <c r="Q921" s="3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3"/>
      <c r="Q922" s="3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3"/>
      <c r="Q923" s="3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3"/>
      <c r="Q924" s="3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3"/>
      <c r="Q925" s="3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3"/>
      <c r="Q926" s="3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3"/>
      <c r="Q927" s="3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3"/>
      <c r="Q928" s="3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3"/>
      <c r="Q929" s="3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3"/>
      <c r="Q930" s="3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3"/>
      <c r="Q931" s="3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3"/>
      <c r="Q932" s="3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3"/>
      <c r="Q933" s="3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3"/>
      <c r="Q934" s="3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3"/>
      <c r="Q935" s="3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3"/>
      <c r="Q936" s="3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3"/>
      <c r="Q937" s="3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3"/>
      <c r="Q938" s="3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3"/>
      <c r="Q939" s="3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3"/>
      <c r="Q940" s="3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3"/>
      <c r="Q941" s="3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3"/>
      <c r="Q942" s="3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3"/>
      <c r="Q943" s="3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3"/>
      <c r="Q944" s="3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3"/>
      <c r="Q945" s="3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3"/>
      <c r="Q946" s="3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3"/>
      <c r="Q947" s="3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3"/>
      <c r="Q948" s="3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3"/>
      <c r="Q949" s="3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3"/>
      <c r="Q950" s="3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3"/>
      <c r="Q951" s="3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3"/>
      <c r="Q952" s="3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3"/>
      <c r="Q953" s="3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3"/>
      <c r="Q954" s="3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3"/>
      <c r="Q955" s="3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3"/>
      <c r="Q956" s="3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3"/>
      <c r="Q957" s="3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3"/>
      <c r="Q958" s="3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3"/>
      <c r="Q959" s="3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3"/>
      <c r="Q960" s="3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3"/>
      <c r="Q961" s="3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3"/>
      <c r="Q962" s="3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3"/>
      <c r="Q963" s="3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3"/>
      <c r="Q964" s="3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3"/>
      <c r="Q965" s="3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3"/>
      <c r="Q966" s="3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3"/>
      <c r="Q967" s="3"/>
      <c r="R967" s="4"/>
      <c r="S967" s="4"/>
      <c r="T967" s="4"/>
      <c r="U967" s="4"/>
      <c r="V967" s="4"/>
      <c r="W967" s="4"/>
      <c r="X967" s="4"/>
      <c r="Y967" s="4"/>
      <c r="Z967" s="4"/>
      <c r="AA967" s="4"/>
    </row>
  </sheetData>
  <mergeCells count="7">
    <mergeCell ref="B3:P3"/>
    <mergeCell ref="B4:C4"/>
    <mergeCell ref="B14:P14"/>
    <mergeCell ref="B15:C15"/>
    <mergeCell ref="B32:C32"/>
    <mergeCell ref="B40:P40"/>
    <mergeCell ref="B41:C41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3.5"/>
    <col customWidth="1" min="2" max="2" width="3.0"/>
    <col customWidth="1" min="3" max="3" width="24.75"/>
    <col customWidth="1" min="4" max="4" width="9.5"/>
    <col customWidth="1" min="5" max="15" width="11.38"/>
    <col customWidth="1" min="16" max="16" width="12.0"/>
    <col customWidth="1" min="17" max="17" width="28.63"/>
    <col customWidth="1" min="18" max="26" width="7.63"/>
  </cols>
  <sheetData>
    <row r="1" ht="33.0" customHeight="1">
      <c r="B1" s="93" t="s">
        <v>0</v>
      </c>
      <c r="D1" s="94" t="s">
        <v>1</v>
      </c>
      <c r="E1" s="94" t="s">
        <v>1</v>
      </c>
      <c r="F1" s="94" t="s">
        <v>1</v>
      </c>
      <c r="G1" s="94" t="s">
        <v>1</v>
      </c>
      <c r="H1" s="94" t="s">
        <v>1</v>
      </c>
      <c r="I1" s="94" t="s">
        <v>1</v>
      </c>
      <c r="J1" s="94" t="s">
        <v>1</v>
      </c>
      <c r="K1" s="94" t="s">
        <v>1</v>
      </c>
      <c r="L1" s="94" t="s">
        <v>1</v>
      </c>
      <c r="M1" s="94" t="s">
        <v>1</v>
      </c>
      <c r="N1" s="94" t="s">
        <v>1</v>
      </c>
      <c r="O1" s="94" t="s">
        <v>1</v>
      </c>
    </row>
    <row r="2" hidden="1">
      <c r="D2" s="95">
        <v>20263.0</v>
      </c>
      <c r="E2" s="95">
        <v>20264.0</v>
      </c>
      <c r="F2" s="95">
        <v>20265.0</v>
      </c>
      <c r="G2" s="95">
        <v>20266.0</v>
      </c>
      <c r="H2" s="95">
        <v>20267.0</v>
      </c>
      <c r="I2" s="95">
        <v>20268.0</v>
      </c>
      <c r="J2" s="95">
        <v>20269.0</v>
      </c>
      <c r="K2" s="95">
        <v>202610.0</v>
      </c>
      <c r="L2" s="95">
        <v>202611.0</v>
      </c>
      <c r="M2" s="95">
        <v>202612.0</v>
      </c>
      <c r="N2" s="95">
        <v>20271.0</v>
      </c>
      <c r="O2" s="95">
        <v>20272.0</v>
      </c>
    </row>
    <row r="3" ht="8.25" hidden="1" customHeight="1"/>
    <row r="4" ht="24.0" customHeight="1">
      <c r="B4" s="96" t="s">
        <v>86</v>
      </c>
      <c r="C4" s="97"/>
      <c r="D4" s="98">
        <v>46112.0</v>
      </c>
      <c r="E4" s="98">
        <f t="shared" ref="E4:O4" si="1">EOMONTH(D4,1)</f>
        <v>46142</v>
      </c>
      <c r="F4" s="98">
        <f t="shared" si="1"/>
        <v>46173</v>
      </c>
      <c r="G4" s="98">
        <f t="shared" si="1"/>
        <v>46203</v>
      </c>
      <c r="H4" s="98">
        <f t="shared" si="1"/>
        <v>46234</v>
      </c>
      <c r="I4" s="98">
        <f t="shared" si="1"/>
        <v>46265</v>
      </c>
      <c r="J4" s="98">
        <f t="shared" si="1"/>
        <v>46295</v>
      </c>
      <c r="K4" s="98">
        <f t="shared" si="1"/>
        <v>46326</v>
      </c>
      <c r="L4" s="98">
        <f t="shared" si="1"/>
        <v>46356</v>
      </c>
      <c r="M4" s="98">
        <f t="shared" si="1"/>
        <v>46387</v>
      </c>
      <c r="N4" s="98">
        <f t="shared" si="1"/>
        <v>46418</v>
      </c>
      <c r="O4" s="98">
        <f t="shared" si="1"/>
        <v>46446</v>
      </c>
      <c r="P4" s="99"/>
      <c r="Q4" s="100"/>
    </row>
    <row r="5">
      <c r="B5" s="101">
        <v>1.0</v>
      </c>
      <c r="C5" s="102" t="s">
        <v>87</v>
      </c>
      <c r="D5" s="103">
        <v>0.0</v>
      </c>
      <c r="E5" s="103">
        <v>0.0</v>
      </c>
      <c r="F5" s="103">
        <v>0.0</v>
      </c>
      <c r="G5" s="103">
        <v>0.0</v>
      </c>
      <c r="H5" s="103">
        <v>0.0</v>
      </c>
      <c r="I5" s="103">
        <v>0.0</v>
      </c>
      <c r="J5" s="103">
        <v>0.0</v>
      </c>
      <c r="K5" s="103">
        <v>5775000.0</v>
      </c>
      <c r="L5" s="103">
        <v>0.0</v>
      </c>
      <c r="M5" s="103">
        <v>0.0</v>
      </c>
      <c r="N5" s="103">
        <v>0.0</v>
      </c>
      <c r="O5" s="103">
        <v>0.0</v>
      </c>
      <c r="P5" s="104">
        <f t="shared" ref="P5:P11" si="2">SUM(D5:O5)</f>
        <v>5775000</v>
      </c>
      <c r="Q5" s="105" t="s">
        <v>88</v>
      </c>
    </row>
    <row r="6">
      <c r="B6" s="101">
        <f>B5+1</f>
        <v>2</v>
      </c>
      <c r="C6" s="102" t="s">
        <v>89</v>
      </c>
      <c r="D6" s="103">
        <v>0.0</v>
      </c>
      <c r="E6" s="103">
        <v>0.0</v>
      </c>
      <c r="F6" s="103">
        <v>0.0</v>
      </c>
      <c r="G6" s="103">
        <v>0.0</v>
      </c>
      <c r="H6" s="103">
        <v>0.0</v>
      </c>
      <c r="I6" s="103">
        <v>0.0</v>
      </c>
      <c r="J6" s="103">
        <v>0.0</v>
      </c>
      <c r="K6" s="103">
        <v>0.0</v>
      </c>
      <c r="L6" s="103">
        <v>0.0</v>
      </c>
      <c r="M6" s="103">
        <v>0.0</v>
      </c>
      <c r="N6" s="103">
        <v>0.0</v>
      </c>
      <c r="O6" s="103">
        <v>0.0</v>
      </c>
      <c r="P6" s="104">
        <f t="shared" si="2"/>
        <v>0</v>
      </c>
      <c r="Q6" s="105" t="s">
        <v>90</v>
      </c>
    </row>
    <row r="7">
      <c r="A7" s="102" t="s">
        <v>91</v>
      </c>
      <c r="B7" s="106"/>
      <c r="C7" s="107" t="s">
        <v>25</v>
      </c>
      <c r="D7" s="108">
        <f t="shared" ref="D7:O7" si="3">SUM(D5:D6)</f>
        <v>0</v>
      </c>
      <c r="E7" s="108">
        <f t="shared" si="3"/>
        <v>0</v>
      </c>
      <c r="F7" s="108">
        <f t="shared" si="3"/>
        <v>0</v>
      </c>
      <c r="G7" s="108">
        <f t="shared" si="3"/>
        <v>0</v>
      </c>
      <c r="H7" s="108">
        <f t="shared" si="3"/>
        <v>0</v>
      </c>
      <c r="I7" s="108">
        <f t="shared" si="3"/>
        <v>0</v>
      </c>
      <c r="J7" s="108">
        <f t="shared" si="3"/>
        <v>0</v>
      </c>
      <c r="K7" s="108">
        <f t="shared" si="3"/>
        <v>5775000</v>
      </c>
      <c r="L7" s="108">
        <f t="shared" si="3"/>
        <v>0</v>
      </c>
      <c r="M7" s="108">
        <f t="shared" si="3"/>
        <v>0</v>
      </c>
      <c r="N7" s="108">
        <f t="shared" si="3"/>
        <v>0</v>
      </c>
      <c r="O7" s="108">
        <f t="shared" si="3"/>
        <v>0</v>
      </c>
      <c r="P7" s="109">
        <f t="shared" si="2"/>
        <v>5775000</v>
      </c>
      <c r="Q7" s="106"/>
    </row>
    <row r="8">
      <c r="B8" s="101">
        <f>B6+1</f>
        <v>3</v>
      </c>
      <c r="C8" s="102" t="s">
        <v>92</v>
      </c>
      <c r="D8" s="103">
        <v>25000.0</v>
      </c>
      <c r="E8" s="103">
        <v>25000.0</v>
      </c>
      <c r="F8" s="103">
        <v>25000.0</v>
      </c>
      <c r="G8" s="103">
        <v>25000.0</v>
      </c>
      <c r="H8" s="103">
        <v>25000.0</v>
      </c>
      <c r="I8" s="103">
        <v>25000.0</v>
      </c>
      <c r="J8" s="103">
        <v>25000.0</v>
      </c>
      <c r="K8" s="103">
        <v>37500.0</v>
      </c>
      <c r="L8" s="103">
        <v>37500.0</v>
      </c>
      <c r="M8" s="103">
        <v>37500.0</v>
      </c>
      <c r="N8" s="103">
        <v>37500.0</v>
      </c>
      <c r="O8" s="103">
        <v>37500.0</v>
      </c>
      <c r="P8" s="104">
        <f t="shared" si="2"/>
        <v>362500</v>
      </c>
      <c r="Q8" s="105" t="s">
        <v>93</v>
      </c>
    </row>
    <row r="9">
      <c r="B9" s="101">
        <f>B8+1</f>
        <v>4</v>
      </c>
      <c r="C9" s="102" t="s">
        <v>94</v>
      </c>
      <c r="D9" s="103">
        <v>0.0</v>
      </c>
      <c r="E9" s="103">
        <v>0.0</v>
      </c>
      <c r="F9" s="103">
        <v>30000.0</v>
      </c>
      <c r="G9" s="103">
        <v>30000.0</v>
      </c>
      <c r="H9" s="103">
        <v>10000.0</v>
      </c>
      <c r="I9" s="103">
        <v>10000.0</v>
      </c>
      <c r="J9" s="103">
        <v>10000.0</v>
      </c>
      <c r="K9" s="103">
        <v>15000.0</v>
      </c>
      <c r="L9" s="103">
        <v>15000.0</v>
      </c>
      <c r="M9" s="103">
        <v>15000.0</v>
      </c>
      <c r="N9" s="103">
        <v>10000.0</v>
      </c>
      <c r="O9" s="103">
        <v>10000.0</v>
      </c>
      <c r="P9" s="104">
        <f t="shared" si="2"/>
        <v>155000</v>
      </c>
      <c r="Q9" s="105" t="s">
        <v>95</v>
      </c>
    </row>
    <row r="10">
      <c r="B10" s="106"/>
      <c r="C10" s="107" t="s">
        <v>42</v>
      </c>
      <c r="D10" s="108">
        <f t="shared" ref="D10:O10" si="4">SUM(D8:D9)</f>
        <v>25000</v>
      </c>
      <c r="E10" s="108">
        <f t="shared" si="4"/>
        <v>25000</v>
      </c>
      <c r="F10" s="108">
        <f t="shared" si="4"/>
        <v>55000</v>
      </c>
      <c r="G10" s="108">
        <f t="shared" si="4"/>
        <v>55000</v>
      </c>
      <c r="H10" s="108">
        <f t="shared" si="4"/>
        <v>35000</v>
      </c>
      <c r="I10" s="108">
        <f t="shared" si="4"/>
        <v>35000</v>
      </c>
      <c r="J10" s="108">
        <f t="shared" si="4"/>
        <v>35000</v>
      </c>
      <c r="K10" s="108">
        <f t="shared" si="4"/>
        <v>52500</v>
      </c>
      <c r="L10" s="108">
        <f t="shared" si="4"/>
        <v>52500</v>
      </c>
      <c r="M10" s="108">
        <f t="shared" si="4"/>
        <v>52500</v>
      </c>
      <c r="N10" s="108">
        <f t="shared" si="4"/>
        <v>47500</v>
      </c>
      <c r="O10" s="108">
        <f t="shared" si="4"/>
        <v>47500</v>
      </c>
      <c r="P10" s="109">
        <f t="shared" si="2"/>
        <v>517500</v>
      </c>
      <c r="Q10" s="106"/>
    </row>
    <row r="11">
      <c r="A11" s="102" t="s">
        <v>48</v>
      </c>
      <c r="C11" s="110" t="s">
        <v>96</v>
      </c>
      <c r="D11" s="111">
        <f t="shared" ref="D11:O11" si="5">D7-D10</f>
        <v>-25000</v>
      </c>
      <c r="E11" s="111">
        <f t="shared" si="5"/>
        <v>-25000</v>
      </c>
      <c r="F11" s="111">
        <f t="shared" si="5"/>
        <v>-55000</v>
      </c>
      <c r="G11" s="111">
        <f t="shared" si="5"/>
        <v>-55000</v>
      </c>
      <c r="H11" s="111">
        <f t="shared" si="5"/>
        <v>-35000</v>
      </c>
      <c r="I11" s="111">
        <f t="shared" si="5"/>
        <v>-35000</v>
      </c>
      <c r="J11" s="111">
        <f t="shared" si="5"/>
        <v>-35000</v>
      </c>
      <c r="K11" s="111">
        <f t="shared" si="5"/>
        <v>5722500</v>
      </c>
      <c r="L11" s="111">
        <f t="shared" si="5"/>
        <v>-52500</v>
      </c>
      <c r="M11" s="111">
        <f t="shared" si="5"/>
        <v>-52500</v>
      </c>
      <c r="N11" s="111">
        <f t="shared" si="5"/>
        <v>-47500</v>
      </c>
      <c r="O11" s="111">
        <f t="shared" si="5"/>
        <v>-47500</v>
      </c>
      <c r="P11" s="104">
        <f t="shared" si="2"/>
        <v>5257500</v>
      </c>
    </row>
    <row r="12" ht="8.25" customHeight="1"/>
    <row r="13" ht="24.0" customHeight="1">
      <c r="B13" s="96" t="s">
        <v>97</v>
      </c>
      <c r="C13" s="97"/>
      <c r="D13" s="98">
        <v>46112.0</v>
      </c>
      <c r="E13" s="98">
        <f t="shared" ref="E13:O13" si="6">EOMONTH(D4,1)</f>
        <v>46142</v>
      </c>
      <c r="F13" s="98">
        <f t="shared" si="6"/>
        <v>46173</v>
      </c>
      <c r="G13" s="98">
        <f t="shared" si="6"/>
        <v>46203</v>
      </c>
      <c r="H13" s="98">
        <f t="shared" si="6"/>
        <v>46234</v>
      </c>
      <c r="I13" s="98">
        <f t="shared" si="6"/>
        <v>46265</v>
      </c>
      <c r="J13" s="98">
        <f t="shared" si="6"/>
        <v>46295</v>
      </c>
      <c r="K13" s="98">
        <f t="shared" si="6"/>
        <v>46326</v>
      </c>
      <c r="L13" s="98">
        <f t="shared" si="6"/>
        <v>46356</v>
      </c>
      <c r="M13" s="98">
        <f t="shared" si="6"/>
        <v>46387</v>
      </c>
      <c r="N13" s="98">
        <f t="shared" si="6"/>
        <v>46418</v>
      </c>
      <c r="O13" s="98">
        <f t="shared" si="6"/>
        <v>46446</v>
      </c>
      <c r="P13" s="99"/>
      <c r="Q13" s="100"/>
    </row>
    <row r="14">
      <c r="B14" s="112" t="s">
        <v>98</v>
      </c>
      <c r="C14" s="113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5"/>
      <c r="Q14" s="116"/>
    </row>
    <row r="15">
      <c r="B15" s="101">
        <f>B9+1</f>
        <v>5</v>
      </c>
      <c r="C15" s="102" t="s">
        <v>99</v>
      </c>
      <c r="D15" s="103">
        <v>0.0</v>
      </c>
      <c r="E15" s="103">
        <v>0.0</v>
      </c>
      <c r="F15" s="103">
        <v>150000.0</v>
      </c>
      <c r="G15" s="103">
        <v>150000.0</v>
      </c>
      <c r="H15" s="103">
        <v>0.0</v>
      </c>
      <c r="I15" s="103">
        <v>0.0</v>
      </c>
      <c r="J15" s="103">
        <v>0.0</v>
      </c>
      <c r="K15" s="103">
        <v>50000.0</v>
      </c>
      <c r="L15" s="103">
        <v>50000.0</v>
      </c>
      <c r="M15" s="103">
        <v>50000.0</v>
      </c>
      <c r="N15" s="103">
        <v>50000.0</v>
      </c>
      <c r="O15" s="103">
        <v>50000.0</v>
      </c>
      <c r="P15" s="104">
        <f t="shared" ref="P15:P18" si="7">SUM(D15:O15)</f>
        <v>550000</v>
      </c>
      <c r="Q15" s="105" t="s">
        <v>100</v>
      </c>
    </row>
    <row r="16">
      <c r="B16" s="101">
        <f t="shared" ref="B16:B17" si="8">B15+1</f>
        <v>6</v>
      </c>
      <c r="C16" s="102" t="s">
        <v>101</v>
      </c>
      <c r="D16" s="103">
        <v>0.0</v>
      </c>
      <c r="E16" s="103">
        <v>0.0</v>
      </c>
      <c r="F16" s="103">
        <v>0.0</v>
      </c>
      <c r="G16" s="103">
        <v>0.0</v>
      </c>
      <c r="H16" s="103">
        <v>0.0</v>
      </c>
      <c r="I16" s="103">
        <v>0.0</v>
      </c>
      <c r="J16" s="103">
        <v>0.0</v>
      </c>
      <c r="K16" s="103">
        <v>350000.0</v>
      </c>
      <c r="L16" s="103">
        <v>350000.0</v>
      </c>
      <c r="M16" s="103">
        <v>350000.0</v>
      </c>
      <c r="N16" s="103">
        <v>350000.0</v>
      </c>
      <c r="O16" s="103">
        <v>350000.0</v>
      </c>
      <c r="P16" s="104">
        <f t="shared" si="7"/>
        <v>1750000</v>
      </c>
      <c r="Q16" s="105" t="s">
        <v>102</v>
      </c>
    </row>
    <row r="17">
      <c r="B17" s="101">
        <f t="shared" si="8"/>
        <v>7</v>
      </c>
      <c r="C17" s="102" t="s">
        <v>103</v>
      </c>
      <c r="D17" s="103">
        <v>0.0</v>
      </c>
      <c r="E17" s="103">
        <v>0.0</v>
      </c>
      <c r="F17" s="103">
        <v>0.0</v>
      </c>
      <c r="G17" s="103">
        <v>0.0</v>
      </c>
      <c r="H17" s="103">
        <v>0.0</v>
      </c>
      <c r="I17" s="103">
        <v>0.0</v>
      </c>
      <c r="J17" s="103">
        <v>0.0</v>
      </c>
      <c r="K17" s="103">
        <v>130000.0</v>
      </c>
      <c r="L17" s="103">
        <v>130000.0</v>
      </c>
      <c r="M17" s="103">
        <v>130000.0</v>
      </c>
      <c r="N17" s="103">
        <v>130000.0</v>
      </c>
      <c r="O17" s="103">
        <v>130000.0</v>
      </c>
      <c r="P17" s="104">
        <f t="shared" si="7"/>
        <v>650000</v>
      </c>
      <c r="Q17" s="105" t="s">
        <v>104</v>
      </c>
    </row>
    <row r="18">
      <c r="B18" s="106"/>
      <c r="C18" s="107" t="s">
        <v>105</v>
      </c>
      <c r="D18" s="108">
        <f t="shared" ref="D18:O18" si="9">SUM(D15:D17)</f>
        <v>0</v>
      </c>
      <c r="E18" s="108">
        <f t="shared" si="9"/>
        <v>0</v>
      </c>
      <c r="F18" s="108">
        <f t="shared" si="9"/>
        <v>150000</v>
      </c>
      <c r="G18" s="108">
        <f t="shared" si="9"/>
        <v>150000</v>
      </c>
      <c r="H18" s="108">
        <f t="shared" si="9"/>
        <v>0</v>
      </c>
      <c r="I18" s="108">
        <f t="shared" si="9"/>
        <v>0</v>
      </c>
      <c r="J18" s="108">
        <f t="shared" si="9"/>
        <v>0</v>
      </c>
      <c r="K18" s="108">
        <f t="shared" si="9"/>
        <v>530000</v>
      </c>
      <c r="L18" s="108">
        <f t="shared" si="9"/>
        <v>530000</v>
      </c>
      <c r="M18" s="108">
        <f t="shared" si="9"/>
        <v>530000</v>
      </c>
      <c r="N18" s="108">
        <f t="shared" si="9"/>
        <v>530000</v>
      </c>
      <c r="O18" s="108">
        <f t="shared" si="9"/>
        <v>530000</v>
      </c>
      <c r="P18" s="109">
        <f t="shared" si="7"/>
        <v>2950000</v>
      </c>
      <c r="Q18" s="106"/>
    </row>
    <row r="19">
      <c r="B19" s="112" t="s">
        <v>106</v>
      </c>
      <c r="C19" s="113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5"/>
      <c r="Q19" s="116"/>
    </row>
    <row r="20">
      <c r="B20" s="101">
        <f>B17+1</f>
        <v>8</v>
      </c>
      <c r="C20" s="102" t="s">
        <v>107</v>
      </c>
      <c r="D20" s="103">
        <v>0.0</v>
      </c>
      <c r="E20" s="103">
        <v>0.0</v>
      </c>
      <c r="F20" s="103">
        <v>0.0</v>
      </c>
      <c r="G20" s="103">
        <v>30000.0</v>
      </c>
      <c r="H20" s="103">
        <v>30000.0</v>
      </c>
      <c r="I20" s="103">
        <v>30000.0</v>
      </c>
      <c r="J20" s="103">
        <v>30000.0</v>
      </c>
      <c r="K20" s="103">
        <v>30000.0</v>
      </c>
      <c r="L20" s="103">
        <v>30000.0</v>
      </c>
      <c r="M20" s="103">
        <v>30000.0</v>
      </c>
      <c r="N20" s="103">
        <v>30000.0</v>
      </c>
      <c r="O20" s="103">
        <v>30000.0</v>
      </c>
      <c r="P20" s="104">
        <f t="shared" ref="P20:P26" si="10">SUM(D20:O20)</f>
        <v>270000</v>
      </c>
      <c r="Q20" s="105" t="s">
        <v>108</v>
      </c>
    </row>
    <row r="21">
      <c r="B21" s="101">
        <f t="shared" ref="B21:B25" si="11">B20+1</f>
        <v>9</v>
      </c>
      <c r="C21" s="102" t="s">
        <v>109</v>
      </c>
      <c r="D21" s="103">
        <v>0.0</v>
      </c>
      <c r="E21" s="103">
        <v>15000.0</v>
      </c>
      <c r="F21" s="103">
        <v>15000.0</v>
      </c>
      <c r="G21" s="103">
        <v>15000.0</v>
      </c>
      <c r="H21" s="103">
        <v>15000.0</v>
      </c>
      <c r="I21" s="103">
        <v>15000.0</v>
      </c>
      <c r="J21" s="103">
        <v>15000.0</v>
      </c>
      <c r="K21" s="103">
        <v>15000.0</v>
      </c>
      <c r="L21" s="103">
        <v>15000.0</v>
      </c>
      <c r="M21" s="103">
        <v>15000.0</v>
      </c>
      <c r="N21" s="103">
        <v>15000.0</v>
      </c>
      <c r="O21" s="103">
        <v>15000.0</v>
      </c>
      <c r="P21" s="104">
        <f t="shared" si="10"/>
        <v>165000</v>
      </c>
      <c r="Q21" s="105" t="s">
        <v>110</v>
      </c>
    </row>
    <row r="22">
      <c r="B22" s="101">
        <f t="shared" si="11"/>
        <v>10</v>
      </c>
      <c r="C22" s="102" t="s">
        <v>111</v>
      </c>
      <c r="D22" s="103">
        <v>0.0</v>
      </c>
      <c r="E22" s="103">
        <v>0.0</v>
      </c>
      <c r="F22" s="103">
        <v>0.0</v>
      </c>
      <c r="G22" s="103">
        <v>5000.0</v>
      </c>
      <c r="H22" s="103">
        <v>5000.0</v>
      </c>
      <c r="I22" s="103">
        <v>5000.0</v>
      </c>
      <c r="J22" s="103">
        <v>5000.0</v>
      </c>
      <c r="K22" s="103">
        <v>5000.0</v>
      </c>
      <c r="L22" s="103">
        <v>5000.0</v>
      </c>
      <c r="M22" s="103">
        <v>5000.0</v>
      </c>
      <c r="N22" s="103">
        <v>5000.0</v>
      </c>
      <c r="O22" s="103">
        <v>5000.0</v>
      </c>
      <c r="P22" s="104">
        <f t="shared" si="10"/>
        <v>45000</v>
      </c>
      <c r="Q22" s="105" t="s">
        <v>112</v>
      </c>
    </row>
    <row r="23">
      <c r="B23" s="101">
        <f t="shared" si="11"/>
        <v>11</v>
      </c>
      <c r="C23" s="102" t="s">
        <v>113</v>
      </c>
      <c r="D23" s="103">
        <v>0.0</v>
      </c>
      <c r="E23" s="103">
        <v>0.0</v>
      </c>
      <c r="F23" s="103">
        <v>0.0</v>
      </c>
      <c r="G23" s="103">
        <v>0.0</v>
      </c>
      <c r="H23" s="103">
        <v>0.0</v>
      </c>
      <c r="I23" s="103">
        <v>0.0</v>
      </c>
      <c r="J23" s="103">
        <v>0.0</v>
      </c>
      <c r="K23" s="103">
        <v>200000.0</v>
      </c>
      <c r="L23" s="103">
        <v>0.0</v>
      </c>
      <c r="M23" s="103">
        <v>0.0</v>
      </c>
      <c r="N23" s="103">
        <v>0.0</v>
      </c>
      <c r="O23" s="103">
        <v>0.0</v>
      </c>
      <c r="P23" s="104">
        <f t="shared" si="10"/>
        <v>200000</v>
      </c>
      <c r="Q23" s="105" t="s">
        <v>114</v>
      </c>
    </row>
    <row r="24">
      <c r="B24" s="101">
        <f t="shared" si="11"/>
        <v>12</v>
      </c>
      <c r="C24" s="102" t="s">
        <v>115</v>
      </c>
      <c r="D24" s="103">
        <v>0.0</v>
      </c>
      <c r="E24" s="103">
        <v>0.0</v>
      </c>
      <c r="F24" s="103">
        <v>0.0</v>
      </c>
      <c r="G24" s="103">
        <v>0.0</v>
      </c>
      <c r="H24" s="103">
        <v>0.0</v>
      </c>
      <c r="I24" s="103">
        <v>0.0</v>
      </c>
      <c r="J24" s="103">
        <v>0.0</v>
      </c>
      <c r="K24" s="103">
        <v>207900.0</v>
      </c>
      <c r="L24" s="103">
        <v>0.0</v>
      </c>
      <c r="M24" s="103">
        <v>0.0</v>
      </c>
      <c r="N24" s="103">
        <v>0.0</v>
      </c>
      <c r="O24" s="103">
        <v>0.0</v>
      </c>
      <c r="P24" s="104">
        <f t="shared" si="10"/>
        <v>207900</v>
      </c>
      <c r="Q24" s="105" t="s">
        <v>116</v>
      </c>
    </row>
    <row r="25">
      <c r="B25" s="101">
        <f t="shared" si="11"/>
        <v>13</v>
      </c>
      <c r="C25" s="102" t="s">
        <v>117</v>
      </c>
      <c r="D25" s="103">
        <v>0.0</v>
      </c>
      <c r="E25" s="103">
        <v>0.0</v>
      </c>
      <c r="F25" s="103">
        <v>75000.0</v>
      </c>
      <c r="G25" s="103">
        <v>0.0</v>
      </c>
      <c r="H25" s="103">
        <v>0.0</v>
      </c>
      <c r="I25" s="103">
        <v>0.0</v>
      </c>
      <c r="J25" s="103">
        <v>0.0</v>
      </c>
      <c r="K25" s="103">
        <v>0.0</v>
      </c>
      <c r="L25" s="103">
        <v>0.0</v>
      </c>
      <c r="M25" s="103">
        <v>0.0</v>
      </c>
      <c r="N25" s="103">
        <v>0.0</v>
      </c>
      <c r="O25" s="103">
        <v>0.0</v>
      </c>
      <c r="P25" s="104">
        <f t="shared" si="10"/>
        <v>75000</v>
      </c>
      <c r="Q25" s="105" t="s">
        <v>118</v>
      </c>
    </row>
    <row r="26">
      <c r="B26" s="106"/>
      <c r="C26" s="107" t="s">
        <v>119</v>
      </c>
      <c r="D26" s="108">
        <f t="shared" ref="D26:O26" si="12">SUM(D20:D25)</f>
        <v>0</v>
      </c>
      <c r="E26" s="108">
        <f t="shared" si="12"/>
        <v>15000</v>
      </c>
      <c r="F26" s="108">
        <f t="shared" si="12"/>
        <v>90000</v>
      </c>
      <c r="G26" s="108">
        <f t="shared" si="12"/>
        <v>50000</v>
      </c>
      <c r="H26" s="108">
        <f t="shared" si="12"/>
        <v>50000</v>
      </c>
      <c r="I26" s="108">
        <f t="shared" si="12"/>
        <v>50000</v>
      </c>
      <c r="J26" s="108">
        <f t="shared" si="12"/>
        <v>50000</v>
      </c>
      <c r="K26" s="108">
        <f t="shared" si="12"/>
        <v>457900</v>
      </c>
      <c r="L26" s="108">
        <f t="shared" si="12"/>
        <v>50000</v>
      </c>
      <c r="M26" s="108">
        <f t="shared" si="12"/>
        <v>50000</v>
      </c>
      <c r="N26" s="108">
        <f t="shared" si="12"/>
        <v>50000</v>
      </c>
      <c r="O26" s="108">
        <f t="shared" si="12"/>
        <v>50000</v>
      </c>
      <c r="P26" s="109">
        <f t="shared" si="10"/>
        <v>962900</v>
      </c>
      <c r="Q26" s="106"/>
    </row>
    <row r="27">
      <c r="B27" s="112" t="s">
        <v>120</v>
      </c>
      <c r="C27" s="113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5"/>
      <c r="Q27" s="116"/>
    </row>
    <row r="28">
      <c r="B28" s="101">
        <f>B25+1</f>
        <v>14</v>
      </c>
      <c r="C28" s="102" t="s">
        <v>121</v>
      </c>
      <c r="D28" s="103">
        <v>0.0</v>
      </c>
      <c r="E28" s="103">
        <v>0.0</v>
      </c>
      <c r="F28" s="103">
        <v>0.0</v>
      </c>
      <c r="G28" s="103">
        <v>0.0</v>
      </c>
      <c r="H28" s="103">
        <v>0.0</v>
      </c>
      <c r="I28" s="103">
        <v>0.0</v>
      </c>
      <c r="J28" s="103">
        <v>0.0</v>
      </c>
      <c r="K28" s="103">
        <v>0.0</v>
      </c>
      <c r="L28" s="103">
        <v>0.0</v>
      </c>
      <c r="M28" s="103">
        <v>0.0</v>
      </c>
      <c r="N28" s="103">
        <v>0.0</v>
      </c>
      <c r="O28" s="103">
        <v>0.0</v>
      </c>
      <c r="P28" s="104">
        <f t="shared" ref="P28:P30" si="13">SUM(D28:O28)</f>
        <v>0</v>
      </c>
      <c r="Q28" s="105" t="s">
        <v>122</v>
      </c>
    </row>
    <row r="29">
      <c r="B29" s="101">
        <f>B28+1</f>
        <v>15</v>
      </c>
      <c r="C29" s="102" t="s">
        <v>123</v>
      </c>
      <c r="D29" s="103">
        <v>0.0</v>
      </c>
      <c r="E29" s="103">
        <v>0.0</v>
      </c>
      <c r="F29" s="103">
        <v>0.0</v>
      </c>
      <c r="G29" s="103">
        <v>0.0</v>
      </c>
      <c r="H29" s="103">
        <v>0.0</v>
      </c>
      <c r="I29" s="103">
        <v>0.0</v>
      </c>
      <c r="J29" s="103">
        <v>0.0</v>
      </c>
      <c r="K29" s="103">
        <v>0.0</v>
      </c>
      <c r="L29" s="103">
        <v>0.0</v>
      </c>
      <c r="M29" s="103">
        <v>0.0</v>
      </c>
      <c r="N29" s="103">
        <v>0.0</v>
      </c>
      <c r="O29" s="103">
        <v>0.0</v>
      </c>
      <c r="P29" s="104">
        <f t="shared" si="13"/>
        <v>0</v>
      </c>
      <c r="Q29" s="105" t="s">
        <v>124</v>
      </c>
    </row>
    <row r="30">
      <c r="B30" s="106"/>
      <c r="C30" s="107" t="s">
        <v>125</v>
      </c>
      <c r="D30" s="108">
        <f t="shared" ref="D30:O30" si="14">SUM(D28:D29)</f>
        <v>0</v>
      </c>
      <c r="E30" s="108">
        <f t="shared" si="14"/>
        <v>0</v>
      </c>
      <c r="F30" s="108">
        <f t="shared" si="14"/>
        <v>0</v>
      </c>
      <c r="G30" s="108">
        <f t="shared" si="14"/>
        <v>0</v>
      </c>
      <c r="H30" s="108">
        <f t="shared" si="14"/>
        <v>0</v>
      </c>
      <c r="I30" s="108">
        <f t="shared" si="14"/>
        <v>0</v>
      </c>
      <c r="J30" s="108">
        <f t="shared" si="14"/>
        <v>0</v>
      </c>
      <c r="K30" s="108">
        <f t="shared" si="14"/>
        <v>0</v>
      </c>
      <c r="L30" s="108">
        <f t="shared" si="14"/>
        <v>0</v>
      </c>
      <c r="M30" s="108">
        <f t="shared" si="14"/>
        <v>0</v>
      </c>
      <c r="N30" s="108">
        <f t="shared" si="14"/>
        <v>0</v>
      </c>
      <c r="O30" s="108">
        <f t="shared" si="14"/>
        <v>0</v>
      </c>
      <c r="P30" s="109">
        <f t="shared" si="13"/>
        <v>0</v>
      </c>
      <c r="Q30" s="106"/>
    </row>
    <row r="31">
      <c r="B31" s="112" t="s">
        <v>126</v>
      </c>
      <c r="C31" s="113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5"/>
      <c r="Q31" s="116"/>
    </row>
    <row r="32">
      <c r="B32" s="101">
        <f>B29+1</f>
        <v>16</v>
      </c>
      <c r="C32" s="102" t="s">
        <v>127</v>
      </c>
      <c r="D32" s="103">
        <v>0.0</v>
      </c>
      <c r="E32" s="103">
        <v>0.0</v>
      </c>
      <c r="F32" s="103">
        <v>0.0</v>
      </c>
      <c r="G32" s="103">
        <v>0.0</v>
      </c>
      <c r="H32" s="103">
        <v>0.0</v>
      </c>
      <c r="I32" s="103">
        <v>0.0</v>
      </c>
      <c r="J32" s="103">
        <v>0.0</v>
      </c>
      <c r="K32" s="103">
        <v>0.0</v>
      </c>
      <c r="L32" s="103">
        <v>0.0</v>
      </c>
      <c r="M32" s="103">
        <v>0.0</v>
      </c>
      <c r="N32" s="103">
        <v>0.0</v>
      </c>
      <c r="O32" s="103">
        <v>0.0</v>
      </c>
      <c r="P32" s="104">
        <f t="shared" ref="P32:P34" si="15">SUM(D32:O32)</f>
        <v>0</v>
      </c>
      <c r="Q32" s="105" t="s">
        <v>128</v>
      </c>
    </row>
    <row r="33">
      <c r="B33" s="101">
        <f>B32+1</f>
        <v>17</v>
      </c>
      <c r="C33" s="102" t="s">
        <v>129</v>
      </c>
      <c r="D33" s="103">
        <v>5000.0</v>
      </c>
      <c r="E33" s="103">
        <v>5000.0</v>
      </c>
      <c r="F33" s="103">
        <v>3000.0</v>
      </c>
      <c r="G33" s="103">
        <v>3000.0</v>
      </c>
      <c r="H33" s="103">
        <v>3000.0</v>
      </c>
      <c r="I33" s="103">
        <v>3000.0</v>
      </c>
      <c r="J33" s="103">
        <v>3000.0</v>
      </c>
      <c r="K33" s="103">
        <v>5000.0</v>
      </c>
      <c r="L33" s="103">
        <v>5000.0</v>
      </c>
      <c r="M33" s="103">
        <v>5000.0</v>
      </c>
      <c r="N33" s="103">
        <v>3000.0</v>
      </c>
      <c r="O33" s="103">
        <v>3000.0</v>
      </c>
      <c r="P33" s="104">
        <f t="shared" si="15"/>
        <v>46000</v>
      </c>
      <c r="Q33" s="105" t="s">
        <v>130</v>
      </c>
    </row>
    <row r="34">
      <c r="B34" s="106"/>
      <c r="C34" s="107" t="s">
        <v>131</v>
      </c>
      <c r="D34" s="108">
        <f t="shared" ref="D34:O34" si="16">SUM(D32:D33)</f>
        <v>5000</v>
      </c>
      <c r="E34" s="108">
        <f t="shared" si="16"/>
        <v>5000</v>
      </c>
      <c r="F34" s="108">
        <f t="shared" si="16"/>
        <v>3000</v>
      </c>
      <c r="G34" s="108">
        <f t="shared" si="16"/>
        <v>3000</v>
      </c>
      <c r="H34" s="108">
        <f t="shared" si="16"/>
        <v>3000</v>
      </c>
      <c r="I34" s="108">
        <f t="shared" si="16"/>
        <v>3000</v>
      </c>
      <c r="J34" s="108">
        <f t="shared" si="16"/>
        <v>3000</v>
      </c>
      <c r="K34" s="108">
        <f t="shared" si="16"/>
        <v>5000</v>
      </c>
      <c r="L34" s="108">
        <f t="shared" si="16"/>
        <v>5000</v>
      </c>
      <c r="M34" s="108">
        <f t="shared" si="16"/>
        <v>5000</v>
      </c>
      <c r="N34" s="108">
        <f t="shared" si="16"/>
        <v>3000</v>
      </c>
      <c r="O34" s="108">
        <f t="shared" si="16"/>
        <v>3000</v>
      </c>
      <c r="P34" s="109">
        <f t="shared" si="15"/>
        <v>46000</v>
      </c>
      <c r="Q34" s="106"/>
    </row>
    <row r="35">
      <c r="B35" s="112" t="s">
        <v>132</v>
      </c>
      <c r="C35" s="113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5"/>
      <c r="Q35" s="116"/>
    </row>
    <row r="36">
      <c r="B36" s="101">
        <f>B33+1</f>
        <v>18</v>
      </c>
      <c r="C36" s="102" t="s">
        <v>33</v>
      </c>
      <c r="D36" s="103">
        <v>5000.0</v>
      </c>
      <c r="E36" s="103">
        <v>5000.0</v>
      </c>
      <c r="F36" s="103">
        <v>5000.0</v>
      </c>
      <c r="G36" s="103">
        <v>5000.0</v>
      </c>
      <c r="H36" s="103">
        <v>5000.0</v>
      </c>
      <c r="I36" s="103">
        <v>5000.0</v>
      </c>
      <c r="J36" s="103">
        <v>5000.0</v>
      </c>
      <c r="K36" s="103">
        <v>5000.0</v>
      </c>
      <c r="L36" s="103">
        <v>5000.0</v>
      </c>
      <c r="M36" s="103">
        <v>5000.0</v>
      </c>
      <c r="N36" s="103">
        <v>5000.0</v>
      </c>
      <c r="O36" s="103">
        <v>5000.0</v>
      </c>
      <c r="P36" s="104">
        <f t="shared" ref="P36:P39" si="17">SUM(D36:O36)</f>
        <v>60000</v>
      </c>
      <c r="Q36" s="105" t="s">
        <v>133</v>
      </c>
    </row>
    <row r="37">
      <c r="B37" s="101">
        <f>B36+1</f>
        <v>19</v>
      </c>
      <c r="C37" s="102" t="s">
        <v>134</v>
      </c>
      <c r="D37" s="103">
        <v>10000.0</v>
      </c>
      <c r="E37" s="103">
        <v>10000.0</v>
      </c>
      <c r="F37" s="103">
        <v>10000.0</v>
      </c>
      <c r="G37" s="103">
        <v>10000.0</v>
      </c>
      <c r="H37" s="103">
        <v>10000.0</v>
      </c>
      <c r="I37" s="103">
        <v>10000.0</v>
      </c>
      <c r="J37" s="103">
        <v>10000.0</v>
      </c>
      <c r="K37" s="103">
        <v>30000.0</v>
      </c>
      <c r="L37" s="103">
        <v>30000.0</v>
      </c>
      <c r="M37" s="103">
        <v>30000.0</v>
      </c>
      <c r="N37" s="103">
        <v>30000.0</v>
      </c>
      <c r="O37" s="103">
        <v>30000.0</v>
      </c>
      <c r="P37" s="104">
        <f t="shared" si="17"/>
        <v>220000</v>
      </c>
      <c r="Q37" s="105" t="s">
        <v>135</v>
      </c>
    </row>
    <row r="38">
      <c r="B38" s="106"/>
      <c r="C38" s="107" t="s">
        <v>136</v>
      </c>
      <c r="D38" s="108">
        <f t="shared" ref="D38:O38" si="18">SUM(D36:D37)</f>
        <v>15000</v>
      </c>
      <c r="E38" s="108">
        <f t="shared" si="18"/>
        <v>15000</v>
      </c>
      <c r="F38" s="108">
        <f t="shared" si="18"/>
        <v>15000</v>
      </c>
      <c r="G38" s="108">
        <f t="shared" si="18"/>
        <v>15000</v>
      </c>
      <c r="H38" s="108">
        <f t="shared" si="18"/>
        <v>15000</v>
      </c>
      <c r="I38" s="108">
        <f t="shared" si="18"/>
        <v>15000</v>
      </c>
      <c r="J38" s="108">
        <f t="shared" si="18"/>
        <v>15000</v>
      </c>
      <c r="K38" s="108">
        <f t="shared" si="18"/>
        <v>35000</v>
      </c>
      <c r="L38" s="108">
        <f t="shared" si="18"/>
        <v>35000</v>
      </c>
      <c r="M38" s="108">
        <f t="shared" si="18"/>
        <v>35000</v>
      </c>
      <c r="N38" s="108">
        <f t="shared" si="18"/>
        <v>35000</v>
      </c>
      <c r="O38" s="108">
        <f t="shared" si="18"/>
        <v>35000</v>
      </c>
      <c r="P38" s="109">
        <f t="shared" si="17"/>
        <v>280000</v>
      </c>
      <c r="Q38" s="106"/>
    </row>
    <row r="39">
      <c r="A39" s="102" t="s">
        <v>137</v>
      </c>
      <c r="B39" s="106"/>
      <c r="C39" s="107" t="s">
        <v>78</v>
      </c>
      <c r="D39" s="108">
        <f t="shared" ref="D39:O39" si="19">D18+D26+D30+D34+D38</f>
        <v>20000</v>
      </c>
      <c r="E39" s="108">
        <f t="shared" si="19"/>
        <v>35000</v>
      </c>
      <c r="F39" s="108">
        <f t="shared" si="19"/>
        <v>258000</v>
      </c>
      <c r="G39" s="108">
        <f t="shared" si="19"/>
        <v>218000</v>
      </c>
      <c r="H39" s="108">
        <f t="shared" si="19"/>
        <v>68000</v>
      </c>
      <c r="I39" s="108">
        <f t="shared" si="19"/>
        <v>68000</v>
      </c>
      <c r="J39" s="108">
        <f t="shared" si="19"/>
        <v>68000</v>
      </c>
      <c r="K39" s="108">
        <f t="shared" si="19"/>
        <v>1027900</v>
      </c>
      <c r="L39" s="108">
        <f t="shared" si="19"/>
        <v>620000</v>
      </c>
      <c r="M39" s="108">
        <f t="shared" si="19"/>
        <v>620000</v>
      </c>
      <c r="N39" s="108">
        <f t="shared" si="19"/>
        <v>618000</v>
      </c>
      <c r="O39" s="108">
        <f t="shared" si="19"/>
        <v>618000</v>
      </c>
      <c r="P39" s="109">
        <f t="shared" si="17"/>
        <v>4238900</v>
      </c>
      <c r="Q39" s="106"/>
    </row>
    <row r="40" ht="10.5" customHeight="1"/>
    <row r="41">
      <c r="A41" s="102" t="s">
        <v>138</v>
      </c>
      <c r="B41" s="117"/>
      <c r="C41" s="118" t="s">
        <v>139</v>
      </c>
      <c r="D41" s="119">
        <f t="shared" ref="D41:O41" si="20">D7-D10-D39</f>
        <v>-45000</v>
      </c>
      <c r="E41" s="119">
        <f t="shared" si="20"/>
        <v>-60000</v>
      </c>
      <c r="F41" s="119">
        <f t="shared" si="20"/>
        <v>-313000</v>
      </c>
      <c r="G41" s="119">
        <f t="shared" si="20"/>
        <v>-273000</v>
      </c>
      <c r="H41" s="119">
        <f t="shared" si="20"/>
        <v>-103000</v>
      </c>
      <c r="I41" s="119">
        <f t="shared" si="20"/>
        <v>-103000</v>
      </c>
      <c r="J41" s="119">
        <f t="shared" si="20"/>
        <v>-103000</v>
      </c>
      <c r="K41" s="119">
        <f t="shared" si="20"/>
        <v>4694600</v>
      </c>
      <c r="L41" s="119">
        <f t="shared" si="20"/>
        <v>-672500</v>
      </c>
      <c r="M41" s="119">
        <f t="shared" si="20"/>
        <v>-672500</v>
      </c>
      <c r="N41" s="119">
        <f t="shared" si="20"/>
        <v>-665500</v>
      </c>
      <c r="O41" s="119">
        <f t="shared" si="20"/>
        <v>-665500</v>
      </c>
      <c r="P41" s="120">
        <f>SUM(D41:O41)</f>
        <v>1018600</v>
      </c>
      <c r="Q41" s="117"/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5.5"/>
    <col customWidth="1" min="2" max="2" width="3.38"/>
    <col customWidth="1" min="3" max="3" width="28.25"/>
    <col customWidth="1" min="4" max="15" width="10.88"/>
    <col customWidth="1" min="16" max="16" width="13.75"/>
    <col customWidth="1" min="17" max="17" width="41.88"/>
  </cols>
  <sheetData>
    <row r="1" ht="33.0" customHeight="1" collapsed="1">
      <c r="A1" s="1"/>
      <c r="B1" s="2" t="s">
        <v>0</v>
      </c>
      <c r="C1" s="3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idden="1" outlineLevel="1">
      <c r="A2" s="1"/>
      <c r="B2" s="4"/>
      <c r="C2" s="4"/>
      <c r="D2" s="4" t="str">
        <f t="shared" ref="D2:O2" si="1">YEAR(#REF!)&amp;MONTH(#REF!)</f>
        <v>#REF!</v>
      </c>
      <c r="E2" s="4" t="str">
        <f t="shared" si="1"/>
        <v>#REF!</v>
      </c>
      <c r="F2" s="4" t="str">
        <f t="shared" si="1"/>
        <v>#REF!</v>
      </c>
      <c r="G2" s="4" t="str">
        <f t="shared" si="1"/>
        <v>#REF!</v>
      </c>
      <c r="H2" s="4" t="str">
        <f t="shared" si="1"/>
        <v>#REF!</v>
      </c>
      <c r="I2" s="4" t="str">
        <f t="shared" si="1"/>
        <v>#REF!</v>
      </c>
      <c r="J2" s="4" t="str">
        <f t="shared" si="1"/>
        <v>#REF!</v>
      </c>
      <c r="K2" s="4" t="str">
        <f t="shared" si="1"/>
        <v>#REF!</v>
      </c>
      <c r="L2" s="4" t="str">
        <f t="shared" si="1"/>
        <v>#REF!</v>
      </c>
      <c r="M2" s="4" t="str">
        <f t="shared" si="1"/>
        <v>#REF!</v>
      </c>
      <c r="N2" s="4" t="str">
        <f t="shared" si="1"/>
        <v>#REF!</v>
      </c>
      <c r="O2" s="4" t="str">
        <f t="shared" si="1"/>
        <v>#REF!</v>
      </c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</row>
    <row r="3" ht="8.25" customHeight="1">
      <c r="A3" s="5"/>
      <c r="B3" s="63"/>
      <c r="P3" s="64"/>
      <c r="R3" s="3"/>
      <c r="S3" s="3"/>
      <c r="T3" s="3"/>
      <c r="U3" s="3"/>
      <c r="V3" s="3"/>
      <c r="W3" s="3"/>
      <c r="X3" s="3"/>
      <c r="Y3" s="3"/>
      <c r="Z3" s="3"/>
      <c r="AA3" s="3"/>
    </row>
    <row r="4" ht="24.0" customHeight="1">
      <c r="A4" s="5"/>
      <c r="B4" s="81" t="s">
        <v>140</v>
      </c>
      <c r="C4" s="121"/>
      <c r="D4" s="83">
        <v>46112.0</v>
      </c>
      <c r="E4" s="84">
        <f t="shared" ref="E4:O4" si="2">EOMONTH(D4,1)</f>
        <v>46142</v>
      </c>
      <c r="F4" s="84">
        <f t="shared" si="2"/>
        <v>46173</v>
      </c>
      <c r="G4" s="84">
        <f t="shared" si="2"/>
        <v>46203</v>
      </c>
      <c r="H4" s="84">
        <f t="shared" si="2"/>
        <v>46234</v>
      </c>
      <c r="I4" s="84">
        <f t="shared" si="2"/>
        <v>46265</v>
      </c>
      <c r="J4" s="84">
        <f t="shared" si="2"/>
        <v>46295</v>
      </c>
      <c r="K4" s="84">
        <f t="shared" si="2"/>
        <v>46326</v>
      </c>
      <c r="L4" s="84">
        <f t="shared" si="2"/>
        <v>46356</v>
      </c>
      <c r="M4" s="84">
        <f t="shared" si="2"/>
        <v>46387</v>
      </c>
      <c r="N4" s="84">
        <f t="shared" si="2"/>
        <v>46418</v>
      </c>
      <c r="O4" s="85">
        <f t="shared" si="2"/>
        <v>46446</v>
      </c>
      <c r="P4" s="65"/>
      <c r="Q4" s="65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/>
      <c r="B5" s="18">
        <v>1.0</v>
      </c>
      <c r="C5" s="66" t="s">
        <v>141</v>
      </c>
      <c r="D5" s="67">
        <v>0.0</v>
      </c>
      <c r="E5" s="67">
        <v>0.0</v>
      </c>
      <c r="F5" s="67">
        <v>0.0</v>
      </c>
      <c r="G5" s="67">
        <v>0.0</v>
      </c>
      <c r="H5" s="67">
        <v>0.0</v>
      </c>
      <c r="I5" s="67">
        <v>0.0</v>
      </c>
      <c r="J5" s="67">
        <v>0.0</v>
      </c>
      <c r="K5" s="67">
        <v>30000.0</v>
      </c>
      <c r="L5" s="67">
        <v>54000.0</v>
      </c>
      <c r="M5" s="67">
        <v>78000.0</v>
      </c>
      <c r="N5" s="67">
        <v>102000.0</v>
      </c>
      <c r="O5" s="67">
        <v>126000.0</v>
      </c>
      <c r="P5" s="69">
        <f t="shared" ref="P5:P13" si="3">SUM(D5:O5)</f>
        <v>390000</v>
      </c>
      <c r="Q5" s="122" t="s">
        <v>142</v>
      </c>
      <c r="R5" s="4"/>
      <c r="S5" s="87"/>
      <c r="T5" s="4"/>
      <c r="U5" s="4"/>
      <c r="V5" s="4"/>
      <c r="W5" s="4"/>
      <c r="X5" s="4"/>
      <c r="Y5" s="4"/>
      <c r="Z5" s="4"/>
      <c r="AA5" s="4"/>
    </row>
    <row r="6">
      <c r="A6" s="5"/>
      <c r="B6" s="18">
        <v>2.0</v>
      </c>
      <c r="C6" s="19" t="s">
        <v>143</v>
      </c>
      <c r="D6" s="20">
        <v>0.0</v>
      </c>
      <c r="E6" s="20">
        <v>0.0</v>
      </c>
      <c r="F6" s="20">
        <v>0.0</v>
      </c>
      <c r="G6" s="20">
        <v>0.0</v>
      </c>
      <c r="H6" s="20">
        <v>0.0</v>
      </c>
      <c r="I6" s="20">
        <v>0.0</v>
      </c>
      <c r="J6" s="20">
        <v>0.0</v>
      </c>
      <c r="K6" s="20">
        <v>0.0</v>
      </c>
      <c r="L6" s="20">
        <v>0.0</v>
      </c>
      <c r="M6" s="20">
        <v>0.0</v>
      </c>
      <c r="N6" s="20">
        <v>0.0</v>
      </c>
      <c r="O6" s="20">
        <v>0.0</v>
      </c>
      <c r="P6" s="22">
        <f t="shared" si="3"/>
        <v>0</v>
      </c>
      <c r="Q6" s="123" t="s">
        <v>144</v>
      </c>
      <c r="R6" s="4"/>
      <c r="S6" s="87"/>
      <c r="T6" s="4"/>
      <c r="U6" s="4"/>
      <c r="V6" s="4"/>
      <c r="W6" s="4"/>
      <c r="X6" s="4"/>
      <c r="Y6" s="4"/>
      <c r="Z6" s="4"/>
      <c r="AA6" s="4"/>
    </row>
    <row r="7">
      <c r="A7" s="5"/>
      <c r="B7" s="18">
        <v>3.0</v>
      </c>
      <c r="C7" s="19" t="s">
        <v>145</v>
      </c>
      <c r="D7" s="20">
        <v>0.0</v>
      </c>
      <c r="E7" s="20">
        <v>0.0</v>
      </c>
      <c r="F7" s="20">
        <v>0.0</v>
      </c>
      <c r="G7" s="20">
        <v>0.0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20">
        <v>0.0</v>
      </c>
      <c r="N7" s="20">
        <v>0.0</v>
      </c>
      <c r="O7" s="20">
        <v>0.0</v>
      </c>
      <c r="P7" s="22">
        <f t="shared" si="3"/>
        <v>0</v>
      </c>
      <c r="Q7" s="72" t="s">
        <v>146</v>
      </c>
      <c r="R7" s="4"/>
      <c r="S7" s="87"/>
      <c r="T7" s="4"/>
      <c r="U7" s="4"/>
      <c r="V7" s="4"/>
      <c r="W7" s="4"/>
      <c r="X7" s="4"/>
      <c r="Y7" s="4"/>
      <c r="Z7" s="4"/>
      <c r="AA7" s="4"/>
    </row>
    <row r="8">
      <c r="A8" s="5" t="s">
        <v>43</v>
      </c>
      <c r="B8" s="34"/>
      <c r="C8" s="35" t="s">
        <v>25</v>
      </c>
      <c r="D8" s="36">
        <f t="shared" ref="D8:O8" si="4">SUM(D5:D7)</f>
        <v>0</v>
      </c>
      <c r="E8" s="36">
        <f t="shared" si="4"/>
        <v>0</v>
      </c>
      <c r="F8" s="36">
        <f t="shared" si="4"/>
        <v>0</v>
      </c>
      <c r="G8" s="36">
        <f t="shared" si="4"/>
        <v>0</v>
      </c>
      <c r="H8" s="36">
        <f t="shared" si="4"/>
        <v>0</v>
      </c>
      <c r="I8" s="36">
        <f t="shared" si="4"/>
        <v>0</v>
      </c>
      <c r="J8" s="36">
        <f t="shared" si="4"/>
        <v>0</v>
      </c>
      <c r="K8" s="36">
        <f t="shared" si="4"/>
        <v>30000</v>
      </c>
      <c r="L8" s="36">
        <f t="shared" si="4"/>
        <v>54000</v>
      </c>
      <c r="M8" s="36">
        <f t="shared" si="4"/>
        <v>78000</v>
      </c>
      <c r="N8" s="36">
        <f t="shared" si="4"/>
        <v>102000</v>
      </c>
      <c r="O8" s="36">
        <f t="shared" si="4"/>
        <v>126000</v>
      </c>
      <c r="P8" s="37">
        <f t="shared" si="3"/>
        <v>390000</v>
      </c>
      <c r="Q8" s="37"/>
      <c r="R8" s="4"/>
      <c r="S8" s="87"/>
      <c r="T8" s="4"/>
      <c r="U8" s="4"/>
      <c r="V8" s="4"/>
      <c r="W8" s="4"/>
      <c r="X8" s="4"/>
      <c r="Y8" s="4"/>
      <c r="Z8" s="4"/>
      <c r="AA8" s="4"/>
    </row>
    <row r="9">
      <c r="A9" s="5"/>
      <c r="B9" s="71">
        <f>B6+1</f>
        <v>3</v>
      </c>
      <c r="C9" s="66" t="s">
        <v>147</v>
      </c>
      <c r="D9" s="67">
        <v>0.0</v>
      </c>
      <c r="E9" s="67">
        <v>10000.0</v>
      </c>
      <c r="F9" s="67">
        <v>10000.0</v>
      </c>
      <c r="G9" s="67">
        <v>10000.0</v>
      </c>
      <c r="H9" s="67">
        <v>10000.0</v>
      </c>
      <c r="I9" s="67">
        <v>10000.0</v>
      </c>
      <c r="J9" s="67">
        <v>0.0</v>
      </c>
      <c r="K9" s="67">
        <v>0.0</v>
      </c>
      <c r="L9" s="67">
        <v>0.0</v>
      </c>
      <c r="M9" s="67">
        <v>0.0</v>
      </c>
      <c r="N9" s="67">
        <v>0.0</v>
      </c>
      <c r="O9" s="67">
        <v>0.0</v>
      </c>
      <c r="P9" s="69">
        <f t="shared" si="3"/>
        <v>50000</v>
      </c>
      <c r="Q9" s="70" t="s">
        <v>148</v>
      </c>
      <c r="R9" s="4"/>
      <c r="S9" s="87"/>
      <c r="T9" s="4"/>
      <c r="U9" s="4"/>
      <c r="V9" s="4"/>
      <c r="W9" s="4"/>
      <c r="X9" s="4"/>
      <c r="Y9" s="4"/>
      <c r="Z9" s="4"/>
      <c r="AA9" s="4"/>
    </row>
    <row r="10">
      <c r="A10" s="5"/>
      <c r="B10" s="71">
        <f t="shared" ref="B10:B11" si="5">B9+1</f>
        <v>4</v>
      </c>
      <c r="C10" s="66" t="s">
        <v>149</v>
      </c>
      <c r="D10" s="67">
        <v>0.0</v>
      </c>
      <c r="E10" s="67">
        <v>0.0</v>
      </c>
      <c r="F10" s="67">
        <v>4000.0</v>
      </c>
      <c r="G10" s="67">
        <v>0.0</v>
      </c>
      <c r="H10" s="67">
        <v>0.0</v>
      </c>
      <c r="I10" s="67">
        <v>0.0</v>
      </c>
      <c r="J10" s="67">
        <v>0.0</v>
      </c>
      <c r="K10" s="67">
        <v>0.0</v>
      </c>
      <c r="L10" s="67">
        <v>0.0</v>
      </c>
      <c r="M10" s="67">
        <v>0.0</v>
      </c>
      <c r="N10" s="67">
        <v>0.0</v>
      </c>
      <c r="O10" s="67">
        <v>0.0</v>
      </c>
      <c r="P10" s="69">
        <f t="shared" si="3"/>
        <v>4000</v>
      </c>
      <c r="Q10" s="70" t="s">
        <v>150</v>
      </c>
      <c r="R10" s="4"/>
      <c r="S10" s="87"/>
      <c r="T10" s="4"/>
      <c r="U10" s="4"/>
      <c r="V10" s="4"/>
      <c r="W10" s="4"/>
      <c r="X10" s="4"/>
      <c r="Y10" s="4"/>
      <c r="Z10" s="4"/>
      <c r="AA10" s="4"/>
    </row>
    <row r="11">
      <c r="A11" s="5" t="s">
        <v>47</v>
      </c>
      <c r="B11" s="71">
        <f t="shared" si="5"/>
        <v>5</v>
      </c>
      <c r="C11" s="19" t="s">
        <v>151</v>
      </c>
      <c r="D11" s="67">
        <v>0.0</v>
      </c>
      <c r="E11" s="67">
        <v>0.0</v>
      </c>
      <c r="F11" s="67">
        <v>0.0</v>
      </c>
      <c r="G11" s="67">
        <v>0.0</v>
      </c>
      <c r="H11" s="67">
        <v>0.0</v>
      </c>
      <c r="I11" s="67">
        <v>0.0</v>
      </c>
      <c r="J11" s="67">
        <v>0.0</v>
      </c>
      <c r="K11" s="67">
        <v>1080.0</v>
      </c>
      <c r="L11" s="67">
        <v>1944.0</v>
      </c>
      <c r="M11" s="67">
        <v>2808.0</v>
      </c>
      <c r="N11" s="67">
        <v>3672.0</v>
      </c>
      <c r="O11" s="67">
        <v>4536.0</v>
      </c>
      <c r="P11" s="22">
        <f t="shared" si="3"/>
        <v>14040</v>
      </c>
      <c r="Q11" s="72" t="s">
        <v>152</v>
      </c>
      <c r="R11" s="4"/>
      <c r="S11" s="87"/>
      <c r="T11" s="4"/>
      <c r="U11" s="4"/>
      <c r="V11" s="4"/>
      <c r="W11" s="4"/>
      <c r="X11" s="4"/>
      <c r="Y11" s="4"/>
      <c r="Z11" s="4"/>
      <c r="AA11" s="4"/>
    </row>
    <row r="12">
      <c r="A12" s="5"/>
      <c r="B12" s="55"/>
      <c r="C12" s="56" t="s">
        <v>42</v>
      </c>
      <c r="D12" s="57">
        <f t="shared" ref="D12:O12" si="6">SUM(D9:D11)</f>
        <v>0</v>
      </c>
      <c r="E12" s="57">
        <f t="shared" si="6"/>
        <v>10000</v>
      </c>
      <c r="F12" s="57">
        <f t="shared" si="6"/>
        <v>14000</v>
      </c>
      <c r="G12" s="57">
        <f t="shared" si="6"/>
        <v>10000</v>
      </c>
      <c r="H12" s="57">
        <f t="shared" si="6"/>
        <v>10000</v>
      </c>
      <c r="I12" s="57">
        <f t="shared" si="6"/>
        <v>10000</v>
      </c>
      <c r="J12" s="57">
        <f t="shared" si="6"/>
        <v>0</v>
      </c>
      <c r="K12" s="57">
        <f t="shared" si="6"/>
        <v>1080</v>
      </c>
      <c r="L12" s="57">
        <f t="shared" si="6"/>
        <v>1944</v>
      </c>
      <c r="M12" s="57">
        <f t="shared" si="6"/>
        <v>2808</v>
      </c>
      <c r="N12" s="57">
        <f t="shared" si="6"/>
        <v>3672</v>
      </c>
      <c r="O12" s="57">
        <f t="shared" si="6"/>
        <v>4536</v>
      </c>
      <c r="P12" s="58">
        <f t="shared" si="3"/>
        <v>68040</v>
      </c>
      <c r="Q12" s="58"/>
      <c r="R12" s="4"/>
      <c r="S12" s="87"/>
      <c r="T12" s="4"/>
      <c r="U12" s="4"/>
      <c r="V12" s="4"/>
      <c r="W12" s="4"/>
      <c r="X12" s="4"/>
      <c r="Y12" s="4"/>
      <c r="Z12" s="4"/>
      <c r="AA12" s="4"/>
    </row>
    <row r="13">
      <c r="A13" s="5" t="s">
        <v>48</v>
      </c>
      <c r="B13" s="59"/>
      <c r="C13" s="60" t="s">
        <v>153</v>
      </c>
      <c r="D13" s="61">
        <f t="shared" ref="D13:O13" si="7">D8-D12</f>
        <v>0</v>
      </c>
      <c r="E13" s="61">
        <f t="shared" si="7"/>
        <v>-10000</v>
      </c>
      <c r="F13" s="61">
        <f t="shared" si="7"/>
        <v>-14000</v>
      </c>
      <c r="G13" s="61">
        <f t="shared" si="7"/>
        <v>-10000</v>
      </c>
      <c r="H13" s="61">
        <f t="shared" si="7"/>
        <v>-10000</v>
      </c>
      <c r="I13" s="61">
        <f t="shared" si="7"/>
        <v>-10000</v>
      </c>
      <c r="J13" s="61">
        <f t="shared" si="7"/>
        <v>0</v>
      </c>
      <c r="K13" s="61">
        <f t="shared" si="7"/>
        <v>28920</v>
      </c>
      <c r="L13" s="61">
        <f t="shared" si="7"/>
        <v>52056</v>
      </c>
      <c r="M13" s="61">
        <f t="shared" si="7"/>
        <v>75192</v>
      </c>
      <c r="N13" s="61">
        <f t="shared" si="7"/>
        <v>98328</v>
      </c>
      <c r="O13" s="61">
        <f t="shared" si="7"/>
        <v>121464</v>
      </c>
      <c r="P13" s="62">
        <f t="shared" si="3"/>
        <v>321960</v>
      </c>
      <c r="Q13" s="62"/>
      <c r="R13" s="4"/>
      <c r="S13" s="87"/>
      <c r="T13" s="4"/>
      <c r="U13" s="4"/>
      <c r="V13" s="4"/>
      <c r="W13" s="4"/>
      <c r="X13" s="4"/>
      <c r="Y13" s="4"/>
      <c r="Z13" s="4"/>
      <c r="AA13" s="4"/>
    </row>
    <row r="14" ht="8.25" customHeight="1">
      <c r="A14" s="5"/>
      <c r="B14" s="63"/>
      <c r="P14" s="64"/>
      <c r="R14" s="3"/>
      <c r="S14" s="2"/>
      <c r="T14" s="3"/>
      <c r="U14" s="3"/>
      <c r="V14" s="3"/>
      <c r="W14" s="3"/>
      <c r="X14" s="3"/>
      <c r="Y14" s="3"/>
      <c r="Z14" s="3"/>
      <c r="AA14" s="3"/>
    </row>
    <row r="15" ht="24.0" customHeight="1">
      <c r="A15" s="5"/>
      <c r="B15" s="10" t="s">
        <v>154</v>
      </c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65"/>
      <c r="Q15" s="65"/>
      <c r="R15" s="3"/>
      <c r="S15" s="2"/>
      <c r="T15" s="3"/>
      <c r="U15" s="3"/>
      <c r="V15" s="3"/>
      <c r="W15" s="3"/>
      <c r="X15" s="3"/>
      <c r="Y15" s="3"/>
      <c r="Z15" s="3"/>
      <c r="AA15" s="3"/>
    </row>
    <row r="16">
      <c r="A16" s="5"/>
      <c r="B16" s="18">
        <v>7.0</v>
      </c>
      <c r="C16" s="88" t="s">
        <v>155</v>
      </c>
      <c r="D16" s="20">
        <v>0.0</v>
      </c>
      <c r="E16" s="20">
        <v>0.0</v>
      </c>
      <c r="F16" s="20">
        <v>0.0</v>
      </c>
      <c r="G16" s="20">
        <v>300000.0</v>
      </c>
      <c r="H16" s="20">
        <v>50000.0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2">
        <f t="shared" ref="P16:P24" si="8">SUM(D16:O16)</f>
        <v>350000</v>
      </c>
      <c r="Q16" s="89" t="s">
        <v>156</v>
      </c>
      <c r="R16" s="4"/>
      <c r="S16" s="87"/>
      <c r="T16" s="4"/>
      <c r="U16" s="4"/>
      <c r="V16" s="4"/>
      <c r="W16" s="4"/>
      <c r="X16" s="4"/>
      <c r="Y16" s="4"/>
      <c r="Z16" s="4"/>
      <c r="AA16" s="4"/>
    </row>
    <row r="17">
      <c r="A17" s="5"/>
      <c r="B17" s="18">
        <v>8.0</v>
      </c>
      <c r="C17" s="88" t="s">
        <v>157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150000.0</v>
      </c>
      <c r="L17" s="20">
        <v>150000.0</v>
      </c>
      <c r="M17" s="20">
        <v>150000.0</v>
      </c>
      <c r="N17" s="20">
        <v>150000.0</v>
      </c>
      <c r="O17" s="20">
        <v>150000.0</v>
      </c>
      <c r="P17" s="22">
        <f t="shared" si="8"/>
        <v>750000</v>
      </c>
      <c r="Q17" s="72" t="s">
        <v>158</v>
      </c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/>
      <c r="B18" s="18">
        <v>9.0</v>
      </c>
      <c r="C18" s="88" t="s">
        <v>53</v>
      </c>
      <c r="D18" s="90">
        <v>0.0</v>
      </c>
      <c r="E18" s="90">
        <v>0.0</v>
      </c>
      <c r="F18" s="90">
        <v>0.0</v>
      </c>
      <c r="G18" s="90">
        <v>0.0</v>
      </c>
      <c r="H18" s="90">
        <v>0.0</v>
      </c>
      <c r="I18" s="90">
        <v>0.0</v>
      </c>
      <c r="J18" s="90">
        <v>0.0</v>
      </c>
      <c r="K18" s="20">
        <v>30000.0</v>
      </c>
      <c r="L18" s="20">
        <v>30000.0</v>
      </c>
      <c r="M18" s="20">
        <v>30000.0</v>
      </c>
      <c r="N18" s="20">
        <v>30000.0</v>
      </c>
      <c r="O18" s="20">
        <v>30000.0</v>
      </c>
      <c r="P18" s="22">
        <f t="shared" si="8"/>
        <v>150000</v>
      </c>
      <c r="Q18" s="72" t="s">
        <v>159</v>
      </c>
      <c r="R18" s="87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/>
      <c r="B19" s="18">
        <v>10.0</v>
      </c>
      <c r="C19" s="88" t="s">
        <v>41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10000.0</v>
      </c>
      <c r="L19" s="20">
        <v>10000.0</v>
      </c>
      <c r="M19" s="20">
        <v>10000.0</v>
      </c>
      <c r="N19" s="20">
        <v>10000.0</v>
      </c>
      <c r="O19" s="20">
        <v>10000.0</v>
      </c>
      <c r="P19" s="22">
        <f t="shared" si="8"/>
        <v>50000</v>
      </c>
      <c r="Q19" s="72" t="s">
        <v>160</v>
      </c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/>
      <c r="B20" s="18">
        <v>11.0</v>
      </c>
      <c r="C20" s="88" t="s">
        <v>59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30000.0</v>
      </c>
      <c r="L20" s="20">
        <v>30000.0</v>
      </c>
      <c r="M20" s="20">
        <v>30000.0</v>
      </c>
      <c r="N20" s="20">
        <v>30000.0</v>
      </c>
      <c r="O20" s="20">
        <v>30000.0</v>
      </c>
      <c r="P20" s="22">
        <f t="shared" si="8"/>
        <v>150000</v>
      </c>
      <c r="Q20" s="72" t="s">
        <v>161</v>
      </c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/>
      <c r="B21" s="18">
        <v>12.0</v>
      </c>
      <c r="C21" s="66" t="s">
        <v>40</v>
      </c>
      <c r="D21" s="90">
        <v>0.0</v>
      </c>
      <c r="E21" s="90">
        <v>0.0</v>
      </c>
      <c r="F21" s="90">
        <v>0.0</v>
      </c>
      <c r="G21" s="90">
        <v>0.0</v>
      </c>
      <c r="H21" s="90">
        <v>0.0</v>
      </c>
      <c r="I21" s="20">
        <v>10000.0</v>
      </c>
      <c r="J21" s="90">
        <v>0.0</v>
      </c>
      <c r="K21" s="90">
        <v>0.0</v>
      </c>
      <c r="L21" s="90">
        <v>0.0</v>
      </c>
      <c r="M21" s="90">
        <v>0.0</v>
      </c>
      <c r="N21" s="90">
        <v>0.0</v>
      </c>
      <c r="O21" s="90">
        <v>0.0</v>
      </c>
      <c r="P21" s="22">
        <f t="shared" si="8"/>
        <v>10000</v>
      </c>
      <c r="Q21" s="72" t="s">
        <v>162</v>
      </c>
      <c r="R21" s="87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/>
      <c r="B22" s="18">
        <v>13.0</v>
      </c>
      <c r="C22" s="66" t="s">
        <v>163</v>
      </c>
      <c r="D22" s="20">
        <v>0.0</v>
      </c>
      <c r="E22" s="20">
        <v>3000.0</v>
      </c>
      <c r="F22" s="20">
        <v>3000.0</v>
      </c>
      <c r="G22" s="20">
        <v>3000.0</v>
      </c>
      <c r="H22" s="20">
        <v>3000.0</v>
      </c>
      <c r="I22" s="20">
        <v>3000.0</v>
      </c>
      <c r="J22" s="20">
        <v>0.0</v>
      </c>
      <c r="K22" s="20">
        <v>5000.0</v>
      </c>
      <c r="L22" s="20">
        <v>5000.0</v>
      </c>
      <c r="M22" s="20">
        <v>5000.0</v>
      </c>
      <c r="N22" s="20">
        <v>5000.0</v>
      </c>
      <c r="O22" s="20">
        <v>5000.0</v>
      </c>
      <c r="P22" s="22">
        <f t="shared" si="8"/>
        <v>40000</v>
      </c>
      <c r="Q22" s="72" t="s">
        <v>164</v>
      </c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/>
      <c r="B23" s="18">
        <v>14.0</v>
      </c>
      <c r="C23" s="66" t="s">
        <v>165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  <c r="J23" s="20">
        <v>0.0</v>
      </c>
      <c r="K23" s="20">
        <v>70000.0</v>
      </c>
      <c r="L23" s="20">
        <v>0.0</v>
      </c>
      <c r="M23" s="20">
        <v>0.0</v>
      </c>
      <c r="N23" s="20">
        <v>0.0</v>
      </c>
      <c r="O23" s="20">
        <v>0.0</v>
      </c>
      <c r="P23" s="22">
        <f t="shared" si="8"/>
        <v>70000</v>
      </c>
      <c r="Q23" s="72" t="s">
        <v>166</v>
      </c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">
        <v>60</v>
      </c>
      <c r="B24" s="73"/>
      <c r="C24" s="74" t="s">
        <v>78</v>
      </c>
      <c r="D24" s="75">
        <f t="shared" ref="D24:O24" si="9">SUM(D16:D23)</f>
        <v>0</v>
      </c>
      <c r="E24" s="75">
        <f t="shared" si="9"/>
        <v>3000</v>
      </c>
      <c r="F24" s="75">
        <f t="shared" si="9"/>
        <v>3000</v>
      </c>
      <c r="G24" s="75">
        <f t="shared" si="9"/>
        <v>303000</v>
      </c>
      <c r="H24" s="75">
        <f t="shared" si="9"/>
        <v>53000</v>
      </c>
      <c r="I24" s="75">
        <f t="shared" si="9"/>
        <v>13000</v>
      </c>
      <c r="J24" s="75">
        <f t="shared" si="9"/>
        <v>0</v>
      </c>
      <c r="K24" s="75">
        <f t="shared" si="9"/>
        <v>295000</v>
      </c>
      <c r="L24" s="75">
        <f t="shared" si="9"/>
        <v>225000</v>
      </c>
      <c r="M24" s="75">
        <f t="shared" si="9"/>
        <v>225000</v>
      </c>
      <c r="N24" s="75">
        <f t="shared" si="9"/>
        <v>225000</v>
      </c>
      <c r="O24" s="75">
        <f t="shared" si="9"/>
        <v>225000</v>
      </c>
      <c r="P24" s="76">
        <f t="shared" si="8"/>
        <v>1570000</v>
      </c>
      <c r="Q24" s="76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0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3"/>
      <c r="Q25" s="3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 t="s">
        <v>62</v>
      </c>
      <c r="B26" s="77"/>
      <c r="C26" s="78" t="s">
        <v>167</v>
      </c>
      <c r="D26" s="79">
        <f t="shared" ref="D26:O26" si="10">D13-D24</f>
        <v>0</v>
      </c>
      <c r="E26" s="79">
        <f t="shared" si="10"/>
        <v>-13000</v>
      </c>
      <c r="F26" s="79">
        <f t="shared" si="10"/>
        <v>-17000</v>
      </c>
      <c r="G26" s="79">
        <f t="shared" si="10"/>
        <v>-313000</v>
      </c>
      <c r="H26" s="79">
        <f t="shared" si="10"/>
        <v>-63000</v>
      </c>
      <c r="I26" s="79">
        <f t="shared" si="10"/>
        <v>-23000</v>
      </c>
      <c r="J26" s="79">
        <f t="shared" si="10"/>
        <v>0</v>
      </c>
      <c r="K26" s="79">
        <f t="shared" si="10"/>
        <v>-266080</v>
      </c>
      <c r="L26" s="79">
        <f t="shared" si="10"/>
        <v>-172944</v>
      </c>
      <c r="M26" s="79">
        <f t="shared" si="10"/>
        <v>-149808</v>
      </c>
      <c r="N26" s="79">
        <f t="shared" si="10"/>
        <v>-126672</v>
      </c>
      <c r="O26" s="79">
        <f t="shared" si="10"/>
        <v>-103536</v>
      </c>
      <c r="P26" s="80">
        <f>SUM(D26:O26)</f>
        <v>-1248040</v>
      </c>
      <c r="Q26" s="80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3"/>
      <c r="Q27" s="3"/>
      <c r="R27" s="4"/>
      <c r="S27" s="4"/>
      <c r="T27" s="4"/>
      <c r="U27" s="4"/>
      <c r="V27" s="4"/>
      <c r="W27" s="4"/>
      <c r="X27" s="4"/>
      <c r="Y27" s="4"/>
      <c r="Z27" s="4"/>
      <c r="AA27" s="4"/>
    </row>
  </sheetData>
  <mergeCells count="3">
    <mergeCell ref="B3:P3"/>
    <mergeCell ref="B14:P14"/>
    <mergeCell ref="B15:C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1.13"/>
    <col customWidth="1" min="2" max="2" width="3.38"/>
    <col customWidth="1" min="3" max="3" width="31.13"/>
    <col customWidth="1" min="4" max="15" width="10.88"/>
    <col customWidth="1" min="16" max="16" width="9.5"/>
    <col customWidth="1" min="17" max="17" width="32.75"/>
  </cols>
  <sheetData>
    <row r="1" ht="33.0" customHeight="1" collapsed="1">
      <c r="A1" s="1"/>
      <c r="B1" s="2" t="s">
        <v>0</v>
      </c>
      <c r="C1" s="3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3"/>
      <c r="Q1" s="3"/>
      <c r="R1" s="3"/>
      <c r="S1" s="2" t="s">
        <v>168</v>
      </c>
      <c r="T1" s="3"/>
      <c r="U1" s="3"/>
      <c r="V1" s="3"/>
      <c r="W1" s="124" t="s">
        <v>169</v>
      </c>
      <c r="X1" s="125"/>
      <c r="Y1" s="126"/>
      <c r="Z1" s="2" t="s">
        <v>170</v>
      </c>
      <c r="AA1" s="125"/>
      <c r="AB1" s="125"/>
      <c r="AC1" s="125"/>
      <c r="AD1" s="124" t="s">
        <v>171</v>
      </c>
      <c r="AE1" s="3"/>
      <c r="AF1" s="3"/>
    </row>
    <row r="2" hidden="1" outlineLevel="1">
      <c r="A2" s="1"/>
      <c r="B2" s="4"/>
      <c r="C2" s="4"/>
      <c r="D2" s="4" t="str">
        <f t="shared" ref="D2:O2" si="1">YEAR(D3)&amp;MONTH(D3)</f>
        <v>20263</v>
      </c>
      <c r="E2" s="4" t="str">
        <f t="shared" si="1"/>
        <v>20264</v>
      </c>
      <c r="F2" s="4" t="str">
        <f t="shared" si="1"/>
        <v>20265</v>
      </c>
      <c r="G2" s="4" t="str">
        <f t="shared" si="1"/>
        <v>20266</v>
      </c>
      <c r="H2" s="4" t="str">
        <f t="shared" si="1"/>
        <v>20267</v>
      </c>
      <c r="I2" s="4" t="str">
        <f t="shared" si="1"/>
        <v>20268</v>
      </c>
      <c r="J2" s="4" t="str">
        <f t="shared" si="1"/>
        <v>20269</v>
      </c>
      <c r="K2" s="4" t="str">
        <f t="shared" si="1"/>
        <v>202610</v>
      </c>
      <c r="L2" s="4" t="str">
        <f t="shared" si="1"/>
        <v>202611</v>
      </c>
      <c r="M2" s="4" t="str">
        <f t="shared" si="1"/>
        <v>202612</v>
      </c>
      <c r="N2" s="4" t="str">
        <f t="shared" si="1"/>
        <v>20271</v>
      </c>
      <c r="O2" s="4" t="str">
        <f t="shared" si="1"/>
        <v>20272</v>
      </c>
      <c r="P2" s="3"/>
      <c r="Q2" s="3"/>
      <c r="R2" s="4"/>
      <c r="AF2" s="4"/>
    </row>
    <row r="3" ht="18.0" customHeight="1">
      <c r="A3" s="5" t="s">
        <v>172</v>
      </c>
      <c r="B3" s="6" t="s">
        <v>2</v>
      </c>
      <c r="C3" s="7"/>
      <c r="D3" s="8">
        <v>46112.0</v>
      </c>
      <c r="E3" s="8">
        <f t="shared" ref="E3:O3" si="2">EOMONTH(D3,1)</f>
        <v>46142</v>
      </c>
      <c r="F3" s="8">
        <f t="shared" si="2"/>
        <v>46173</v>
      </c>
      <c r="G3" s="8">
        <f t="shared" si="2"/>
        <v>46203</v>
      </c>
      <c r="H3" s="8">
        <f t="shared" si="2"/>
        <v>46234</v>
      </c>
      <c r="I3" s="8">
        <f t="shared" si="2"/>
        <v>46265</v>
      </c>
      <c r="J3" s="8">
        <f t="shared" si="2"/>
        <v>46295</v>
      </c>
      <c r="K3" s="8">
        <f t="shared" si="2"/>
        <v>46326</v>
      </c>
      <c r="L3" s="8">
        <f t="shared" si="2"/>
        <v>46356</v>
      </c>
      <c r="M3" s="8">
        <f t="shared" si="2"/>
        <v>46387</v>
      </c>
      <c r="N3" s="8">
        <f t="shared" si="2"/>
        <v>46418</v>
      </c>
      <c r="O3" s="8">
        <f t="shared" si="2"/>
        <v>46446</v>
      </c>
      <c r="P3" s="9" t="s">
        <v>3</v>
      </c>
      <c r="Q3" s="9" t="s">
        <v>4</v>
      </c>
      <c r="R3" s="2"/>
      <c r="S3" s="127" t="s">
        <v>173</v>
      </c>
      <c r="T3" s="128" t="s">
        <v>174</v>
      </c>
      <c r="U3" s="129" t="s">
        <v>175</v>
      </c>
      <c r="V3" s="129" t="s">
        <v>176</v>
      </c>
      <c r="W3" s="129" t="s">
        <v>177</v>
      </c>
      <c r="X3" s="130" t="s">
        <v>178</v>
      </c>
      <c r="Y3" s="3"/>
      <c r="Z3" s="131" t="s">
        <v>173</v>
      </c>
      <c r="AA3" s="132" t="s">
        <v>174</v>
      </c>
      <c r="AB3" s="133" t="s">
        <v>179</v>
      </c>
      <c r="AC3" s="133" t="s">
        <v>176</v>
      </c>
      <c r="AD3" s="133" t="s">
        <v>177</v>
      </c>
      <c r="AE3" s="134" t="s">
        <v>178</v>
      </c>
    </row>
    <row r="4" ht="24.0" customHeight="1">
      <c r="A4" s="5"/>
      <c r="B4" s="10" t="s">
        <v>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3"/>
      <c r="R4" s="135" t="s">
        <v>180</v>
      </c>
      <c r="S4" s="136"/>
      <c r="T4" s="137" t="s">
        <v>181</v>
      </c>
      <c r="U4" s="138">
        <v>46082.0</v>
      </c>
      <c r="V4" s="139" t="s">
        <v>181</v>
      </c>
      <c r="W4" s="139" t="s">
        <v>8</v>
      </c>
      <c r="X4" s="140">
        <v>3000000.0</v>
      </c>
      <c r="Y4" s="135" t="s">
        <v>180</v>
      </c>
      <c r="Z4" s="136">
        <v>46265.0</v>
      </c>
      <c r="AA4" s="137" t="s">
        <v>181</v>
      </c>
      <c r="AB4" s="138">
        <v>46082.0</v>
      </c>
      <c r="AC4" s="139" t="s">
        <v>181</v>
      </c>
      <c r="AD4" s="141" t="s">
        <v>182</v>
      </c>
      <c r="AE4" s="140">
        <v>0.0</v>
      </c>
      <c r="AF4" s="3"/>
    </row>
    <row r="5">
      <c r="A5" s="5"/>
      <c r="B5" s="18">
        <v>1.0</v>
      </c>
      <c r="C5" s="19" t="s">
        <v>8</v>
      </c>
      <c r="D5" s="20">
        <f t="shared" ref="D5:O5" si="3">SUMIFS($X:$X,$S:$S,D$3,$W:$W,$C5)</f>
        <v>0</v>
      </c>
      <c r="E5" s="20">
        <f t="shared" si="3"/>
        <v>0</v>
      </c>
      <c r="F5" s="20">
        <f t="shared" si="3"/>
        <v>0</v>
      </c>
      <c r="G5" s="20">
        <f t="shared" si="3"/>
        <v>0</v>
      </c>
      <c r="H5" s="20">
        <f t="shared" si="3"/>
        <v>0</v>
      </c>
      <c r="I5" s="20">
        <f t="shared" si="3"/>
        <v>1300000</v>
      </c>
      <c r="J5" s="20">
        <f t="shared" si="3"/>
        <v>8400000</v>
      </c>
      <c r="K5" s="20">
        <f t="shared" si="3"/>
        <v>0</v>
      </c>
      <c r="L5" s="20">
        <f t="shared" si="3"/>
        <v>0</v>
      </c>
      <c r="M5" s="20">
        <f t="shared" si="3"/>
        <v>0</v>
      </c>
      <c r="N5" s="20">
        <f t="shared" si="3"/>
        <v>0</v>
      </c>
      <c r="O5" s="20">
        <f t="shared" si="3"/>
        <v>0</v>
      </c>
      <c r="P5" s="22">
        <f t="shared" ref="P5:P37" si="5">SUM(D5:O5)</f>
        <v>9700000</v>
      </c>
      <c r="Q5" s="22"/>
      <c r="R5" s="4"/>
      <c r="S5" s="142">
        <v>46295.0</v>
      </c>
      <c r="T5" s="143" t="s">
        <v>183</v>
      </c>
      <c r="U5" s="138">
        <v>45901.0</v>
      </c>
      <c r="V5" s="144"/>
      <c r="W5" s="139" t="s">
        <v>8</v>
      </c>
      <c r="X5" s="145">
        <v>0.0</v>
      </c>
      <c r="Y5" s="4"/>
      <c r="Z5" s="142">
        <v>46295.0</v>
      </c>
      <c r="AA5" s="143" t="s">
        <v>183</v>
      </c>
      <c r="AB5" s="146">
        <v>45930.0</v>
      </c>
      <c r="AC5" s="146"/>
      <c r="AD5" s="147" t="s">
        <v>184</v>
      </c>
      <c r="AE5" s="145">
        <v>0.0</v>
      </c>
      <c r="AF5" s="4"/>
    </row>
    <row r="6">
      <c r="A6" s="5"/>
      <c r="B6" s="18">
        <f t="shared" ref="B6:B13" si="6">B5+1</f>
        <v>2</v>
      </c>
      <c r="C6" s="19" t="s">
        <v>10</v>
      </c>
      <c r="D6" s="20">
        <f t="shared" ref="D6:O6" si="4">SUMIFS($X:$X,$S:$S,D$3,$W:$W,$C6)</f>
        <v>0</v>
      </c>
      <c r="E6" s="20">
        <f t="shared" si="4"/>
        <v>0</v>
      </c>
      <c r="F6" s="20">
        <f t="shared" si="4"/>
        <v>0</v>
      </c>
      <c r="G6" s="20">
        <f t="shared" si="4"/>
        <v>0</v>
      </c>
      <c r="H6" s="20">
        <f t="shared" si="4"/>
        <v>0</v>
      </c>
      <c r="I6" s="20">
        <f t="shared" si="4"/>
        <v>11940000</v>
      </c>
      <c r="J6" s="20">
        <f t="shared" si="4"/>
        <v>11940000</v>
      </c>
      <c r="K6" s="20">
        <f t="shared" si="4"/>
        <v>0</v>
      </c>
      <c r="L6" s="20">
        <f t="shared" si="4"/>
        <v>0</v>
      </c>
      <c r="M6" s="20">
        <f t="shared" si="4"/>
        <v>0</v>
      </c>
      <c r="N6" s="20">
        <f t="shared" si="4"/>
        <v>0</v>
      </c>
      <c r="O6" s="20">
        <f t="shared" si="4"/>
        <v>0</v>
      </c>
      <c r="P6" s="22">
        <f t="shared" si="5"/>
        <v>23880000</v>
      </c>
      <c r="Q6" s="22"/>
      <c r="R6" s="4"/>
      <c r="S6" s="142">
        <v>46295.0</v>
      </c>
      <c r="T6" s="143" t="s">
        <v>183</v>
      </c>
      <c r="U6" s="146">
        <v>45930.0</v>
      </c>
      <c r="V6" s="146"/>
      <c r="W6" s="148" t="s">
        <v>10</v>
      </c>
      <c r="X6" s="145">
        <v>0.0</v>
      </c>
      <c r="Y6" s="4"/>
      <c r="Z6" s="142">
        <v>46295.0</v>
      </c>
      <c r="AA6" s="143" t="s">
        <v>183</v>
      </c>
      <c r="AB6" s="146">
        <v>45930.0</v>
      </c>
      <c r="AC6" s="146"/>
      <c r="AD6" s="147" t="s">
        <v>185</v>
      </c>
      <c r="AE6" s="145">
        <v>0.0</v>
      </c>
      <c r="AF6" s="4"/>
    </row>
    <row r="7">
      <c r="A7" s="5"/>
      <c r="B7" s="18">
        <f t="shared" si="6"/>
        <v>3</v>
      </c>
      <c r="C7" s="19" t="s">
        <v>12</v>
      </c>
      <c r="D7" s="20">
        <f t="shared" ref="D7:O7" si="7">SUMIFS($X:$X,$S:$S,D$3,$W:$W,$C7)</f>
        <v>0</v>
      </c>
      <c r="E7" s="20">
        <f t="shared" si="7"/>
        <v>0</v>
      </c>
      <c r="F7" s="20">
        <f t="shared" si="7"/>
        <v>0</v>
      </c>
      <c r="G7" s="20">
        <f t="shared" si="7"/>
        <v>0</v>
      </c>
      <c r="H7" s="20">
        <f t="shared" si="7"/>
        <v>0</v>
      </c>
      <c r="I7" s="20">
        <f t="shared" si="7"/>
        <v>5033000</v>
      </c>
      <c r="J7" s="20">
        <f t="shared" si="7"/>
        <v>5033000</v>
      </c>
      <c r="K7" s="20">
        <f t="shared" si="7"/>
        <v>0</v>
      </c>
      <c r="L7" s="20">
        <f t="shared" si="7"/>
        <v>0</v>
      </c>
      <c r="M7" s="20">
        <f t="shared" si="7"/>
        <v>0</v>
      </c>
      <c r="N7" s="20">
        <f t="shared" si="7"/>
        <v>0</v>
      </c>
      <c r="O7" s="20">
        <f t="shared" si="7"/>
        <v>0</v>
      </c>
      <c r="P7" s="22">
        <f t="shared" si="5"/>
        <v>10066000</v>
      </c>
      <c r="Q7" s="22"/>
      <c r="R7" s="4"/>
      <c r="S7" s="142">
        <v>46295.0</v>
      </c>
      <c r="T7" s="143" t="s">
        <v>183</v>
      </c>
      <c r="U7" s="146">
        <v>45930.0</v>
      </c>
      <c r="V7" s="146"/>
      <c r="W7" s="148" t="s">
        <v>12</v>
      </c>
      <c r="X7" s="145">
        <v>0.0</v>
      </c>
      <c r="Y7" s="4"/>
      <c r="Z7" s="142">
        <v>46295.0</v>
      </c>
      <c r="AA7" s="143" t="s">
        <v>183</v>
      </c>
      <c r="AB7" s="146">
        <v>45930.0</v>
      </c>
      <c r="AC7" s="146"/>
      <c r="AD7" s="147" t="s">
        <v>186</v>
      </c>
      <c r="AE7" s="145">
        <v>0.0</v>
      </c>
      <c r="AF7" s="4"/>
    </row>
    <row r="8">
      <c r="A8" s="5"/>
      <c r="B8" s="18">
        <f t="shared" si="6"/>
        <v>4</v>
      </c>
      <c r="C8" s="19" t="s">
        <v>14</v>
      </c>
      <c r="D8" s="20">
        <f t="shared" ref="D8:O8" si="8">SUMIFS($X:$X,$S:$S,D$3,$W:$W,$C8)</f>
        <v>0</v>
      </c>
      <c r="E8" s="20">
        <f t="shared" si="8"/>
        <v>0</v>
      </c>
      <c r="F8" s="20">
        <f t="shared" si="8"/>
        <v>0</v>
      </c>
      <c r="G8" s="20">
        <f t="shared" si="8"/>
        <v>0</v>
      </c>
      <c r="H8" s="20">
        <f t="shared" si="8"/>
        <v>0</v>
      </c>
      <c r="I8" s="20">
        <f t="shared" si="8"/>
        <v>1089000</v>
      </c>
      <c r="J8" s="20">
        <f t="shared" si="8"/>
        <v>1089000</v>
      </c>
      <c r="K8" s="20">
        <f t="shared" si="8"/>
        <v>0</v>
      </c>
      <c r="L8" s="20">
        <f t="shared" si="8"/>
        <v>0</v>
      </c>
      <c r="M8" s="20">
        <f t="shared" si="8"/>
        <v>0</v>
      </c>
      <c r="N8" s="20">
        <f t="shared" si="8"/>
        <v>0</v>
      </c>
      <c r="O8" s="20">
        <f t="shared" si="8"/>
        <v>0</v>
      </c>
      <c r="P8" s="22">
        <f t="shared" si="5"/>
        <v>2178000</v>
      </c>
      <c r="Q8" s="22"/>
      <c r="R8" s="4"/>
      <c r="S8" s="142">
        <v>46295.0</v>
      </c>
      <c r="T8" s="143" t="s">
        <v>183</v>
      </c>
      <c r="U8" s="146">
        <v>45930.0</v>
      </c>
      <c r="V8" s="146"/>
      <c r="W8" s="148" t="s">
        <v>14</v>
      </c>
      <c r="X8" s="145">
        <v>0.0</v>
      </c>
      <c r="Y8" s="4"/>
      <c r="Z8" s="142">
        <v>46295.0</v>
      </c>
      <c r="AA8" s="143" t="s">
        <v>183</v>
      </c>
      <c r="AB8" s="146">
        <v>45930.0</v>
      </c>
      <c r="AC8" s="146"/>
      <c r="AD8" s="147" t="s">
        <v>187</v>
      </c>
      <c r="AE8" s="145">
        <v>0.0</v>
      </c>
      <c r="AF8" s="4"/>
    </row>
    <row r="9">
      <c r="A9" s="5"/>
      <c r="B9" s="18">
        <f t="shared" si="6"/>
        <v>5</v>
      </c>
      <c r="C9" s="19" t="s">
        <v>16</v>
      </c>
      <c r="D9" s="20">
        <f t="shared" ref="D9:O9" si="9">SUMIFS($X:$X,$S:$S,D$3,$W:$W,$C9)</f>
        <v>0</v>
      </c>
      <c r="E9" s="20">
        <f t="shared" si="9"/>
        <v>0</v>
      </c>
      <c r="F9" s="20">
        <f t="shared" si="9"/>
        <v>0</v>
      </c>
      <c r="G9" s="20">
        <f t="shared" si="9"/>
        <v>0</v>
      </c>
      <c r="H9" s="20">
        <f t="shared" si="9"/>
        <v>0</v>
      </c>
      <c r="I9" s="20">
        <f t="shared" si="9"/>
        <v>400000</v>
      </c>
      <c r="J9" s="20">
        <f t="shared" si="9"/>
        <v>400000</v>
      </c>
      <c r="K9" s="20">
        <f t="shared" si="9"/>
        <v>0</v>
      </c>
      <c r="L9" s="20">
        <f t="shared" si="9"/>
        <v>0</v>
      </c>
      <c r="M9" s="20">
        <f t="shared" si="9"/>
        <v>0</v>
      </c>
      <c r="N9" s="20">
        <f t="shared" si="9"/>
        <v>0</v>
      </c>
      <c r="O9" s="20">
        <f t="shared" si="9"/>
        <v>0</v>
      </c>
      <c r="P9" s="22">
        <f t="shared" si="5"/>
        <v>800000</v>
      </c>
      <c r="Q9" s="22"/>
      <c r="R9" s="4"/>
      <c r="S9" s="142">
        <v>46295.0</v>
      </c>
      <c r="T9" s="143" t="s">
        <v>183</v>
      </c>
      <c r="U9" s="146">
        <v>45930.0</v>
      </c>
      <c r="V9" s="146"/>
      <c r="W9" s="148" t="s">
        <v>16</v>
      </c>
      <c r="X9" s="145">
        <v>0.0</v>
      </c>
      <c r="Y9" s="4"/>
      <c r="Z9" s="142">
        <v>46295.0</v>
      </c>
      <c r="AA9" s="143" t="s">
        <v>183</v>
      </c>
      <c r="AB9" s="146">
        <v>45930.0</v>
      </c>
      <c r="AC9" s="146"/>
      <c r="AD9" s="147" t="s">
        <v>188</v>
      </c>
      <c r="AE9" s="145">
        <v>0.0</v>
      </c>
      <c r="AF9" s="4"/>
    </row>
    <row r="10">
      <c r="A10" s="5"/>
      <c r="B10" s="18">
        <f t="shared" si="6"/>
        <v>6</v>
      </c>
      <c r="C10" s="19" t="s">
        <v>18</v>
      </c>
      <c r="D10" s="20">
        <f t="shared" ref="D10:O10" si="10">SUMIFS($X:$X,$S:$S,D$3,$W:$W,$C10)</f>
        <v>0</v>
      </c>
      <c r="E10" s="20">
        <f t="shared" si="10"/>
        <v>0</v>
      </c>
      <c r="F10" s="20">
        <f t="shared" si="10"/>
        <v>0</v>
      </c>
      <c r="G10" s="20">
        <f t="shared" si="10"/>
        <v>0</v>
      </c>
      <c r="H10" s="20">
        <f t="shared" si="10"/>
        <v>0</v>
      </c>
      <c r="I10" s="20">
        <f t="shared" si="10"/>
        <v>600000</v>
      </c>
      <c r="J10" s="20">
        <f t="shared" si="10"/>
        <v>600000</v>
      </c>
      <c r="K10" s="20">
        <f t="shared" si="10"/>
        <v>0</v>
      </c>
      <c r="L10" s="20">
        <f t="shared" si="10"/>
        <v>0</v>
      </c>
      <c r="M10" s="20">
        <f t="shared" si="10"/>
        <v>0</v>
      </c>
      <c r="N10" s="20">
        <f t="shared" si="10"/>
        <v>0</v>
      </c>
      <c r="O10" s="20">
        <f t="shared" si="10"/>
        <v>0</v>
      </c>
      <c r="P10" s="22">
        <f t="shared" si="5"/>
        <v>1200000</v>
      </c>
      <c r="Q10" s="22"/>
      <c r="R10" s="4"/>
      <c r="S10" s="142">
        <v>46295.0</v>
      </c>
      <c r="T10" s="143" t="s">
        <v>183</v>
      </c>
      <c r="U10" s="146">
        <v>45930.0</v>
      </c>
      <c r="V10" s="146"/>
      <c r="W10" s="148" t="s">
        <v>18</v>
      </c>
      <c r="X10" s="145">
        <v>0.0</v>
      </c>
      <c r="Y10" s="4"/>
      <c r="Z10" s="142">
        <v>46295.0</v>
      </c>
      <c r="AA10" s="143" t="s">
        <v>183</v>
      </c>
      <c r="AB10" s="146">
        <v>45930.0</v>
      </c>
      <c r="AC10" s="146"/>
      <c r="AD10" s="147" t="s">
        <v>189</v>
      </c>
      <c r="AE10" s="145">
        <v>0.0</v>
      </c>
      <c r="AF10" s="4"/>
    </row>
    <row r="11">
      <c r="A11" s="5"/>
      <c r="B11" s="18">
        <f t="shared" si="6"/>
        <v>7</v>
      </c>
      <c r="C11" s="19" t="s">
        <v>20</v>
      </c>
      <c r="D11" s="20">
        <f t="shared" ref="D11:O11" si="11">SUMIFS($X:$X,$S:$S,D$3,$W:$W,$C11)</f>
        <v>0</v>
      </c>
      <c r="E11" s="20">
        <f t="shared" si="11"/>
        <v>0</v>
      </c>
      <c r="F11" s="20">
        <f t="shared" si="11"/>
        <v>0</v>
      </c>
      <c r="G11" s="20">
        <f t="shared" si="11"/>
        <v>0</v>
      </c>
      <c r="H11" s="20">
        <f t="shared" si="11"/>
        <v>0</v>
      </c>
      <c r="I11" s="20">
        <f t="shared" si="11"/>
        <v>198000</v>
      </c>
      <c r="J11" s="20">
        <f t="shared" si="11"/>
        <v>198000</v>
      </c>
      <c r="K11" s="20">
        <f t="shared" si="11"/>
        <v>0</v>
      </c>
      <c r="L11" s="20">
        <f t="shared" si="11"/>
        <v>0</v>
      </c>
      <c r="M11" s="20">
        <f t="shared" si="11"/>
        <v>0</v>
      </c>
      <c r="N11" s="20">
        <f t="shared" si="11"/>
        <v>0</v>
      </c>
      <c r="O11" s="20">
        <f t="shared" si="11"/>
        <v>0</v>
      </c>
      <c r="P11" s="22">
        <f t="shared" si="5"/>
        <v>396000</v>
      </c>
      <c r="Q11" s="22"/>
      <c r="R11" s="4"/>
      <c r="S11" s="142">
        <v>46295.0</v>
      </c>
      <c r="T11" s="143" t="s">
        <v>183</v>
      </c>
      <c r="U11" s="146">
        <v>45930.0</v>
      </c>
      <c r="V11" s="146"/>
      <c r="W11" s="148" t="s">
        <v>20</v>
      </c>
      <c r="X11" s="145">
        <v>0.0</v>
      </c>
      <c r="Y11" s="4"/>
      <c r="Z11" s="142">
        <v>46295.0</v>
      </c>
      <c r="AA11" s="143" t="s">
        <v>183</v>
      </c>
      <c r="AB11" s="146">
        <v>45930.0</v>
      </c>
      <c r="AC11" s="146"/>
      <c r="AD11" s="147" t="s">
        <v>190</v>
      </c>
      <c r="AE11" s="145">
        <v>0.0</v>
      </c>
      <c r="AF11" s="4"/>
    </row>
    <row r="12">
      <c r="A12" s="5"/>
      <c r="B12" s="18">
        <f t="shared" si="6"/>
        <v>8</v>
      </c>
      <c r="C12" s="19" t="s">
        <v>21</v>
      </c>
      <c r="D12" s="20">
        <f t="shared" ref="D12:O12" si="12">SUMIFS($X:$X,$S:$S,D$3,$W:$W,$C12)</f>
        <v>0</v>
      </c>
      <c r="E12" s="20">
        <f t="shared" si="12"/>
        <v>0</v>
      </c>
      <c r="F12" s="20">
        <f t="shared" si="12"/>
        <v>0</v>
      </c>
      <c r="G12" s="20">
        <f t="shared" si="12"/>
        <v>0</v>
      </c>
      <c r="H12" s="20">
        <f t="shared" si="12"/>
        <v>0</v>
      </c>
      <c r="I12" s="20">
        <f t="shared" si="12"/>
        <v>82500</v>
      </c>
      <c r="J12" s="20">
        <f t="shared" si="12"/>
        <v>82500</v>
      </c>
      <c r="K12" s="20">
        <f t="shared" si="12"/>
        <v>0</v>
      </c>
      <c r="L12" s="20">
        <f t="shared" si="12"/>
        <v>0</v>
      </c>
      <c r="M12" s="20">
        <f t="shared" si="12"/>
        <v>0</v>
      </c>
      <c r="N12" s="20">
        <f t="shared" si="12"/>
        <v>0</v>
      </c>
      <c r="O12" s="20">
        <f t="shared" si="12"/>
        <v>0</v>
      </c>
      <c r="P12" s="22">
        <f t="shared" si="5"/>
        <v>165000</v>
      </c>
      <c r="Q12" s="22"/>
      <c r="R12" s="4"/>
      <c r="S12" s="142">
        <v>46295.0</v>
      </c>
      <c r="T12" s="143" t="s">
        <v>183</v>
      </c>
      <c r="U12" s="146">
        <v>45930.0</v>
      </c>
      <c r="V12" s="146"/>
      <c r="W12" s="148" t="s">
        <v>21</v>
      </c>
      <c r="X12" s="145">
        <v>0.0</v>
      </c>
      <c r="Y12" s="4"/>
      <c r="Z12" s="142">
        <v>46295.0</v>
      </c>
      <c r="AA12" s="143" t="s">
        <v>183</v>
      </c>
      <c r="AB12" s="146">
        <v>45930.0</v>
      </c>
      <c r="AC12" s="146"/>
      <c r="AD12" s="147" t="s">
        <v>191</v>
      </c>
      <c r="AE12" s="145">
        <v>0.0</v>
      </c>
      <c r="AF12" s="4"/>
    </row>
    <row r="13">
      <c r="A13" s="5"/>
      <c r="B13" s="18">
        <f t="shared" si="6"/>
        <v>9</v>
      </c>
      <c r="C13" s="19" t="s">
        <v>23</v>
      </c>
      <c r="D13" s="20">
        <f t="shared" ref="D13:O13" si="13">SUMIFS($X:$X,$S:$S,D$3,$W:$W,$C13)</f>
        <v>0</v>
      </c>
      <c r="E13" s="20">
        <f t="shared" si="13"/>
        <v>0</v>
      </c>
      <c r="F13" s="20">
        <f t="shared" si="13"/>
        <v>0</v>
      </c>
      <c r="G13" s="20">
        <f t="shared" si="13"/>
        <v>0</v>
      </c>
      <c r="H13" s="20">
        <f t="shared" si="13"/>
        <v>0</v>
      </c>
      <c r="I13" s="20">
        <f t="shared" si="13"/>
        <v>0</v>
      </c>
      <c r="J13" s="20">
        <f t="shared" si="13"/>
        <v>0</v>
      </c>
      <c r="K13" s="20">
        <f t="shared" si="13"/>
        <v>0</v>
      </c>
      <c r="L13" s="20">
        <f t="shared" si="13"/>
        <v>0</v>
      </c>
      <c r="M13" s="20">
        <f t="shared" si="13"/>
        <v>0</v>
      </c>
      <c r="N13" s="20">
        <f t="shared" si="13"/>
        <v>0</v>
      </c>
      <c r="O13" s="20">
        <f t="shared" si="13"/>
        <v>0</v>
      </c>
      <c r="P13" s="22">
        <f t="shared" si="5"/>
        <v>0</v>
      </c>
      <c r="Q13" s="22"/>
      <c r="R13" s="4"/>
      <c r="S13" s="142">
        <v>46295.0</v>
      </c>
      <c r="T13" s="143" t="s">
        <v>183</v>
      </c>
      <c r="U13" s="146">
        <v>45930.0</v>
      </c>
      <c r="V13" s="146"/>
      <c r="W13" s="148" t="s">
        <v>23</v>
      </c>
      <c r="X13" s="145">
        <v>0.0</v>
      </c>
      <c r="Y13" s="4"/>
      <c r="Z13" s="142">
        <v>46295.0</v>
      </c>
      <c r="AA13" s="143" t="s">
        <v>183</v>
      </c>
      <c r="AB13" s="146">
        <v>45930.0</v>
      </c>
      <c r="AC13" s="146"/>
      <c r="AD13" s="147" t="s">
        <v>192</v>
      </c>
      <c r="AE13" s="145">
        <v>0.0</v>
      </c>
      <c r="AF13" s="4"/>
    </row>
    <row r="14">
      <c r="B14" s="34"/>
      <c r="C14" s="35" t="s">
        <v>25</v>
      </c>
      <c r="D14" s="36">
        <f t="shared" ref="D14:O14" si="14">SUM(D5:D13)</f>
        <v>0</v>
      </c>
      <c r="E14" s="36">
        <f t="shared" si="14"/>
        <v>0</v>
      </c>
      <c r="F14" s="36">
        <f t="shared" si="14"/>
        <v>0</v>
      </c>
      <c r="G14" s="36">
        <f t="shared" si="14"/>
        <v>0</v>
      </c>
      <c r="H14" s="36">
        <f t="shared" si="14"/>
        <v>0</v>
      </c>
      <c r="I14" s="36">
        <f t="shared" si="14"/>
        <v>20642500</v>
      </c>
      <c r="J14" s="36">
        <f t="shared" si="14"/>
        <v>27742500</v>
      </c>
      <c r="K14" s="36">
        <f t="shared" si="14"/>
        <v>0</v>
      </c>
      <c r="L14" s="36">
        <f t="shared" si="14"/>
        <v>0</v>
      </c>
      <c r="M14" s="36">
        <f t="shared" si="14"/>
        <v>0</v>
      </c>
      <c r="N14" s="36">
        <f t="shared" si="14"/>
        <v>0</v>
      </c>
      <c r="O14" s="36">
        <f t="shared" si="14"/>
        <v>0</v>
      </c>
      <c r="P14" s="37">
        <f t="shared" si="5"/>
        <v>48385000</v>
      </c>
      <c r="Q14" s="37"/>
      <c r="R14" s="4"/>
      <c r="S14" s="142">
        <v>46295.0</v>
      </c>
      <c r="T14" s="143" t="s">
        <v>183</v>
      </c>
      <c r="U14" s="146">
        <v>45961.0</v>
      </c>
      <c r="V14" s="146"/>
      <c r="W14" s="148" t="s">
        <v>8</v>
      </c>
      <c r="X14" s="145">
        <v>0.0</v>
      </c>
      <c r="Y14" s="4"/>
      <c r="Z14" s="142">
        <v>46295.0</v>
      </c>
      <c r="AA14" s="143" t="s">
        <v>183</v>
      </c>
      <c r="AB14" s="146">
        <v>45930.0</v>
      </c>
      <c r="AC14" s="146"/>
      <c r="AD14" s="147" t="s">
        <v>193</v>
      </c>
      <c r="AE14" s="145">
        <v>0.0</v>
      </c>
      <c r="AF14" s="4"/>
    </row>
    <row r="15">
      <c r="A15" s="19" t="s">
        <v>182</v>
      </c>
      <c r="B15" s="18">
        <f>B13+1</f>
        <v>10</v>
      </c>
      <c r="C15" s="19" t="s">
        <v>27</v>
      </c>
      <c r="D15" s="20">
        <f t="shared" ref="D15:O15" si="15">SUMIFS($AE:$AE,$Z:$Z,D$3,$AD:$AD,$A15)</f>
        <v>0</v>
      </c>
      <c r="E15" s="21">
        <f t="shared" si="15"/>
        <v>0</v>
      </c>
      <c r="F15" s="21">
        <f t="shared" si="15"/>
        <v>0</v>
      </c>
      <c r="G15" s="21">
        <f t="shared" si="15"/>
        <v>0</v>
      </c>
      <c r="H15" s="21">
        <f t="shared" si="15"/>
        <v>0</v>
      </c>
      <c r="I15" s="21">
        <f t="shared" si="15"/>
        <v>181188</v>
      </c>
      <c r="J15" s="21">
        <f t="shared" si="15"/>
        <v>181188</v>
      </c>
      <c r="K15" s="21">
        <f t="shared" si="15"/>
        <v>0</v>
      </c>
      <c r="L15" s="21">
        <f t="shared" si="15"/>
        <v>0</v>
      </c>
      <c r="M15" s="21">
        <f t="shared" si="15"/>
        <v>0</v>
      </c>
      <c r="N15" s="21">
        <f t="shared" si="15"/>
        <v>0</v>
      </c>
      <c r="O15" s="20">
        <f t="shared" si="15"/>
        <v>0</v>
      </c>
      <c r="P15" s="22">
        <f t="shared" si="5"/>
        <v>362376</v>
      </c>
      <c r="Q15" s="22"/>
      <c r="R15" s="4"/>
      <c r="S15" s="142">
        <v>46295.0</v>
      </c>
      <c r="T15" s="143" t="s">
        <v>183</v>
      </c>
      <c r="U15" s="146">
        <v>45961.0</v>
      </c>
      <c r="V15" s="146"/>
      <c r="W15" s="148" t="s">
        <v>10</v>
      </c>
      <c r="X15" s="145">
        <v>0.0</v>
      </c>
      <c r="Y15" s="4"/>
      <c r="Z15" s="142">
        <v>46295.0</v>
      </c>
      <c r="AA15" s="143" t="s">
        <v>183</v>
      </c>
      <c r="AB15" s="146">
        <v>45930.0</v>
      </c>
      <c r="AC15" s="146"/>
      <c r="AD15" s="147" t="s">
        <v>194</v>
      </c>
      <c r="AE15" s="145">
        <v>210000.0</v>
      </c>
      <c r="AF15" s="4"/>
    </row>
    <row r="16">
      <c r="A16" s="19" t="s">
        <v>195</v>
      </c>
      <c r="B16" s="18">
        <f t="shared" ref="B16:B35" si="17">B15+1</f>
        <v>11</v>
      </c>
      <c r="C16" s="19" t="s">
        <v>27</v>
      </c>
      <c r="D16" s="20">
        <f t="shared" ref="D16:O16" si="16">SUMIFS($AE:$AE,$Z:$Z,D$3,$AD:$AD,$A16)</f>
        <v>0</v>
      </c>
      <c r="E16" s="21">
        <f t="shared" si="16"/>
        <v>0</v>
      </c>
      <c r="F16" s="21">
        <f t="shared" si="16"/>
        <v>0</v>
      </c>
      <c r="G16" s="21">
        <f t="shared" si="16"/>
        <v>0</v>
      </c>
      <c r="H16" s="21">
        <f t="shared" si="16"/>
        <v>0</v>
      </c>
      <c r="I16" s="21">
        <f t="shared" si="16"/>
        <v>447840</v>
      </c>
      <c r="J16" s="21">
        <f t="shared" si="16"/>
        <v>429840</v>
      </c>
      <c r="K16" s="21">
        <f t="shared" si="16"/>
        <v>0</v>
      </c>
      <c r="L16" s="21">
        <f t="shared" si="16"/>
        <v>0</v>
      </c>
      <c r="M16" s="21">
        <f t="shared" si="16"/>
        <v>0</v>
      </c>
      <c r="N16" s="21">
        <f t="shared" si="16"/>
        <v>0</v>
      </c>
      <c r="O16" s="21">
        <f t="shared" si="16"/>
        <v>0</v>
      </c>
      <c r="P16" s="22">
        <f t="shared" si="5"/>
        <v>877680</v>
      </c>
      <c r="Q16" s="22"/>
      <c r="R16" s="4"/>
      <c r="S16" s="142">
        <v>46295.0</v>
      </c>
      <c r="T16" s="143" t="s">
        <v>183</v>
      </c>
      <c r="U16" s="149">
        <v>45961.0</v>
      </c>
      <c r="V16" s="149"/>
      <c r="W16" s="148" t="s">
        <v>12</v>
      </c>
      <c r="X16" s="145">
        <v>0.0</v>
      </c>
      <c r="Y16" s="4"/>
      <c r="Z16" s="142">
        <v>46295.0</v>
      </c>
      <c r="AA16" s="143" t="s">
        <v>183</v>
      </c>
      <c r="AB16" s="146">
        <v>45930.0</v>
      </c>
      <c r="AC16" s="146"/>
      <c r="AD16" s="147" t="s">
        <v>196</v>
      </c>
      <c r="AE16" s="145">
        <v>0.0</v>
      </c>
      <c r="AF16" s="4"/>
    </row>
    <row r="17">
      <c r="A17" s="19" t="s">
        <v>197</v>
      </c>
      <c r="B17" s="18">
        <f t="shared" si="17"/>
        <v>12</v>
      </c>
      <c r="C17" s="19" t="s">
        <v>27</v>
      </c>
      <c r="D17" s="20">
        <f t="shared" ref="D17:O17" si="18">SUMIFS($AE:$AE,$Z:$Z,D$3,$AD:$AD,$A17)</f>
        <v>0</v>
      </c>
      <c r="E17" s="21">
        <f t="shared" si="18"/>
        <v>0</v>
      </c>
      <c r="F17" s="21">
        <f t="shared" si="18"/>
        <v>0</v>
      </c>
      <c r="G17" s="21">
        <f t="shared" si="18"/>
        <v>0</v>
      </c>
      <c r="H17" s="21">
        <f t="shared" si="18"/>
        <v>0</v>
      </c>
      <c r="I17" s="21">
        <f t="shared" si="18"/>
        <v>39204</v>
      </c>
      <c r="J17" s="21">
        <f t="shared" si="18"/>
        <v>39204</v>
      </c>
      <c r="K17" s="21">
        <f t="shared" si="18"/>
        <v>0</v>
      </c>
      <c r="L17" s="21">
        <f t="shared" si="18"/>
        <v>0</v>
      </c>
      <c r="M17" s="21">
        <f t="shared" si="18"/>
        <v>0</v>
      </c>
      <c r="N17" s="21">
        <f t="shared" si="18"/>
        <v>0</v>
      </c>
      <c r="O17" s="21">
        <f t="shared" si="18"/>
        <v>0</v>
      </c>
      <c r="P17" s="22">
        <f t="shared" si="5"/>
        <v>78408</v>
      </c>
      <c r="Q17" s="22"/>
      <c r="R17" s="4"/>
      <c r="S17" s="142">
        <v>46295.0</v>
      </c>
      <c r="T17" s="143" t="s">
        <v>183</v>
      </c>
      <c r="U17" s="149">
        <v>45961.0</v>
      </c>
      <c r="V17" s="149"/>
      <c r="W17" s="148" t="s">
        <v>14</v>
      </c>
      <c r="X17" s="145">
        <v>0.0</v>
      </c>
      <c r="Y17" s="4"/>
      <c r="Z17" s="142">
        <v>46295.0</v>
      </c>
      <c r="AA17" s="143" t="s">
        <v>183</v>
      </c>
      <c r="AB17" s="146">
        <v>45930.0</v>
      </c>
      <c r="AC17" s="146"/>
      <c r="AD17" s="147" t="s">
        <v>198</v>
      </c>
      <c r="AE17" s="145">
        <v>0.0</v>
      </c>
      <c r="AF17" s="4"/>
    </row>
    <row r="18">
      <c r="A18" s="19" t="s">
        <v>199</v>
      </c>
      <c r="B18" s="18">
        <f t="shared" si="17"/>
        <v>13</v>
      </c>
      <c r="C18" s="19" t="s">
        <v>27</v>
      </c>
      <c r="D18" s="20">
        <f t="shared" ref="D18:O18" si="19">SUMIFS($AE:$AE,$Z:$Z,D$3,$AD:$AD,$A18)</f>
        <v>0</v>
      </c>
      <c r="E18" s="21">
        <f t="shared" si="19"/>
        <v>0</v>
      </c>
      <c r="F18" s="21">
        <f t="shared" si="19"/>
        <v>0</v>
      </c>
      <c r="G18" s="21">
        <f t="shared" si="19"/>
        <v>0</v>
      </c>
      <c r="H18" s="21">
        <f t="shared" si="19"/>
        <v>0</v>
      </c>
      <c r="I18" s="21">
        <f t="shared" si="19"/>
        <v>2640</v>
      </c>
      <c r="J18" s="21">
        <f t="shared" si="19"/>
        <v>2640</v>
      </c>
      <c r="K18" s="21">
        <f t="shared" si="19"/>
        <v>0</v>
      </c>
      <c r="L18" s="21">
        <f t="shared" si="19"/>
        <v>0</v>
      </c>
      <c r="M18" s="21">
        <f t="shared" si="19"/>
        <v>0</v>
      </c>
      <c r="N18" s="21">
        <f t="shared" si="19"/>
        <v>0</v>
      </c>
      <c r="O18" s="21">
        <f t="shared" si="19"/>
        <v>0</v>
      </c>
      <c r="P18" s="22">
        <f t="shared" si="5"/>
        <v>5280</v>
      </c>
      <c r="Q18" s="22"/>
      <c r="R18" s="4"/>
      <c r="S18" s="142">
        <v>46295.0</v>
      </c>
      <c r="T18" s="143" t="s">
        <v>183</v>
      </c>
      <c r="U18" s="149">
        <v>45961.0</v>
      </c>
      <c r="V18" s="149"/>
      <c r="W18" s="148" t="s">
        <v>16</v>
      </c>
      <c r="X18" s="145">
        <v>0.0</v>
      </c>
      <c r="Y18" s="4"/>
      <c r="Z18" s="142">
        <v>46295.0</v>
      </c>
      <c r="AA18" s="143" t="s">
        <v>183</v>
      </c>
      <c r="AB18" s="146">
        <v>45930.0</v>
      </c>
      <c r="AC18" s="146"/>
      <c r="AD18" s="147" t="s">
        <v>200</v>
      </c>
      <c r="AE18" s="145">
        <v>795160.0</v>
      </c>
      <c r="AF18" s="4"/>
    </row>
    <row r="19">
      <c r="A19" s="19" t="s">
        <v>201</v>
      </c>
      <c r="B19" s="18">
        <f t="shared" si="17"/>
        <v>14</v>
      </c>
      <c r="C19" s="19" t="s">
        <v>27</v>
      </c>
      <c r="D19" s="20">
        <f t="shared" ref="D19:O19" si="20">SUMIFS($AE:$AE,$Z:$Z,D$3,$AD:$AD,$A19)</f>
        <v>0</v>
      </c>
      <c r="E19" s="21">
        <f t="shared" si="20"/>
        <v>0</v>
      </c>
      <c r="F19" s="21">
        <f t="shared" si="20"/>
        <v>0</v>
      </c>
      <c r="G19" s="21">
        <f t="shared" si="20"/>
        <v>0</v>
      </c>
      <c r="H19" s="21">
        <f t="shared" si="20"/>
        <v>0</v>
      </c>
      <c r="I19" s="21">
        <f t="shared" si="20"/>
        <v>7128</v>
      </c>
      <c r="J19" s="21">
        <f t="shared" si="20"/>
        <v>7128</v>
      </c>
      <c r="K19" s="21">
        <f t="shared" si="20"/>
        <v>0</v>
      </c>
      <c r="L19" s="21">
        <f t="shared" si="20"/>
        <v>0</v>
      </c>
      <c r="M19" s="21">
        <f t="shared" si="20"/>
        <v>0</v>
      </c>
      <c r="N19" s="21">
        <f t="shared" si="20"/>
        <v>0</v>
      </c>
      <c r="O19" s="21">
        <f t="shared" si="20"/>
        <v>0</v>
      </c>
      <c r="P19" s="22">
        <f t="shared" si="5"/>
        <v>14256</v>
      </c>
      <c r="Q19" s="22"/>
      <c r="R19" s="4"/>
      <c r="S19" s="142">
        <v>46295.0</v>
      </c>
      <c r="T19" s="143" t="s">
        <v>183</v>
      </c>
      <c r="U19" s="149">
        <v>45961.0</v>
      </c>
      <c r="V19" s="149"/>
      <c r="W19" s="148" t="s">
        <v>18</v>
      </c>
      <c r="X19" s="145">
        <v>0.0</v>
      </c>
      <c r="Y19" s="4"/>
      <c r="Z19" s="142">
        <v>46295.0</v>
      </c>
      <c r="AA19" s="143" t="s">
        <v>183</v>
      </c>
      <c r="AB19" s="146">
        <v>45930.0</v>
      </c>
      <c r="AC19" s="146"/>
      <c r="AD19" s="147" t="s">
        <v>202</v>
      </c>
      <c r="AE19" s="145">
        <v>0.0</v>
      </c>
      <c r="AF19" s="4"/>
    </row>
    <row r="20">
      <c r="A20" s="19" t="s">
        <v>189</v>
      </c>
      <c r="B20" s="18">
        <f t="shared" si="17"/>
        <v>15</v>
      </c>
      <c r="C20" s="19" t="s">
        <v>29</v>
      </c>
      <c r="D20" s="20">
        <f t="shared" ref="D20:O20" si="21">SUMIFS($AE:$AE,$Z:$Z,D$3,$AD:$AD,$A20)</f>
        <v>0</v>
      </c>
      <c r="E20" s="21">
        <f t="shared" si="21"/>
        <v>0</v>
      </c>
      <c r="F20" s="21">
        <f t="shared" si="21"/>
        <v>0</v>
      </c>
      <c r="G20" s="21">
        <f t="shared" si="21"/>
        <v>0</v>
      </c>
      <c r="H20" s="21">
        <f t="shared" si="21"/>
        <v>0</v>
      </c>
      <c r="I20" s="21">
        <f t="shared" si="21"/>
        <v>1050000</v>
      </c>
      <c r="J20" s="21">
        <f t="shared" si="21"/>
        <v>1350000</v>
      </c>
      <c r="K20" s="21">
        <f t="shared" si="21"/>
        <v>0</v>
      </c>
      <c r="L20" s="21">
        <f t="shared" si="21"/>
        <v>0</v>
      </c>
      <c r="M20" s="21">
        <f t="shared" si="21"/>
        <v>0</v>
      </c>
      <c r="N20" s="21">
        <f t="shared" si="21"/>
        <v>0</v>
      </c>
      <c r="O20" s="21">
        <f t="shared" si="21"/>
        <v>0</v>
      </c>
      <c r="P20" s="22">
        <f t="shared" si="5"/>
        <v>2400000</v>
      </c>
      <c r="Q20" s="22"/>
      <c r="R20" s="4"/>
      <c r="S20" s="142">
        <v>46295.0</v>
      </c>
      <c r="T20" s="143" t="s">
        <v>183</v>
      </c>
      <c r="U20" s="149">
        <v>45961.0</v>
      </c>
      <c r="V20" s="149"/>
      <c r="W20" s="148" t="s">
        <v>20</v>
      </c>
      <c r="X20" s="145">
        <v>0.0</v>
      </c>
      <c r="Y20" s="4"/>
      <c r="Z20" s="142">
        <v>46295.0</v>
      </c>
      <c r="AA20" s="143" t="s">
        <v>183</v>
      </c>
      <c r="AB20" s="146">
        <v>45930.0</v>
      </c>
      <c r="AC20" s="146"/>
      <c r="AD20" s="147" t="s">
        <v>203</v>
      </c>
      <c r="AE20" s="145">
        <v>0.0</v>
      </c>
      <c r="AF20" s="4"/>
    </row>
    <row r="21">
      <c r="A21" s="19" t="s">
        <v>190</v>
      </c>
      <c r="B21" s="18">
        <f t="shared" si="17"/>
        <v>16</v>
      </c>
      <c r="C21" s="19" t="s">
        <v>31</v>
      </c>
      <c r="D21" s="20">
        <f t="shared" ref="D21:O21" si="22">SUMIFS($AE:$AE,$Z:$Z,D$3,$AD:$AD,$A21)</f>
        <v>0</v>
      </c>
      <c r="E21" s="21">
        <f t="shared" si="22"/>
        <v>0</v>
      </c>
      <c r="F21" s="21">
        <f t="shared" si="22"/>
        <v>0</v>
      </c>
      <c r="G21" s="21">
        <f t="shared" si="22"/>
        <v>0</v>
      </c>
      <c r="H21" s="21">
        <f t="shared" si="22"/>
        <v>0</v>
      </c>
      <c r="I21" s="21">
        <f t="shared" si="22"/>
        <v>2500000</v>
      </c>
      <c r="J21" s="21">
        <f t="shared" si="22"/>
        <v>2500000</v>
      </c>
      <c r="K21" s="21">
        <f t="shared" si="22"/>
        <v>0</v>
      </c>
      <c r="L21" s="21">
        <f t="shared" si="22"/>
        <v>0</v>
      </c>
      <c r="M21" s="21">
        <f t="shared" si="22"/>
        <v>0</v>
      </c>
      <c r="N21" s="21">
        <f t="shared" si="22"/>
        <v>0</v>
      </c>
      <c r="O21" s="21">
        <f t="shared" si="22"/>
        <v>0</v>
      </c>
      <c r="P21" s="22">
        <f t="shared" si="5"/>
        <v>5000000</v>
      </c>
      <c r="Q21" s="22"/>
      <c r="R21" s="4"/>
      <c r="S21" s="142">
        <v>46295.0</v>
      </c>
      <c r="T21" s="143" t="s">
        <v>183</v>
      </c>
      <c r="U21" s="149">
        <v>45961.0</v>
      </c>
      <c r="V21" s="149"/>
      <c r="W21" s="148" t="s">
        <v>21</v>
      </c>
      <c r="X21" s="145">
        <v>0.0</v>
      </c>
      <c r="Y21" s="4"/>
      <c r="Z21" s="142">
        <v>46295.0</v>
      </c>
      <c r="AA21" s="143" t="s">
        <v>183</v>
      </c>
      <c r="AB21" s="146">
        <v>45930.0</v>
      </c>
      <c r="AC21" s="146"/>
      <c r="AD21" s="147" t="s">
        <v>56</v>
      </c>
      <c r="AE21" s="145">
        <v>0.0</v>
      </c>
      <c r="AF21" s="4"/>
    </row>
    <row r="22">
      <c r="A22" s="19" t="s">
        <v>204</v>
      </c>
      <c r="B22" s="18">
        <f t="shared" si="17"/>
        <v>17</v>
      </c>
      <c r="C22" s="19" t="s">
        <v>31</v>
      </c>
      <c r="D22" s="20">
        <f t="shared" ref="D22:O22" si="23">SUMIFS($AE:$AE,$Z:$Z,D$3,$AD:$AD,$A22)</f>
        <v>0</v>
      </c>
      <c r="E22" s="21">
        <f t="shared" si="23"/>
        <v>0</v>
      </c>
      <c r="F22" s="21">
        <f t="shared" si="23"/>
        <v>0</v>
      </c>
      <c r="G22" s="21">
        <f t="shared" si="23"/>
        <v>0</v>
      </c>
      <c r="H22" s="21">
        <f t="shared" si="23"/>
        <v>0</v>
      </c>
      <c r="I22" s="21">
        <f t="shared" si="23"/>
        <v>100000</v>
      </c>
      <c r="J22" s="21">
        <f t="shared" si="23"/>
        <v>100000</v>
      </c>
      <c r="K22" s="21">
        <f t="shared" si="23"/>
        <v>0</v>
      </c>
      <c r="L22" s="21">
        <f t="shared" si="23"/>
        <v>0</v>
      </c>
      <c r="M22" s="21">
        <f t="shared" si="23"/>
        <v>0</v>
      </c>
      <c r="N22" s="21">
        <f t="shared" si="23"/>
        <v>0</v>
      </c>
      <c r="O22" s="21">
        <f t="shared" si="23"/>
        <v>0</v>
      </c>
      <c r="P22" s="22">
        <f t="shared" si="5"/>
        <v>200000</v>
      </c>
      <c r="Q22" s="22"/>
      <c r="R22" s="4"/>
      <c r="S22" s="142">
        <v>46295.0</v>
      </c>
      <c r="T22" s="143" t="s">
        <v>183</v>
      </c>
      <c r="U22" s="149">
        <v>45961.0</v>
      </c>
      <c r="V22" s="149"/>
      <c r="W22" s="148" t="s">
        <v>23</v>
      </c>
      <c r="X22" s="145">
        <v>0.0</v>
      </c>
      <c r="Y22" s="4"/>
      <c r="Z22" s="142">
        <v>46295.0</v>
      </c>
      <c r="AA22" s="143" t="s">
        <v>183</v>
      </c>
      <c r="AB22" s="146">
        <v>45930.0</v>
      </c>
      <c r="AC22" s="146"/>
      <c r="AD22" s="147" t="s">
        <v>205</v>
      </c>
      <c r="AE22" s="145">
        <v>0.0</v>
      </c>
      <c r="AF22" s="4"/>
    </row>
    <row r="23">
      <c r="A23" s="19" t="s">
        <v>206</v>
      </c>
      <c r="B23" s="18">
        <f t="shared" si="17"/>
        <v>18</v>
      </c>
      <c r="C23" s="19" t="s">
        <v>31</v>
      </c>
      <c r="D23" s="20">
        <f t="shared" ref="D23:O23" si="24">SUMIFS($AE:$AE,$Z:$Z,D$3,$AD:$AD,$A23)</f>
        <v>0</v>
      </c>
      <c r="E23" s="21">
        <f t="shared" si="24"/>
        <v>0</v>
      </c>
      <c r="F23" s="21">
        <f t="shared" si="24"/>
        <v>0</v>
      </c>
      <c r="G23" s="21">
        <f t="shared" si="24"/>
        <v>0</v>
      </c>
      <c r="H23" s="21">
        <f t="shared" si="24"/>
        <v>0</v>
      </c>
      <c r="I23" s="21">
        <f t="shared" si="24"/>
        <v>110000</v>
      </c>
      <c r="J23" s="21">
        <f t="shared" si="24"/>
        <v>110000</v>
      </c>
      <c r="K23" s="21">
        <f t="shared" si="24"/>
        <v>0</v>
      </c>
      <c r="L23" s="21">
        <f t="shared" si="24"/>
        <v>0</v>
      </c>
      <c r="M23" s="21">
        <f t="shared" si="24"/>
        <v>0</v>
      </c>
      <c r="N23" s="21">
        <f t="shared" si="24"/>
        <v>0</v>
      </c>
      <c r="O23" s="21">
        <f t="shared" si="24"/>
        <v>0</v>
      </c>
      <c r="P23" s="22">
        <f t="shared" si="5"/>
        <v>220000</v>
      </c>
      <c r="Q23" s="22"/>
      <c r="R23" s="4"/>
      <c r="S23" s="142">
        <v>46295.0</v>
      </c>
      <c r="T23" s="143" t="s">
        <v>183</v>
      </c>
      <c r="U23" s="149">
        <v>45991.0</v>
      </c>
      <c r="V23" s="149"/>
      <c r="W23" s="148" t="s">
        <v>8</v>
      </c>
      <c r="X23" s="145">
        <v>0.0</v>
      </c>
      <c r="Y23" s="4"/>
      <c r="Z23" s="142">
        <v>46295.0</v>
      </c>
      <c r="AA23" s="143" t="s">
        <v>183</v>
      </c>
      <c r="AB23" s="146">
        <v>45930.0</v>
      </c>
      <c r="AC23" s="146"/>
      <c r="AD23" s="147" t="s">
        <v>41</v>
      </c>
      <c r="AE23" s="145">
        <v>0.0</v>
      </c>
      <c r="AF23" s="4"/>
    </row>
    <row r="24">
      <c r="A24" s="19" t="s">
        <v>207</v>
      </c>
      <c r="B24" s="18">
        <f t="shared" si="17"/>
        <v>19</v>
      </c>
      <c r="C24" s="19" t="s">
        <v>31</v>
      </c>
      <c r="D24" s="20">
        <f t="shared" ref="D24:O24" si="25">SUMIFS($AE:$AE,$Z:$Z,D$3,$AD:$AD,$A24)</f>
        <v>0</v>
      </c>
      <c r="E24" s="21">
        <f t="shared" si="25"/>
        <v>0</v>
      </c>
      <c r="F24" s="21">
        <f t="shared" si="25"/>
        <v>0</v>
      </c>
      <c r="G24" s="21">
        <f t="shared" si="25"/>
        <v>0</v>
      </c>
      <c r="H24" s="21">
        <f t="shared" si="25"/>
        <v>0</v>
      </c>
      <c r="I24" s="21">
        <f t="shared" si="25"/>
        <v>700000</v>
      </c>
      <c r="J24" s="21">
        <f t="shared" si="25"/>
        <v>700000</v>
      </c>
      <c r="K24" s="21">
        <f t="shared" si="25"/>
        <v>0</v>
      </c>
      <c r="L24" s="21">
        <f t="shared" si="25"/>
        <v>0</v>
      </c>
      <c r="M24" s="21">
        <f t="shared" si="25"/>
        <v>0</v>
      </c>
      <c r="N24" s="21">
        <f t="shared" si="25"/>
        <v>0</v>
      </c>
      <c r="O24" s="21">
        <f t="shared" si="25"/>
        <v>0</v>
      </c>
      <c r="P24" s="22">
        <f t="shared" si="5"/>
        <v>1400000</v>
      </c>
      <c r="Q24" s="22"/>
      <c r="R24" s="4"/>
      <c r="S24" s="142">
        <v>46295.0</v>
      </c>
      <c r="T24" s="143" t="s">
        <v>183</v>
      </c>
      <c r="U24" s="149">
        <v>45991.0</v>
      </c>
      <c r="V24" s="149"/>
      <c r="W24" s="148" t="s">
        <v>10</v>
      </c>
      <c r="X24" s="145">
        <v>0.0</v>
      </c>
      <c r="Y24" s="4"/>
      <c r="Z24" s="142">
        <v>46295.0</v>
      </c>
      <c r="AA24" s="143" t="s">
        <v>183</v>
      </c>
      <c r="AB24" s="146">
        <v>45930.0</v>
      </c>
      <c r="AC24" s="146"/>
      <c r="AD24" s="147" t="s">
        <v>208</v>
      </c>
      <c r="AE24" s="145">
        <v>0.0</v>
      </c>
      <c r="AF24" s="4"/>
    </row>
    <row r="25">
      <c r="A25" s="19" t="s">
        <v>194</v>
      </c>
      <c r="B25" s="18">
        <f t="shared" si="17"/>
        <v>20</v>
      </c>
      <c r="C25" s="19" t="s">
        <v>31</v>
      </c>
      <c r="D25" s="20">
        <f t="shared" ref="D25:O25" si="26">SUMIFS($AE:$AE,$Z:$Z,D$3,$AD:$AD,$A25)</f>
        <v>0</v>
      </c>
      <c r="E25" s="21">
        <f t="shared" si="26"/>
        <v>0</v>
      </c>
      <c r="F25" s="21">
        <f t="shared" si="26"/>
        <v>0</v>
      </c>
      <c r="G25" s="21">
        <f t="shared" si="26"/>
        <v>0</v>
      </c>
      <c r="H25" s="21">
        <f t="shared" si="26"/>
        <v>0</v>
      </c>
      <c r="I25" s="21">
        <f t="shared" si="26"/>
        <v>2000000</v>
      </c>
      <c r="J25" s="21">
        <f t="shared" si="26"/>
        <v>7310000</v>
      </c>
      <c r="K25" s="21">
        <f t="shared" si="26"/>
        <v>0</v>
      </c>
      <c r="L25" s="21">
        <f t="shared" si="26"/>
        <v>0</v>
      </c>
      <c r="M25" s="21">
        <f t="shared" si="26"/>
        <v>0</v>
      </c>
      <c r="N25" s="21">
        <f t="shared" si="26"/>
        <v>0</v>
      </c>
      <c r="O25" s="21">
        <f t="shared" si="26"/>
        <v>0</v>
      </c>
      <c r="P25" s="22">
        <f t="shared" si="5"/>
        <v>9310000</v>
      </c>
      <c r="Q25" s="22"/>
      <c r="R25" s="4"/>
      <c r="S25" s="142">
        <v>46295.0</v>
      </c>
      <c r="T25" s="143" t="s">
        <v>183</v>
      </c>
      <c r="U25" s="149">
        <v>45991.0</v>
      </c>
      <c r="V25" s="149"/>
      <c r="W25" s="148" t="s">
        <v>12</v>
      </c>
      <c r="X25" s="145">
        <v>0.0</v>
      </c>
      <c r="Y25" s="4"/>
      <c r="Z25" s="142">
        <v>46295.0</v>
      </c>
      <c r="AA25" s="143" t="s">
        <v>183</v>
      </c>
      <c r="AB25" s="146">
        <v>45930.0</v>
      </c>
      <c r="AC25" s="146"/>
      <c r="AD25" s="147" t="s">
        <v>23</v>
      </c>
      <c r="AE25" s="145">
        <v>0.0</v>
      </c>
      <c r="AF25" s="4"/>
    </row>
    <row r="26">
      <c r="A26" s="19" t="s">
        <v>209</v>
      </c>
      <c r="B26" s="18">
        <f t="shared" si="17"/>
        <v>21</v>
      </c>
      <c r="C26" s="19" t="s">
        <v>31</v>
      </c>
      <c r="D26" s="20">
        <f t="shared" ref="D26:O26" si="27">SUMIFS($AE:$AE,$Z:$Z,D$3,$AD:$AD,$A26)</f>
        <v>0</v>
      </c>
      <c r="E26" s="21">
        <f t="shared" si="27"/>
        <v>0</v>
      </c>
      <c r="F26" s="21">
        <f t="shared" si="27"/>
        <v>0</v>
      </c>
      <c r="G26" s="21">
        <f t="shared" si="27"/>
        <v>0</v>
      </c>
      <c r="H26" s="21">
        <f t="shared" si="27"/>
        <v>0</v>
      </c>
      <c r="I26" s="21">
        <f t="shared" si="27"/>
        <v>450000</v>
      </c>
      <c r="J26" s="21">
        <f t="shared" si="27"/>
        <v>450000</v>
      </c>
      <c r="K26" s="21">
        <f t="shared" si="27"/>
        <v>0</v>
      </c>
      <c r="L26" s="21">
        <f t="shared" si="27"/>
        <v>0</v>
      </c>
      <c r="M26" s="21">
        <f t="shared" si="27"/>
        <v>0</v>
      </c>
      <c r="N26" s="21">
        <f t="shared" si="27"/>
        <v>0</v>
      </c>
      <c r="O26" s="21">
        <f t="shared" si="27"/>
        <v>0</v>
      </c>
      <c r="P26" s="22">
        <f t="shared" si="5"/>
        <v>900000</v>
      </c>
      <c r="Q26" s="22"/>
      <c r="R26" s="4"/>
      <c r="S26" s="142">
        <v>46295.0</v>
      </c>
      <c r="T26" s="143" t="s">
        <v>183</v>
      </c>
      <c r="U26" s="149">
        <v>45991.0</v>
      </c>
      <c r="V26" s="149"/>
      <c r="W26" s="148" t="s">
        <v>14</v>
      </c>
      <c r="X26" s="145">
        <v>0.0</v>
      </c>
      <c r="Y26" s="4"/>
      <c r="Z26" s="142">
        <v>46295.0</v>
      </c>
      <c r="AA26" s="143" t="s">
        <v>183</v>
      </c>
      <c r="AB26" s="146">
        <v>45961.0</v>
      </c>
      <c r="AC26" s="146"/>
      <c r="AD26" s="147" t="s">
        <v>184</v>
      </c>
      <c r="AE26" s="145">
        <v>0.0</v>
      </c>
      <c r="AF26" s="4"/>
    </row>
    <row r="27">
      <c r="A27" s="19" t="s">
        <v>198</v>
      </c>
      <c r="B27" s="18">
        <f t="shared" si="17"/>
        <v>22</v>
      </c>
      <c r="C27" s="19" t="s">
        <v>33</v>
      </c>
      <c r="D27" s="20">
        <f t="shared" ref="D27:O27" si="28">SUMIFS($AE:$AE,$Z:$Z,D$3,$AD:$AD,$A27)</f>
        <v>0</v>
      </c>
      <c r="E27" s="21">
        <f t="shared" si="28"/>
        <v>0</v>
      </c>
      <c r="F27" s="21">
        <f t="shared" si="28"/>
        <v>0</v>
      </c>
      <c r="G27" s="21">
        <f t="shared" si="28"/>
        <v>0</v>
      </c>
      <c r="H27" s="21">
        <f t="shared" si="28"/>
        <v>0</v>
      </c>
      <c r="I27" s="21">
        <f t="shared" si="28"/>
        <v>0</v>
      </c>
      <c r="J27" s="21">
        <f t="shared" si="28"/>
        <v>0</v>
      </c>
      <c r="K27" s="21">
        <f t="shared" si="28"/>
        <v>0</v>
      </c>
      <c r="L27" s="21">
        <f t="shared" si="28"/>
        <v>0</v>
      </c>
      <c r="M27" s="21">
        <f t="shared" si="28"/>
        <v>0</v>
      </c>
      <c r="N27" s="21">
        <f t="shared" si="28"/>
        <v>0</v>
      </c>
      <c r="O27" s="21">
        <f t="shared" si="28"/>
        <v>0</v>
      </c>
      <c r="P27" s="22">
        <f t="shared" si="5"/>
        <v>0</v>
      </c>
      <c r="Q27" s="22"/>
      <c r="R27" s="4"/>
      <c r="S27" s="142">
        <v>46295.0</v>
      </c>
      <c r="T27" s="143" t="s">
        <v>183</v>
      </c>
      <c r="U27" s="149">
        <v>45991.0</v>
      </c>
      <c r="V27" s="149"/>
      <c r="W27" s="148" t="s">
        <v>16</v>
      </c>
      <c r="X27" s="145">
        <v>0.0</v>
      </c>
      <c r="Y27" s="4"/>
      <c r="Z27" s="142">
        <v>46295.0</v>
      </c>
      <c r="AA27" s="143" t="s">
        <v>183</v>
      </c>
      <c r="AB27" s="149">
        <v>45961.0</v>
      </c>
      <c r="AC27" s="149"/>
      <c r="AD27" s="147" t="s">
        <v>185</v>
      </c>
      <c r="AE27" s="145">
        <v>0.0</v>
      </c>
      <c r="AF27" s="4"/>
    </row>
    <row r="28">
      <c r="A28" s="19" t="s">
        <v>200</v>
      </c>
      <c r="B28" s="18">
        <f t="shared" si="17"/>
        <v>23</v>
      </c>
      <c r="C28" s="19" t="s">
        <v>36</v>
      </c>
      <c r="D28" s="20">
        <f t="shared" ref="D28:O28" si="29">SUMIFS($AE:$AE,$Z:$Z,D$3,$AD:$AD,$A28)</f>
        <v>0</v>
      </c>
      <c r="E28" s="21">
        <f t="shared" si="29"/>
        <v>0</v>
      </c>
      <c r="F28" s="21">
        <f t="shared" si="29"/>
        <v>0</v>
      </c>
      <c r="G28" s="21">
        <f t="shared" si="29"/>
        <v>0</v>
      </c>
      <c r="H28" s="21">
        <f t="shared" si="29"/>
        <v>0</v>
      </c>
      <c r="I28" s="21">
        <f t="shared" si="29"/>
        <v>3113100</v>
      </c>
      <c r="J28" s="21">
        <f t="shared" si="29"/>
        <v>4795160</v>
      </c>
      <c r="K28" s="21">
        <f t="shared" si="29"/>
        <v>0</v>
      </c>
      <c r="L28" s="21">
        <f t="shared" si="29"/>
        <v>0</v>
      </c>
      <c r="M28" s="21">
        <f t="shared" si="29"/>
        <v>0</v>
      </c>
      <c r="N28" s="21">
        <f t="shared" si="29"/>
        <v>0</v>
      </c>
      <c r="O28" s="21">
        <f t="shared" si="29"/>
        <v>0</v>
      </c>
      <c r="P28" s="22">
        <f t="shared" si="5"/>
        <v>7908260</v>
      </c>
      <c r="Q28" s="22"/>
      <c r="R28" s="4"/>
      <c r="S28" s="142">
        <v>46295.0</v>
      </c>
      <c r="T28" s="143" t="s">
        <v>183</v>
      </c>
      <c r="U28" s="149">
        <v>45991.0</v>
      </c>
      <c r="V28" s="149"/>
      <c r="W28" s="148" t="s">
        <v>18</v>
      </c>
      <c r="X28" s="145">
        <v>0.0</v>
      </c>
      <c r="Y28" s="4"/>
      <c r="Z28" s="142">
        <v>46295.0</v>
      </c>
      <c r="AA28" s="143" t="s">
        <v>183</v>
      </c>
      <c r="AB28" s="149">
        <v>45961.0</v>
      </c>
      <c r="AC28" s="149"/>
      <c r="AD28" s="147" t="s">
        <v>186</v>
      </c>
      <c r="AE28" s="145">
        <v>0.0</v>
      </c>
      <c r="AF28" s="4"/>
    </row>
    <row r="29">
      <c r="A29" s="19" t="s">
        <v>202</v>
      </c>
      <c r="B29" s="18">
        <f t="shared" si="17"/>
        <v>24</v>
      </c>
      <c r="C29" s="19" t="s">
        <v>33</v>
      </c>
      <c r="D29" s="20">
        <f t="shared" ref="D29:O29" si="30">SUMIFS($AE:$AE,$Z:$Z,D$3,$AD:$AD,$A29)</f>
        <v>0</v>
      </c>
      <c r="E29" s="21">
        <f t="shared" si="30"/>
        <v>0</v>
      </c>
      <c r="F29" s="21">
        <f t="shared" si="30"/>
        <v>0</v>
      </c>
      <c r="G29" s="21">
        <f t="shared" si="30"/>
        <v>0</v>
      </c>
      <c r="H29" s="21">
        <f t="shared" si="30"/>
        <v>0</v>
      </c>
      <c r="I29" s="21">
        <f t="shared" si="30"/>
        <v>910000</v>
      </c>
      <c r="J29" s="21">
        <f t="shared" si="30"/>
        <v>910000</v>
      </c>
      <c r="K29" s="21">
        <f t="shared" si="30"/>
        <v>0</v>
      </c>
      <c r="L29" s="21">
        <f t="shared" si="30"/>
        <v>0</v>
      </c>
      <c r="M29" s="21">
        <f t="shared" si="30"/>
        <v>0</v>
      </c>
      <c r="N29" s="21">
        <f t="shared" si="30"/>
        <v>0</v>
      </c>
      <c r="O29" s="21">
        <f t="shared" si="30"/>
        <v>0</v>
      </c>
      <c r="P29" s="22">
        <f t="shared" si="5"/>
        <v>1820000</v>
      </c>
      <c r="Q29" s="22"/>
      <c r="R29" s="4"/>
      <c r="S29" s="142">
        <v>46295.0</v>
      </c>
      <c r="T29" s="143" t="s">
        <v>183</v>
      </c>
      <c r="U29" s="149">
        <v>45991.0</v>
      </c>
      <c r="V29" s="149"/>
      <c r="W29" s="148" t="s">
        <v>20</v>
      </c>
      <c r="X29" s="145">
        <v>0.0</v>
      </c>
      <c r="Y29" s="4"/>
      <c r="Z29" s="142">
        <v>46295.0</v>
      </c>
      <c r="AA29" s="143" t="s">
        <v>183</v>
      </c>
      <c r="AB29" s="149">
        <v>45961.0</v>
      </c>
      <c r="AC29" s="149"/>
      <c r="AD29" s="147" t="s">
        <v>187</v>
      </c>
      <c r="AE29" s="145">
        <v>0.0</v>
      </c>
      <c r="AF29" s="4"/>
    </row>
    <row r="30">
      <c r="A30" s="19" t="s">
        <v>203</v>
      </c>
      <c r="B30" s="18">
        <f t="shared" si="17"/>
        <v>25</v>
      </c>
      <c r="C30" s="19" t="s">
        <v>33</v>
      </c>
      <c r="D30" s="20">
        <f t="shared" ref="D30:O30" si="31">SUMIFS($AE:$AE,$Z:$Z,D$3,$AD:$AD,$A30)</f>
        <v>0</v>
      </c>
      <c r="E30" s="21">
        <f t="shared" si="31"/>
        <v>0</v>
      </c>
      <c r="F30" s="21">
        <f t="shared" si="31"/>
        <v>0</v>
      </c>
      <c r="G30" s="21">
        <f t="shared" si="31"/>
        <v>0</v>
      </c>
      <c r="H30" s="21">
        <f t="shared" si="31"/>
        <v>0</v>
      </c>
      <c r="I30" s="21">
        <f t="shared" si="31"/>
        <v>0</v>
      </c>
      <c r="J30" s="21">
        <f t="shared" si="31"/>
        <v>0</v>
      </c>
      <c r="K30" s="21">
        <f t="shared" si="31"/>
        <v>0</v>
      </c>
      <c r="L30" s="21">
        <f t="shared" si="31"/>
        <v>0</v>
      </c>
      <c r="M30" s="21">
        <f t="shared" si="31"/>
        <v>0</v>
      </c>
      <c r="N30" s="21">
        <f t="shared" si="31"/>
        <v>0</v>
      </c>
      <c r="O30" s="21">
        <f t="shared" si="31"/>
        <v>0</v>
      </c>
      <c r="P30" s="22">
        <f t="shared" si="5"/>
        <v>0</v>
      </c>
      <c r="Q30" s="22"/>
      <c r="R30" s="4"/>
      <c r="S30" s="142">
        <v>46295.0</v>
      </c>
      <c r="T30" s="143" t="s">
        <v>183</v>
      </c>
      <c r="U30" s="149">
        <v>45991.0</v>
      </c>
      <c r="V30" s="149"/>
      <c r="W30" s="148" t="s">
        <v>21</v>
      </c>
      <c r="X30" s="145">
        <v>0.0</v>
      </c>
      <c r="Y30" s="4"/>
      <c r="Z30" s="142">
        <v>46295.0</v>
      </c>
      <c r="AA30" s="143" t="s">
        <v>183</v>
      </c>
      <c r="AB30" s="149">
        <v>45961.0</v>
      </c>
      <c r="AC30" s="149"/>
      <c r="AD30" s="147" t="s">
        <v>188</v>
      </c>
      <c r="AE30" s="145">
        <v>0.0</v>
      </c>
      <c r="AF30" s="4"/>
    </row>
    <row r="31">
      <c r="A31" s="19" t="s">
        <v>56</v>
      </c>
      <c r="B31" s="18">
        <f t="shared" si="17"/>
        <v>26</v>
      </c>
      <c r="C31" s="19" t="s">
        <v>38</v>
      </c>
      <c r="D31" s="20">
        <f t="shared" ref="D31:O31" si="32">SUMIFS($AE:$AE,$Z:$Z,D$3,$AD:$AD,$A31)</f>
        <v>0</v>
      </c>
      <c r="E31" s="21">
        <f t="shared" si="32"/>
        <v>0</v>
      </c>
      <c r="F31" s="21">
        <f t="shared" si="32"/>
        <v>0</v>
      </c>
      <c r="G31" s="21">
        <f t="shared" si="32"/>
        <v>0</v>
      </c>
      <c r="H31" s="21">
        <f t="shared" si="32"/>
        <v>0</v>
      </c>
      <c r="I31" s="21">
        <f t="shared" si="32"/>
        <v>150000</v>
      </c>
      <c r="J31" s="21">
        <f t="shared" si="32"/>
        <v>600000</v>
      </c>
      <c r="K31" s="21">
        <f t="shared" si="32"/>
        <v>0</v>
      </c>
      <c r="L31" s="21">
        <f t="shared" si="32"/>
        <v>0</v>
      </c>
      <c r="M31" s="21">
        <f t="shared" si="32"/>
        <v>0</v>
      </c>
      <c r="N31" s="21">
        <f t="shared" si="32"/>
        <v>0</v>
      </c>
      <c r="O31" s="21">
        <f t="shared" si="32"/>
        <v>0</v>
      </c>
      <c r="P31" s="22">
        <f t="shared" si="5"/>
        <v>750000</v>
      </c>
      <c r="Q31" s="22"/>
      <c r="R31" s="4"/>
      <c r="S31" s="142">
        <v>46295.0</v>
      </c>
      <c r="T31" s="143" t="s">
        <v>183</v>
      </c>
      <c r="U31" s="149">
        <v>45991.0</v>
      </c>
      <c r="V31" s="149"/>
      <c r="W31" s="148" t="s">
        <v>23</v>
      </c>
      <c r="X31" s="145">
        <v>0.0</v>
      </c>
      <c r="Y31" s="4"/>
      <c r="Z31" s="142">
        <v>46295.0</v>
      </c>
      <c r="AA31" s="143" t="s">
        <v>183</v>
      </c>
      <c r="AB31" s="149">
        <v>45961.0</v>
      </c>
      <c r="AC31" s="149"/>
      <c r="AD31" s="147" t="s">
        <v>189</v>
      </c>
      <c r="AE31" s="145">
        <v>0.0</v>
      </c>
      <c r="AF31" s="4"/>
    </row>
    <row r="32">
      <c r="A32" s="19" t="s">
        <v>205</v>
      </c>
      <c r="B32" s="18">
        <f t="shared" si="17"/>
        <v>27</v>
      </c>
      <c r="C32" s="19" t="s">
        <v>40</v>
      </c>
      <c r="D32" s="20">
        <f t="shared" ref="D32:O32" si="33">SUMIFS($AE:$AE,$Z:$Z,D$3,$AD:$AD,$A32)</f>
        <v>0</v>
      </c>
      <c r="E32" s="21">
        <f t="shared" si="33"/>
        <v>0</v>
      </c>
      <c r="F32" s="21">
        <f t="shared" si="33"/>
        <v>0</v>
      </c>
      <c r="G32" s="21">
        <f t="shared" si="33"/>
        <v>0</v>
      </c>
      <c r="H32" s="21">
        <f t="shared" si="33"/>
        <v>0</v>
      </c>
      <c r="I32" s="21">
        <f t="shared" si="33"/>
        <v>60000</v>
      </c>
      <c r="J32" s="21">
        <f t="shared" si="33"/>
        <v>60000</v>
      </c>
      <c r="K32" s="21">
        <f t="shared" si="33"/>
        <v>0</v>
      </c>
      <c r="L32" s="21">
        <f t="shared" si="33"/>
        <v>0</v>
      </c>
      <c r="M32" s="21">
        <f t="shared" si="33"/>
        <v>0</v>
      </c>
      <c r="N32" s="21">
        <f t="shared" si="33"/>
        <v>0</v>
      </c>
      <c r="O32" s="21">
        <f t="shared" si="33"/>
        <v>0</v>
      </c>
      <c r="P32" s="22">
        <f t="shared" si="5"/>
        <v>120000</v>
      </c>
      <c r="Q32" s="22"/>
      <c r="R32" s="4"/>
      <c r="S32" s="142">
        <v>46295.0</v>
      </c>
      <c r="T32" s="143" t="s">
        <v>183</v>
      </c>
      <c r="U32" s="149">
        <v>46022.0</v>
      </c>
      <c r="V32" s="149"/>
      <c r="W32" s="148" t="s">
        <v>8</v>
      </c>
      <c r="X32" s="145">
        <v>0.0</v>
      </c>
      <c r="Y32" s="4"/>
      <c r="Z32" s="142">
        <v>46295.0</v>
      </c>
      <c r="AA32" s="143" t="s">
        <v>183</v>
      </c>
      <c r="AB32" s="149">
        <v>45961.0</v>
      </c>
      <c r="AC32" s="149"/>
      <c r="AD32" s="147" t="s">
        <v>190</v>
      </c>
      <c r="AE32" s="145">
        <v>0.0</v>
      </c>
      <c r="AF32" s="4"/>
    </row>
    <row r="33">
      <c r="A33" s="19" t="s">
        <v>41</v>
      </c>
      <c r="B33" s="18">
        <f t="shared" si="17"/>
        <v>28</v>
      </c>
      <c r="C33" s="19" t="s">
        <v>41</v>
      </c>
      <c r="D33" s="20">
        <f t="shared" ref="D33:O33" si="34">SUMIFS($AE:$AE,$Z:$Z,D$3,$AD:$AD,$A33)</f>
        <v>0</v>
      </c>
      <c r="E33" s="21">
        <f t="shared" si="34"/>
        <v>0</v>
      </c>
      <c r="F33" s="21">
        <f t="shared" si="34"/>
        <v>0</v>
      </c>
      <c r="G33" s="21">
        <f t="shared" si="34"/>
        <v>0</v>
      </c>
      <c r="H33" s="21">
        <f t="shared" si="34"/>
        <v>0</v>
      </c>
      <c r="I33" s="21">
        <f t="shared" si="34"/>
        <v>0</v>
      </c>
      <c r="J33" s="21">
        <f t="shared" si="34"/>
        <v>0</v>
      </c>
      <c r="K33" s="21">
        <f t="shared" si="34"/>
        <v>0</v>
      </c>
      <c r="L33" s="21">
        <f t="shared" si="34"/>
        <v>0</v>
      </c>
      <c r="M33" s="21">
        <f t="shared" si="34"/>
        <v>0</v>
      </c>
      <c r="N33" s="21">
        <f t="shared" si="34"/>
        <v>0</v>
      </c>
      <c r="O33" s="21">
        <f t="shared" si="34"/>
        <v>0</v>
      </c>
      <c r="P33" s="22">
        <f t="shared" si="5"/>
        <v>0</v>
      </c>
      <c r="Q33" s="22"/>
      <c r="R33" s="4"/>
      <c r="S33" s="142">
        <v>46295.0</v>
      </c>
      <c r="T33" s="143" t="s">
        <v>183</v>
      </c>
      <c r="U33" s="149">
        <v>46022.0</v>
      </c>
      <c r="V33" s="149"/>
      <c r="W33" s="148" t="s">
        <v>10</v>
      </c>
      <c r="X33" s="145">
        <v>0.0</v>
      </c>
      <c r="Y33" s="4"/>
      <c r="Z33" s="142">
        <v>46295.0</v>
      </c>
      <c r="AA33" s="143" t="s">
        <v>183</v>
      </c>
      <c r="AB33" s="149">
        <v>45961.0</v>
      </c>
      <c r="AC33" s="149"/>
      <c r="AD33" s="147" t="s">
        <v>191</v>
      </c>
      <c r="AE33" s="145">
        <v>0.0</v>
      </c>
      <c r="AF33" s="4"/>
    </row>
    <row r="34">
      <c r="A34" s="19" t="s">
        <v>208</v>
      </c>
      <c r="B34" s="18">
        <f t="shared" si="17"/>
        <v>29</v>
      </c>
      <c r="C34" s="19" t="s">
        <v>33</v>
      </c>
      <c r="D34" s="20">
        <f t="shared" ref="D34:O34" si="35">SUMIFS($AE:$AE,$Z:$Z,D$3,$AD:$AD,$A34)</f>
        <v>0</v>
      </c>
      <c r="E34" s="21">
        <f t="shared" si="35"/>
        <v>0</v>
      </c>
      <c r="F34" s="21">
        <f t="shared" si="35"/>
        <v>0</v>
      </c>
      <c r="G34" s="21">
        <f t="shared" si="35"/>
        <v>0</v>
      </c>
      <c r="H34" s="21">
        <f t="shared" si="35"/>
        <v>0</v>
      </c>
      <c r="I34" s="21">
        <f t="shared" si="35"/>
        <v>0</v>
      </c>
      <c r="J34" s="21">
        <f t="shared" si="35"/>
        <v>0</v>
      </c>
      <c r="K34" s="21">
        <f t="shared" si="35"/>
        <v>0</v>
      </c>
      <c r="L34" s="21">
        <f t="shared" si="35"/>
        <v>0</v>
      </c>
      <c r="M34" s="21">
        <f t="shared" si="35"/>
        <v>0</v>
      </c>
      <c r="N34" s="21">
        <f t="shared" si="35"/>
        <v>0</v>
      </c>
      <c r="O34" s="21">
        <f t="shared" si="35"/>
        <v>0</v>
      </c>
      <c r="P34" s="22">
        <f t="shared" si="5"/>
        <v>0</v>
      </c>
      <c r="Q34" s="22"/>
      <c r="R34" s="4"/>
      <c r="S34" s="142">
        <v>46295.0</v>
      </c>
      <c r="T34" s="143" t="s">
        <v>183</v>
      </c>
      <c r="U34" s="149">
        <v>46022.0</v>
      </c>
      <c r="V34" s="149"/>
      <c r="W34" s="148" t="s">
        <v>12</v>
      </c>
      <c r="X34" s="145">
        <v>0.0</v>
      </c>
      <c r="Y34" s="4"/>
      <c r="Z34" s="142">
        <v>46295.0</v>
      </c>
      <c r="AA34" s="143" t="s">
        <v>183</v>
      </c>
      <c r="AB34" s="149">
        <v>45961.0</v>
      </c>
      <c r="AC34" s="149"/>
      <c r="AD34" s="147" t="s">
        <v>192</v>
      </c>
      <c r="AE34" s="145">
        <v>0.0</v>
      </c>
      <c r="AF34" s="4"/>
    </row>
    <row r="35">
      <c r="A35" s="19" t="s">
        <v>23</v>
      </c>
      <c r="B35" s="18">
        <f t="shared" si="17"/>
        <v>30</v>
      </c>
      <c r="C35" s="150" t="s">
        <v>210</v>
      </c>
      <c r="D35" s="151">
        <f t="shared" ref="D35:O35" si="36">SUMIFS($AE:$AE,$Z:$Z,D$3,$AD:$AD,$A35)</f>
        <v>0</v>
      </c>
      <c r="E35" s="151">
        <f t="shared" si="36"/>
        <v>0</v>
      </c>
      <c r="F35" s="151">
        <f t="shared" si="36"/>
        <v>0</v>
      </c>
      <c r="G35" s="151">
        <f t="shared" si="36"/>
        <v>0</v>
      </c>
      <c r="H35" s="151">
        <f t="shared" si="36"/>
        <v>0</v>
      </c>
      <c r="I35" s="151">
        <f t="shared" si="36"/>
        <v>765000</v>
      </c>
      <c r="J35" s="151">
        <f t="shared" si="36"/>
        <v>2105000</v>
      </c>
      <c r="K35" s="151">
        <f t="shared" si="36"/>
        <v>0</v>
      </c>
      <c r="L35" s="151">
        <f t="shared" si="36"/>
        <v>0</v>
      </c>
      <c r="M35" s="151">
        <f t="shared" si="36"/>
        <v>0</v>
      </c>
      <c r="N35" s="151">
        <f t="shared" si="36"/>
        <v>0</v>
      </c>
      <c r="O35" s="151">
        <f t="shared" si="36"/>
        <v>0</v>
      </c>
      <c r="P35" s="152">
        <f t="shared" si="5"/>
        <v>2870000</v>
      </c>
      <c r="Q35" s="152"/>
      <c r="R35" s="4"/>
      <c r="S35" s="142">
        <v>46295.0</v>
      </c>
      <c r="T35" s="153" t="s">
        <v>183</v>
      </c>
      <c r="U35" s="154">
        <v>46022.0</v>
      </c>
      <c r="V35" s="154"/>
      <c r="W35" s="155" t="s">
        <v>14</v>
      </c>
      <c r="X35" s="156">
        <v>0.0</v>
      </c>
      <c r="Y35" s="4"/>
      <c r="Z35" s="142">
        <v>46295.0</v>
      </c>
      <c r="AA35" s="153" t="s">
        <v>183</v>
      </c>
      <c r="AB35" s="154">
        <v>45961.0</v>
      </c>
      <c r="AC35" s="154"/>
      <c r="AD35" s="157" t="s">
        <v>193</v>
      </c>
      <c r="AE35" s="156">
        <v>0.0</v>
      </c>
      <c r="AF35" s="4"/>
    </row>
    <row r="36">
      <c r="A36" s="5"/>
      <c r="B36" s="55"/>
      <c r="C36" s="56" t="s">
        <v>42</v>
      </c>
      <c r="D36" s="57">
        <f t="shared" ref="D36:O36" si="37">SUM(D15:D35)</f>
        <v>0</v>
      </c>
      <c r="E36" s="57">
        <f t="shared" si="37"/>
        <v>0</v>
      </c>
      <c r="F36" s="57">
        <f t="shared" si="37"/>
        <v>0</v>
      </c>
      <c r="G36" s="57">
        <f t="shared" si="37"/>
        <v>0</v>
      </c>
      <c r="H36" s="57">
        <f t="shared" si="37"/>
        <v>0</v>
      </c>
      <c r="I36" s="57">
        <f t="shared" si="37"/>
        <v>12586100</v>
      </c>
      <c r="J36" s="57">
        <f t="shared" si="37"/>
        <v>21650160</v>
      </c>
      <c r="K36" s="57">
        <f t="shared" si="37"/>
        <v>0</v>
      </c>
      <c r="L36" s="57">
        <f t="shared" si="37"/>
        <v>0</v>
      </c>
      <c r="M36" s="57">
        <f t="shared" si="37"/>
        <v>0</v>
      </c>
      <c r="N36" s="57">
        <f t="shared" si="37"/>
        <v>0</v>
      </c>
      <c r="O36" s="57">
        <f t="shared" si="37"/>
        <v>0</v>
      </c>
      <c r="P36" s="58">
        <f t="shared" si="5"/>
        <v>34236260</v>
      </c>
      <c r="Q36" s="58"/>
      <c r="R36" s="4"/>
      <c r="S36" s="142">
        <v>46295.0</v>
      </c>
      <c r="T36" s="158" t="s">
        <v>183</v>
      </c>
      <c r="U36" s="159">
        <v>46022.0</v>
      </c>
      <c r="V36" s="159"/>
      <c r="W36" s="158" t="s">
        <v>16</v>
      </c>
      <c r="X36" s="160">
        <v>0.0</v>
      </c>
      <c r="Z36" s="142">
        <v>46295.0</v>
      </c>
      <c r="AA36" s="158" t="s">
        <v>183</v>
      </c>
      <c r="AB36" s="159">
        <v>45961.0</v>
      </c>
      <c r="AC36" s="159"/>
      <c r="AD36" s="160" t="s">
        <v>194</v>
      </c>
      <c r="AE36" s="160">
        <v>210000.0</v>
      </c>
      <c r="AF36" s="4"/>
    </row>
    <row r="37">
      <c r="A37" s="5"/>
      <c r="B37" s="59"/>
      <c r="C37" s="60" t="s">
        <v>44</v>
      </c>
      <c r="D37" s="61">
        <f t="shared" ref="D37:O37" si="38">D14-D36</f>
        <v>0</v>
      </c>
      <c r="E37" s="61">
        <f t="shared" si="38"/>
        <v>0</v>
      </c>
      <c r="F37" s="61">
        <f t="shared" si="38"/>
        <v>0</v>
      </c>
      <c r="G37" s="61">
        <f t="shared" si="38"/>
        <v>0</v>
      </c>
      <c r="H37" s="61">
        <f t="shared" si="38"/>
        <v>0</v>
      </c>
      <c r="I37" s="61">
        <f t="shared" si="38"/>
        <v>8056400</v>
      </c>
      <c r="J37" s="61">
        <f t="shared" si="38"/>
        <v>6092340</v>
      </c>
      <c r="K37" s="61">
        <f t="shared" si="38"/>
        <v>0</v>
      </c>
      <c r="L37" s="61">
        <f t="shared" si="38"/>
        <v>0</v>
      </c>
      <c r="M37" s="61">
        <f t="shared" si="38"/>
        <v>0</v>
      </c>
      <c r="N37" s="61">
        <f t="shared" si="38"/>
        <v>0</v>
      </c>
      <c r="O37" s="61">
        <f t="shared" si="38"/>
        <v>0</v>
      </c>
      <c r="P37" s="62">
        <f t="shared" si="5"/>
        <v>14148740</v>
      </c>
      <c r="Q37" s="62"/>
      <c r="R37" s="4"/>
      <c r="S37" s="142">
        <v>46295.0</v>
      </c>
      <c r="T37" s="87" t="s">
        <v>183</v>
      </c>
      <c r="U37" s="161">
        <v>46022.0</v>
      </c>
      <c r="V37" s="161"/>
      <c r="W37" s="87" t="s">
        <v>18</v>
      </c>
      <c r="X37" s="162">
        <v>0.0</v>
      </c>
      <c r="Y37" s="4"/>
      <c r="Z37" s="142">
        <v>46295.0</v>
      </c>
      <c r="AA37" s="87" t="s">
        <v>183</v>
      </c>
      <c r="AB37" s="161">
        <v>45961.0</v>
      </c>
      <c r="AC37" s="161"/>
      <c r="AD37" s="162" t="s">
        <v>196</v>
      </c>
      <c r="AE37" s="162">
        <v>0.0</v>
      </c>
      <c r="AF37" s="4"/>
    </row>
    <row r="38" ht="8.25" customHeight="1">
      <c r="A38" s="5"/>
      <c r="B38" s="63"/>
      <c r="P38" s="64"/>
      <c r="R38" s="3"/>
      <c r="S38" s="142">
        <v>46295.0</v>
      </c>
      <c r="T38" s="2" t="s">
        <v>183</v>
      </c>
      <c r="U38" s="163">
        <v>46022.0</v>
      </c>
      <c r="V38" s="163"/>
      <c r="W38" s="2" t="s">
        <v>20</v>
      </c>
      <c r="X38" s="164">
        <v>0.0</v>
      </c>
      <c r="Y38" s="3"/>
      <c r="Z38" s="142">
        <v>46295.0</v>
      </c>
      <c r="AA38" s="2" t="s">
        <v>183</v>
      </c>
      <c r="AB38" s="163">
        <v>45961.0</v>
      </c>
      <c r="AC38" s="163"/>
      <c r="AD38" s="164" t="s">
        <v>198</v>
      </c>
      <c r="AE38" s="164">
        <v>0.0</v>
      </c>
      <c r="AF38" s="3"/>
    </row>
    <row r="39" ht="24.0" customHeight="1">
      <c r="A39" s="5"/>
      <c r="B39" s="10" t="s">
        <v>211</v>
      </c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65"/>
      <c r="Q39" s="65"/>
      <c r="R39" s="3"/>
      <c r="S39" s="142">
        <v>46295.0</v>
      </c>
      <c r="T39" s="2" t="s">
        <v>183</v>
      </c>
      <c r="U39" s="163">
        <v>46022.0</v>
      </c>
      <c r="V39" s="163"/>
      <c r="W39" s="2" t="s">
        <v>21</v>
      </c>
      <c r="X39" s="164">
        <v>0.0</v>
      </c>
      <c r="Y39" s="3"/>
      <c r="Z39" s="142">
        <v>46295.0</v>
      </c>
      <c r="AA39" s="2" t="s">
        <v>183</v>
      </c>
      <c r="AB39" s="163">
        <v>45961.0</v>
      </c>
      <c r="AC39" s="163"/>
      <c r="AD39" s="164" t="s">
        <v>200</v>
      </c>
      <c r="AE39" s="164">
        <v>0.0</v>
      </c>
      <c r="AF39" s="3"/>
    </row>
    <row r="40">
      <c r="A40" s="5"/>
      <c r="B40" s="18">
        <f>B35+1</f>
        <v>31</v>
      </c>
      <c r="C40" s="165" t="s">
        <v>41</v>
      </c>
      <c r="D40" s="20">
        <v>16900.0</v>
      </c>
      <c r="E40" s="20">
        <v>16900.0</v>
      </c>
      <c r="F40" s="20">
        <v>16900.0</v>
      </c>
      <c r="G40" s="20">
        <v>16900.0</v>
      </c>
      <c r="H40" s="20">
        <v>16900.0</v>
      </c>
      <c r="I40" s="20">
        <v>16900.0</v>
      </c>
      <c r="J40" s="20">
        <v>16900.0</v>
      </c>
      <c r="K40" s="20">
        <v>16900.0</v>
      </c>
      <c r="L40" s="20">
        <v>16900.0</v>
      </c>
      <c r="M40" s="20">
        <v>16900.0</v>
      </c>
      <c r="N40" s="20">
        <v>16900.0</v>
      </c>
      <c r="O40" s="20">
        <v>16900.0</v>
      </c>
      <c r="P40" s="22">
        <f t="shared" ref="P40:P42" si="39">SUM(D40:O40)</f>
        <v>202800</v>
      </c>
      <c r="Q40" s="72" t="s">
        <v>212</v>
      </c>
      <c r="R40" s="4"/>
      <c r="S40" s="142">
        <v>46295.0</v>
      </c>
      <c r="T40" s="87" t="s">
        <v>183</v>
      </c>
      <c r="U40" s="161">
        <v>46022.0</v>
      </c>
      <c r="V40" s="161"/>
      <c r="W40" s="87" t="s">
        <v>23</v>
      </c>
      <c r="X40" s="162">
        <v>0.0</v>
      </c>
      <c r="Y40" s="4"/>
      <c r="Z40" s="142">
        <v>46295.0</v>
      </c>
      <c r="AA40" s="87" t="s">
        <v>183</v>
      </c>
      <c r="AB40" s="161">
        <v>45961.0</v>
      </c>
      <c r="AC40" s="161"/>
      <c r="AD40" s="162" t="s">
        <v>202</v>
      </c>
      <c r="AE40" s="162">
        <v>0.0</v>
      </c>
      <c r="AF40" s="4"/>
    </row>
    <row r="41">
      <c r="A41" s="5"/>
      <c r="B41" s="18">
        <f>B40+1</f>
        <v>32</v>
      </c>
      <c r="C41" s="165" t="s">
        <v>53</v>
      </c>
      <c r="D41" s="20">
        <v>1037.0</v>
      </c>
      <c r="E41" s="20">
        <v>1037.0</v>
      </c>
      <c r="F41" s="20">
        <v>1037.0</v>
      </c>
      <c r="G41" s="20">
        <v>1037.0</v>
      </c>
      <c r="H41" s="20">
        <v>1037.0</v>
      </c>
      <c r="I41" s="20">
        <v>1037.0</v>
      </c>
      <c r="J41" s="20">
        <v>1037.0</v>
      </c>
      <c r="K41" s="20">
        <v>1037.0</v>
      </c>
      <c r="L41" s="20">
        <v>1037.0</v>
      </c>
      <c r="M41" s="20">
        <v>1037.0</v>
      </c>
      <c r="N41" s="20">
        <v>1037.0</v>
      </c>
      <c r="O41" s="20">
        <v>1037.0</v>
      </c>
      <c r="P41" s="22">
        <f t="shared" si="39"/>
        <v>12444</v>
      </c>
      <c r="Q41" s="72" t="s">
        <v>213</v>
      </c>
      <c r="R41" s="4"/>
      <c r="S41" s="142">
        <v>46295.0</v>
      </c>
      <c r="T41" s="87" t="s">
        <v>183</v>
      </c>
      <c r="U41" s="161">
        <v>46053.0</v>
      </c>
      <c r="V41" s="161"/>
      <c r="W41" s="87" t="s">
        <v>8</v>
      </c>
      <c r="X41" s="162">
        <v>0.0</v>
      </c>
      <c r="Y41" s="4"/>
      <c r="Z41" s="142">
        <v>46295.0</v>
      </c>
      <c r="AA41" s="87" t="s">
        <v>183</v>
      </c>
      <c r="AB41" s="161">
        <v>45961.0</v>
      </c>
      <c r="AC41" s="161"/>
      <c r="AD41" s="162" t="s">
        <v>203</v>
      </c>
      <c r="AE41" s="162">
        <v>0.0</v>
      </c>
      <c r="AF41" s="4"/>
    </row>
    <row r="42">
      <c r="A42" s="5"/>
      <c r="B42" s="73"/>
      <c r="C42" s="74" t="s">
        <v>78</v>
      </c>
      <c r="D42" s="75">
        <f t="shared" ref="D42:O42" si="40">SUM(D40:D41)</f>
        <v>17937</v>
      </c>
      <c r="E42" s="75">
        <f t="shared" si="40"/>
        <v>17937</v>
      </c>
      <c r="F42" s="75">
        <f t="shared" si="40"/>
        <v>17937</v>
      </c>
      <c r="G42" s="75">
        <f t="shared" si="40"/>
        <v>17937</v>
      </c>
      <c r="H42" s="75">
        <f t="shared" si="40"/>
        <v>17937</v>
      </c>
      <c r="I42" s="75">
        <f t="shared" si="40"/>
        <v>17937</v>
      </c>
      <c r="J42" s="75">
        <f t="shared" si="40"/>
        <v>17937</v>
      </c>
      <c r="K42" s="75">
        <f t="shared" si="40"/>
        <v>17937</v>
      </c>
      <c r="L42" s="75">
        <f t="shared" si="40"/>
        <v>17937</v>
      </c>
      <c r="M42" s="75">
        <f t="shared" si="40"/>
        <v>17937</v>
      </c>
      <c r="N42" s="75">
        <f t="shared" si="40"/>
        <v>17937</v>
      </c>
      <c r="O42" s="75">
        <f t="shared" si="40"/>
        <v>17937</v>
      </c>
      <c r="P42" s="76">
        <f t="shared" si="39"/>
        <v>215244</v>
      </c>
      <c r="Q42" s="76"/>
      <c r="R42" s="4"/>
      <c r="S42" s="142">
        <v>46295.0</v>
      </c>
      <c r="T42" s="87" t="s">
        <v>183</v>
      </c>
      <c r="U42" s="161">
        <v>46053.0</v>
      </c>
      <c r="V42" s="161"/>
      <c r="W42" s="87" t="s">
        <v>10</v>
      </c>
      <c r="X42" s="87">
        <v>0.0</v>
      </c>
      <c r="Y42" s="4"/>
      <c r="Z42" s="142">
        <v>46295.0</v>
      </c>
      <c r="AA42" s="87" t="s">
        <v>183</v>
      </c>
      <c r="AB42" s="161">
        <v>45961.0</v>
      </c>
      <c r="AC42" s="161"/>
      <c r="AD42" s="162" t="s">
        <v>56</v>
      </c>
      <c r="AE42" s="162">
        <v>0.0</v>
      </c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3"/>
      <c r="Q43" s="3"/>
      <c r="R43" s="4"/>
      <c r="S43" s="142">
        <v>46295.0</v>
      </c>
      <c r="T43" s="87" t="s">
        <v>183</v>
      </c>
      <c r="U43" s="161">
        <v>46053.0</v>
      </c>
      <c r="V43" s="161"/>
      <c r="W43" s="87" t="s">
        <v>12</v>
      </c>
      <c r="X43" s="87">
        <v>0.0</v>
      </c>
      <c r="Y43" s="4"/>
      <c r="Z43" s="142">
        <v>46295.0</v>
      </c>
      <c r="AA43" s="87" t="s">
        <v>183</v>
      </c>
      <c r="AB43" s="161">
        <v>45961.0</v>
      </c>
      <c r="AC43" s="161"/>
      <c r="AD43" s="87" t="s">
        <v>205</v>
      </c>
      <c r="AE43" s="87">
        <v>0.0</v>
      </c>
      <c r="AF43" s="4"/>
    </row>
    <row r="44">
      <c r="A44" s="5"/>
      <c r="B44" s="77"/>
      <c r="C44" s="78" t="s">
        <v>214</v>
      </c>
      <c r="D44" s="79">
        <f t="shared" ref="D44:O44" si="41">D37-D42</f>
        <v>-17937</v>
      </c>
      <c r="E44" s="79">
        <f t="shared" si="41"/>
        <v>-17937</v>
      </c>
      <c r="F44" s="79">
        <f t="shared" si="41"/>
        <v>-17937</v>
      </c>
      <c r="G44" s="79">
        <f t="shared" si="41"/>
        <v>-17937</v>
      </c>
      <c r="H44" s="79">
        <f t="shared" si="41"/>
        <v>-17937</v>
      </c>
      <c r="I44" s="79">
        <f t="shared" si="41"/>
        <v>8038463</v>
      </c>
      <c r="J44" s="79">
        <f t="shared" si="41"/>
        <v>6074403</v>
      </c>
      <c r="K44" s="79">
        <f t="shared" si="41"/>
        <v>-17937</v>
      </c>
      <c r="L44" s="79">
        <f t="shared" si="41"/>
        <v>-17937</v>
      </c>
      <c r="M44" s="79">
        <f t="shared" si="41"/>
        <v>-17937</v>
      </c>
      <c r="N44" s="79">
        <f t="shared" si="41"/>
        <v>-17937</v>
      </c>
      <c r="O44" s="79">
        <f t="shared" si="41"/>
        <v>-17937</v>
      </c>
      <c r="P44" s="80">
        <f>SUM(D44:O44)</f>
        <v>13933496</v>
      </c>
      <c r="Q44" s="80"/>
      <c r="R44" s="4"/>
      <c r="S44" s="142">
        <v>46295.0</v>
      </c>
      <c r="T44" s="87" t="s">
        <v>183</v>
      </c>
      <c r="U44" s="161">
        <v>46053.0</v>
      </c>
      <c r="V44" s="161"/>
      <c r="W44" s="87" t="s">
        <v>14</v>
      </c>
      <c r="X44" s="87">
        <v>0.0</v>
      </c>
      <c r="Y44" s="4"/>
      <c r="Z44" s="142">
        <v>46295.0</v>
      </c>
      <c r="AA44" s="87" t="s">
        <v>183</v>
      </c>
      <c r="AB44" s="161">
        <v>45961.0</v>
      </c>
      <c r="AC44" s="161"/>
      <c r="AD44" s="87" t="s">
        <v>41</v>
      </c>
      <c r="AE44" s="87">
        <v>0.0</v>
      </c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3"/>
      <c r="Q45" s="3"/>
      <c r="R45" s="4"/>
      <c r="S45" s="142">
        <v>46295.0</v>
      </c>
      <c r="T45" s="87" t="s">
        <v>183</v>
      </c>
      <c r="U45" s="161">
        <v>46053.0</v>
      </c>
      <c r="V45" s="161"/>
      <c r="W45" s="87" t="s">
        <v>16</v>
      </c>
      <c r="X45" s="87">
        <v>0.0</v>
      </c>
      <c r="Y45" s="4"/>
      <c r="Z45" s="142">
        <v>46295.0</v>
      </c>
      <c r="AA45" s="87" t="s">
        <v>183</v>
      </c>
      <c r="AB45" s="161">
        <v>45961.0</v>
      </c>
      <c r="AC45" s="161"/>
      <c r="AD45" s="87" t="s">
        <v>208</v>
      </c>
      <c r="AE45" s="87">
        <v>0.0</v>
      </c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3"/>
      <c r="Q46" s="3"/>
      <c r="R46" s="4"/>
      <c r="S46" s="142">
        <v>46295.0</v>
      </c>
      <c r="T46" s="87" t="s">
        <v>183</v>
      </c>
      <c r="U46" s="166">
        <v>46053.0</v>
      </c>
      <c r="V46" s="166"/>
      <c r="W46" s="87" t="s">
        <v>18</v>
      </c>
      <c r="X46" s="162">
        <v>0.0</v>
      </c>
      <c r="Y46" s="4"/>
      <c r="Z46" s="142">
        <v>46295.0</v>
      </c>
      <c r="AA46" s="87" t="s">
        <v>183</v>
      </c>
      <c r="AB46" s="161">
        <v>45961.0</v>
      </c>
      <c r="AC46" s="161"/>
      <c r="AD46" s="87" t="s">
        <v>23</v>
      </c>
      <c r="AE46" s="87">
        <v>0.0</v>
      </c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3"/>
      <c r="Q47" s="3"/>
      <c r="R47" s="4"/>
      <c r="S47" s="142">
        <v>46295.0</v>
      </c>
      <c r="T47" s="87" t="s">
        <v>183</v>
      </c>
      <c r="U47" s="166">
        <v>46053.0</v>
      </c>
      <c r="V47" s="166"/>
      <c r="W47" s="87" t="s">
        <v>20</v>
      </c>
      <c r="X47" s="162">
        <v>0.0</v>
      </c>
      <c r="Y47" s="4"/>
      <c r="Z47" s="142">
        <v>46295.0</v>
      </c>
      <c r="AA47" s="87" t="s">
        <v>183</v>
      </c>
      <c r="AB47" s="161">
        <v>45991.0</v>
      </c>
      <c r="AC47" s="161"/>
      <c r="AD47" s="87" t="s">
        <v>184</v>
      </c>
      <c r="AE47" s="87">
        <v>0.0</v>
      </c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3"/>
      <c r="Q48" s="3"/>
      <c r="R48" s="4"/>
      <c r="S48" s="142">
        <v>46295.0</v>
      </c>
      <c r="T48" s="87" t="s">
        <v>183</v>
      </c>
      <c r="U48" s="166">
        <v>46053.0</v>
      </c>
      <c r="V48" s="166"/>
      <c r="W48" s="87" t="s">
        <v>21</v>
      </c>
      <c r="X48" s="87">
        <v>0.0</v>
      </c>
      <c r="Y48" s="4"/>
      <c r="Z48" s="142">
        <v>46295.0</v>
      </c>
      <c r="AA48" s="87" t="s">
        <v>183</v>
      </c>
      <c r="AB48" s="161">
        <v>45991.0</v>
      </c>
      <c r="AC48" s="161"/>
      <c r="AD48" s="87" t="s">
        <v>185</v>
      </c>
      <c r="AE48" s="87">
        <v>0.0</v>
      </c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"/>
      <c r="Q49" s="3"/>
      <c r="R49" s="4"/>
      <c r="S49" s="142">
        <v>46295.0</v>
      </c>
      <c r="T49" s="87" t="s">
        <v>183</v>
      </c>
      <c r="U49" s="166">
        <v>46053.0</v>
      </c>
      <c r="V49" s="166"/>
      <c r="W49" s="87" t="s">
        <v>23</v>
      </c>
      <c r="X49" s="87">
        <v>0.0</v>
      </c>
      <c r="Y49" s="4"/>
      <c r="Z49" s="142">
        <v>46295.0</v>
      </c>
      <c r="AA49" s="87" t="s">
        <v>183</v>
      </c>
      <c r="AB49" s="161">
        <v>45991.0</v>
      </c>
      <c r="AC49" s="161"/>
      <c r="AD49" s="87" t="s">
        <v>186</v>
      </c>
      <c r="AE49" s="87">
        <v>0.0</v>
      </c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"/>
      <c r="Q50" s="3"/>
      <c r="R50" s="4"/>
      <c r="S50" s="142">
        <v>46295.0</v>
      </c>
      <c r="T50" s="87" t="s">
        <v>183</v>
      </c>
      <c r="U50" s="166">
        <v>46081.0</v>
      </c>
      <c r="V50" s="166"/>
      <c r="W50" s="87" t="s">
        <v>8</v>
      </c>
      <c r="X50" s="87">
        <v>0.0</v>
      </c>
      <c r="Y50" s="4"/>
      <c r="Z50" s="142">
        <v>46295.0</v>
      </c>
      <c r="AA50" s="87" t="s">
        <v>183</v>
      </c>
      <c r="AB50" s="161">
        <v>45991.0</v>
      </c>
      <c r="AC50" s="161"/>
      <c r="AD50" s="87" t="s">
        <v>187</v>
      </c>
      <c r="AE50" s="87">
        <v>0.0</v>
      </c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3"/>
      <c r="Q51" s="3"/>
      <c r="R51" s="4"/>
      <c r="S51" s="142">
        <v>46295.0</v>
      </c>
      <c r="T51" s="87" t="s">
        <v>183</v>
      </c>
      <c r="U51" s="166">
        <v>46081.0</v>
      </c>
      <c r="V51" s="166"/>
      <c r="W51" s="87" t="s">
        <v>10</v>
      </c>
      <c r="X51" s="87">
        <v>0.0</v>
      </c>
      <c r="Y51" s="4"/>
      <c r="Z51" s="142">
        <v>46295.0</v>
      </c>
      <c r="AA51" s="87" t="s">
        <v>183</v>
      </c>
      <c r="AB51" s="161">
        <v>45991.0</v>
      </c>
      <c r="AC51" s="161"/>
      <c r="AD51" s="87" t="s">
        <v>188</v>
      </c>
      <c r="AE51" s="87">
        <v>0.0</v>
      </c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3"/>
      <c r="Q52" s="3"/>
      <c r="R52" s="4"/>
      <c r="S52" s="142">
        <v>46295.0</v>
      </c>
      <c r="T52" s="87" t="s">
        <v>183</v>
      </c>
      <c r="U52" s="166">
        <v>46081.0</v>
      </c>
      <c r="V52" s="166"/>
      <c r="W52" s="87" t="s">
        <v>12</v>
      </c>
      <c r="X52" s="87">
        <v>0.0</v>
      </c>
      <c r="Y52" s="4"/>
      <c r="Z52" s="142">
        <v>46295.0</v>
      </c>
      <c r="AA52" s="87" t="s">
        <v>183</v>
      </c>
      <c r="AB52" s="161">
        <v>45991.0</v>
      </c>
      <c r="AC52" s="161"/>
      <c r="AD52" s="87" t="s">
        <v>189</v>
      </c>
      <c r="AE52" s="87">
        <v>0.0</v>
      </c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3"/>
      <c r="Q53" s="3"/>
      <c r="R53" s="4"/>
      <c r="S53" s="142">
        <v>46295.0</v>
      </c>
      <c r="T53" s="87" t="s">
        <v>183</v>
      </c>
      <c r="U53" s="166">
        <v>46081.0</v>
      </c>
      <c r="V53" s="166"/>
      <c r="W53" s="87" t="s">
        <v>14</v>
      </c>
      <c r="X53" s="87">
        <v>0.0</v>
      </c>
      <c r="Y53" s="4"/>
      <c r="Z53" s="142">
        <v>46295.0</v>
      </c>
      <c r="AA53" s="87" t="s">
        <v>183</v>
      </c>
      <c r="AB53" s="161">
        <v>45991.0</v>
      </c>
      <c r="AC53" s="161"/>
      <c r="AD53" s="87" t="s">
        <v>190</v>
      </c>
      <c r="AE53" s="87">
        <v>0.0</v>
      </c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3"/>
      <c r="Q54" s="3"/>
      <c r="R54" s="4"/>
      <c r="S54" s="142">
        <v>46295.0</v>
      </c>
      <c r="T54" s="87" t="s">
        <v>183</v>
      </c>
      <c r="U54" s="166">
        <v>46081.0</v>
      </c>
      <c r="V54" s="166"/>
      <c r="W54" s="87" t="s">
        <v>16</v>
      </c>
      <c r="X54" s="87">
        <v>0.0</v>
      </c>
      <c r="Y54" s="4"/>
      <c r="Z54" s="142">
        <v>46295.0</v>
      </c>
      <c r="AA54" s="87" t="s">
        <v>183</v>
      </c>
      <c r="AB54" s="161">
        <v>45991.0</v>
      </c>
      <c r="AC54" s="161"/>
      <c r="AD54" s="87" t="s">
        <v>191</v>
      </c>
      <c r="AE54" s="87">
        <v>0.0</v>
      </c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3"/>
      <c r="Q55" s="3"/>
      <c r="R55" s="4"/>
      <c r="S55" s="142">
        <v>46295.0</v>
      </c>
      <c r="T55" s="87" t="s">
        <v>183</v>
      </c>
      <c r="U55" s="166">
        <v>46081.0</v>
      </c>
      <c r="V55" s="166"/>
      <c r="W55" s="87" t="s">
        <v>18</v>
      </c>
      <c r="X55" s="87">
        <v>0.0</v>
      </c>
      <c r="Y55" s="4"/>
      <c r="Z55" s="142">
        <v>46295.0</v>
      </c>
      <c r="AA55" s="87" t="s">
        <v>183</v>
      </c>
      <c r="AB55" s="161">
        <v>45991.0</v>
      </c>
      <c r="AC55" s="161"/>
      <c r="AD55" s="87" t="s">
        <v>192</v>
      </c>
      <c r="AE55" s="87">
        <v>0.0</v>
      </c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3"/>
      <c r="Q56" s="3"/>
      <c r="R56" s="4"/>
      <c r="S56" s="142">
        <v>46295.0</v>
      </c>
      <c r="T56" s="87" t="s">
        <v>183</v>
      </c>
      <c r="U56" s="166">
        <v>46081.0</v>
      </c>
      <c r="V56" s="166"/>
      <c r="W56" s="87" t="s">
        <v>20</v>
      </c>
      <c r="X56" s="162">
        <v>0.0</v>
      </c>
      <c r="Y56" s="4"/>
      <c r="Z56" s="142">
        <v>46295.0</v>
      </c>
      <c r="AA56" s="87" t="s">
        <v>183</v>
      </c>
      <c r="AB56" s="161">
        <v>45991.0</v>
      </c>
      <c r="AC56" s="161"/>
      <c r="AD56" s="87" t="s">
        <v>193</v>
      </c>
      <c r="AE56" s="87">
        <v>0.0</v>
      </c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3"/>
      <c r="Q57" s="3"/>
      <c r="R57" s="4"/>
      <c r="S57" s="142">
        <v>46295.0</v>
      </c>
      <c r="T57" s="87" t="s">
        <v>183</v>
      </c>
      <c r="U57" s="166">
        <v>46081.0</v>
      </c>
      <c r="V57" s="166"/>
      <c r="W57" s="87" t="s">
        <v>21</v>
      </c>
      <c r="X57" s="162">
        <v>0.0</v>
      </c>
      <c r="Y57" s="4"/>
      <c r="Z57" s="142">
        <v>46295.0</v>
      </c>
      <c r="AA57" s="87" t="s">
        <v>183</v>
      </c>
      <c r="AB57" s="161">
        <v>45991.0</v>
      </c>
      <c r="AC57" s="161"/>
      <c r="AD57" s="87" t="s">
        <v>194</v>
      </c>
      <c r="AE57" s="162">
        <v>210000.0</v>
      </c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3"/>
      <c r="Q58" s="3"/>
      <c r="R58" s="4"/>
      <c r="S58" s="142">
        <v>46295.0</v>
      </c>
      <c r="T58" s="87" t="s">
        <v>183</v>
      </c>
      <c r="U58" s="166">
        <v>46081.0</v>
      </c>
      <c r="V58" s="166"/>
      <c r="W58" s="87" t="s">
        <v>23</v>
      </c>
      <c r="X58" s="87">
        <v>0.0</v>
      </c>
      <c r="Y58" s="4"/>
      <c r="Z58" s="142">
        <v>46295.0</v>
      </c>
      <c r="AA58" s="87" t="s">
        <v>183</v>
      </c>
      <c r="AB58" s="161">
        <v>45991.0</v>
      </c>
      <c r="AC58" s="161"/>
      <c r="AD58" s="87" t="s">
        <v>196</v>
      </c>
      <c r="AE58" s="87">
        <v>0.0</v>
      </c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3"/>
      <c r="Q59" s="3"/>
      <c r="R59" s="4"/>
      <c r="S59" s="142">
        <v>46295.0</v>
      </c>
      <c r="T59" s="87" t="s">
        <v>183</v>
      </c>
      <c r="U59" s="166">
        <v>46112.0</v>
      </c>
      <c r="V59" s="166"/>
      <c r="W59" s="87" t="s">
        <v>8</v>
      </c>
      <c r="X59" s="87">
        <v>0.0</v>
      </c>
      <c r="Y59" s="4"/>
      <c r="Z59" s="142">
        <v>46295.0</v>
      </c>
      <c r="AA59" s="87" t="s">
        <v>183</v>
      </c>
      <c r="AB59" s="161">
        <v>45991.0</v>
      </c>
      <c r="AC59" s="161"/>
      <c r="AD59" s="87" t="s">
        <v>198</v>
      </c>
      <c r="AE59" s="162">
        <v>0.0</v>
      </c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3"/>
      <c r="Q60" s="3"/>
      <c r="R60" s="4"/>
      <c r="S60" s="142">
        <v>46295.0</v>
      </c>
      <c r="T60" s="87" t="s">
        <v>183</v>
      </c>
      <c r="U60" s="166">
        <v>46112.0</v>
      </c>
      <c r="V60" s="166"/>
      <c r="W60" s="87" t="s">
        <v>10</v>
      </c>
      <c r="X60" s="87">
        <v>0.0</v>
      </c>
      <c r="Y60" s="4"/>
      <c r="Z60" s="142">
        <v>46295.0</v>
      </c>
      <c r="AA60" s="87" t="s">
        <v>183</v>
      </c>
      <c r="AB60" s="161">
        <v>45991.0</v>
      </c>
      <c r="AC60" s="161"/>
      <c r="AD60" s="87" t="s">
        <v>200</v>
      </c>
      <c r="AE60" s="162">
        <v>0.0</v>
      </c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3"/>
      <c r="Q61" s="3"/>
      <c r="R61" s="4"/>
      <c r="S61" s="142">
        <v>46295.0</v>
      </c>
      <c r="T61" s="87" t="s">
        <v>183</v>
      </c>
      <c r="U61" s="166">
        <v>46112.0</v>
      </c>
      <c r="V61" s="166"/>
      <c r="W61" s="87" t="s">
        <v>12</v>
      </c>
      <c r="X61" s="162">
        <v>5033000.0</v>
      </c>
      <c r="Y61" s="4"/>
      <c r="Z61" s="142">
        <v>46295.0</v>
      </c>
      <c r="AA61" s="87" t="s">
        <v>183</v>
      </c>
      <c r="AB61" s="161">
        <v>45991.0</v>
      </c>
      <c r="AC61" s="161"/>
      <c r="AD61" s="87" t="s">
        <v>202</v>
      </c>
      <c r="AE61" s="87">
        <v>0.0</v>
      </c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3"/>
      <c r="Q62" s="3"/>
      <c r="R62" s="4"/>
      <c r="S62" s="142">
        <v>46295.0</v>
      </c>
      <c r="T62" s="87" t="s">
        <v>183</v>
      </c>
      <c r="U62" s="166">
        <v>46112.0</v>
      </c>
      <c r="V62" s="166"/>
      <c r="W62" s="87" t="s">
        <v>14</v>
      </c>
      <c r="X62" s="162">
        <v>1089000.0</v>
      </c>
      <c r="Y62" s="4"/>
      <c r="Z62" s="142">
        <v>46295.0</v>
      </c>
      <c r="AA62" s="87" t="s">
        <v>183</v>
      </c>
      <c r="AB62" s="161">
        <v>45991.0</v>
      </c>
      <c r="AC62" s="161"/>
      <c r="AD62" s="87" t="s">
        <v>203</v>
      </c>
      <c r="AE62" s="87">
        <v>0.0</v>
      </c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3"/>
      <c r="Q63" s="3"/>
      <c r="R63" s="4"/>
      <c r="S63" s="142">
        <v>46295.0</v>
      </c>
      <c r="T63" s="87" t="s">
        <v>183</v>
      </c>
      <c r="U63" s="166">
        <v>46112.0</v>
      </c>
      <c r="V63" s="166"/>
      <c r="W63" s="87" t="s">
        <v>16</v>
      </c>
      <c r="X63" s="87">
        <v>0.0</v>
      </c>
      <c r="Y63" s="4"/>
      <c r="Z63" s="142">
        <v>46295.0</v>
      </c>
      <c r="AA63" s="87" t="s">
        <v>183</v>
      </c>
      <c r="AB63" s="161">
        <v>45991.0</v>
      </c>
      <c r="AC63" s="161"/>
      <c r="AD63" s="87" t="s">
        <v>56</v>
      </c>
      <c r="AE63" s="87">
        <v>0.0</v>
      </c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3"/>
      <c r="Q64" s="3"/>
      <c r="R64" s="4"/>
      <c r="S64" s="142">
        <v>46295.0</v>
      </c>
      <c r="T64" s="87" t="s">
        <v>183</v>
      </c>
      <c r="U64" s="166">
        <v>46112.0</v>
      </c>
      <c r="V64" s="166"/>
      <c r="W64" s="87" t="s">
        <v>18</v>
      </c>
      <c r="X64" s="87">
        <v>0.0</v>
      </c>
      <c r="Y64" s="4"/>
      <c r="Z64" s="142">
        <v>46295.0</v>
      </c>
      <c r="AA64" s="87" t="s">
        <v>183</v>
      </c>
      <c r="AB64" s="161">
        <v>45991.0</v>
      </c>
      <c r="AC64" s="161"/>
      <c r="AD64" s="87" t="s">
        <v>205</v>
      </c>
      <c r="AE64" s="87">
        <v>0.0</v>
      </c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3"/>
      <c r="Q65" s="3"/>
      <c r="R65" s="4"/>
      <c r="S65" s="142">
        <v>46295.0</v>
      </c>
      <c r="T65" s="87" t="s">
        <v>183</v>
      </c>
      <c r="U65" s="166">
        <v>46112.0</v>
      </c>
      <c r="V65" s="166"/>
      <c r="W65" s="87" t="s">
        <v>20</v>
      </c>
      <c r="X65" s="87">
        <v>0.0</v>
      </c>
      <c r="Y65" s="4"/>
      <c r="Z65" s="142">
        <v>46295.0</v>
      </c>
      <c r="AA65" s="87" t="s">
        <v>183</v>
      </c>
      <c r="AB65" s="161">
        <v>45991.0</v>
      </c>
      <c r="AC65" s="161"/>
      <c r="AD65" s="87" t="s">
        <v>41</v>
      </c>
      <c r="AE65" s="87">
        <v>0.0</v>
      </c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3"/>
      <c r="Q66" s="3"/>
      <c r="R66" s="4"/>
      <c r="S66" s="142">
        <v>46295.0</v>
      </c>
      <c r="T66" s="87" t="s">
        <v>183</v>
      </c>
      <c r="U66" s="166">
        <v>46112.0</v>
      </c>
      <c r="V66" s="166"/>
      <c r="W66" s="87" t="s">
        <v>21</v>
      </c>
      <c r="X66" s="162">
        <v>0.0</v>
      </c>
      <c r="Y66" s="4"/>
      <c r="Z66" s="142">
        <v>46295.0</v>
      </c>
      <c r="AA66" s="87" t="s">
        <v>183</v>
      </c>
      <c r="AB66" s="161">
        <v>45991.0</v>
      </c>
      <c r="AC66" s="161"/>
      <c r="AD66" s="87" t="s">
        <v>208</v>
      </c>
      <c r="AE66" s="87">
        <v>0.0</v>
      </c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3"/>
      <c r="Q67" s="3"/>
      <c r="R67" s="4"/>
      <c r="S67" s="142">
        <v>46295.0</v>
      </c>
      <c r="T67" s="87" t="s">
        <v>183</v>
      </c>
      <c r="U67" s="166">
        <v>46112.0</v>
      </c>
      <c r="V67" s="166"/>
      <c r="W67" s="87" t="s">
        <v>23</v>
      </c>
      <c r="X67" s="162">
        <v>0.0</v>
      </c>
      <c r="Y67" s="4"/>
      <c r="Z67" s="142">
        <v>46295.0</v>
      </c>
      <c r="AA67" s="87" t="s">
        <v>183</v>
      </c>
      <c r="AB67" s="161">
        <v>45991.0</v>
      </c>
      <c r="AC67" s="161"/>
      <c r="AD67" s="87" t="s">
        <v>23</v>
      </c>
      <c r="AE67" s="87">
        <v>0.0</v>
      </c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3"/>
      <c r="Q68" s="3"/>
      <c r="R68" s="4"/>
      <c r="S68" s="142">
        <v>46295.0</v>
      </c>
      <c r="T68" s="87" t="s">
        <v>183</v>
      </c>
      <c r="U68" s="166">
        <v>46142.0</v>
      </c>
      <c r="V68" s="166"/>
      <c r="W68" s="87" t="s">
        <v>8</v>
      </c>
      <c r="X68" s="162">
        <v>4200000.0</v>
      </c>
      <c r="Y68" s="4"/>
      <c r="Z68" s="142">
        <v>46295.0</v>
      </c>
      <c r="AA68" s="87" t="s">
        <v>183</v>
      </c>
      <c r="AB68" s="161">
        <v>46022.0</v>
      </c>
      <c r="AC68" s="161"/>
      <c r="AD68" s="87" t="s">
        <v>184</v>
      </c>
      <c r="AE68" s="87">
        <v>0.0</v>
      </c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3"/>
      <c r="Q69" s="3"/>
      <c r="R69" s="4"/>
      <c r="S69" s="142">
        <v>46295.0</v>
      </c>
      <c r="T69" s="87" t="s">
        <v>183</v>
      </c>
      <c r="U69" s="166">
        <v>46142.0</v>
      </c>
      <c r="V69" s="166"/>
      <c r="W69" s="87" t="s">
        <v>10</v>
      </c>
      <c r="X69" s="162">
        <v>0.0</v>
      </c>
      <c r="Y69" s="4"/>
      <c r="Z69" s="142">
        <v>46295.0</v>
      </c>
      <c r="AA69" s="87" t="s">
        <v>183</v>
      </c>
      <c r="AB69" s="161">
        <v>46022.0</v>
      </c>
      <c r="AC69" s="161"/>
      <c r="AD69" s="87" t="s">
        <v>185</v>
      </c>
      <c r="AE69" s="87">
        <v>0.0</v>
      </c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3"/>
      <c r="Q70" s="3"/>
      <c r="R70" s="4"/>
      <c r="S70" s="142">
        <v>46295.0</v>
      </c>
      <c r="T70" s="87" t="s">
        <v>183</v>
      </c>
      <c r="U70" s="166">
        <v>46142.0</v>
      </c>
      <c r="V70" s="166"/>
      <c r="W70" s="87" t="s">
        <v>12</v>
      </c>
      <c r="X70" s="162">
        <v>0.0</v>
      </c>
      <c r="Y70" s="4"/>
      <c r="Z70" s="142">
        <v>46295.0</v>
      </c>
      <c r="AA70" s="87" t="s">
        <v>183</v>
      </c>
      <c r="AB70" s="161">
        <v>46022.0</v>
      </c>
      <c r="AC70" s="161"/>
      <c r="AD70" s="87" t="s">
        <v>186</v>
      </c>
      <c r="AE70" s="87">
        <v>0.0</v>
      </c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3"/>
      <c r="Q71" s="3"/>
      <c r="R71" s="4"/>
      <c r="S71" s="142">
        <v>46295.0</v>
      </c>
      <c r="T71" s="87" t="s">
        <v>183</v>
      </c>
      <c r="U71" s="166">
        <v>46142.0</v>
      </c>
      <c r="V71" s="166"/>
      <c r="W71" s="87" t="s">
        <v>14</v>
      </c>
      <c r="X71" s="87">
        <v>0.0</v>
      </c>
      <c r="Y71" s="4"/>
      <c r="Z71" s="142">
        <v>46295.0</v>
      </c>
      <c r="AA71" s="87" t="s">
        <v>183</v>
      </c>
      <c r="AB71" s="161">
        <v>46022.0</v>
      </c>
      <c r="AC71" s="161"/>
      <c r="AD71" s="87" t="s">
        <v>187</v>
      </c>
      <c r="AE71" s="87">
        <v>0.0</v>
      </c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3"/>
      <c r="Q72" s="3"/>
      <c r="R72" s="4"/>
      <c r="S72" s="142">
        <v>46295.0</v>
      </c>
      <c r="T72" s="87" t="s">
        <v>183</v>
      </c>
      <c r="U72" s="166">
        <v>46142.0</v>
      </c>
      <c r="V72" s="166"/>
      <c r="W72" s="87" t="s">
        <v>16</v>
      </c>
      <c r="X72" s="87">
        <v>0.0</v>
      </c>
      <c r="Y72" s="4"/>
      <c r="Z72" s="142">
        <v>46295.0</v>
      </c>
      <c r="AA72" s="87" t="s">
        <v>183</v>
      </c>
      <c r="AB72" s="161">
        <v>46022.0</v>
      </c>
      <c r="AC72" s="161"/>
      <c r="AD72" s="87" t="s">
        <v>188</v>
      </c>
      <c r="AE72" s="87">
        <v>0.0</v>
      </c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3"/>
      <c r="Q73" s="3"/>
      <c r="R73" s="4"/>
      <c r="S73" s="142">
        <v>46295.0</v>
      </c>
      <c r="T73" s="87" t="s">
        <v>183</v>
      </c>
      <c r="U73" s="166">
        <v>46142.0</v>
      </c>
      <c r="V73" s="166"/>
      <c r="W73" s="87" t="s">
        <v>18</v>
      </c>
      <c r="X73" s="87">
        <v>0.0</v>
      </c>
      <c r="Y73" s="4"/>
      <c r="Z73" s="142">
        <v>46295.0</v>
      </c>
      <c r="AA73" s="87" t="s">
        <v>183</v>
      </c>
      <c r="AB73" s="161">
        <v>46022.0</v>
      </c>
      <c r="AC73" s="161"/>
      <c r="AD73" s="87" t="s">
        <v>189</v>
      </c>
      <c r="AE73" s="87">
        <v>0.0</v>
      </c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3"/>
      <c r="Q74" s="3"/>
      <c r="R74" s="4"/>
      <c r="S74" s="142">
        <v>46295.0</v>
      </c>
      <c r="T74" s="87" t="s">
        <v>183</v>
      </c>
      <c r="U74" s="166">
        <v>46142.0</v>
      </c>
      <c r="V74" s="166"/>
      <c r="W74" s="87" t="s">
        <v>20</v>
      </c>
      <c r="X74" s="87">
        <v>0.0</v>
      </c>
      <c r="Y74" s="4"/>
      <c r="Z74" s="142">
        <v>46295.0</v>
      </c>
      <c r="AA74" s="87" t="s">
        <v>183</v>
      </c>
      <c r="AB74" s="161">
        <v>46022.0</v>
      </c>
      <c r="AC74" s="161"/>
      <c r="AD74" s="87" t="s">
        <v>190</v>
      </c>
      <c r="AE74" s="87">
        <v>0.0</v>
      </c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3"/>
      <c r="Q75" s="3"/>
      <c r="R75" s="4"/>
      <c r="S75" s="142">
        <v>46295.0</v>
      </c>
      <c r="T75" s="87" t="s">
        <v>183</v>
      </c>
      <c r="U75" s="166">
        <v>46142.0</v>
      </c>
      <c r="V75" s="166"/>
      <c r="W75" s="87" t="s">
        <v>21</v>
      </c>
      <c r="X75" s="87">
        <v>0.0</v>
      </c>
      <c r="Y75" s="4"/>
      <c r="Z75" s="142">
        <v>46295.0</v>
      </c>
      <c r="AA75" s="87" t="s">
        <v>183</v>
      </c>
      <c r="AB75" s="161">
        <v>46022.0</v>
      </c>
      <c r="AC75" s="161"/>
      <c r="AD75" s="87" t="s">
        <v>191</v>
      </c>
      <c r="AE75" s="87">
        <v>0.0</v>
      </c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3"/>
      <c r="Q76" s="3"/>
      <c r="R76" s="4"/>
      <c r="S76" s="142">
        <v>46295.0</v>
      </c>
      <c r="T76" s="87" t="s">
        <v>183</v>
      </c>
      <c r="U76" s="166">
        <v>46142.0</v>
      </c>
      <c r="V76" s="166"/>
      <c r="W76" s="87" t="s">
        <v>23</v>
      </c>
      <c r="X76" s="162">
        <v>0.0</v>
      </c>
      <c r="Y76" s="4"/>
      <c r="Z76" s="142">
        <v>46295.0</v>
      </c>
      <c r="AA76" s="87" t="s">
        <v>183</v>
      </c>
      <c r="AB76" s="161">
        <v>46022.0</v>
      </c>
      <c r="AC76" s="161"/>
      <c r="AD76" s="87" t="s">
        <v>192</v>
      </c>
      <c r="AE76" s="87">
        <v>0.0</v>
      </c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3"/>
      <c r="Q77" s="3"/>
      <c r="R77" s="4"/>
      <c r="S77" s="142">
        <v>46295.0</v>
      </c>
      <c r="T77" s="87" t="s">
        <v>183</v>
      </c>
      <c r="U77" s="166">
        <v>46173.0</v>
      </c>
      <c r="V77" s="166"/>
      <c r="W77" s="87" t="s">
        <v>8</v>
      </c>
      <c r="X77" s="162">
        <v>4200000.0</v>
      </c>
      <c r="Y77" s="4"/>
      <c r="Z77" s="142">
        <v>46295.0</v>
      </c>
      <c r="AA77" s="87" t="s">
        <v>183</v>
      </c>
      <c r="AB77" s="161">
        <v>46022.0</v>
      </c>
      <c r="AC77" s="161"/>
      <c r="AD77" s="87" t="s">
        <v>193</v>
      </c>
      <c r="AE77" s="87">
        <v>0.0</v>
      </c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3"/>
      <c r="Q78" s="3"/>
      <c r="R78" s="4"/>
      <c r="S78" s="142">
        <v>46295.0</v>
      </c>
      <c r="T78" s="87" t="s">
        <v>183</v>
      </c>
      <c r="U78" s="166">
        <v>46173.0</v>
      </c>
      <c r="V78" s="166"/>
      <c r="W78" s="87" t="s">
        <v>10</v>
      </c>
      <c r="X78" s="87">
        <v>0.0</v>
      </c>
      <c r="Y78" s="4"/>
      <c r="Z78" s="142">
        <v>46295.0</v>
      </c>
      <c r="AA78" s="87" t="s">
        <v>183</v>
      </c>
      <c r="AB78" s="161">
        <v>46022.0</v>
      </c>
      <c r="AC78" s="161"/>
      <c r="AD78" s="87" t="s">
        <v>194</v>
      </c>
      <c r="AE78" s="162">
        <v>210000.0</v>
      </c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3"/>
      <c r="Q79" s="3"/>
      <c r="R79" s="4"/>
      <c r="S79" s="142">
        <v>46295.0</v>
      </c>
      <c r="T79" s="87" t="s">
        <v>183</v>
      </c>
      <c r="U79" s="166">
        <v>46173.0</v>
      </c>
      <c r="V79" s="166"/>
      <c r="W79" s="87" t="s">
        <v>12</v>
      </c>
      <c r="X79" s="87">
        <v>0.0</v>
      </c>
      <c r="Y79" s="4"/>
      <c r="Z79" s="142">
        <v>46295.0</v>
      </c>
      <c r="AA79" s="87" t="s">
        <v>183</v>
      </c>
      <c r="AB79" s="161">
        <v>46022.0</v>
      </c>
      <c r="AC79" s="161"/>
      <c r="AD79" s="87" t="s">
        <v>196</v>
      </c>
      <c r="AE79" s="87">
        <v>0.0</v>
      </c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3"/>
      <c r="Q80" s="3"/>
      <c r="R80" s="4"/>
      <c r="S80" s="142">
        <v>46295.0</v>
      </c>
      <c r="T80" s="87" t="s">
        <v>183</v>
      </c>
      <c r="U80" s="166">
        <v>46173.0</v>
      </c>
      <c r="V80" s="166"/>
      <c r="W80" s="87" t="s">
        <v>14</v>
      </c>
      <c r="X80" s="87">
        <v>0.0</v>
      </c>
      <c r="Y80" s="4"/>
      <c r="Z80" s="142">
        <v>46295.0</v>
      </c>
      <c r="AA80" s="87" t="s">
        <v>183</v>
      </c>
      <c r="AB80" s="161">
        <v>46022.0</v>
      </c>
      <c r="AC80" s="161"/>
      <c r="AD80" s="87" t="s">
        <v>198</v>
      </c>
      <c r="AE80" s="87">
        <v>0.0</v>
      </c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3"/>
      <c r="Q81" s="3"/>
      <c r="R81" s="4"/>
      <c r="S81" s="142">
        <v>46295.0</v>
      </c>
      <c r="T81" s="87" t="s">
        <v>183</v>
      </c>
      <c r="U81" s="166">
        <v>46173.0</v>
      </c>
      <c r="V81" s="166"/>
      <c r="W81" s="87" t="s">
        <v>16</v>
      </c>
      <c r="X81" s="87">
        <v>0.0</v>
      </c>
      <c r="Y81" s="4"/>
      <c r="Z81" s="142">
        <v>46295.0</v>
      </c>
      <c r="AA81" s="87" t="s">
        <v>183</v>
      </c>
      <c r="AB81" s="161">
        <v>46022.0</v>
      </c>
      <c r="AC81" s="161"/>
      <c r="AD81" s="87" t="s">
        <v>200</v>
      </c>
      <c r="AE81" s="162">
        <v>0.0</v>
      </c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3"/>
      <c r="Q82" s="3"/>
      <c r="R82" s="4"/>
      <c r="S82" s="142">
        <v>46295.0</v>
      </c>
      <c r="T82" s="87" t="s">
        <v>183</v>
      </c>
      <c r="U82" s="166">
        <v>46173.0</v>
      </c>
      <c r="V82" s="166"/>
      <c r="W82" s="87" t="s">
        <v>18</v>
      </c>
      <c r="X82" s="87">
        <v>0.0</v>
      </c>
      <c r="Y82" s="4"/>
      <c r="Z82" s="142">
        <v>46295.0</v>
      </c>
      <c r="AA82" s="87" t="s">
        <v>183</v>
      </c>
      <c r="AB82" s="161">
        <v>46022.0</v>
      </c>
      <c r="AC82" s="161"/>
      <c r="AD82" s="87" t="s">
        <v>202</v>
      </c>
      <c r="AE82" s="162">
        <v>0.0</v>
      </c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3"/>
      <c r="Q83" s="3"/>
      <c r="R83" s="4"/>
      <c r="S83" s="142">
        <v>46295.0</v>
      </c>
      <c r="T83" s="87" t="s">
        <v>183</v>
      </c>
      <c r="U83" s="166">
        <v>46173.0</v>
      </c>
      <c r="V83" s="166"/>
      <c r="W83" s="87" t="s">
        <v>20</v>
      </c>
      <c r="X83" s="87">
        <v>0.0</v>
      </c>
      <c r="Y83" s="4"/>
      <c r="Z83" s="142">
        <v>46295.0</v>
      </c>
      <c r="AA83" s="87" t="s">
        <v>183</v>
      </c>
      <c r="AB83" s="161">
        <v>46022.0</v>
      </c>
      <c r="AC83" s="161"/>
      <c r="AD83" s="87" t="s">
        <v>203</v>
      </c>
      <c r="AE83" s="87">
        <v>0.0</v>
      </c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3"/>
      <c r="Q84" s="3"/>
      <c r="R84" s="4"/>
      <c r="S84" s="142">
        <v>46295.0</v>
      </c>
      <c r="T84" s="87" t="s">
        <v>183</v>
      </c>
      <c r="U84" s="166">
        <v>46173.0</v>
      </c>
      <c r="V84" s="166"/>
      <c r="W84" s="87" t="s">
        <v>21</v>
      </c>
      <c r="X84" s="87">
        <v>0.0</v>
      </c>
      <c r="Y84" s="4"/>
      <c r="Z84" s="142">
        <v>46295.0</v>
      </c>
      <c r="AA84" s="87" t="s">
        <v>183</v>
      </c>
      <c r="AB84" s="161">
        <v>46022.0</v>
      </c>
      <c r="AC84" s="161"/>
      <c r="AD84" s="87" t="s">
        <v>56</v>
      </c>
      <c r="AE84" s="87">
        <v>0.0</v>
      </c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3"/>
      <c r="Q85" s="3"/>
      <c r="R85" s="4"/>
      <c r="S85" s="142">
        <v>46295.0</v>
      </c>
      <c r="T85" s="87" t="s">
        <v>183</v>
      </c>
      <c r="U85" s="166">
        <v>46173.0</v>
      </c>
      <c r="V85" s="166"/>
      <c r="W85" s="87" t="s">
        <v>23</v>
      </c>
      <c r="X85" s="87">
        <v>0.0</v>
      </c>
      <c r="Y85" s="4"/>
      <c r="Z85" s="142">
        <v>46295.0</v>
      </c>
      <c r="AA85" s="87" t="s">
        <v>183</v>
      </c>
      <c r="AB85" s="161">
        <v>46022.0</v>
      </c>
      <c r="AC85" s="161"/>
      <c r="AD85" s="87" t="s">
        <v>205</v>
      </c>
      <c r="AE85" s="87">
        <v>0.0</v>
      </c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3"/>
      <c r="Q86" s="3"/>
      <c r="R86" s="4"/>
      <c r="S86" s="142">
        <v>46295.0</v>
      </c>
      <c r="T86" s="87" t="s">
        <v>183</v>
      </c>
      <c r="U86" s="166">
        <v>46203.0</v>
      </c>
      <c r="V86" s="166"/>
      <c r="W86" s="87" t="s">
        <v>8</v>
      </c>
      <c r="X86" s="87">
        <v>0.0</v>
      </c>
      <c r="Y86" s="4"/>
      <c r="Z86" s="142">
        <v>46295.0</v>
      </c>
      <c r="AA86" s="87" t="s">
        <v>183</v>
      </c>
      <c r="AB86" s="161">
        <v>46022.0</v>
      </c>
      <c r="AC86" s="161"/>
      <c r="AD86" s="87" t="s">
        <v>41</v>
      </c>
      <c r="AE86" s="87">
        <v>0.0</v>
      </c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3"/>
      <c r="Q87" s="3"/>
      <c r="R87" s="4"/>
      <c r="S87" s="142">
        <v>46295.0</v>
      </c>
      <c r="T87" s="87" t="s">
        <v>183</v>
      </c>
      <c r="U87" s="166">
        <v>46203.0</v>
      </c>
      <c r="V87" s="166"/>
      <c r="W87" s="87" t="s">
        <v>10</v>
      </c>
      <c r="X87" s="87">
        <v>0.0</v>
      </c>
      <c r="Y87" s="4"/>
      <c r="Z87" s="142">
        <v>46295.0</v>
      </c>
      <c r="AA87" s="87" t="s">
        <v>183</v>
      </c>
      <c r="AB87" s="161">
        <v>46022.0</v>
      </c>
      <c r="AC87" s="161"/>
      <c r="AD87" s="87" t="s">
        <v>208</v>
      </c>
      <c r="AE87" s="87">
        <v>0.0</v>
      </c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3"/>
      <c r="Q88" s="3"/>
      <c r="R88" s="4"/>
      <c r="S88" s="142">
        <v>46295.0</v>
      </c>
      <c r="T88" s="87" t="s">
        <v>183</v>
      </c>
      <c r="U88" s="166">
        <v>46203.0</v>
      </c>
      <c r="V88" s="166"/>
      <c r="W88" s="87" t="s">
        <v>12</v>
      </c>
      <c r="X88" s="87">
        <v>0.0</v>
      </c>
      <c r="Y88" s="4"/>
      <c r="Z88" s="142">
        <v>46295.0</v>
      </c>
      <c r="AA88" s="87" t="s">
        <v>183</v>
      </c>
      <c r="AB88" s="161">
        <v>46022.0</v>
      </c>
      <c r="AC88" s="161"/>
      <c r="AD88" s="87" t="s">
        <v>23</v>
      </c>
      <c r="AE88" s="87">
        <v>0.0</v>
      </c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3"/>
      <c r="Q89" s="3"/>
      <c r="R89" s="4"/>
      <c r="S89" s="142">
        <v>46295.0</v>
      </c>
      <c r="T89" s="87" t="s">
        <v>183</v>
      </c>
      <c r="U89" s="166">
        <v>46203.0</v>
      </c>
      <c r="V89" s="166"/>
      <c r="W89" s="87" t="s">
        <v>14</v>
      </c>
      <c r="X89" s="87">
        <v>0.0</v>
      </c>
      <c r="Y89" s="4"/>
      <c r="Z89" s="142">
        <v>46295.0</v>
      </c>
      <c r="AA89" s="87" t="s">
        <v>183</v>
      </c>
      <c r="AB89" s="161">
        <v>46053.0</v>
      </c>
      <c r="AC89" s="161"/>
      <c r="AD89" s="87" t="s">
        <v>184</v>
      </c>
      <c r="AE89" s="87">
        <v>0.0</v>
      </c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3"/>
      <c r="Q90" s="3"/>
      <c r="R90" s="4"/>
      <c r="S90" s="142">
        <v>46295.0</v>
      </c>
      <c r="T90" s="87" t="s">
        <v>183</v>
      </c>
      <c r="U90" s="166">
        <v>46203.0</v>
      </c>
      <c r="V90" s="166"/>
      <c r="W90" s="87" t="s">
        <v>16</v>
      </c>
      <c r="X90" s="87">
        <v>0.0</v>
      </c>
      <c r="Y90" s="4"/>
      <c r="Z90" s="142">
        <v>46295.0</v>
      </c>
      <c r="AA90" s="87" t="s">
        <v>183</v>
      </c>
      <c r="AB90" s="161">
        <v>46053.0</v>
      </c>
      <c r="AC90" s="161"/>
      <c r="AD90" s="87" t="s">
        <v>185</v>
      </c>
      <c r="AE90" s="87">
        <v>0.0</v>
      </c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3"/>
      <c r="Q91" s="3"/>
      <c r="R91" s="4"/>
      <c r="S91" s="142">
        <v>46295.0</v>
      </c>
      <c r="T91" s="87" t="s">
        <v>183</v>
      </c>
      <c r="U91" s="166">
        <v>46203.0</v>
      </c>
      <c r="V91" s="166"/>
      <c r="W91" s="87" t="s">
        <v>18</v>
      </c>
      <c r="X91" s="87">
        <v>0.0</v>
      </c>
      <c r="Y91" s="4"/>
      <c r="Z91" s="142">
        <v>46295.0</v>
      </c>
      <c r="AA91" s="87" t="s">
        <v>183</v>
      </c>
      <c r="AB91" s="161">
        <v>46053.0</v>
      </c>
      <c r="AC91" s="161"/>
      <c r="AD91" s="87" t="s">
        <v>186</v>
      </c>
      <c r="AE91" s="87">
        <v>0.0</v>
      </c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3"/>
      <c r="Q92" s="3"/>
      <c r="R92" s="4"/>
      <c r="S92" s="142">
        <v>46295.0</v>
      </c>
      <c r="T92" s="87" t="s">
        <v>183</v>
      </c>
      <c r="U92" s="166">
        <v>46203.0</v>
      </c>
      <c r="V92" s="166"/>
      <c r="W92" s="87" t="s">
        <v>20</v>
      </c>
      <c r="X92" s="87">
        <v>0.0</v>
      </c>
      <c r="Y92" s="4"/>
      <c r="Z92" s="142">
        <v>46295.0</v>
      </c>
      <c r="AA92" s="87" t="s">
        <v>183</v>
      </c>
      <c r="AB92" s="161">
        <v>46053.0</v>
      </c>
      <c r="AC92" s="161"/>
      <c r="AD92" s="87" t="s">
        <v>187</v>
      </c>
      <c r="AE92" s="87">
        <v>0.0</v>
      </c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3"/>
      <c r="Q93" s="3"/>
      <c r="R93" s="4"/>
      <c r="S93" s="142">
        <v>46295.0</v>
      </c>
      <c r="T93" s="87" t="s">
        <v>183</v>
      </c>
      <c r="U93" s="166">
        <v>46203.0</v>
      </c>
      <c r="V93" s="166"/>
      <c r="W93" s="87" t="s">
        <v>21</v>
      </c>
      <c r="X93" s="87">
        <v>0.0</v>
      </c>
      <c r="Y93" s="4"/>
      <c r="Z93" s="142">
        <v>46295.0</v>
      </c>
      <c r="AA93" s="87" t="s">
        <v>183</v>
      </c>
      <c r="AB93" s="166">
        <v>46053.0</v>
      </c>
      <c r="AC93" s="166"/>
      <c r="AD93" s="87" t="s">
        <v>188</v>
      </c>
      <c r="AE93" s="87">
        <v>0.0</v>
      </c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3"/>
      <c r="Q94" s="3"/>
      <c r="R94" s="4"/>
      <c r="S94" s="142">
        <v>46295.0</v>
      </c>
      <c r="T94" s="87" t="s">
        <v>183</v>
      </c>
      <c r="U94" s="166">
        <v>46203.0</v>
      </c>
      <c r="V94" s="166"/>
      <c r="W94" s="87" t="s">
        <v>23</v>
      </c>
      <c r="X94" s="87">
        <v>0.0</v>
      </c>
      <c r="Y94" s="4"/>
      <c r="Z94" s="142">
        <v>46295.0</v>
      </c>
      <c r="AA94" s="87" t="s">
        <v>183</v>
      </c>
      <c r="AB94" s="166">
        <v>46053.0</v>
      </c>
      <c r="AC94" s="166"/>
      <c r="AD94" s="87" t="s">
        <v>189</v>
      </c>
      <c r="AE94" s="162">
        <v>200000.0</v>
      </c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3"/>
      <c r="Q95" s="3"/>
      <c r="R95" s="4"/>
      <c r="S95" s="142">
        <v>46295.0</v>
      </c>
      <c r="T95" s="87" t="s">
        <v>183</v>
      </c>
      <c r="U95" s="166">
        <v>46234.0</v>
      </c>
      <c r="V95" s="166"/>
      <c r="W95" s="87" t="s">
        <v>8</v>
      </c>
      <c r="X95" s="87">
        <v>0.0</v>
      </c>
      <c r="Y95" s="4"/>
      <c r="Z95" s="142">
        <v>46295.0</v>
      </c>
      <c r="AA95" s="87" t="s">
        <v>183</v>
      </c>
      <c r="AB95" s="166">
        <v>46053.0</v>
      </c>
      <c r="AC95" s="166"/>
      <c r="AD95" s="87" t="s">
        <v>190</v>
      </c>
      <c r="AE95" s="87">
        <v>0.0</v>
      </c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3"/>
      <c r="Q96" s="3"/>
      <c r="R96" s="4"/>
      <c r="S96" s="142">
        <v>46295.0</v>
      </c>
      <c r="T96" s="87" t="s">
        <v>183</v>
      </c>
      <c r="U96" s="166">
        <v>46234.0</v>
      </c>
      <c r="V96" s="166"/>
      <c r="W96" s="87" t="s">
        <v>10</v>
      </c>
      <c r="X96" s="162">
        <v>0.0</v>
      </c>
      <c r="Y96" s="4"/>
      <c r="Z96" s="142">
        <v>46295.0</v>
      </c>
      <c r="AA96" s="87" t="s">
        <v>183</v>
      </c>
      <c r="AB96" s="166">
        <v>46053.0</v>
      </c>
      <c r="AC96" s="166"/>
      <c r="AD96" s="87" t="s">
        <v>191</v>
      </c>
      <c r="AE96" s="87">
        <v>0.0</v>
      </c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3"/>
      <c r="Q97" s="3"/>
      <c r="R97" s="4"/>
      <c r="S97" s="142">
        <v>46295.0</v>
      </c>
      <c r="T97" s="87" t="s">
        <v>183</v>
      </c>
      <c r="U97" s="166">
        <v>46234.0</v>
      </c>
      <c r="V97" s="166"/>
      <c r="W97" s="87" t="s">
        <v>12</v>
      </c>
      <c r="X97" s="87">
        <v>0.0</v>
      </c>
      <c r="Y97" s="4"/>
      <c r="Z97" s="142">
        <v>46295.0</v>
      </c>
      <c r="AA97" s="87" t="s">
        <v>183</v>
      </c>
      <c r="AB97" s="166">
        <v>46053.0</v>
      </c>
      <c r="AC97" s="166"/>
      <c r="AD97" s="87" t="s">
        <v>192</v>
      </c>
      <c r="AE97" s="87">
        <v>0.0</v>
      </c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3"/>
      <c r="Q98" s="3"/>
      <c r="R98" s="4"/>
      <c r="S98" s="142">
        <v>46295.0</v>
      </c>
      <c r="T98" s="87" t="s">
        <v>183</v>
      </c>
      <c r="U98" s="166">
        <v>46234.0</v>
      </c>
      <c r="V98" s="166"/>
      <c r="W98" s="87" t="s">
        <v>14</v>
      </c>
      <c r="X98" s="87">
        <v>0.0</v>
      </c>
      <c r="Y98" s="4"/>
      <c r="Z98" s="142">
        <v>46295.0</v>
      </c>
      <c r="AA98" s="87" t="s">
        <v>183</v>
      </c>
      <c r="AB98" s="166">
        <v>46053.0</v>
      </c>
      <c r="AC98" s="166"/>
      <c r="AD98" s="87" t="s">
        <v>193</v>
      </c>
      <c r="AE98" s="162">
        <v>0.0</v>
      </c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3"/>
      <c r="Q99" s="3"/>
      <c r="R99" s="4"/>
      <c r="S99" s="142">
        <v>46295.0</v>
      </c>
      <c r="T99" s="87" t="s">
        <v>183</v>
      </c>
      <c r="U99" s="166">
        <v>46234.0</v>
      </c>
      <c r="V99" s="166"/>
      <c r="W99" s="87" t="s">
        <v>16</v>
      </c>
      <c r="X99" s="87">
        <v>0.0</v>
      </c>
      <c r="Y99" s="4"/>
      <c r="Z99" s="142">
        <v>46295.0</v>
      </c>
      <c r="AA99" s="87" t="s">
        <v>183</v>
      </c>
      <c r="AB99" s="166">
        <v>46053.0</v>
      </c>
      <c r="AC99" s="166"/>
      <c r="AD99" s="87" t="s">
        <v>194</v>
      </c>
      <c r="AE99" s="162">
        <v>710000.0</v>
      </c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3"/>
      <c r="Q100" s="3"/>
      <c r="R100" s="4"/>
      <c r="S100" s="142">
        <v>46295.0</v>
      </c>
      <c r="T100" s="87" t="s">
        <v>183</v>
      </c>
      <c r="U100" s="166">
        <v>46234.0</v>
      </c>
      <c r="V100" s="166"/>
      <c r="W100" s="87" t="s">
        <v>18</v>
      </c>
      <c r="X100" s="87">
        <v>0.0</v>
      </c>
      <c r="Y100" s="4"/>
      <c r="Z100" s="142">
        <v>46295.0</v>
      </c>
      <c r="AA100" s="87" t="s">
        <v>183</v>
      </c>
      <c r="AB100" s="166">
        <v>46053.0</v>
      </c>
      <c r="AC100" s="166"/>
      <c r="AD100" s="87" t="s">
        <v>196</v>
      </c>
      <c r="AE100" s="87">
        <v>0.0</v>
      </c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3"/>
      <c r="Q101" s="3"/>
      <c r="R101" s="4"/>
      <c r="S101" s="142">
        <v>46295.0</v>
      </c>
      <c r="T101" s="87" t="s">
        <v>183</v>
      </c>
      <c r="U101" s="166">
        <v>46234.0</v>
      </c>
      <c r="V101" s="166"/>
      <c r="W101" s="87" t="s">
        <v>20</v>
      </c>
      <c r="X101" s="87">
        <v>0.0</v>
      </c>
      <c r="Y101" s="4"/>
      <c r="Z101" s="142">
        <v>46295.0</v>
      </c>
      <c r="AA101" s="87" t="s">
        <v>183</v>
      </c>
      <c r="AB101" s="166">
        <v>46053.0</v>
      </c>
      <c r="AC101" s="166"/>
      <c r="AD101" s="87" t="s">
        <v>198</v>
      </c>
      <c r="AE101" s="87">
        <v>0.0</v>
      </c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3"/>
      <c r="Q102" s="3"/>
      <c r="R102" s="4"/>
      <c r="S102" s="142">
        <v>46295.0</v>
      </c>
      <c r="T102" s="87" t="s">
        <v>183</v>
      </c>
      <c r="U102" s="166">
        <v>46234.0</v>
      </c>
      <c r="V102" s="166"/>
      <c r="W102" s="87" t="s">
        <v>21</v>
      </c>
      <c r="X102" s="87">
        <v>0.0</v>
      </c>
      <c r="Y102" s="4"/>
      <c r="Z102" s="142">
        <v>46295.0</v>
      </c>
      <c r="AA102" s="87" t="s">
        <v>183</v>
      </c>
      <c r="AB102" s="166">
        <v>46053.0</v>
      </c>
      <c r="AC102" s="166"/>
      <c r="AD102" s="87" t="s">
        <v>200</v>
      </c>
      <c r="AE102" s="87">
        <v>0.0</v>
      </c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3"/>
      <c r="Q103" s="3"/>
      <c r="R103" s="4"/>
      <c r="S103" s="142">
        <v>46295.0</v>
      </c>
      <c r="T103" s="87" t="s">
        <v>183</v>
      </c>
      <c r="U103" s="166">
        <v>46234.0</v>
      </c>
      <c r="V103" s="166"/>
      <c r="W103" s="87" t="s">
        <v>23</v>
      </c>
      <c r="X103" s="87">
        <v>0.0</v>
      </c>
      <c r="Y103" s="4"/>
      <c r="Z103" s="142">
        <v>46295.0</v>
      </c>
      <c r="AA103" s="87" t="s">
        <v>183</v>
      </c>
      <c r="AB103" s="166">
        <v>46053.0</v>
      </c>
      <c r="AC103" s="166"/>
      <c r="AD103" s="87" t="s">
        <v>202</v>
      </c>
      <c r="AE103" s="162">
        <v>0.0</v>
      </c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3"/>
      <c r="Q104" s="3"/>
      <c r="R104" s="4"/>
      <c r="S104" s="142">
        <v>46295.0</v>
      </c>
      <c r="T104" s="87" t="s">
        <v>183</v>
      </c>
      <c r="U104" s="166">
        <v>46265.0</v>
      </c>
      <c r="V104" s="166"/>
      <c r="W104" s="87" t="s">
        <v>8</v>
      </c>
      <c r="X104" s="87">
        <v>0.0</v>
      </c>
      <c r="Y104" s="4"/>
      <c r="Z104" s="142">
        <v>46295.0</v>
      </c>
      <c r="AA104" s="87" t="s">
        <v>183</v>
      </c>
      <c r="AB104" s="166">
        <v>46053.0</v>
      </c>
      <c r="AC104" s="166"/>
      <c r="AD104" s="87" t="s">
        <v>203</v>
      </c>
      <c r="AE104" s="162">
        <v>0.0</v>
      </c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3"/>
      <c r="Q105" s="3"/>
      <c r="R105" s="4"/>
      <c r="S105" s="142">
        <v>46295.0</v>
      </c>
      <c r="T105" s="87" t="s">
        <v>183</v>
      </c>
      <c r="U105" s="166">
        <v>46265.0</v>
      </c>
      <c r="V105" s="166"/>
      <c r="W105" s="87" t="s">
        <v>10</v>
      </c>
      <c r="X105" s="162">
        <v>1.194E7</v>
      </c>
      <c r="Y105" s="4"/>
      <c r="Z105" s="142">
        <v>46295.0</v>
      </c>
      <c r="AA105" s="87" t="s">
        <v>183</v>
      </c>
      <c r="AB105" s="166">
        <v>46053.0</v>
      </c>
      <c r="AC105" s="166"/>
      <c r="AD105" s="87" t="s">
        <v>56</v>
      </c>
      <c r="AE105" s="87">
        <v>0.0</v>
      </c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3"/>
      <c r="Q106" s="3"/>
      <c r="R106" s="4"/>
      <c r="S106" s="142">
        <v>46295.0</v>
      </c>
      <c r="T106" s="87" t="s">
        <v>183</v>
      </c>
      <c r="U106" s="166">
        <v>46265.0</v>
      </c>
      <c r="V106" s="166"/>
      <c r="W106" s="87" t="s">
        <v>12</v>
      </c>
      <c r="X106" s="87">
        <v>0.0</v>
      </c>
      <c r="Y106" s="4"/>
      <c r="Z106" s="142">
        <v>46295.0</v>
      </c>
      <c r="AA106" s="87" t="s">
        <v>183</v>
      </c>
      <c r="AB106" s="166">
        <v>46053.0</v>
      </c>
      <c r="AC106" s="166"/>
      <c r="AD106" s="87" t="s">
        <v>205</v>
      </c>
      <c r="AE106" s="87">
        <v>0.0</v>
      </c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3"/>
      <c r="Q107" s="3"/>
      <c r="R107" s="4"/>
      <c r="S107" s="142">
        <v>46295.0</v>
      </c>
      <c r="T107" s="87" t="s">
        <v>183</v>
      </c>
      <c r="U107" s="166">
        <v>46265.0</v>
      </c>
      <c r="V107" s="166"/>
      <c r="W107" s="87" t="s">
        <v>14</v>
      </c>
      <c r="X107" s="162">
        <v>0.0</v>
      </c>
      <c r="Y107" s="4"/>
      <c r="Z107" s="142">
        <v>46295.0</v>
      </c>
      <c r="AA107" s="87" t="s">
        <v>183</v>
      </c>
      <c r="AB107" s="166">
        <v>46053.0</v>
      </c>
      <c r="AC107" s="166"/>
      <c r="AD107" s="87" t="s">
        <v>41</v>
      </c>
      <c r="AE107" s="87">
        <v>0.0</v>
      </c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3"/>
      <c r="Q108" s="3"/>
      <c r="R108" s="4"/>
      <c r="S108" s="142">
        <v>46295.0</v>
      </c>
      <c r="T108" s="87" t="s">
        <v>183</v>
      </c>
      <c r="U108" s="166">
        <v>46265.0</v>
      </c>
      <c r="V108" s="166"/>
      <c r="W108" s="87" t="s">
        <v>16</v>
      </c>
      <c r="X108" s="162">
        <v>400000.0</v>
      </c>
      <c r="Y108" s="4"/>
      <c r="Z108" s="142">
        <v>46295.0</v>
      </c>
      <c r="AA108" s="87" t="s">
        <v>183</v>
      </c>
      <c r="AB108" s="166">
        <v>46053.0</v>
      </c>
      <c r="AC108" s="166"/>
      <c r="AD108" s="87" t="s">
        <v>208</v>
      </c>
      <c r="AE108" s="87">
        <v>0.0</v>
      </c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3"/>
      <c r="Q109" s="3"/>
      <c r="R109" s="4"/>
      <c r="S109" s="142">
        <v>46295.0</v>
      </c>
      <c r="T109" s="87" t="s">
        <v>183</v>
      </c>
      <c r="U109" s="166">
        <v>46265.0</v>
      </c>
      <c r="V109" s="166"/>
      <c r="W109" s="87" t="s">
        <v>18</v>
      </c>
      <c r="X109" s="162">
        <v>600000.0</v>
      </c>
      <c r="Y109" s="4"/>
      <c r="Z109" s="142">
        <v>46295.0</v>
      </c>
      <c r="AA109" s="87" t="s">
        <v>183</v>
      </c>
      <c r="AB109" s="166">
        <v>46053.0</v>
      </c>
      <c r="AC109" s="166"/>
      <c r="AD109" s="87" t="s">
        <v>23</v>
      </c>
      <c r="AE109" s="162">
        <v>205000.0</v>
      </c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3"/>
      <c r="Q110" s="3"/>
      <c r="R110" s="4"/>
      <c r="S110" s="142">
        <v>46295.0</v>
      </c>
      <c r="T110" s="87" t="s">
        <v>183</v>
      </c>
      <c r="U110" s="166">
        <v>46265.0</v>
      </c>
      <c r="V110" s="166"/>
      <c r="W110" s="87" t="s">
        <v>20</v>
      </c>
      <c r="X110" s="162">
        <v>198000.0</v>
      </c>
      <c r="Y110" s="4"/>
      <c r="Z110" s="142">
        <v>46295.0</v>
      </c>
      <c r="AA110" s="87" t="s">
        <v>183</v>
      </c>
      <c r="AB110" s="166">
        <v>46081.0</v>
      </c>
      <c r="AC110" s="166"/>
      <c r="AD110" s="87" t="s">
        <v>184</v>
      </c>
      <c r="AE110" s="87">
        <v>0.0</v>
      </c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3"/>
      <c r="Q111" s="3"/>
      <c r="R111" s="4"/>
      <c r="S111" s="142">
        <v>46295.0</v>
      </c>
      <c r="T111" s="87" t="s">
        <v>183</v>
      </c>
      <c r="U111" s="166">
        <v>46265.0</v>
      </c>
      <c r="V111" s="166"/>
      <c r="W111" s="87" t="s">
        <v>21</v>
      </c>
      <c r="X111" s="162">
        <v>82500.0</v>
      </c>
      <c r="Y111" s="4"/>
      <c r="Z111" s="142">
        <v>46295.0</v>
      </c>
      <c r="AA111" s="87" t="s">
        <v>183</v>
      </c>
      <c r="AB111" s="166">
        <v>46081.0</v>
      </c>
      <c r="AC111" s="166"/>
      <c r="AD111" s="87" t="s">
        <v>185</v>
      </c>
      <c r="AE111" s="87">
        <v>0.0</v>
      </c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3"/>
      <c r="Q112" s="3"/>
      <c r="R112" s="4"/>
      <c r="S112" s="142">
        <v>46295.0</v>
      </c>
      <c r="T112" s="87" t="s">
        <v>183</v>
      </c>
      <c r="U112" s="166">
        <v>46265.0</v>
      </c>
      <c r="V112" s="166"/>
      <c r="W112" s="87" t="s">
        <v>23</v>
      </c>
      <c r="X112" s="87">
        <v>0.0</v>
      </c>
      <c r="Y112" s="4"/>
      <c r="Z112" s="142">
        <v>46295.0</v>
      </c>
      <c r="AA112" s="87" t="s">
        <v>183</v>
      </c>
      <c r="AB112" s="166">
        <v>46081.0</v>
      </c>
      <c r="AC112" s="166"/>
      <c r="AD112" s="87" t="s">
        <v>186</v>
      </c>
      <c r="AE112" s="87">
        <v>0.0</v>
      </c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3"/>
      <c r="Q113" s="3"/>
      <c r="R113" s="4"/>
      <c r="S113" s="166">
        <v>46265.0</v>
      </c>
      <c r="T113" s="87" t="s">
        <v>215</v>
      </c>
      <c r="U113" s="166">
        <v>45930.0</v>
      </c>
      <c r="V113" s="166"/>
      <c r="W113" s="87" t="s">
        <v>8</v>
      </c>
      <c r="X113" s="87">
        <v>0.0</v>
      </c>
      <c r="Y113" s="4"/>
      <c r="Z113" s="142">
        <v>46295.0</v>
      </c>
      <c r="AA113" s="87" t="s">
        <v>183</v>
      </c>
      <c r="AB113" s="166">
        <v>46081.0</v>
      </c>
      <c r="AC113" s="166"/>
      <c r="AD113" s="87" t="s">
        <v>187</v>
      </c>
      <c r="AE113" s="162">
        <v>0.0</v>
      </c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3"/>
      <c r="Q114" s="3"/>
      <c r="R114" s="4"/>
      <c r="S114" s="166">
        <v>46265.0</v>
      </c>
      <c r="T114" s="87" t="s">
        <v>215</v>
      </c>
      <c r="U114" s="166">
        <v>45930.0</v>
      </c>
      <c r="V114" s="166"/>
      <c r="W114" s="87" t="s">
        <v>10</v>
      </c>
      <c r="X114" s="162">
        <v>0.0</v>
      </c>
      <c r="Y114" s="4"/>
      <c r="Z114" s="142">
        <v>46295.0</v>
      </c>
      <c r="AA114" s="87" t="s">
        <v>183</v>
      </c>
      <c r="AB114" s="166">
        <v>46081.0</v>
      </c>
      <c r="AC114" s="166"/>
      <c r="AD114" s="87" t="s">
        <v>188</v>
      </c>
      <c r="AE114" s="162">
        <v>0.0</v>
      </c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3"/>
      <c r="Q115" s="3"/>
      <c r="R115" s="4"/>
      <c r="S115" s="166">
        <v>46265.0</v>
      </c>
      <c r="T115" s="87" t="s">
        <v>215</v>
      </c>
      <c r="U115" s="166">
        <v>45930.0</v>
      </c>
      <c r="V115" s="166"/>
      <c r="W115" s="87" t="s">
        <v>12</v>
      </c>
      <c r="X115" s="87">
        <v>0.0</v>
      </c>
      <c r="Y115" s="4"/>
      <c r="Z115" s="142">
        <v>46295.0</v>
      </c>
      <c r="AA115" s="87" t="s">
        <v>183</v>
      </c>
      <c r="AB115" s="166">
        <v>46081.0</v>
      </c>
      <c r="AC115" s="166"/>
      <c r="AD115" s="87" t="s">
        <v>189</v>
      </c>
      <c r="AE115" s="87">
        <v>0.0</v>
      </c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3"/>
      <c r="Q116" s="3"/>
      <c r="R116" s="4"/>
      <c r="S116" s="166">
        <v>46265.0</v>
      </c>
      <c r="T116" s="87" t="s">
        <v>215</v>
      </c>
      <c r="U116" s="166">
        <v>45930.0</v>
      </c>
      <c r="V116" s="166"/>
      <c r="W116" s="87" t="s">
        <v>14</v>
      </c>
      <c r="X116" s="162">
        <v>0.0</v>
      </c>
      <c r="Y116" s="4"/>
      <c r="Z116" s="142">
        <v>46295.0</v>
      </c>
      <c r="AA116" s="87" t="s">
        <v>183</v>
      </c>
      <c r="AB116" s="166">
        <v>46081.0</v>
      </c>
      <c r="AC116" s="166"/>
      <c r="AD116" s="87" t="s">
        <v>190</v>
      </c>
      <c r="AE116" s="87">
        <v>0.0</v>
      </c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4"/>
      <c r="S117" s="166">
        <v>46265.0</v>
      </c>
      <c r="T117" s="87" t="s">
        <v>215</v>
      </c>
      <c r="U117" s="166">
        <v>45930.0</v>
      </c>
      <c r="V117" s="166"/>
      <c r="W117" s="87" t="s">
        <v>16</v>
      </c>
      <c r="X117" s="87">
        <v>0.0</v>
      </c>
      <c r="Y117" s="4"/>
      <c r="Z117" s="142">
        <v>46295.0</v>
      </c>
      <c r="AA117" s="87" t="s">
        <v>183</v>
      </c>
      <c r="AB117" s="166">
        <v>46081.0</v>
      </c>
      <c r="AC117" s="166"/>
      <c r="AD117" s="87" t="s">
        <v>191</v>
      </c>
      <c r="AE117" s="87">
        <v>0.0</v>
      </c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4"/>
      <c r="S118" s="166">
        <v>46265.0</v>
      </c>
      <c r="T118" s="87" t="s">
        <v>215</v>
      </c>
      <c r="U118" s="166">
        <v>45930.0</v>
      </c>
      <c r="V118" s="166"/>
      <c r="W118" s="87" t="s">
        <v>18</v>
      </c>
      <c r="X118" s="87">
        <v>0.0</v>
      </c>
      <c r="Y118" s="4"/>
      <c r="Z118" s="142">
        <v>46295.0</v>
      </c>
      <c r="AA118" s="87" t="s">
        <v>183</v>
      </c>
      <c r="AB118" s="166">
        <v>46081.0</v>
      </c>
      <c r="AC118" s="166"/>
      <c r="AD118" s="87" t="s">
        <v>192</v>
      </c>
      <c r="AE118" s="87">
        <v>0.0</v>
      </c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3"/>
      <c r="Q119" s="3"/>
      <c r="R119" s="4"/>
      <c r="S119" s="166">
        <v>46265.0</v>
      </c>
      <c r="T119" s="87" t="s">
        <v>215</v>
      </c>
      <c r="U119" s="166">
        <v>45930.0</v>
      </c>
      <c r="V119" s="166"/>
      <c r="W119" s="87" t="s">
        <v>20</v>
      </c>
      <c r="X119" s="87">
        <v>0.0</v>
      </c>
      <c r="Y119" s="4"/>
      <c r="Z119" s="142">
        <v>46295.0</v>
      </c>
      <c r="AA119" s="87" t="s">
        <v>183</v>
      </c>
      <c r="AB119" s="166">
        <v>46081.0</v>
      </c>
      <c r="AC119" s="166"/>
      <c r="AD119" s="87" t="s">
        <v>193</v>
      </c>
      <c r="AE119" s="87">
        <v>0.0</v>
      </c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3"/>
      <c r="Q120" s="3"/>
      <c r="R120" s="4"/>
      <c r="S120" s="166">
        <v>46265.0</v>
      </c>
      <c r="T120" s="87" t="s">
        <v>215</v>
      </c>
      <c r="U120" s="166">
        <v>45930.0</v>
      </c>
      <c r="V120" s="166"/>
      <c r="W120" s="87" t="s">
        <v>21</v>
      </c>
      <c r="X120" s="162">
        <v>0.0</v>
      </c>
      <c r="Y120" s="4"/>
      <c r="Z120" s="142">
        <v>46295.0</v>
      </c>
      <c r="AA120" s="87" t="s">
        <v>183</v>
      </c>
      <c r="AB120" s="166">
        <v>46081.0</v>
      </c>
      <c r="AC120" s="166"/>
      <c r="AD120" s="87" t="s">
        <v>194</v>
      </c>
      <c r="AE120" s="162">
        <v>710000.0</v>
      </c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3"/>
      <c r="Q121" s="3"/>
      <c r="R121" s="4"/>
      <c r="S121" s="166">
        <v>46265.0</v>
      </c>
      <c r="T121" s="87" t="s">
        <v>215</v>
      </c>
      <c r="U121" s="166">
        <v>45930.0</v>
      </c>
      <c r="V121" s="166"/>
      <c r="W121" s="87" t="s">
        <v>23</v>
      </c>
      <c r="X121" s="162">
        <v>0.0</v>
      </c>
      <c r="Y121" s="4"/>
      <c r="Z121" s="142">
        <v>46295.0</v>
      </c>
      <c r="AA121" s="87" t="s">
        <v>183</v>
      </c>
      <c r="AB121" s="166">
        <v>46081.0</v>
      </c>
      <c r="AC121" s="166"/>
      <c r="AD121" s="87" t="s">
        <v>196</v>
      </c>
      <c r="AE121" s="87">
        <v>0.0</v>
      </c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3"/>
      <c r="Q122" s="3"/>
      <c r="R122" s="4"/>
      <c r="S122" s="166">
        <v>46265.0</v>
      </c>
      <c r="T122" s="87" t="s">
        <v>215</v>
      </c>
      <c r="U122" s="166">
        <v>46022.0</v>
      </c>
      <c r="V122" s="166"/>
      <c r="W122" s="87" t="s">
        <v>8</v>
      </c>
      <c r="X122" s="162">
        <v>0.0</v>
      </c>
      <c r="Y122" s="4"/>
      <c r="Z122" s="142">
        <v>46295.0</v>
      </c>
      <c r="AA122" s="87" t="s">
        <v>183</v>
      </c>
      <c r="AB122" s="166">
        <v>46081.0</v>
      </c>
      <c r="AC122" s="166"/>
      <c r="AD122" s="87" t="s">
        <v>198</v>
      </c>
      <c r="AE122" s="87">
        <v>0.0</v>
      </c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3"/>
      <c r="Q123" s="3"/>
      <c r="R123" s="4"/>
      <c r="S123" s="166">
        <v>46265.0</v>
      </c>
      <c r="T123" s="87" t="s">
        <v>215</v>
      </c>
      <c r="U123" s="166">
        <v>46022.0</v>
      </c>
      <c r="V123" s="166"/>
      <c r="W123" s="87" t="s">
        <v>10</v>
      </c>
      <c r="X123" s="162">
        <v>0.0</v>
      </c>
      <c r="Y123" s="4"/>
      <c r="Z123" s="142">
        <v>46295.0</v>
      </c>
      <c r="AA123" s="87" t="s">
        <v>183</v>
      </c>
      <c r="AB123" s="166">
        <v>46081.0</v>
      </c>
      <c r="AC123" s="166"/>
      <c r="AD123" s="87" t="s">
        <v>200</v>
      </c>
      <c r="AE123" s="87">
        <v>0.0</v>
      </c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3"/>
      <c r="Q124" s="3"/>
      <c r="R124" s="4"/>
      <c r="S124" s="166">
        <v>46265.0</v>
      </c>
      <c r="T124" s="87" t="s">
        <v>215</v>
      </c>
      <c r="U124" s="166">
        <v>46022.0</v>
      </c>
      <c r="V124" s="166"/>
      <c r="W124" s="87" t="s">
        <v>12</v>
      </c>
      <c r="X124" s="162">
        <v>0.0</v>
      </c>
      <c r="Y124" s="4"/>
      <c r="Z124" s="142">
        <v>46295.0</v>
      </c>
      <c r="AA124" s="87" t="s">
        <v>183</v>
      </c>
      <c r="AB124" s="166">
        <v>46081.0</v>
      </c>
      <c r="AC124" s="166"/>
      <c r="AD124" s="87" t="s">
        <v>202</v>
      </c>
      <c r="AE124" s="87">
        <v>0.0</v>
      </c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3"/>
      <c r="Q125" s="3"/>
      <c r="R125" s="4"/>
      <c r="S125" s="166">
        <v>46265.0</v>
      </c>
      <c r="T125" s="87" t="s">
        <v>215</v>
      </c>
      <c r="U125" s="166">
        <v>46022.0</v>
      </c>
      <c r="V125" s="166"/>
      <c r="W125" s="87" t="s">
        <v>14</v>
      </c>
      <c r="X125" s="87">
        <v>0.0</v>
      </c>
      <c r="Y125" s="4"/>
      <c r="Z125" s="142">
        <v>46295.0</v>
      </c>
      <c r="AA125" s="87" t="s">
        <v>183</v>
      </c>
      <c r="AB125" s="166">
        <v>46081.0</v>
      </c>
      <c r="AC125" s="166"/>
      <c r="AD125" s="87" t="s">
        <v>203</v>
      </c>
      <c r="AE125" s="162">
        <v>0.0</v>
      </c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3"/>
      <c r="Q126" s="3"/>
      <c r="R126" s="4"/>
      <c r="S126" s="166">
        <v>46265.0</v>
      </c>
      <c r="T126" s="87" t="s">
        <v>215</v>
      </c>
      <c r="U126" s="166">
        <v>46022.0</v>
      </c>
      <c r="V126" s="166"/>
      <c r="W126" s="87" t="s">
        <v>16</v>
      </c>
      <c r="X126" s="87">
        <v>0.0</v>
      </c>
      <c r="Y126" s="4"/>
      <c r="Z126" s="142">
        <v>46295.0</v>
      </c>
      <c r="AA126" s="87" t="s">
        <v>183</v>
      </c>
      <c r="AB126" s="166">
        <v>46081.0</v>
      </c>
      <c r="AC126" s="166"/>
      <c r="AD126" s="87" t="s">
        <v>56</v>
      </c>
      <c r="AE126" s="162">
        <v>0.0</v>
      </c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3"/>
      <c r="Q127" s="3"/>
      <c r="R127" s="4"/>
      <c r="S127" s="166">
        <v>46265.0</v>
      </c>
      <c r="T127" s="87" t="s">
        <v>215</v>
      </c>
      <c r="U127" s="166">
        <v>46022.0</v>
      </c>
      <c r="V127" s="166"/>
      <c r="W127" s="87" t="s">
        <v>18</v>
      </c>
      <c r="X127" s="162">
        <v>0.0</v>
      </c>
      <c r="Y127" s="4"/>
      <c r="Z127" s="142">
        <v>46295.0</v>
      </c>
      <c r="AA127" s="87" t="s">
        <v>183</v>
      </c>
      <c r="AB127" s="166">
        <v>46081.0</v>
      </c>
      <c r="AC127" s="166"/>
      <c r="AD127" s="87" t="s">
        <v>205</v>
      </c>
      <c r="AE127" s="87">
        <v>0.0</v>
      </c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3"/>
      <c r="Q128" s="3"/>
      <c r="R128" s="4"/>
      <c r="S128" s="166">
        <v>46265.0</v>
      </c>
      <c r="T128" s="87" t="s">
        <v>215</v>
      </c>
      <c r="U128" s="166">
        <v>46022.0</v>
      </c>
      <c r="V128" s="166"/>
      <c r="W128" s="87" t="s">
        <v>20</v>
      </c>
      <c r="X128" s="162">
        <v>0.0</v>
      </c>
      <c r="Y128" s="4"/>
      <c r="Z128" s="142">
        <v>46295.0</v>
      </c>
      <c r="AA128" s="87" t="s">
        <v>183</v>
      </c>
      <c r="AB128" s="166">
        <v>46081.0</v>
      </c>
      <c r="AC128" s="166"/>
      <c r="AD128" s="87" t="s">
        <v>41</v>
      </c>
      <c r="AE128" s="87">
        <v>0.0</v>
      </c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3"/>
      <c r="Q129" s="3"/>
      <c r="R129" s="4"/>
      <c r="S129" s="166">
        <v>46265.0</v>
      </c>
      <c r="T129" s="87" t="s">
        <v>215</v>
      </c>
      <c r="U129" s="166">
        <v>46022.0</v>
      </c>
      <c r="V129" s="166"/>
      <c r="W129" s="87" t="s">
        <v>21</v>
      </c>
      <c r="X129" s="87">
        <v>0.0</v>
      </c>
      <c r="Y129" s="4"/>
      <c r="Z129" s="142">
        <v>46295.0</v>
      </c>
      <c r="AA129" s="87" t="s">
        <v>183</v>
      </c>
      <c r="AB129" s="166">
        <v>46081.0</v>
      </c>
      <c r="AC129" s="166"/>
      <c r="AD129" s="87" t="s">
        <v>208</v>
      </c>
      <c r="AE129" s="87">
        <v>0.0</v>
      </c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3"/>
      <c r="Q130" s="3"/>
      <c r="R130" s="4"/>
      <c r="S130" s="166">
        <v>46265.0</v>
      </c>
      <c r="T130" s="87" t="s">
        <v>215</v>
      </c>
      <c r="U130" s="166">
        <v>46022.0</v>
      </c>
      <c r="V130" s="166"/>
      <c r="W130" s="87" t="s">
        <v>23</v>
      </c>
      <c r="X130" s="87">
        <v>0.0</v>
      </c>
      <c r="Y130" s="4"/>
      <c r="Z130" s="142">
        <v>46295.0</v>
      </c>
      <c r="AA130" s="87" t="s">
        <v>183</v>
      </c>
      <c r="AB130" s="166">
        <v>46081.0</v>
      </c>
      <c r="AC130" s="166"/>
      <c r="AD130" s="87" t="s">
        <v>23</v>
      </c>
      <c r="AE130" s="162">
        <v>1200000.0</v>
      </c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3"/>
      <c r="Q131" s="3"/>
      <c r="R131" s="4"/>
      <c r="S131" s="166">
        <v>46265.0</v>
      </c>
      <c r="T131" s="87" t="s">
        <v>215</v>
      </c>
      <c r="U131" s="166">
        <v>46053.0</v>
      </c>
      <c r="V131" s="166"/>
      <c r="W131" s="87" t="s">
        <v>8</v>
      </c>
      <c r="X131" s="87">
        <v>0.0</v>
      </c>
      <c r="Y131" s="4"/>
      <c r="Z131" s="142">
        <v>46295.0</v>
      </c>
      <c r="AA131" s="87" t="s">
        <v>183</v>
      </c>
      <c r="AB131" s="166">
        <v>46112.0</v>
      </c>
      <c r="AC131" s="166"/>
      <c r="AD131" s="87" t="s">
        <v>184</v>
      </c>
      <c r="AE131" s="162">
        <v>181188.0</v>
      </c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3"/>
      <c r="Q132" s="3"/>
      <c r="R132" s="4"/>
      <c r="S132" s="166">
        <v>46265.0</v>
      </c>
      <c r="T132" s="87" t="s">
        <v>215</v>
      </c>
      <c r="U132" s="166">
        <v>46053.0</v>
      </c>
      <c r="V132" s="166"/>
      <c r="W132" s="87" t="s">
        <v>10</v>
      </c>
      <c r="X132" s="87">
        <v>0.0</v>
      </c>
      <c r="Y132" s="4"/>
      <c r="Z132" s="142">
        <v>46295.0</v>
      </c>
      <c r="AA132" s="87" t="s">
        <v>183</v>
      </c>
      <c r="AB132" s="166">
        <v>46112.0</v>
      </c>
      <c r="AC132" s="166"/>
      <c r="AD132" s="87" t="s">
        <v>185</v>
      </c>
      <c r="AE132" s="87">
        <v>0.0</v>
      </c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3"/>
      <c r="Q133" s="3"/>
      <c r="R133" s="4"/>
      <c r="S133" s="166">
        <v>46265.0</v>
      </c>
      <c r="T133" s="87" t="s">
        <v>215</v>
      </c>
      <c r="U133" s="166">
        <v>46053.0</v>
      </c>
      <c r="V133" s="166"/>
      <c r="W133" s="87" t="s">
        <v>12</v>
      </c>
      <c r="X133" s="87">
        <v>0.0</v>
      </c>
      <c r="Y133" s="4"/>
      <c r="Z133" s="142">
        <v>46295.0</v>
      </c>
      <c r="AA133" s="87" t="s">
        <v>183</v>
      </c>
      <c r="AB133" s="166">
        <v>46112.0</v>
      </c>
      <c r="AC133" s="166"/>
      <c r="AD133" s="87" t="s">
        <v>186</v>
      </c>
      <c r="AE133" s="162">
        <v>39204.0</v>
      </c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3"/>
      <c r="Q134" s="3"/>
      <c r="R134" s="4"/>
      <c r="S134" s="166">
        <v>46265.0</v>
      </c>
      <c r="T134" s="87" t="s">
        <v>215</v>
      </c>
      <c r="U134" s="166">
        <v>46053.0</v>
      </c>
      <c r="V134" s="166"/>
      <c r="W134" s="87" t="s">
        <v>14</v>
      </c>
      <c r="X134" s="87">
        <v>0.0</v>
      </c>
      <c r="Y134" s="4"/>
      <c r="Z134" s="142">
        <v>46295.0</v>
      </c>
      <c r="AA134" s="87" t="s">
        <v>183</v>
      </c>
      <c r="AB134" s="166">
        <v>46112.0</v>
      </c>
      <c r="AC134" s="166"/>
      <c r="AD134" s="87" t="s">
        <v>187</v>
      </c>
      <c r="AE134" s="87">
        <v>0.0</v>
      </c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3"/>
      <c r="Q135" s="3"/>
      <c r="R135" s="4"/>
      <c r="S135" s="166">
        <v>46265.0</v>
      </c>
      <c r="T135" s="87" t="s">
        <v>215</v>
      </c>
      <c r="U135" s="166">
        <v>46053.0</v>
      </c>
      <c r="V135" s="166"/>
      <c r="W135" s="87" t="s">
        <v>16</v>
      </c>
      <c r="X135" s="87">
        <v>0.0</v>
      </c>
      <c r="Y135" s="4"/>
      <c r="Z135" s="142">
        <v>46295.0</v>
      </c>
      <c r="AA135" s="87" t="s">
        <v>183</v>
      </c>
      <c r="AB135" s="166">
        <v>46112.0</v>
      </c>
      <c r="AC135" s="166"/>
      <c r="AD135" s="87" t="s">
        <v>188</v>
      </c>
      <c r="AE135" s="162">
        <v>0.0</v>
      </c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3"/>
      <c r="Q136" s="3"/>
      <c r="R136" s="4"/>
      <c r="S136" s="166">
        <v>46265.0</v>
      </c>
      <c r="T136" s="87" t="s">
        <v>215</v>
      </c>
      <c r="U136" s="161">
        <v>46053.0</v>
      </c>
      <c r="V136" s="161"/>
      <c r="W136" s="87" t="s">
        <v>18</v>
      </c>
      <c r="X136" s="162">
        <v>0.0</v>
      </c>
      <c r="Y136" s="4"/>
      <c r="Z136" s="142">
        <v>46295.0</v>
      </c>
      <c r="AA136" s="87" t="s">
        <v>183</v>
      </c>
      <c r="AB136" s="166">
        <v>46112.0</v>
      </c>
      <c r="AC136" s="166"/>
      <c r="AD136" s="87" t="s">
        <v>189</v>
      </c>
      <c r="AE136" s="162">
        <v>1050000.0</v>
      </c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3"/>
      <c r="Q137" s="3"/>
      <c r="R137" s="4"/>
      <c r="S137" s="166">
        <v>46265.0</v>
      </c>
      <c r="T137" s="87" t="s">
        <v>215</v>
      </c>
      <c r="U137" s="161">
        <v>46053.0</v>
      </c>
      <c r="V137" s="161"/>
      <c r="W137" s="87" t="s">
        <v>20</v>
      </c>
      <c r="X137" s="162">
        <v>0.0</v>
      </c>
      <c r="Y137" s="4"/>
      <c r="Z137" s="142">
        <v>46295.0</v>
      </c>
      <c r="AA137" s="87" t="s">
        <v>183</v>
      </c>
      <c r="AB137" s="166">
        <v>46112.0</v>
      </c>
      <c r="AC137" s="166"/>
      <c r="AD137" s="87" t="s">
        <v>190</v>
      </c>
      <c r="AE137" s="162">
        <v>0.0</v>
      </c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3"/>
      <c r="Q138" s="3"/>
      <c r="R138" s="4"/>
      <c r="S138" s="166">
        <v>46265.0</v>
      </c>
      <c r="T138" s="87" t="s">
        <v>215</v>
      </c>
      <c r="U138" s="161">
        <v>46053.0</v>
      </c>
      <c r="V138" s="161"/>
      <c r="W138" s="87" t="s">
        <v>21</v>
      </c>
      <c r="X138" s="87">
        <v>0.0</v>
      </c>
      <c r="Y138" s="4"/>
      <c r="Z138" s="142">
        <v>46295.0</v>
      </c>
      <c r="AA138" s="87" t="s">
        <v>183</v>
      </c>
      <c r="AB138" s="166">
        <v>46112.0</v>
      </c>
      <c r="AC138" s="166"/>
      <c r="AD138" s="87" t="s">
        <v>191</v>
      </c>
      <c r="AE138" s="162">
        <v>0.0</v>
      </c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3"/>
      <c r="Q139" s="3"/>
      <c r="R139" s="4"/>
      <c r="S139" s="166">
        <v>46265.0</v>
      </c>
      <c r="T139" s="87" t="s">
        <v>215</v>
      </c>
      <c r="U139" s="161">
        <v>46053.0</v>
      </c>
      <c r="V139" s="161"/>
      <c r="W139" s="87" t="s">
        <v>23</v>
      </c>
      <c r="X139" s="87">
        <v>0.0</v>
      </c>
      <c r="Y139" s="4"/>
      <c r="Z139" s="142">
        <v>46295.0</v>
      </c>
      <c r="AA139" s="87" t="s">
        <v>183</v>
      </c>
      <c r="AB139" s="166">
        <v>46112.0</v>
      </c>
      <c r="AC139" s="166"/>
      <c r="AD139" s="87" t="s">
        <v>192</v>
      </c>
      <c r="AE139" s="162">
        <v>0.0</v>
      </c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3"/>
      <c r="Q140" s="3"/>
      <c r="R140" s="4"/>
      <c r="S140" s="166">
        <v>46265.0</v>
      </c>
      <c r="T140" s="87" t="s">
        <v>215</v>
      </c>
      <c r="U140" s="161">
        <v>46081.0</v>
      </c>
      <c r="V140" s="161"/>
      <c r="W140" s="87" t="s">
        <v>8</v>
      </c>
      <c r="X140" s="87">
        <v>0.0</v>
      </c>
      <c r="Y140" s="4"/>
      <c r="Z140" s="142">
        <v>46295.0</v>
      </c>
      <c r="AA140" s="87" t="s">
        <v>183</v>
      </c>
      <c r="AB140" s="166">
        <v>46112.0</v>
      </c>
      <c r="AC140" s="166"/>
      <c r="AD140" s="87" t="s">
        <v>193</v>
      </c>
      <c r="AE140" s="162">
        <v>0.0</v>
      </c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3"/>
      <c r="Q141" s="3"/>
      <c r="R141" s="4"/>
      <c r="S141" s="166">
        <v>46265.0</v>
      </c>
      <c r="T141" s="87" t="s">
        <v>215</v>
      </c>
      <c r="U141" s="161">
        <v>46081.0</v>
      </c>
      <c r="V141" s="161"/>
      <c r="W141" s="87" t="s">
        <v>10</v>
      </c>
      <c r="X141" s="87">
        <v>0.0</v>
      </c>
      <c r="Y141" s="4"/>
      <c r="Z141" s="142">
        <v>46295.0</v>
      </c>
      <c r="AA141" s="87" t="s">
        <v>183</v>
      </c>
      <c r="AB141" s="166">
        <v>46112.0</v>
      </c>
      <c r="AC141" s="166"/>
      <c r="AD141" s="87" t="s">
        <v>194</v>
      </c>
      <c r="AE141" s="162">
        <v>710000.0</v>
      </c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3"/>
      <c r="Q142" s="3"/>
      <c r="R142" s="4"/>
      <c r="S142" s="166">
        <v>46265.0</v>
      </c>
      <c r="T142" s="87" t="s">
        <v>215</v>
      </c>
      <c r="U142" s="161">
        <v>46081.0</v>
      </c>
      <c r="V142" s="161"/>
      <c r="W142" s="87" t="s">
        <v>12</v>
      </c>
      <c r="X142" s="87">
        <v>0.0</v>
      </c>
      <c r="Y142" s="4"/>
      <c r="Z142" s="142">
        <v>46295.0</v>
      </c>
      <c r="AA142" s="87" t="s">
        <v>183</v>
      </c>
      <c r="AB142" s="166">
        <v>46112.0</v>
      </c>
      <c r="AC142" s="166"/>
      <c r="AD142" s="87" t="s">
        <v>196</v>
      </c>
      <c r="AE142" s="162">
        <v>0.0</v>
      </c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3"/>
      <c r="Q143" s="3"/>
      <c r="R143" s="4"/>
      <c r="S143" s="166">
        <v>46265.0</v>
      </c>
      <c r="T143" s="87" t="s">
        <v>215</v>
      </c>
      <c r="U143" s="161">
        <v>46081.0</v>
      </c>
      <c r="V143" s="161"/>
      <c r="W143" s="87" t="s">
        <v>14</v>
      </c>
      <c r="X143" s="87">
        <v>0.0</v>
      </c>
      <c r="Y143" s="4"/>
      <c r="Z143" s="142">
        <v>46295.0</v>
      </c>
      <c r="AA143" s="87" t="s">
        <v>183</v>
      </c>
      <c r="AB143" s="166">
        <v>46112.0</v>
      </c>
      <c r="AC143" s="166"/>
      <c r="AD143" s="87" t="s">
        <v>198</v>
      </c>
      <c r="AE143" s="162">
        <v>0.0</v>
      </c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3"/>
      <c r="Q144" s="3"/>
      <c r="R144" s="4"/>
      <c r="S144" s="166">
        <v>46265.0</v>
      </c>
      <c r="T144" s="87" t="s">
        <v>215</v>
      </c>
      <c r="U144" s="161">
        <v>46081.0</v>
      </c>
      <c r="V144" s="161"/>
      <c r="W144" s="87" t="s">
        <v>16</v>
      </c>
      <c r="X144" s="87">
        <v>0.0</v>
      </c>
      <c r="Y144" s="4"/>
      <c r="Z144" s="142">
        <v>46295.0</v>
      </c>
      <c r="AA144" s="87" t="s">
        <v>183</v>
      </c>
      <c r="AB144" s="166">
        <v>46112.0</v>
      </c>
      <c r="AC144" s="166"/>
      <c r="AD144" s="87" t="s">
        <v>200</v>
      </c>
      <c r="AE144" s="87">
        <v>0.0</v>
      </c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3"/>
      <c r="Q145" s="3"/>
      <c r="R145" s="4"/>
      <c r="S145" s="166">
        <v>46265.0</v>
      </c>
      <c r="T145" s="87" t="s">
        <v>215</v>
      </c>
      <c r="U145" s="161">
        <v>46081.0</v>
      </c>
      <c r="V145" s="161"/>
      <c r="W145" s="87" t="s">
        <v>18</v>
      </c>
      <c r="X145" s="87">
        <v>0.0</v>
      </c>
      <c r="Y145" s="4"/>
      <c r="Z145" s="142">
        <v>46295.0</v>
      </c>
      <c r="AA145" s="87" t="s">
        <v>183</v>
      </c>
      <c r="AB145" s="166">
        <v>46112.0</v>
      </c>
      <c r="AC145" s="166"/>
      <c r="AD145" s="87" t="s">
        <v>202</v>
      </c>
      <c r="AE145" s="162">
        <v>310000.0</v>
      </c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3"/>
      <c r="Q146" s="3"/>
      <c r="R146" s="4"/>
      <c r="S146" s="166">
        <v>46265.0</v>
      </c>
      <c r="T146" s="87" t="s">
        <v>215</v>
      </c>
      <c r="U146" s="166">
        <v>46081.0</v>
      </c>
      <c r="V146" s="166"/>
      <c r="W146" s="87" t="s">
        <v>20</v>
      </c>
      <c r="X146" s="162">
        <v>0.0</v>
      </c>
      <c r="Y146" s="4"/>
      <c r="Z146" s="142">
        <v>46295.0</v>
      </c>
      <c r="AA146" s="87" t="s">
        <v>183</v>
      </c>
      <c r="AB146" s="166">
        <v>46112.0</v>
      </c>
      <c r="AC146" s="166"/>
      <c r="AD146" s="87" t="s">
        <v>203</v>
      </c>
      <c r="AE146" s="87">
        <v>0.0</v>
      </c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3"/>
      <c r="Q147" s="3"/>
      <c r="R147" s="4"/>
      <c r="S147" s="166">
        <v>46265.0</v>
      </c>
      <c r="T147" s="87" t="s">
        <v>215</v>
      </c>
      <c r="U147" s="166">
        <v>46081.0</v>
      </c>
      <c r="V147" s="166"/>
      <c r="W147" s="87" t="s">
        <v>21</v>
      </c>
      <c r="X147" s="162">
        <v>0.0</v>
      </c>
      <c r="Y147" s="4"/>
      <c r="Z147" s="142">
        <v>46295.0</v>
      </c>
      <c r="AA147" s="87" t="s">
        <v>183</v>
      </c>
      <c r="AB147" s="166">
        <v>46112.0</v>
      </c>
      <c r="AC147" s="166"/>
      <c r="AD147" s="87" t="s">
        <v>56</v>
      </c>
      <c r="AE147" s="162">
        <v>0.0</v>
      </c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3"/>
      <c r="Q148" s="3"/>
      <c r="R148" s="4"/>
      <c r="S148" s="166">
        <v>46265.0</v>
      </c>
      <c r="T148" s="87" t="s">
        <v>215</v>
      </c>
      <c r="U148" s="166">
        <v>46081.0</v>
      </c>
      <c r="V148" s="166"/>
      <c r="W148" s="87" t="s">
        <v>23</v>
      </c>
      <c r="X148" s="87">
        <v>0.0</v>
      </c>
      <c r="Y148" s="4"/>
      <c r="Z148" s="142">
        <v>46295.0</v>
      </c>
      <c r="AA148" s="87" t="s">
        <v>183</v>
      </c>
      <c r="AB148" s="166">
        <v>46112.0</v>
      </c>
      <c r="AC148" s="166"/>
      <c r="AD148" s="87" t="s">
        <v>205</v>
      </c>
      <c r="AE148" s="162">
        <v>0.0</v>
      </c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3"/>
      <c r="Q149" s="3"/>
      <c r="R149" s="4"/>
      <c r="S149" s="166">
        <v>46265.0</v>
      </c>
      <c r="T149" s="87" t="s">
        <v>215</v>
      </c>
      <c r="U149" s="166">
        <v>46112.0</v>
      </c>
      <c r="V149" s="166"/>
      <c r="W149" s="87" t="s">
        <v>8</v>
      </c>
      <c r="X149" s="87">
        <v>0.0</v>
      </c>
      <c r="Y149" s="4"/>
      <c r="Z149" s="142">
        <v>46295.0</v>
      </c>
      <c r="AA149" s="87" t="s">
        <v>183</v>
      </c>
      <c r="AB149" s="166">
        <v>46112.0</v>
      </c>
      <c r="AC149" s="166"/>
      <c r="AD149" s="87" t="s">
        <v>41</v>
      </c>
      <c r="AE149" s="87">
        <v>0.0</v>
      </c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Q150" s="3"/>
      <c r="R150" s="4"/>
      <c r="S150" s="166">
        <v>46265.0</v>
      </c>
      <c r="T150" s="87" t="s">
        <v>215</v>
      </c>
      <c r="U150" s="166">
        <v>46112.0</v>
      </c>
      <c r="V150" s="166"/>
      <c r="W150" s="87" t="s">
        <v>10</v>
      </c>
      <c r="X150" s="87">
        <v>0.0</v>
      </c>
      <c r="Y150" s="4"/>
      <c r="Z150" s="142">
        <v>46295.0</v>
      </c>
      <c r="AA150" s="87" t="s">
        <v>183</v>
      </c>
      <c r="AB150" s="166">
        <v>46112.0</v>
      </c>
      <c r="AC150" s="166"/>
      <c r="AD150" s="87" t="s">
        <v>208</v>
      </c>
      <c r="AE150" s="87">
        <v>0.0</v>
      </c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3"/>
      <c r="Q151" s="3"/>
      <c r="R151" s="4"/>
      <c r="S151" s="166">
        <v>46265.0</v>
      </c>
      <c r="T151" s="87" t="s">
        <v>215</v>
      </c>
      <c r="U151" s="166">
        <v>46112.0</v>
      </c>
      <c r="V151" s="166"/>
      <c r="W151" s="87" t="s">
        <v>12</v>
      </c>
      <c r="X151" s="162">
        <v>5033000.0</v>
      </c>
      <c r="Y151" s="4"/>
      <c r="Z151" s="142">
        <v>46295.0</v>
      </c>
      <c r="AA151" s="87" t="s">
        <v>183</v>
      </c>
      <c r="AB151" s="166">
        <v>46112.0</v>
      </c>
      <c r="AC151" s="166"/>
      <c r="AD151" s="87" t="s">
        <v>23</v>
      </c>
      <c r="AE151" s="162">
        <v>0.0</v>
      </c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3"/>
      <c r="Q152" s="3"/>
      <c r="R152" s="4"/>
      <c r="S152" s="166">
        <v>46265.0</v>
      </c>
      <c r="T152" s="87" t="s">
        <v>215</v>
      </c>
      <c r="U152" s="166">
        <v>46112.0</v>
      </c>
      <c r="V152" s="166"/>
      <c r="W152" s="87" t="s">
        <v>14</v>
      </c>
      <c r="X152" s="162">
        <v>1089000.0</v>
      </c>
      <c r="Y152" s="4"/>
      <c r="Z152" s="142">
        <v>46295.0</v>
      </c>
      <c r="AA152" s="87" t="s">
        <v>183</v>
      </c>
      <c r="AB152" s="166">
        <v>46142.0</v>
      </c>
      <c r="AC152" s="166"/>
      <c r="AD152" s="87" t="s">
        <v>184</v>
      </c>
      <c r="AE152" s="162">
        <v>0.0</v>
      </c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3"/>
      <c r="Q153" s="3"/>
      <c r="R153" s="4"/>
      <c r="S153" s="166">
        <v>46265.0</v>
      </c>
      <c r="T153" s="87" t="s">
        <v>215</v>
      </c>
      <c r="U153" s="166">
        <v>46112.0</v>
      </c>
      <c r="V153" s="166"/>
      <c r="W153" s="87" t="s">
        <v>16</v>
      </c>
      <c r="X153" s="87">
        <v>0.0</v>
      </c>
      <c r="Y153" s="4"/>
      <c r="Z153" s="142">
        <v>46295.0</v>
      </c>
      <c r="AA153" s="87" t="s">
        <v>183</v>
      </c>
      <c r="AB153" s="166">
        <v>46142.0</v>
      </c>
      <c r="AC153" s="166"/>
      <c r="AD153" s="87" t="s">
        <v>185</v>
      </c>
      <c r="AE153" s="87">
        <v>0.0</v>
      </c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3"/>
      <c r="Q154" s="3"/>
      <c r="R154" s="4"/>
      <c r="S154" s="166">
        <v>46265.0</v>
      </c>
      <c r="T154" s="87" t="s">
        <v>215</v>
      </c>
      <c r="U154" s="166">
        <v>46112.0</v>
      </c>
      <c r="V154" s="166"/>
      <c r="W154" s="87" t="s">
        <v>18</v>
      </c>
      <c r="X154" s="87">
        <v>0.0</v>
      </c>
      <c r="Y154" s="4"/>
      <c r="Z154" s="142">
        <v>46295.0</v>
      </c>
      <c r="AA154" s="87" t="s">
        <v>183</v>
      </c>
      <c r="AB154" s="166">
        <v>46142.0</v>
      </c>
      <c r="AC154" s="166"/>
      <c r="AD154" s="87" t="s">
        <v>186</v>
      </c>
      <c r="AE154" s="87">
        <v>0.0</v>
      </c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3"/>
      <c r="Q155" s="3"/>
      <c r="R155" s="4"/>
      <c r="S155" s="166">
        <v>46265.0</v>
      </c>
      <c r="T155" s="87" t="s">
        <v>215</v>
      </c>
      <c r="U155" s="166">
        <v>46112.0</v>
      </c>
      <c r="V155" s="166"/>
      <c r="W155" s="87" t="s">
        <v>20</v>
      </c>
      <c r="X155" s="87">
        <v>0.0</v>
      </c>
      <c r="Y155" s="4"/>
      <c r="Z155" s="142">
        <v>46295.0</v>
      </c>
      <c r="AA155" s="87" t="s">
        <v>183</v>
      </c>
      <c r="AB155" s="166">
        <v>46142.0</v>
      </c>
      <c r="AC155" s="166"/>
      <c r="AD155" s="87" t="s">
        <v>187</v>
      </c>
      <c r="AE155" s="87">
        <v>0.0</v>
      </c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3"/>
      <c r="Q156" s="3"/>
      <c r="R156" s="4"/>
      <c r="S156" s="166">
        <v>46265.0</v>
      </c>
      <c r="T156" s="87" t="s">
        <v>215</v>
      </c>
      <c r="U156" s="166">
        <v>46112.0</v>
      </c>
      <c r="V156" s="166"/>
      <c r="W156" s="87" t="s">
        <v>21</v>
      </c>
      <c r="X156" s="162">
        <v>0.0</v>
      </c>
      <c r="Y156" s="4"/>
      <c r="Z156" s="142">
        <v>46295.0</v>
      </c>
      <c r="AA156" s="87" t="s">
        <v>183</v>
      </c>
      <c r="AB156" s="166">
        <v>46142.0</v>
      </c>
      <c r="AC156" s="166"/>
      <c r="AD156" s="87" t="s">
        <v>188</v>
      </c>
      <c r="AE156" s="87">
        <v>0.0</v>
      </c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3"/>
      <c r="Q157" s="3"/>
      <c r="R157" s="4"/>
      <c r="S157" s="166">
        <v>46265.0</v>
      </c>
      <c r="T157" s="87" t="s">
        <v>215</v>
      </c>
      <c r="U157" s="166">
        <v>46112.0</v>
      </c>
      <c r="V157" s="166"/>
      <c r="W157" s="87" t="s">
        <v>23</v>
      </c>
      <c r="X157" s="162">
        <v>0.0</v>
      </c>
      <c r="Y157" s="4"/>
      <c r="Z157" s="142">
        <v>46295.0</v>
      </c>
      <c r="AA157" s="87" t="s">
        <v>183</v>
      </c>
      <c r="AB157" s="166">
        <v>46142.0</v>
      </c>
      <c r="AC157" s="166"/>
      <c r="AD157" s="87" t="s">
        <v>189</v>
      </c>
      <c r="AE157" s="87">
        <v>0.0</v>
      </c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3"/>
      <c r="Q158" s="3"/>
      <c r="R158" s="4"/>
      <c r="S158" s="166">
        <v>46265.0</v>
      </c>
      <c r="T158" s="87" t="s">
        <v>215</v>
      </c>
      <c r="U158" s="166">
        <v>46142.0</v>
      </c>
      <c r="V158" s="166"/>
      <c r="W158" s="87" t="s">
        <v>8</v>
      </c>
      <c r="X158" s="162">
        <v>650000.0</v>
      </c>
      <c r="Y158" s="4"/>
      <c r="Z158" s="142">
        <v>46295.0</v>
      </c>
      <c r="AA158" s="87" t="s">
        <v>183</v>
      </c>
      <c r="AB158" s="166">
        <v>46142.0</v>
      </c>
      <c r="AC158" s="166"/>
      <c r="AD158" s="87" t="s">
        <v>190</v>
      </c>
      <c r="AE158" s="87">
        <v>0.0</v>
      </c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3"/>
      <c r="Q159" s="3"/>
      <c r="R159" s="4"/>
      <c r="S159" s="166">
        <v>46265.0</v>
      </c>
      <c r="T159" s="87" t="s">
        <v>215</v>
      </c>
      <c r="U159" s="166">
        <v>46142.0</v>
      </c>
      <c r="V159" s="166"/>
      <c r="W159" s="87" t="s">
        <v>10</v>
      </c>
      <c r="X159" s="87">
        <v>0.0</v>
      </c>
      <c r="Y159" s="4"/>
      <c r="Z159" s="142">
        <v>46295.0</v>
      </c>
      <c r="AA159" s="87" t="s">
        <v>183</v>
      </c>
      <c r="AB159" s="166">
        <v>46142.0</v>
      </c>
      <c r="AC159" s="166"/>
      <c r="AD159" s="87" t="s">
        <v>191</v>
      </c>
      <c r="AE159" s="87">
        <v>0.0</v>
      </c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3"/>
      <c r="Q160" s="3"/>
      <c r="R160" s="4"/>
      <c r="S160" s="166">
        <v>46265.0</v>
      </c>
      <c r="T160" s="87" t="s">
        <v>215</v>
      </c>
      <c r="U160" s="166">
        <v>46142.0</v>
      </c>
      <c r="V160" s="166"/>
      <c r="W160" s="87" t="s">
        <v>12</v>
      </c>
      <c r="X160" s="87">
        <v>0.0</v>
      </c>
      <c r="Y160" s="4"/>
      <c r="Z160" s="142">
        <v>46295.0</v>
      </c>
      <c r="AA160" s="87" t="s">
        <v>183</v>
      </c>
      <c r="AB160" s="166">
        <v>46142.0</v>
      </c>
      <c r="AC160" s="166"/>
      <c r="AD160" s="87" t="s">
        <v>192</v>
      </c>
      <c r="AE160" s="87">
        <v>0.0</v>
      </c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3"/>
      <c r="Q161" s="3"/>
      <c r="R161" s="4"/>
      <c r="S161" s="166">
        <v>46265.0</v>
      </c>
      <c r="T161" s="87" t="s">
        <v>215</v>
      </c>
      <c r="U161" s="166">
        <v>46142.0</v>
      </c>
      <c r="V161" s="166"/>
      <c r="W161" s="87" t="s">
        <v>14</v>
      </c>
      <c r="X161" s="87">
        <v>0.0</v>
      </c>
      <c r="Y161" s="4"/>
      <c r="Z161" s="142">
        <v>46295.0</v>
      </c>
      <c r="AA161" s="87" t="s">
        <v>183</v>
      </c>
      <c r="AB161" s="166">
        <v>46142.0</v>
      </c>
      <c r="AC161" s="166"/>
      <c r="AD161" s="87" t="s">
        <v>193</v>
      </c>
      <c r="AE161" s="87">
        <v>0.0</v>
      </c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3"/>
      <c r="Q162" s="3"/>
      <c r="R162" s="4"/>
      <c r="S162" s="166">
        <v>46265.0</v>
      </c>
      <c r="T162" s="87" t="s">
        <v>215</v>
      </c>
      <c r="U162" s="166">
        <v>46142.0</v>
      </c>
      <c r="V162" s="166"/>
      <c r="W162" s="87" t="s">
        <v>16</v>
      </c>
      <c r="X162" s="87">
        <v>0.0</v>
      </c>
      <c r="Y162" s="4"/>
      <c r="Z162" s="142">
        <v>46295.0</v>
      </c>
      <c r="AA162" s="87" t="s">
        <v>183</v>
      </c>
      <c r="AB162" s="166">
        <v>46142.0</v>
      </c>
      <c r="AC162" s="166"/>
      <c r="AD162" s="87" t="s">
        <v>194</v>
      </c>
      <c r="AE162" s="162">
        <v>710000.0</v>
      </c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3"/>
      <c r="Q163" s="3"/>
      <c r="R163" s="4"/>
      <c r="S163" s="166">
        <v>46265.0</v>
      </c>
      <c r="T163" s="87" t="s">
        <v>215</v>
      </c>
      <c r="U163" s="166">
        <v>46142.0</v>
      </c>
      <c r="V163" s="166"/>
      <c r="W163" s="87" t="s">
        <v>18</v>
      </c>
      <c r="X163" s="87">
        <v>0.0</v>
      </c>
      <c r="Y163" s="4"/>
      <c r="Z163" s="142">
        <v>46295.0</v>
      </c>
      <c r="AA163" s="87" t="s">
        <v>183</v>
      </c>
      <c r="AB163" s="166">
        <v>46142.0</v>
      </c>
      <c r="AC163" s="166"/>
      <c r="AD163" s="87" t="s">
        <v>196</v>
      </c>
      <c r="AE163" s="87">
        <v>0.0</v>
      </c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3"/>
      <c r="Q164" s="3"/>
      <c r="R164" s="4"/>
      <c r="S164" s="166">
        <v>46265.0</v>
      </c>
      <c r="T164" s="87" t="s">
        <v>215</v>
      </c>
      <c r="U164" s="166">
        <v>46142.0</v>
      </c>
      <c r="V164" s="166"/>
      <c r="W164" s="87" t="s">
        <v>20</v>
      </c>
      <c r="X164" s="87">
        <v>0.0</v>
      </c>
      <c r="Y164" s="4"/>
      <c r="Z164" s="142">
        <v>46295.0</v>
      </c>
      <c r="AA164" s="87" t="s">
        <v>183</v>
      </c>
      <c r="AB164" s="166">
        <v>46142.0</v>
      </c>
      <c r="AC164" s="166"/>
      <c r="AD164" s="87" t="s">
        <v>198</v>
      </c>
      <c r="AE164" s="87">
        <v>0.0</v>
      </c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3"/>
      <c r="Q165" s="3"/>
      <c r="R165" s="4"/>
      <c r="S165" s="166">
        <v>46265.0</v>
      </c>
      <c r="T165" s="87" t="s">
        <v>215</v>
      </c>
      <c r="U165" s="166">
        <v>46142.0</v>
      </c>
      <c r="V165" s="166"/>
      <c r="W165" s="87" t="s">
        <v>21</v>
      </c>
      <c r="X165" s="87">
        <v>0.0</v>
      </c>
      <c r="Y165" s="4"/>
      <c r="Z165" s="142">
        <v>46295.0</v>
      </c>
      <c r="AA165" s="87" t="s">
        <v>183</v>
      </c>
      <c r="AB165" s="166">
        <v>46142.0</v>
      </c>
      <c r="AC165" s="166"/>
      <c r="AD165" s="87" t="s">
        <v>200</v>
      </c>
      <c r="AE165" s="87">
        <v>0.0</v>
      </c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"/>
      <c r="Q166" s="3"/>
      <c r="R166" s="4"/>
      <c r="S166" s="166">
        <v>46265.0</v>
      </c>
      <c r="T166" s="87" t="s">
        <v>215</v>
      </c>
      <c r="U166" s="166">
        <v>46142.0</v>
      </c>
      <c r="V166" s="166"/>
      <c r="W166" s="87" t="s">
        <v>23</v>
      </c>
      <c r="X166" s="162">
        <v>0.0</v>
      </c>
      <c r="Y166" s="4"/>
      <c r="Z166" s="142">
        <v>46295.0</v>
      </c>
      <c r="AA166" s="87" t="s">
        <v>183</v>
      </c>
      <c r="AB166" s="166">
        <v>46142.0</v>
      </c>
      <c r="AC166" s="166"/>
      <c r="AD166" s="87" t="s">
        <v>202</v>
      </c>
      <c r="AE166" s="162">
        <v>250000.0</v>
      </c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3"/>
      <c r="Q167" s="3"/>
      <c r="R167" s="4"/>
      <c r="S167" s="166">
        <v>46265.0</v>
      </c>
      <c r="T167" s="87" t="s">
        <v>215</v>
      </c>
      <c r="U167" s="166">
        <v>46173.0</v>
      </c>
      <c r="V167" s="166"/>
      <c r="W167" s="87" t="s">
        <v>8</v>
      </c>
      <c r="X167" s="162">
        <v>650000.0</v>
      </c>
      <c r="Y167" s="4"/>
      <c r="Z167" s="142">
        <v>46295.0</v>
      </c>
      <c r="AA167" s="87" t="s">
        <v>183</v>
      </c>
      <c r="AB167" s="166">
        <v>46142.0</v>
      </c>
      <c r="AC167" s="166"/>
      <c r="AD167" s="87" t="s">
        <v>203</v>
      </c>
      <c r="AE167" s="87">
        <v>0.0</v>
      </c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3"/>
      <c r="Q168" s="3"/>
      <c r="R168" s="4"/>
      <c r="S168" s="166">
        <v>46265.0</v>
      </c>
      <c r="T168" s="87" t="s">
        <v>215</v>
      </c>
      <c r="U168" s="166">
        <v>46173.0</v>
      </c>
      <c r="V168" s="166"/>
      <c r="W168" s="87" t="s">
        <v>10</v>
      </c>
      <c r="X168" s="162">
        <v>0.0</v>
      </c>
      <c r="Y168" s="4"/>
      <c r="Z168" s="142">
        <v>46295.0</v>
      </c>
      <c r="AA168" s="87" t="s">
        <v>183</v>
      </c>
      <c r="AB168" s="166">
        <v>46142.0</v>
      </c>
      <c r="AC168" s="166"/>
      <c r="AD168" s="87" t="s">
        <v>56</v>
      </c>
      <c r="AE168" s="87">
        <v>0.0</v>
      </c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3"/>
      <c r="Q169" s="3"/>
      <c r="R169" s="4"/>
      <c r="S169" s="166">
        <v>46265.0</v>
      </c>
      <c r="T169" s="87" t="s">
        <v>215</v>
      </c>
      <c r="U169" s="166">
        <v>46173.0</v>
      </c>
      <c r="V169" s="166"/>
      <c r="W169" s="87" t="s">
        <v>12</v>
      </c>
      <c r="X169" s="162">
        <v>0.0</v>
      </c>
      <c r="Y169" s="4"/>
      <c r="Z169" s="142">
        <v>46295.0</v>
      </c>
      <c r="AA169" s="87" t="s">
        <v>183</v>
      </c>
      <c r="AB169" s="166">
        <v>46142.0</v>
      </c>
      <c r="AC169" s="166"/>
      <c r="AD169" s="87" t="s">
        <v>205</v>
      </c>
      <c r="AE169" s="162">
        <v>0.0</v>
      </c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3"/>
      <c r="Q170" s="3"/>
      <c r="R170" s="4"/>
      <c r="S170" s="166">
        <v>46265.0</v>
      </c>
      <c r="T170" s="87" t="s">
        <v>215</v>
      </c>
      <c r="U170" s="166">
        <v>46173.0</v>
      </c>
      <c r="V170" s="166"/>
      <c r="W170" s="87" t="s">
        <v>14</v>
      </c>
      <c r="X170" s="162">
        <v>0.0</v>
      </c>
      <c r="Y170" s="4"/>
      <c r="Z170" s="142">
        <v>46295.0</v>
      </c>
      <c r="AA170" s="87" t="s">
        <v>183</v>
      </c>
      <c r="AB170" s="166">
        <v>46142.0</v>
      </c>
      <c r="AC170" s="166"/>
      <c r="AD170" s="87" t="s">
        <v>41</v>
      </c>
      <c r="AE170" s="162">
        <v>0.0</v>
      </c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3"/>
      <c r="Q171" s="3"/>
      <c r="R171" s="4"/>
      <c r="S171" s="166">
        <v>46265.0</v>
      </c>
      <c r="T171" s="87" t="s">
        <v>215</v>
      </c>
      <c r="U171" s="166">
        <v>46173.0</v>
      </c>
      <c r="V171" s="166"/>
      <c r="W171" s="87" t="s">
        <v>16</v>
      </c>
      <c r="X171" s="87">
        <v>0.0</v>
      </c>
      <c r="Y171" s="4"/>
      <c r="Z171" s="142">
        <v>46295.0</v>
      </c>
      <c r="AA171" s="87" t="s">
        <v>183</v>
      </c>
      <c r="AB171" s="166">
        <v>46142.0</v>
      </c>
      <c r="AC171" s="166"/>
      <c r="AD171" s="87" t="s">
        <v>208</v>
      </c>
      <c r="AE171" s="87">
        <v>0.0</v>
      </c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3"/>
      <c r="Q172" s="3"/>
      <c r="R172" s="4"/>
      <c r="S172" s="166">
        <v>46265.0</v>
      </c>
      <c r="T172" s="87" t="s">
        <v>215</v>
      </c>
      <c r="U172" s="166">
        <v>46173.0</v>
      </c>
      <c r="V172" s="166"/>
      <c r="W172" s="87" t="s">
        <v>18</v>
      </c>
      <c r="X172" s="87">
        <v>0.0</v>
      </c>
      <c r="Y172" s="4"/>
      <c r="Z172" s="142">
        <v>46295.0</v>
      </c>
      <c r="AA172" s="87" t="s">
        <v>183</v>
      </c>
      <c r="AB172" s="166">
        <v>46142.0</v>
      </c>
      <c r="AC172" s="166"/>
      <c r="AD172" s="87" t="s">
        <v>23</v>
      </c>
      <c r="AE172" s="87">
        <v>0.0</v>
      </c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3"/>
      <c r="Q173" s="3"/>
      <c r="R173" s="4"/>
      <c r="S173" s="166">
        <v>46265.0</v>
      </c>
      <c r="T173" s="87" t="s">
        <v>215</v>
      </c>
      <c r="U173" s="166">
        <v>46173.0</v>
      </c>
      <c r="V173" s="166"/>
      <c r="W173" s="87" t="s">
        <v>20</v>
      </c>
      <c r="X173" s="87">
        <v>0.0</v>
      </c>
      <c r="Y173" s="4"/>
      <c r="Z173" s="142">
        <v>46295.0</v>
      </c>
      <c r="AA173" s="87" t="s">
        <v>183</v>
      </c>
      <c r="AB173" s="166">
        <v>46173.0</v>
      </c>
      <c r="AC173" s="166"/>
      <c r="AD173" s="87" t="s">
        <v>184</v>
      </c>
      <c r="AE173" s="162">
        <v>0.0</v>
      </c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3"/>
      <c r="Q174" s="3"/>
      <c r="R174" s="4"/>
      <c r="S174" s="166">
        <v>46265.0</v>
      </c>
      <c r="T174" s="87" t="s">
        <v>215</v>
      </c>
      <c r="U174" s="166">
        <v>46173.0</v>
      </c>
      <c r="V174" s="166"/>
      <c r="W174" s="87" t="s">
        <v>21</v>
      </c>
      <c r="X174" s="87">
        <v>0.0</v>
      </c>
      <c r="Y174" s="4"/>
      <c r="Z174" s="142">
        <v>46295.0</v>
      </c>
      <c r="AA174" s="87" t="s">
        <v>183</v>
      </c>
      <c r="AB174" s="166">
        <v>46173.0</v>
      </c>
      <c r="AC174" s="166"/>
      <c r="AD174" s="87" t="s">
        <v>185</v>
      </c>
      <c r="AE174" s="162">
        <v>0.0</v>
      </c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3"/>
      <c r="Q175" s="3"/>
      <c r="R175" s="4"/>
      <c r="S175" s="166">
        <v>46265.0</v>
      </c>
      <c r="T175" s="87" t="s">
        <v>215</v>
      </c>
      <c r="U175" s="166">
        <v>46173.0</v>
      </c>
      <c r="V175" s="166"/>
      <c r="W175" s="87" t="s">
        <v>23</v>
      </c>
      <c r="X175" s="87">
        <v>0.0</v>
      </c>
      <c r="Y175" s="4"/>
      <c r="Z175" s="142">
        <v>46295.0</v>
      </c>
      <c r="AA175" s="87" t="s">
        <v>183</v>
      </c>
      <c r="AB175" s="166">
        <v>46173.0</v>
      </c>
      <c r="AC175" s="166"/>
      <c r="AD175" s="87" t="s">
        <v>186</v>
      </c>
      <c r="AE175" s="87">
        <v>0.0</v>
      </c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"/>
      <c r="Q176" s="3"/>
      <c r="R176" s="4"/>
      <c r="S176" s="166">
        <v>46265.0</v>
      </c>
      <c r="T176" s="87" t="s">
        <v>215</v>
      </c>
      <c r="U176" s="166">
        <v>46203.0</v>
      </c>
      <c r="V176" s="166"/>
      <c r="W176" s="87" t="s">
        <v>8</v>
      </c>
      <c r="X176" s="162">
        <v>0.0</v>
      </c>
      <c r="Y176" s="4"/>
      <c r="Z176" s="142">
        <v>46295.0</v>
      </c>
      <c r="AA176" s="87" t="s">
        <v>183</v>
      </c>
      <c r="AB176" s="166">
        <v>46173.0</v>
      </c>
      <c r="AC176" s="166"/>
      <c r="AD176" s="87" t="s">
        <v>187</v>
      </c>
      <c r="AE176" s="87">
        <v>0.0</v>
      </c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3"/>
      <c r="Q177" s="3"/>
      <c r="R177" s="4"/>
      <c r="S177" s="166">
        <v>46265.0</v>
      </c>
      <c r="T177" s="87" t="s">
        <v>215</v>
      </c>
      <c r="U177" s="166">
        <v>46203.0</v>
      </c>
      <c r="V177" s="166"/>
      <c r="W177" s="87" t="s">
        <v>10</v>
      </c>
      <c r="X177" s="162">
        <v>0.0</v>
      </c>
      <c r="Y177" s="4"/>
      <c r="Z177" s="142">
        <v>46295.0</v>
      </c>
      <c r="AA177" s="87" t="s">
        <v>183</v>
      </c>
      <c r="AB177" s="166">
        <v>46173.0</v>
      </c>
      <c r="AC177" s="166"/>
      <c r="AD177" s="87" t="s">
        <v>188</v>
      </c>
      <c r="AE177" s="87">
        <v>0.0</v>
      </c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3"/>
      <c r="Q178" s="3"/>
      <c r="R178" s="4"/>
      <c r="S178" s="166">
        <v>46265.0</v>
      </c>
      <c r="T178" s="87" t="s">
        <v>215</v>
      </c>
      <c r="U178" s="166">
        <v>46203.0</v>
      </c>
      <c r="V178" s="166"/>
      <c r="W178" s="87" t="s">
        <v>12</v>
      </c>
      <c r="X178" s="87">
        <v>0.0</v>
      </c>
      <c r="Y178" s="4"/>
      <c r="Z178" s="142">
        <v>46295.0</v>
      </c>
      <c r="AA178" s="87" t="s">
        <v>183</v>
      </c>
      <c r="AB178" s="166">
        <v>46173.0</v>
      </c>
      <c r="AC178" s="166"/>
      <c r="AD178" s="87" t="s">
        <v>189</v>
      </c>
      <c r="AE178" s="87">
        <v>0.0</v>
      </c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3"/>
      <c r="Q179" s="3"/>
      <c r="R179" s="4"/>
      <c r="S179" s="166">
        <v>46265.0</v>
      </c>
      <c r="T179" s="87" t="s">
        <v>215</v>
      </c>
      <c r="U179" s="166">
        <v>46203.0</v>
      </c>
      <c r="V179" s="166"/>
      <c r="W179" s="87" t="s">
        <v>14</v>
      </c>
      <c r="X179" s="87">
        <v>0.0</v>
      </c>
      <c r="Y179" s="4"/>
      <c r="Z179" s="142">
        <v>46295.0</v>
      </c>
      <c r="AA179" s="87" t="s">
        <v>183</v>
      </c>
      <c r="AB179" s="166">
        <v>46173.0</v>
      </c>
      <c r="AC179" s="166"/>
      <c r="AD179" s="87" t="s">
        <v>190</v>
      </c>
      <c r="AE179" s="87">
        <v>0.0</v>
      </c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3"/>
      <c r="Q180" s="3"/>
      <c r="R180" s="4"/>
      <c r="S180" s="166">
        <v>46265.0</v>
      </c>
      <c r="T180" s="87" t="s">
        <v>215</v>
      </c>
      <c r="U180" s="166">
        <v>46203.0</v>
      </c>
      <c r="V180" s="166"/>
      <c r="W180" s="87" t="s">
        <v>16</v>
      </c>
      <c r="X180" s="87">
        <v>0.0</v>
      </c>
      <c r="Y180" s="4"/>
      <c r="Z180" s="142">
        <v>46295.0</v>
      </c>
      <c r="AA180" s="87" t="s">
        <v>183</v>
      </c>
      <c r="AB180" s="166">
        <v>46173.0</v>
      </c>
      <c r="AC180" s="166"/>
      <c r="AD180" s="87" t="s">
        <v>191</v>
      </c>
      <c r="AE180" s="87">
        <v>0.0</v>
      </c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3"/>
      <c r="Q181" s="3"/>
      <c r="R181" s="4"/>
      <c r="S181" s="166">
        <v>46265.0</v>
      </c>
      <c r="T181" s="87" t="s">
        <v>215</v>
      </c>
      <c r="U181" s="166">
        <v>46203.0</v>
      </c>
      <c r="V181" s="166"/>
      <c r="W181" s="87" t="s">
        <v>18</v>
      </c>
      <c r="X181" s="87">
        <v>0.0</v>
      </c>
      <c r="Y181" s="4"/>
      <c r="Z181" s="142">
        <v>46295.0</v>
      </c>
      <c r="AA181" s="87" t="s">
        <v>183</v>
      </c>
      <c r="AB181" s="166">
        <v>46173.0</v>
      </c>
      <c r="AC181" s="166"/>
      <c r="AD181" s="87" t="s">
        <v>192</v>
      </c>
      <c r="AE181" s="87">
        <v>0.0</v>
      </c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3"/>
      <c r="Q182" s="3"/>
      <c r="R182" s="4"/>
      <c r="S182" s="166">
        <v>46265.0</v>
      </c>
      <c r="T182" s="87" t="s">
        <v>215</v>
      </c>
      <c r="U182" s="166">
        <v>46203.0</v>
      </c>
      <c r="V182" s="166"/>
      <c r="W182" s="87" t="s">
        <v>20</v>
      </c>
      <c r="X182" s="87">
        <v>0.0</v>
      </c>
      <c r="Y182" s="4"/>
      <c r="Z182" s="142">
        <v>46295.0</v>
      </c>
      <c r="AA182" s="87" t="s">
        <v>183</v>
      </c>
      <c r="AB182" s="166">
        <v>46173.0</v>
      </c>
      <c r="AC182" s="166"/>
      <c r="AD182" s="87" t="s">
        <v>193</v>
      </c>
      <c r="AE182" s="87">
        <v>0.0</v>
      </c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"/>
      <c r="Q183" s="3"/>
      <c r="R183" s="4"/>
      <c r="S183" s="166">
        <v>46265.0</v>
      </c>
      <c r="T183" s="87" t="s">
        <v>215</v>
      </c>
      <c r="U183" s="166">
        <v>46203.0</v>
      </c>
      <c r="V183" s="166"/>
      <c r="W183" s="87" t="s">
        <v>21</v>
      </c>
      <c r="X183" s="87">
        <v>0.0</v>
      </c>
      <c r="Y183" s="4"/>
      <c r="Z183" s="142">
        <v>46295.0</v>
      </c>
      <c r="AA183" s="87" t="s">
        <v>183</v>
      </c>
      <c r="AB183" s="166">
        <v>46173.0</v>
      </c>
      <c r="AC183" s="166"/>
      <c r="AD183" s="87" t="s">
        <v>194</v>
      </c>
      <c r="AE183" s="162">
        <v>710000.0</v>
      </c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3"/>
      <c r="Q184" s="3"/>
      <c r="R184" s="4"/>
      <c r="S184" s="166">
        <v>46265.0</v>
      </c>
      <c r="T184" s="87" t="s">
        <v>215</v>
      </c>
      <c r="U184" s="166">
        <v>46203.0</v>
      </c>
      <c r="V184" s="166"/>
      <c r="W184" s="87" t="s">
        <v>23</v>
      </c>
      <c r="X184" s="87">
        <v>0.0</v>
      </c>
      <c r="Y184" s="4"/>
      <c r="Z184" s="142">
        <v>46295.0</v>
      </c>
      <c r="AA184" s="87" t="s">
        <v>183</v>
      </c>
      <c r="AB184" s="166">
        <v>46173.0</v>
      </c>
      <c r="AC184" s="166"/>
      <c r="AD184" s="87" t="s">
        <v>196</v>
      </c>
      <c r="AE184" s="87">
        <v>0.0</v>
      </c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3"/>
      <c r="Q185" s="3"/>
      <c r="R185" s="4"/>
      <c r="S185" s="166">
        <v>46265.0</v>
      </c>
      <c r="T185" s="87" t="s">
        <v>215</v>
      </c>
      <c r="U185" s="166">
        <v>46265.0</v>
      </c>
      <c r="V185" s="166"/>
      <c r="W185" s="87" t="s">
        <v>8</v>
      </c>
      <c r="X185" s="87">
        <v>0.0</v>
      </c>
      <c r="Y185" s="4"/>
      <c r="Z185" s="142">
        <v>46295.0</v>
      </c>
      <c r="AA185" s="87" t="s">
        <v>183</v>
      </c>
      <c r="AB185" s="166">
        <v>46173.0</v>
      </c>
      <c r="AC185" s="166"/>
      <c r="AD185" s="87" t="s">
        <v>198</v>
      </c>
      <c r="AE185" s="87">
        <v>0.0</v>
      </c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3"/>
      <c r="Q186" s="3"/>
      <c r="R186" s="4"/>
      <c r="S186" s="166">
        <v>46265.0</v>
      </c>
      <c r="T186" s="87" t="s">
        <v>215</v>
      </c>
      <c r="U186" s="166">
        <v>46265.0</v>
      </c>
      <c r="V186" s="166"/>
      <c r="W186" s="87" t="s">
        <v>10</v>
      </c>
      <c r="X186" s="87">
        <v>0.0</v>
      </c>
      <c r="Y186" s="4"/>
      <c r="Z186" s="142">
        <v>46295.0</v>
      </c>
      <c r="AA186" s="87" t="s">
        <v>183</v>
      </c>
      <c r="AB186" s="166">
        <v>46173.0</v>
      </c>
      <c r="AC186" s="166"/>
      <c r="AD186" s="87" t="s">
        <v>200</v>
      </c>
      <c r="AE186" s="87">
        <v>0.0</v>
      </c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3"/>
      <c r="Q187" s="3"/>
      <c r="R187" s="4"/>
      <c r="S187" s="166">
        <v>46265.0</v>
      </c>
      <c r="T187" s="87" t="s">
        <v>215</v>
      </c>
      <c r="U187" s="166">
        <v>46265.0</v>
      </c>
      <c r="V187" s="166"/>
      <c r="W187" s="87" t="s">
        <v>12</v>
      </c>
      <c r="X187" s="87">
        <v>0.0</v>
      </c>
      <c r="Y187" s="4"/>
      <c r="Z187" s="142">
        <v>46295.0</v>
      </c>
      <c r="AA187" s="87" t="s">
        <v>183</v>
      </c>
      <c r="AB187" s="166">
        <v>46173.0</v>
      </c>
      <c r="AC187" s="166"/>
      <c r="AD187" s="87" t="s">
        <v>202</v>
      </c>
      <c r="AE187" s="162">
        <v>200000.0</v>
      </c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"/>
      <c r="Q188" s="3"/>
      <c r="R188" s="4"/>
      <c r="S188" s="166">
        <v>46265.0</v>
      </c>
      <c r="T188" s="87" t="s">
        <v>215</v>
      </c>
      <c r="U188" s="166">
        <v>46265.0</v>
      </c>
      <c r="V188" s="166"/>
      <c r="W188" s="87" t="s">
        <v>14</v>
      </c>
      <c r="X188" s="87">
        <v>0.0</v>
      </c>
      <c r="Y188" s="4"/>
      <c r="Z188" s="142">
        <v>46295.0</v>
      </c>
      <c r="AA188" s="87" t="s">
        <v>183</v>
      </c>
      <c r="AB188" s="166">
        <v>46173.0</v>
      </c>
      <c r="AC188" s="166"/>
      <c r="AD188" s="87" t="s">
        <v>203</v>
      </c>
      <c r="AE188" s="87">
        <v>0.0</v>
      </c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3"/>
      <c r="Q189" s="3"/>
      <c r="R189" s="4"/>
      <c r="S189" s="166">
        <v>46265.0</v>
      </c>
      <c r="T189" s="87" t="s">
        <v>215</v>
      </c>
      <c r="U189" s="166">
        <v>46265.0</v>
      </c>
      <c r="V189" s="166"/>
      <c r="W189" s="87" t="s">
        <v>16</v>
      </c>
      <c r="X189" s="87">
        <v>0.0</v>
      </c>
      <c r="Y189" s="4"/>
      <c r="Z189" s="142">
        <v>46295.0</v>
      </c>
      <c r="AA189" s="87" t="s">
        <v>183</v>
      </c>
      <c r="AB189" s="166">
        <v>46173.0</v>
      </c>
      <c r="AC189" s="166"/>
      <c r="AD189" s="87" t="s">
        <v>56</v>
      </c>
      <c r="AE189" s="87">
        <v>0.0</v>
      </c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3"/>
      <c r="Q190" s="3"/>
      <c r="R190" s="4"/>
      <c r="S190" s="166">
        <v>46265.0</v>
      </c>
      <c r="T190" s="87" t="s">
        <v>215</v>
      </c>
      <c r="U190" s="166">
        <v>46265.0</v>
      </c>
      <c r="V190" s="166"/>
      <c r="W190" s="87" t="s">
        <v>18</v>
      </c>
      <c r="X190" s="87">
        <v>0.0</v>
      </c>
      <c r="Y190" s="4"/>
      <c r="Z190" s="142">
        <v>46295.0</v>
      </c>
      <c r="AA190" s="87" t="s">
        <v>183</v>
      </c>
      <c r="AB190" s="166">
        <v>46173.0</v>
      </c>
      <c r="AC190" s="166"/>
      <c r="AD190" s="87" t="s">
        <v>205</v>
      </c>
      <c r="AE190" s="87">
        <v>0.0</v>
      </c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3"/>
      <c r="Q191" s="3"/>
      <c r="R191" s="4"/>
      <c r="S191" s="166">
        <v>46265.0</v>
      </c>
      <c r="T191" s="87" t="s">
        <v>215</v>
      </c>
      <c r="U191" s="166">
        <v>46265.0</v>
      </c>
      <c r="V191" s="166"/>
      <c r="W191" s="87" t="s">
        <v>20</v>
      </c>
      <c r="X191" s="87">
        <v>0.0</v>
      </c>
      <c r="Y191" s="4"/>
      <c r="Z191" s="142">
        <v>46295.0</v>
      </c>
      <c r="AA191" s="87" t="s">
        <v>183</v>
      </c>
      <c r="AB191" s="166">
        <v>46173.0</v>
      </c>
      <c r="AC191" s="166"/>
      <c r="AD191" s="87" t="s">
        <v>41</v>
      </c>
      <c r="AE191" s="162">
        <v>0.0</v>
      </c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3"/>
      <c r="Q192" s="3"/>
      <c r="R192" s="4"/>
      <c r="S192" s="166">
        <v>46265.0</v>
      </c>
      <c r="T192" s="87" t="s">
        <v>215</v>
      </c>
      <c r="U192" s="166">
        <v>46265.0</v>
      </c>
      <c r="V192" s="166"/>
      <c r="W192" s="87" t="s">
        <v>21</v>
      </c>
      <c r="X192" s="87">
        <v>0.0</v>
      </c>
      <c r="Y192" s="4"/>
      <c r="Z192" s="142">
        <v>46295.0</v>
      </c>
      <c r="AA192" s="87" t="s">
        <v>183</v>
      </c>
      <c r="AB192" s="166">
        <v>46173.0</v>
      </c>
      <c r="AC192" s="166"/>
      <c r="AD192" s="87" t="s">
        <v>208</v>
      </c>
      <c r="AE192" s="162">
        <v>0.0</v>
      </c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3"/>
      <c r="Q193" s="3"/>
      <c r="R193" s="4"/>
      <c r="S193" s="166">
        <v>46265.0</v>
      </c>
      <c r="T193" s="87" t="s">
        <v>215</v>
      </c>
      <c r="U193" s="166">
        <v>46265.0</v>
      </c>
      <c r="V193" s="166"/>
      <c r="W193" s="87" t="s">
        <v>23</v>
      </c>
      <c r="X193" s="87">
        <v>0.0</v>
      </c>
      <c r="Y193" s="4"/>
      <c r="Z193" s="142">
        <v>46295.0</v>
      </c>
      <c r="AA193" s="87" t="s">
        <v>183</v>
      </c>
      <c r="AB193" s="166">
        <v>46173.0</v>
      </c>
      <c r="AC193" s="166"/>
      <c r="AD193" s="87" t="s">
        <v>23</v>
      </c>
      <c r="AE193" s="162">
        <v>300000.0</v>
      </c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3"/>
      <c r="Q194" s="3"/>
      <c r="R194" s="4"/>
      <c r="S194" s="166">
        <v>46265.0</v>
      </c>
      <c r="T194" s="87" t="s">
        <v>215</v>
      </c>
      <c r="U194" s="166">
        <v>46295.0</v>
      </c>
      <c r="V194" s="166"/>
      <c r="W194" s="87" t="s">
        <v>8</v>
      </c>
      <c r="X194" s="87">
        <v>0.0</v>
      </c>
      <c r="Y194" s="4"/>
      <c r="Z194" s="142">
        <v>46295.0</v>
      </c>
      <c r="AA194" s="87" t="s">
        <v>183</v>
      </c>
      <c r="AB194" s="166">
        <v>46203.0</v>
      </c>
      <c r="AC194" s="166"/>
      <c r="AD194" s="87" t="s">
        <v>184</v>
      </c>
      <c r="AE194" s="87">
        <v>0.0</v>
      </c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3"/>
      <c r="Q195" s="3"/>
      <c r="R195" s="4"/>
      <c r="S195" s="166">
        <v>46265.0</v>
      </c>
      <c r="T195" s="87" t="s">
        <v>215</v>
      </c>
      <c r="U195" s="166">
        <v>46295.0</v>
      </c>
      <c r="V195" s="166"/>
      <c r="W195" s="87" t="s">
        <v>10</v>
      </c>
      <c r="X195" s="162">
        <v>1.194E7</v>
      </c>
      <c r="Y195" s="4"/>
      <c r="Z195" s="142">
        <v>46295.0</v>
      </c>
      <c r="AA195" s="87" t="s">
        <v>183</v>
      </c>
      <c r="AB195" s="166">
        <v>46203.0</v>
      </c>
      <c r="AC195" s="166"/>
      <c r="AD195" s="87" t="s">
        <v>185</v>
      </c>
      <c r="AE195" s="162">
        <v>0.0</v>
      </c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3"/>
      <c r="Q196" s="3"/>
      <c r="R196" s="4"/>
      <c r="S196" s="166">
        <v>46265.0</v>
      </c>
      <c r="T196" s="87" t="s">
        <v>215</v>
      </c>
      <c r="U196" s="166">
        <v>46295.0</v>
      </c>
      <c r="V196" s="166"/>
      <c r="W196" s="87" t="s">
        <v>12</v>
      </c>
      <c r="X196" s="87">
        <v>0.0</v>
      </c>
      <c r="Y196" s="4"/>
      <c r="Z196" s="142">
        <v>46295.0</v>
      </c>
      <c r="AA196" s="87" t="s">
        <v>183</v>
      </c>
      <c r="AB196" s="166">
        <v>46203.0</v>
      </c>
      <c r="AC196" s="166"/>
      <c r="AD196" s="87" t="s">
        <v>186</v>
      </c>
      <c r="AE196" s="162">
        <v>0.0</v>
      </c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3"/>
      <c r="Q197" s="3"/>
      <c r="R197" s="4"/>
      <c r="S197" s="166">
        <v>46265.0</v>
      </c>
      <c r="T197" s="87" t="s">
        <v>215</v>
      </c>
      <c r="U197" s="166">
        <v>46295.0</v>
      </c>
      <c r="V197" s="166"/>
      <c r="W197" s="87" t="s">
        <v>14</v>
      </c>
      <c r="X197" s="87">
        <v>0.0</v>
      </c>
      <c r="Y197" s="4"/>
      <c r="Z197" s="142">
        <v>46295.0</v>
      </c>
      <c r="AA197" s="87" t="s">
        <v>183</v>
      </c>
      <c r="AB197" s="166">
        <v>46203.0</v>
      </c>
      <c r="AC197" s="166"/>
      <c r="AD197" s="87" t="s">
        <v>187</v>
      </c>
      <c r="AE197" s="87">
        <v>0.0</v>
      </c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3"/>
      <c r="Q198" s="3"/>
      <c r="R198" s="4"/>
      <c r="S198" s="166">
        <v>46265.0</v>
      </c>
      <c r="T198" s="87" t="s">
        <v>215</v>
      </c>
      <c r="U198" s="166">
        <v>46295.0</v>
      </c>
      <c r="V198" s="166"/>
      <c r="W198" s="87" t="s">
        <v>16</v>
      </c>
      <c r="X198" s="162">
        <v>400000.0</v>
      </c>
      <c r="Y198" s="4"/>
      <c r="Z198" s="142">
        <v>46295.0</v>
      </c>
      <c r="AA198" s="87" t="s">
        <v>183</v>
      </c>
      <c r="AB198" s="166">
        <v>46203.0</v>
      </c>
      <c r="AC198" s="166"/>
      <c r="AD198" s="87" t="s">
        <v>188</v>
      </c>
      <c r="AE198" s="87">
        <v>0.0</v>
      </c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3"/>
      <c r="Q199" s="3"/>
      <c r="R199" s="4"/>
      <c r="S199" s="166">
        <v>46265.0</v>
      </c>
      <c r="T199" s="87" t="s">
        <v>215</v>
      </c>
      <c r="U199" s="166">
        <v>46295.0</v>
      </c>
      <c r="V199" s="166"/>
      <c r="W199" s="87" t="s">
        <v>18</v>
      </c>
      <c r="X199" s="162">
        <v>600000.0</v>
      </c>
      <c r="Y199" s="4"/>
      <c r="Z199" s="142">
        <v>46295.0</v>
      </c>
      <c r="AA199" s="87" t="s">
        <v>183</v>
      </c>
      <c r="AB199" s="166">
        <v>46203.0</v>
      </c>
      <c r="AC199" s="166"/>
      <c r="AD199" s="87" t="s">
        <v>189</v>
      </c>
      <c r="AE199" s="162">
        <v>100000.0</v>
      </c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3"/>
      <c r="Q200" s="3"/>
      <c r="R200" s="4"/>
      <c r="S200" s="166">
        <v>46265.0</v>
      </c>
      <c r="T200" s="87" t="s">
        <v>215</v>
      </c>
      <c r="U200" s="166">
        <v>46295.0</v>
      </c>
      <c r="V200" s="166"/>
      <c r="W200" s="87" t="s">
        <v>20</v>
      </c>
      <c r="X200" s="162">
        <v>198000.0</v>
      </c>
      <c r="Y200" s="4"/>
      <c r="Z200" s="142">
        <v>46295.0</v>
      </c>
      <c r="AA200" s="87" t="s">
        <v>183</v>
      </c>
      <c r="AB200" s="166">
        <v>46203.0</v>
      </c>
      <c r="AC200" s="166"/>
      <c r="AD200" s="87" t="s">
        <v>190</v>
      </c>
      <c r="AE200" s="87">
        <v>0.0</v>
      </c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3"/>
      <c r="Q201" s="3"/>
      <c r="R201" s="4"/>
      <c r="S201" s="166">
        <v>46265.0</v>
      </c>
      <c r="T201" s="87" t="s">
        <v>215</v>
      </c>
      <c r="U201" s="166">
        <v>46295.0</v>
      </c>
      <c r="V201" s="166"/>
      <c r="W201" s="87" t="s">
        <v>21</v>
      </c>
      <c r="X201" s="162">
        <v>82500.0</v>
      </c>
      <c r="Y201" s="4"/>
      <c r="Z201" s="142">
        <v>46295.0</v>
      </c>
      <c r="AA201" s="87" t="s">
        <v>183</v>
      </c>
      <c r="AB201" s="166">
        <v>46203.0</v>
      </c>
      <c r="AC201" s="166"/>
      <c r="AD201" s="87" t="s">
        <v>191</v>
      </c>
      <c r="AE201" s="162">
        <v>0.0</v>
      </c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3"/>
      <c r="Q202" s="3"/>
      <c r="R202" s="4"/>
      <c r="S202" s="166">
        <v>46265.0</v>
      </c>
      <c r="T202" s="87" t="s">
        <v>215</v>
      </c>
      <c r="U202" s="166">
        <v>46295.0</v>
      </c>
      <c r="V202" s="166"/>
      <c r="W202" s="87" t="s">
        <v>23</v>
      </c>
      <c r="X202" s="87">
        <v>0.0</v>
      </c>
      <c r="Y202" s="4"/>
      <c r="Z202" s="142">
        <v>46295.0</v>
      </c>
      <c r="AA202" s="87" t="s">
        <v>183</v>
      </c>
      <c r="AB202" s="166">
        <v>46203.0</v>
      </c>
      <c r="AC202" s="166"/>
      <c r="AD202" s="87" t="s">
        <v>192</v>
      </c>
      <c r="AE202" s="162">
        <v>0.0</v>
      </c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3"/>
      <c r="Q203" s="3"/>
      <c r="R203" s="4"/>
      <c r="S203" s="166"/>
      <c r="T203" s="87"/>
      <c r="U203" s="4"/>
      <c r="V203" s="4"/>
      <c r="W203" s="87"/>
      <c r="X203" s="87"/>
      <c r="Y203" s="4"/>
      <c r="Z203" s="142">
        <v>46295.0</v>
      </c>
      <c r="AA203" s="87" t="s">
        <v>183</v>
      </c>
      <c r="AB203" s="166">
        <v>46203.0</v>
      </c>
      <c r="AC203" s="166"/>
      <c r="AD203" s="87" t="s">
        <v>193</v>
      </c>
      <c r="AE203" s="87">
        <v>0.0</v>
      </c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3"/>
      <c r="Q204" s="3"/>
      <c r="R204" s="4"/>
      <c r="S204" s="166"/>
      <c r="T204" s="87"/>
      <c r="U204" s="4"/>
      <c r="V204" s="4"/>
      <c r="W204" s="87"/>
      <c r="X204" s="87"/>
      <c r="Y204" s="4"/>
      <c r="Z204" s="142">
        <v>46295.0</v>
      </c>
      <c r="AA204" s="87" t="s">
        <v>183</v>
      </c>
      <c r="AB204" s="166">
        <v>46203.0</v>
      </c>
      <c r="AC204" s="166"/>
      <c r="AD204" s="87" t="s">
        <v>194</v>
      </c>
      <c r="AE204" s="162">
        <v>710000.0</v>
      </c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3"/>
      <c r="Q205" s="3"/>
      <c r="R205" s="4"/>
      <c r="S205" s="166"/>
      <c r="T205" s="87"/>
      <c r="U205" s="4"/>
      <c r="V205" s="4"/>
      <c r="W205" s="87"/>
      <c r="X205" s="87"/>
      <c r="Y205" s="4"/>
      <c r="Z205" s="142">
        <v>46295.0</v>
      </c>
      <c r="AA205" s="87" t="s">
        <v>183</v>
      </c>
      <c r="AB205" s="166">
        <v>46203.0</v>
      </c>
      <c r="AC205" s="166"/>
      <c r="AD205" s="87" t="s">
        <v>196</v>
      </c>
      <c r="AE205" s="87">
        <v>0.0</v>
      </c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3"/>
      <c r="Q206" s="3"/>
      <c r="R206" s="4"/>
      <c r="S206" s="166"/>
      <c r="T206" s="87"/>
      <c r="U206" s="4"/>
      <c r="V206" s="4"/>
      <c r="W206" s="87"/>
      <c r="X206" s="87"/>
      <c r="Y206" s="4"/>
      <c r="Z206" s="142">
        <v>46295.0</v>
      </c>
      <c r="AA206" s="87" t="s">
        <v>183</v>
      </c>
      <c r="AB206" s="166">
        <v>46203.0</v>
      </c>
      <c r="AC206" s="166"/>
      <c r="AD206" s="87" t="s">
        <v>198</v>
      </c>
      <c r="AE206" s="87">
        <v>0.0</v>
      </c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3"/>
      <c r="Q207" s="3"/>
      <c r="R207" s="4"/>
      <c r="S207" s="166"/>
      <c r="T207" s="87"/>
      <c r="U207" s="4"/>
      <c r="V207" s="4"/>
      <c r="W207" s="87"/>
      <c r="X207" s="87"/>
      <c r="Y207" s="4"/>
      <c r="Z207" s="142">
        <v>46295.0</v>
      </c>
      <c r="AA207" s="87" t="s">
        <v>183</v>
      </c>
      <c r="AB207" s="166">
        <v>46203.0</v>
      </c>
      <c r="AC207" s="166"/>
      <c r="AD207" s="87" t="s">
        <v>200</v>
      </c>
      <c r="AE207" s="87">
        <v>0.0</v>
      </c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3"/>
      <c r="Q208" s="3"/>
      <c r="R208" s="4"/>
      <c r="S208" s="166"/>
      <c r="T208" s="87"/>
      <c r="U208" s="4"/>
      <c r="V208" s="4"/>
      <c r="W208" s="87"/>
      <c r="X208" s="87"/>
      <c r="Y208" s="4"/>
      <c r="Z208" s="142">
        <v>46295.0</v>
      </c>
      <c r="AA208" s="87" t="s">
        <v>183</v>
      </c>
      <c r="AB208" s="166">
        <v>46203.0</v>
      </c>
      <c r="AC208" s="166"/>
      <c r="AD208" s="87" t="s">
        <v>202</v>
      </c>
      <c r="AE208" s="162">
        <v>0.0</v>
      </c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3"/>
      <c r="Q209" s="3"/>
      <c r="R209" s="4"/>
      <c r="S209" s="166"/>
      <c r="T209" s="87"/>
      <c r="U209" s="4"/>
      <c r="V209" s="4"/>
      <c r="W209" s="87"/>
      <c r="X209" s="87"/>
      <c r="Y209" s="4"/>
      <c r="Z209" s="142">
        <v>46295.0</v>
      </c>
      <c r="AA209" s="87" t="s">
        <v>183</v>
      </c>
      <c r="AB209" s="166">
        <v>46203.0</v>
      </c>
      <c r="AC209" s="166"/>
      <c r="AD209" s="87" t="s">
        <v>203</v>
      </c>
      <c r="AE209" s="162">
        <v>0.0</v>
      </c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3"/>
      <c r="Q210" s="3"/>
      <c r="R210" s="4"/>
      <c r="S210" s="166"/>
      <c r="T210" s="87"/>
      <c r="U210" s="4"/>
      <c r="V210" s="4"/>
      <c r="W210" s="87"/>
      <c r="X210" s="87"/>
      <c r="Y210" s="4"/>
      <c r="Z210" s="142">
        <v>46295.0</v>
      </c>
      <c r="AA210" s="87" t="s">
        <v>183</v>
      </c>
      <c r="AB210" s="166">
        <v>46203.0</v>
      </c>
      <c r="AC210" s="166"/>
      <c r="AD210" s="87" t="s">
        <v>56</v>
      </c>
      <c r="AE210" s="87">
        <v>0.0</v>
      </c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3"/>
      <c r="Q211" s="3"/>
      <c r="R211" s="4"/>
      <c r="S211" s="166"/>
      <c r="T211" s="87"/>
      <c r="U211" s="4"/>
      <c r="V211" s="4"/>
      <c r="W211" s="87"/>
      <c r="X211" s="87"/>
      <c r="Y211" s="4"/>
      <c r="Z211" s="142">
        <v>46295.0</v>
      </c>
      <c r="AA211" s="87" t="s">
        <v>183</v>
      </c>
      <c r="AB211" s="166">
        <v>46203.0</v>
      </c>
      <c r="AC211" s="166"/>
      <c r="AD211" s="87" t="s">
        <v>205</v>
      </c>
      <c r="AE211" s="87">
        <v>0.0</v>
      </c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3"/>
      <c r="Q212" s="3"/>
      <c r="R212" s="4"/>
      <c r="S212" s="166"/>
      <c r="T212" s="87"/>
      <c r="U212" s="4"/>
      <c r="V212" s="4"/>
      <c r="W212" s="87"/>
      <c r="X212" s="87"/>
      <c r="Y212" s="4"/>
      <c r="Z212" s="142">
        <v>46295.0</v>
      </c>
      <c r="AA212" s="87" t="s">
        <v>183</v>
      </c>
      <c r="AB212" s="166">
        <v>46203.0</v>
      </c>
      <c r="AC212" s="166"/>
      <c r="AD212" s="87" t="s">
        <v>41</v>
      </c>
      <c r="AE212" s="87">
        <v>0.0</v>
      </c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3"/>
      <c r="Q213" s="3"/>
      <c r="R213" s="4"/>
      <c r="S213" s="166"/>
      <c r="T213" s="87"/>
      <c r="U213" s="4"/>
      <c r="V213" s="4"/>
      <c r="W213" s="87"/>
      <c r="X213" s="87"/>
      <c r="Y213" s="4"/>
      <c r="Z213" s="142">
        <v>46295.0</v>
      </c>
      <c r="AA213" s="87" t="s">
        <v>183</v>
      </c>
      <c r="AB213" s="166">
        <v>46203.0</v>
      </c>
      <c r="AC213" s="166"/>
      <c r="AD213" s="87" t="s">
        <v>208</v>
      </c>
      <c r="AE213" s="162">
        <v>0.0</v>
      </c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3"/>
      <c r="Q214" s="3"/>
      <c r="R214" s="4"/>
      <c r="S214" s="166"/>
      <c r="T214" s="87"/>
      <c r="U214" s="4"/>
      <c r="V214" s="4"/>
      <c r="W214" s="87"/>
      <c r="X214" s="87"/>
      <c r="Y214" s="4"/>
      <c r="Z214" s="142">
        <v>46295.0</v>
      </c>
      <c r="AA214" s="87" t="s">
        <v>183</v>
      </c>
      <c r="AB214" s="166">
        <v>46203.0</v>
      </c>
      <c r="AC214" s="166"/>
      <c r="AD214" s="87" t="s">
        <v>23</v>
      </c>
      <c r="AE214" s="162">
        <v>50000.0</v>
      </c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3"/>
      <c r="Q215" s="3"/>
      <c r="R215" s="4"/>
      <c r="S215" s="166"/>
      <c r="T215" s="87"/>
      <c r="U215" s="4"/>
      <c r="V215" s="4"/>
      <c r="W215" s="87"/>
      <c r="X215" s="87"/>
      <c r="Y215" s="4"/>
      <c r="Z215" s="142">
        <v>46295.0</v>
      </c>
      <c r="AA215" s="87" t="s">
        <v>183</v>
      </c>
      <c r="AB215" s="166">
        <v>46234.0</v>
      </c>
      <c r="AC215" s="166"/>
      <c r="AD215" s="87" t="s">
        <v>184</v>
      </c>
      <c r="AE215" s="87">
        <v>0.0</v>
      </c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3"/>
      <c r="Q216" s="3"/>
      <c r="R216" s="4"/>
      <c r="S216" s="166"/>
      <c r="T216" s="87"/>
      <c r="U216" s="4"/>
      <c r="V216" s="4"/>
      <c r="W216" s="87"/>
      <c r="X216" s="162"/>
      <c r="Y216" s="4"/>
      <c r="Z216" s="142">
        <v>46295.0</v>
      </c>
      <c r="AA216" s="87" t="s">
        <v>183</v>
      </c>
      <c r="AB216" s="166">
        <v>46234.0</v>
      </c>
      <c r="AC216" s="166"/>
      <c r="AD216" s="87" t="s">
        <v>185</v>
      </c>
      <c r="AE216" s="162">
        <v>429840.0</v>
      </c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3"/>
      <c r="Q217" s="3"/>
      <c r="R217" s="4"/>
      <c r="S217" s="166"/>
      <c r="T217" s="87"/>
      <c r="U217" s="4"/>
      <c r="V217" s="4"/>
      <c r="W217" s="87"/>
      <c r="X217" s="162"/>
      <c r="Y217" s="4"/>
      <c r="Z217" s="142">
        <v>46295.0</v>
      </c>
      <c r="AA217" s="87" t="s">
        <v>183</v>
      </c>
      <c r="AB217" s="166">
        <v>46234.0</v>
      </c>
      <c r="AC217" s="166"/>
      <c r="AD217" s="87" t="s">
        <v>186</v>
      </c>
      <c r="AE217" s="87">
        <v>0.0</v>
      </c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3"/>
      <c r="Q218" s="3"/>
      <c r="R218" s="4"/>
      <c r="S218" s="166"/>
      <c r="T218" s="87"/>
      <c r="U218" s="4"/>
      <c r="V218" s="4"/>
      <c r="W218" s="87"/>
      <c r="X218" s="162"/>
      <c r="Y218" s="4"/>
      <c r="Z218" s="142">
        <v>46295.0</v>
      </c>
      <c r="AA218" s="87" t="s">
        <v>183</v>
      </c>
      <c r="AB218" s="166">
        <v>46234.0</v>
      </c>
      <c r="AC218" s="166"/>
      <c r="AD218" s="87" t="s">
        <v>187</v>
      </c>
      <c r="AE218" s="87">
        <v>0.0</v>
      </c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3"/>
      <c r="Q219" s="3"/>
      <c r="R219" s="4"/>
      <c r="S219" s="166"/>
      <c r="T219" s="87"/>
      <c r="U219" s="4"/>
      <c r="V219" s="4"/>
      <c r="W219" s="87"/>
      <c r="X219" s="87"/>
      <c r="Y219" s="4"/>
      <c r="Z219" s="142">
        <v>46295.0</v>
      </c>
      <c r="AA219" s="87" t="s">
        <v>183</v>
      </c>
      <c r="AB219" s="166">
        <v>46234.0</v>
      </c>
      <c r="AC219" s="166"/>
      <c r="AD219" s="87" t="s">
        <v>188</v>
      </c>
      <c r="AE219" s="87">
        <v>0.0</v>
      </c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3"/>
      <c r="Q220" s="3"/>
      <c r="R220" s="4"/>
      <c r="S220" s="166"/>
      <c r="T220" s="87"/>
      <c r="U220" s="4"/>
      <c r="V220" s="4"/>
      <c r="W220" s="87"/>
      <c r="X220" s="162"/>
      <c r="Y220" s="4"/>
      <c r="Z220" s="142">
        <v>46295.0</v>
      </c>
      <c r="AA220" s="87" t="s">
        <v>183</v>
      </c>
      <c r="AB220" s="166">
        <v>46234.0</v>
      </c>
      <c r="AC220" s="166"/>
      <c r="AD220" s="87" t="s">
        <v>189</v>
      </c>
      <c r="AE220" s="87">
        <v>0.0</v>
      </c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3"/>
      <c r="Q221" s="3"/>
      <c r="R221" s="4"/>
      <c r="S221" s="166"/>
      <c r="T221" s="87"/>
      <c r="U221" s="4"/>
      <c r="V221" s="4"/>
      <c r="W221" s="87"/>
      <c r="X221" s="162"/>
      <c r="Y221" s="4"/>
      <c r="Z221" s="142">
        <v>46295.0</v>
      </c>
      <c r="AA221" s="87" t="s">
        <v>183</v>
      </c>
      <c r="AB221" s="166">
        <v>46234.0</v>
      </c>
      <c r="AC221" s="166"/>
      <c r="AD221" s="87" t="s">
        <v>190</v>
      </c>
      <c r="AE221" s="87">
        <v>0.0</v>
      </c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3"/>
      <c r="Q222" s="3"/>
      <c r="R222" s="4"/>
      <c r="S222" s="166"/>
      <c r="T222" s="87"/>
      <c r="U222" s="4"/>
      <c r="V222" s="4"/>
      <c r="W222" s="87"/>
      <c r="X222" s="162"/>
      <c r="Y222" s="4"/>
      <c r="Z222" s="142">
        <v>46295.0</v>
      </c>
      <c r="AA222" s="87" t="s">
        <v>183</v>
      </c>
      <c r="AB222" s="166">
        <v>46234.0</v>
      </c>
      <c r="AC222" s="166"/>
      <c r="AD222" s="87" t="s">
        <v>191</v>
      </c>
      <c r="AE222" s="87">
        <v>0.0</v>
      </c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3"/>
      <c r="Q223" s="3"/>
      <c r="R223" s="4"/>
      <c r="S223" s="166"/>
      <c r="T223" s="87"/>
      <c r="U223" s="4"/>
      <c r="V223" s="4"/>
      <c r="W223" s="87"/>
      <c r="X223" s="162"/>
      <c r="Y223" s="4"/>
      <c r="Z223" s="142">
        <v>46295.0</v>
      </c>
      <c r="AA223" s="87" t="s">
        <v>183</v>
      </c>
      <c r="AB223" s="166">
        <v>46234.0</v>
      </c>
      <c r="AC223" s="166"/>
      <c r="AD223" s="87" t="s">
        <v>192</v>
      </c>
      <c r="AE223" s="162">
        <v>0.0</v>
      </c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3"/>
      <c r="Q224" s="3"/>
      <c r="R224" s="4"/>
      <c r="S224" s="166"/>
      <c r="T224" s="87"/>
      <c r="U224" s="4"/>
      <c r="V224" s="4"/>
      <c r="W224" s="87"/>
      <c r="X224" s="162"/>
      <c r="Y224" s="4"/>
      <c r="Z224" s="142">
        <v>46295.0</v>
      </c>
      <c r="AA224" s="87" t="s">
        <v>183</v>
      </c>
      <c r="AB224" s="166">
        <v>46234.0</v>
      </c>
      <c r="AC224" s="166"/>
      <c r="AD224" s="87" t="s">
        <v>193</v>
      </c>
      <c r="AE224" s="162">
        <v>0.0</v>
      </c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3"/>
      <c r="Q225" s="3"/>
      <c r="R225" s="4"/>
      <c r="S225" s="166"/>
      <c r="T225" s="87"/>
      <c r="U225" s="4"/>
      <c r="V225" s="4"/>
      <c r="W225" s="87"/>
      <c r="X225" s="87"/>
      <c r="Y225" s="4"/>
      <c r="Z225" s="142">
        <v>46295.0</v>
      </c>
      <c r="AA225" s="87" t="s">
        <v>183</v>
      </c>
      <c r="AB225" s="166">
        <v>46234.0</v>
      </c>
      <c r="AC225" s="166"/>
      <c r="AD225" s="87" t="s">
        <v>194</v>
      </c>
      <c r="AE225" s="162">
        <v>210000.0</v>
      </c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142">
        <v>46295.0</v>
      </c>
      <c r="AA226" s="87" t="s">
        <v>183</v>
      </c>
      <c r="AB226" s="166">
        <v>46234.0</v>
      </c>
      <c r="AC226" s="166"/>
      <c r="AD226" s="87" t="s">
        <v>196</v>
      </c>
      <c r="AE226" s="162">
        <v>0.0</v>
      </c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142">
        <v>46295.0</v>
      </c>
      <c r="AA227" s="87" t="s">
        <v>183</v>
      </c>
      <c r="AB227" s="166">
        <v>46234.0</v>
      </c>
      <c r="AC227" s="166"/>
      <c r="AD227" s="87" t="s">
        <v>198</v>
      </c>
      <c r="AE227" s="162">
        <v>0.0</v>
      </c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142">
        <v>46295.0</v>
      </c>
      <c r="AA228" s="87" t="s">
        <v>183</v>
      </c>
      <c r="AB228" s="166">
        <v>46234.0</v>
      </c>
      <c r="AC228" s="166"/>
      <c r="AD228" s="87" t="s">
        <v>200</v>
      </c>
      <c r="AE228" s="87">
        <v>0.0</v>
      </c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142">
        <v>46295.0</v>
      </c>
      <c r="AA229" s="87" t="s">
        <v>183</v>
      </c>
      <c r="AB229" s="166">
        <v>46234.0</v>
      </c>
      <c r="AC229" s="166"/>
      <c r="AD229" s="87" t="s">
        <v>202</v>
      </c>
      <c r="AE229" s="162">
        <v>20000.0</v>
      </c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142">
        <v>46295.0</v>
      </c>
      <c r="AA230" s="87" t="s">
        <v>183</v>
      </c>
      <c r="AB230" s="166">
        <v>46234.0</v>
      </c>
      <c r="AC230" s="166"/>
      <c r="AD230" s="87" t="s">
        <v>203</v>
      </c>
      <c r="AE230" s="87">
        <v>0.0</v>
      </c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142">
        <v>46295.0</v>
      </c>
      <c r="AA231" s="87" t="s">
        <v>183</v>
      </c>
      <c r="AB231" s="166">
        <v>46234.0</v>
      </c>
      <c r="AC231" s="166"/>
      <c r="AD231" s="87" t="s">
        <v>56</v>
      </c>
      <c r="AE231" s="87">
        <v>0.0</v>
      </c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142">
        <v>46295.0</v>
      </c>
      <c r="AA232" s="87" t="s">
        <v>183</v>
      </c>
      <c r="AB232" s="166">
        <v>46234.0</v>
      </c>
      <c r="AC232" s="166"/>
      <c r="AD232" s="87" t="s">
        <v>205</v>
      </c>
      <c r="AE232" s="87">
        <v>0.0</v>
      </c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142">
        <v>46295.0</v>
      </c>
      <c r="AA233" s="87" t="s">
        <v>183</v>
      </c>
      <c r="AB233" s="166">
        <v>46234.0</v>
      </c>
      <c r="AC233" s="166"/>
      <c r="AD233" s="87" t="s">
        <v>41</v>
      </c>
      <c r="AE233" s="87">
        <v>0.0</v>
      </c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142">
        <v>46295.0</v>
      </c>
      <c r="AA234" s="87" t="s">
        <v>183</v>
      </c>
      <c r="AB234" s="166">
        <v>46234.0</v>
      </c>
      <c r="AC234" s="166"/>
      <c r="AD234" s="87" t="s">
        <v>208</v>
      </c>
      <c r="AE234" s="87">
        <v>0.0</v>
      </c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142">
        <v>46295.0</v>
      </c>
      <c r="AA235" s="87" t="s">
        <v>183</v>
      </c>
      <c r="AB235" s="166">
        <v>46234.0</v>
      </c>
      <c r="AC235" s="166"/>
      <c r="AD235" s="87" t="s">
        <v>23</v>
      </c>
      <c r="AE235" s="162">
        <v>50000.0</v>
      </c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142">
        <v>46295.0</v>
      </c>
      <c r="AA236" s="87" t="s">
        <v>183</v>
      </c>
      <c r="AB236" s="166">
        <v>46265.0</v>
      </c>
      <c r="AC236" s="166"/>
      <c r="AD236" s="87" t="s">
        <v>184</v>
      </c>
      <c r="AE236" s="162">
        <v>0.0</v>
      </c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142">
        <v>46295.0</v>
      </c>
      <c r="AA237" s="87" t="s">
        <v>183</v>
      </c>
      <c r="AB237" s="166">
        <v>46265.0</v>
      </c>
      <c r="AC237" s="166"/>
      <c r="AD237" s="87" t="s">
        <v>185</v>
      </c>
      <c r="AE237" s="87">
        <v>0.0</v>
      </c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142">
        <v>46295.0</v>
      </c>
      <c r="AA238" s="87" t="s">
        <v>183</v>
      </c>
      <c r="AB238" s="166">
        <v>46265.0</v>
      </c>
      <c r="AC238" s="166"/>
      <c r="AD238" s="87" t="s">
        <v>186</v>
      </c>
      <c r="AE238" s="87">
        <v>0.0</v>
      </c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142">
        <v>46295.0</v>
      </c>
      <c r="AA239" s="87" t="s">
        <v>183</v>
      </c>
      <c r="AB239" s="166">
        <v>46265.0</v>
      </c>
      <c r="AC239" s="166"/>
      <c r="AD239" s="87" t="s">
        <v>187</v>
      </c>
      <c r="AE239" s="162">
        <v>2640.0</v>
      </c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142">
        <v>46295.0</v>
      </c>
      <c r="AA240" s="87" t="s">
        <v>183</v>
      </c>
      <c r="AB240" s="166">
        <v>46265.0</v>
      </c>
      <c r="AC240" s="166"/>
      <c r="AD240" s="87" t="s">
        <v>188</v>
      </c>
      <c r="AE240" s="162">
        <v>7128.0</v>
      </c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142">
        <v>46295.0</v>
      </c>
      <c r="AA241" s="87" t="s">
        <v>183</v>
      </c>
      <c r="AB241" s="166">
        <v>46265.0</v>
      </c>
      <c r="AC241" s="166"/>
      <c r="AD241" s="87" t="s">
        <v>189</v>
      </c>
      <c r="AE241" s="87">
        <v>0.0</v>
      </c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142">
        <v>46295.0</v>
      </c>
      <c r="AA242" s="87" t="s">
        <v>215</v>
      </c>
      <c r="AB242" s="166">
        <v>46265.0</v>
      </c>
      <c r="AC242" s="166"/>
      <c r="AD242" s="87" t="s">
        <v>190</v>
      </c>
      <c r="AE242" s="87">
        <v>2500000.0</v>
      </c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142">
        <v>46295.0</v>
      </c>
      <c r="AA243" s="87" t="s">
        <v>183</v>
      </c>
      <c r="AB243" s="166">
        <v>46265.0</v>
      </c>
      <c r="AC243" s="166"/>
      <c r="AD243" s="87" t="s">
        <v>191</v>
      </c>
      <c r="AE243" s="162">
        <v>100000.0</v>
      </c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142">
        <v>46295.0</v>
      </c>
      <c r="AA244" s="87" t="s">
        <v>183</v>
      </c>
      <c r="AB244" s="166">
        <v>46265.0</v>
      </c>
      <c r="AC244" s="166"/>
      <c r="AD244" s="87" t="s">
        <v>192</v>
      </c>
      <c r="AE244" s="162">
        <v>110000.0</v>
      </c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3"/>
      <c r="Q245" s="3"/>
      <c r="R245" s="4"/>
      <c r="S245" s="4"/>
      <c r="T245" s="4"/>
      <c r="U245" s="4"/>
      <c r="V245" s="4"/>
      <c r="W245" s="4"/>
      <c r="X245" s="4"/>
      <c r="Y245" s="4"/>
      <c r="Z245" s="142">
        <v>46295.0</v>
      </c>
      <c r="AA245" s="87" t="s">
        <v>183</v>
      </c>
      <c r="AB245" s="166">
        <v>46265.0</v>
      </c>
      <c r="AC245" s="166"/>
      <c r="AD245" s="87" t="s">
        <v>193</v>
      </c>
      <c r="AE245" s="162">
        <v>700000.0</v>
      </c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3"/>
      <c r="Q246" s="3"/>
      <c r="R246" s="4"/>
      <c r="S246" s="4"/>
      <c r="T246" s="4"/>
      <c r="U246" s="4"/>
      <c r="V246" s="4"/>
      <c r="W246" s="4"/>
      <c r="X246" s="4"/>
      <c r="Y246" s="4"/>
      <c r="Z246" s="142">
        <v>46295.0</v>
      </c>
      <c r="AA246" s="87" t="s">
        <v>183</v>
      </c>
      <c r="AB246" s="166">
        <v>46265.0</v>
      </c>
      <c r="AC246" s="166"/>
      <c r="AD246" s="87" t="s">
        <v>194</v>
      </c>
      <c r="AE246" s="162">
        <v>2000000.0</v>
      </c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3"/>
      <c r="Q247" s="3"/>
      <c r="R247" s="4"/>
      <c r="S247" s="4"/>
      <c r="T247" s="4"/>
      <c r="U247" s="4"/>
      <c r="V247" s="4"/>
      <c r="W247" s="4"/>
      <c r="X247" s="4"/>
      <c r="Y247" s="4"/>
      <c r="Z247" s="142">
        <v>46295.0</v>
      </c>
      <c r="AA247" s="87" t="s">
        <v>183</v>
      </c>
      <c r="AB247" s="166">
        <v>46265.0</v>
      </c>
      <c r="AC247" s="166"/>
      <c r="AD247" s="87" t="s">
        <v>196</v>
      </c>
      <c r="AE247" s="162">
        <v>450000.0</v>
      </c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3"/>
      <c r="Q248" s="3"/>
      <c r="R248" s="4"/>
      <c r="S248" s="4"/>
      <c r="T248" s="4"/>
      <c r="U248" s="4"/>
      <c r="V248" s="4"/>
      <c r="W248" s="4"/>
      <c r="X248" s="4"/>
      <c r="Y248" s="4"/>
      <c r="Z248" s="142">
        <v>46295.0</v>
      </c>
      <c r="AA248" s="87" t="s">
        <v>183</v>
      </c>
      <c r="AB248" s="166">
        <v>46265.0</v>
      </c>
      <c r="AC248" s="166"/>
      <c r="AD248" s="87" t="s">
        <v>198</v>
      </c>
      <c r="AE248" s="87">
        <v>0.0</v>
      </c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3"/>
      <c r="Q249" s="3"/>
      <c r="R249" s="4"/>
      <c r="S249" s="4"/>
      <c r="T249" s="4"/>
      <c r="U249" s="4"/>
      <c r="V249" s="4"/>
      <c r="W249" s="4"/>
      <c r="X249" s="4"/>
      <c r="Y249" s="4"/>
      <c r="Z249" s="142">
        <v>46295.0</v>
      </c>
      <c r="AA249" s="87" t="s">
        <v>183</v>
      </c>
      <c r="AB249" s="166">
        <v>46265.0</v>
      </c>
      <c r="AC249" s="166"/>
      <c r="AD249" s="87" t="s">
        <v>200</v>
      </c>
      <c r="AE249" s="162">
        <v>4000000.0</v>
      </c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3"/>
      <c r="Q250" s="3"/>
      <c r="R250" s="4"/>
      <c r="S250" s="4"/>
      <c r="T250" s="4"/>
      <c r="U250" s="4"/>
      <c r="V250" s="4"/>
      <c r="W250" s="4"/>
      <c r="X250" s="4"/>
      <c r="Y250" s="4"/>
      <c r="Z250" s="142">
        <v>46295.0</v>
      </c>
      <c r="AA250" s="87" t="s">
        <v>183</v>
      </c>
      <c r="AB250" s="166">
        <v>46265.0</v>
      </c>
      <c r="AC250" s="166"/>
      <c r="AD250" s="87" t="s">
        <v>202</v>
      </c>
      <c r="AE250" s="162">
        <v>130000.0</v>
      </c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3"/>
      <c r="Q251" s="3"/>
      <c r="R251" s="4"/>
      <c r="S251" s="4"/>
      <c r="T251" s="4"/>
      <c r="U251" s="4"/>
      <c r="V251" s="4"/>
      <c r="W251" s="4"/>
      <c r="X251" s="4"/>
      <c r="Y251" s="4"/>
      <c r="Z251" s="142">
        <v>46295.0</v>
      </c>
      <c r="AA251" s="87" t="s">
        <v>183</v>
      </c>
      <c r="AB251" s="166">
        <v>46265.0</v>
      </c>
      <c r="AC251" s="166"/>
      <c r="AD251" s="87" t="s">
        <v>203</v>
      </c>
      <c r="AE251" s="162">
        <v>0.0</v>
      </c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3"/>
      <c r="Q252" s="3"/>
      <c r="R252" s="4"/>
      <c r="S252" s="4"/>
      <c r="T252" s="4"/>
      <c r="U252" s="4"/>
      <c r="V252" s="4"/>
      <c r="W252" s="4"/>
      <c r="X252" s="4"/>
      <c r="Y252" s="4"/>
      <c r="Z252" s="142">
        <v>46295.0</v>
      </c>
      <c r="AA252" s="87" t="s">
        <v>183</v>
      </c>
      <c r="AB252" s="166">
        <v>46265.0</v>
      </c>
      <c r="AC252" s="166"/>
      <c r="AD252" s="87" t="s">
        <v>56</v>
      </c>
      <c r="AE252" s="162">
        <v>600000.0</v>
      </c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3"/>
      <c r="Q253" s="3"/>
      <c r="R253" s="4"/>
      <c r="S253" s="4"/>
      <c r="T253" s="4"/>
      <c r="U253" s="4"/>
      <c r="V253" s="4"/>
      <c r="W253" s="4"/>
      <c r="X253" s="4"/>
      <c r="Y253" s="4"/>
      <c r="Z253" s="142">
        <v>46295.0</v>
      </c>
      <c r="AA253" s="87" t="s">
        <v>183</v>
      </c>
      <c r="AB253" s="166">
        <v>46265.0</v>
      </c>
      <c r="AC253" s="166"/>
      <c r="AD253" s="87" t="s">
        <v>205</v>
      </c>
      <c r="AE253" s="162">
        <v>60000.0</v>
      </c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3"/>
      <c r="Q254" s="3"/>
      <c r="R254" s="4"/>
      <c r="S254" s="4"/>
      <c r="T254" s="4"/>
      <c r="U254" s="4"/>
      <c r="V254" s="4"/>
      <c r="W254" s="4"/>
      <c r="X254" s="4"/>
      <c r="Y254" s="4"/>
      <c r="Z254" s="142">
        <v>46295.0</v>
      </c>
      <c r="AA254" s="87" t="s">
        <v>183</v>
      </c>
      <c r="AB254" s="166">
        <v>46265.0</v>
      </c>
      <c r="AC254" s="166"/>
      <c r="AD254" s="87" t="s">
        <v>41</v>
      </c>
      <c r="AE254" s="162">
        <v>0.0</v>
      </c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3"/>
      <c r="Q255" s="3"/>
      <c r="R255" s="4"/>
      <c r="S255" s="4"/>
      <c r="T255" s="4"/>
      <c r="U255" s="4"/>
      <c r="V255" s="4"/>
      <c r="W255" s="4"/>
      <c r="X255" s="4"/>
      <c r="Y255" s="4"/>
      <c r="Z255" s="142">
        <v>46295.0</v>
      </c>
      <c r="AA255" s="87" t="s">
        <v>183</v>
      </c>
      <c r="AB255" s="166">
        <v>46265.0</v>
      </c>
      <c r="AC255" s="166"/>
      <c r="AD255" s="87" t="s">
        <v>208</v>
      </c>
      <c r="AE255" s="162">
        <v>0.0</v>
      </c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3"/>
      <c r="Q256" s="3"/>
      <c r="R256" s="4"/>
      <c r="S256" s="4"/>
      <c r="T256" s="4"/>
      <c r="U256" s="4"/>
      <c r="V256" s="4"/>
      <c r="W256" s="4"/>
      <c r="X256" s="4"/>
      <c r="Y256" s="4"/>
      <c r="Z256" s="142">
        <v>46295.0</v>
      </c>
      <c r="AA256" s="87" t="s">
        <v>183</v>
      </c>
      <c r="AB256" s="166">
        <v>46265.0</v>
      </c>
      <c r="AC256" s="166"/>
      <c r="AD256" s="87" t="s">
        <v>23</v>
      </c>
      <c r="AE256" s="162">
        <v>300000.0</v>
      </c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3"/>
      <c r="Q257" s="3"/>
      <c r="R257" s="4"/>
      <c r="S257" s="4"/>
      <c r="T257" s="4"/>
      <c r="U257" s="4"/>
      <c r="V257" s="4"/>
      <c r="W257" s="4"/>
      <c r="X257" s="4"/>
      <c r="Y257" s="4"/>
      <c r="Z257" s="166">
        <v>46265.0</v>
      </c>
      <c r="AA257" s="87" t="s">
        <v>215</v>
      </c>
      <c r="AB257" s="166">
        <v>45930.0</v>
      </c>
      <c r="AC257" s="166"/>
      <c r="AD257" s="87" t="s">
        <v>184</v>
      </c>
      <c r="AE257" s="162">
        <v>0.0</v>
      </c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3"/>
      <c r="Q258" s="3"/>
      <c r="R258" s="4"/>
      <c r="S258" s="4"/>
      <c r="T258" s="4"/>
      <c r="U258" s="4"/>
      <c r="V258" s="4"/>
      <c r="W258" s="4"/>
      <c r="X258" s="4"/>
      <c r="Y258" s="4"/>
      <c r="Z258" s="166">
        <v>46265.0</v>
      </c>
      <c r="AA258" s="87" t="s">
        <v>215</v>
      </c>
      <c r="AB258" s="166">
        <v>45930.0</v>
      </c>
      <c r="AC258" s="166"/>
      <c r="AD258" s="87" t="s">
        <v>185</v>
      </c>
      <c r="AE258" s="162">
        <v>18000.0</v>
      </c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3"/>
      <c r="Q259" s="3"/>
      <c r="R259" s="4"/>
      <c r="S259" s="4"/>
      <c r="T259" s="4"/>
      <c r="U259" s="4"/>
      <c r="V259" s="4"/>
      <c r="W259" s="4"/>
      <c r="X259" s="4"/>
      <c r="Y259" s="4"/>
      <c r="Z259" s="166">
        <v>46265.0</v>
      </c>
      <c r="AA259" s="87" t="s">
        <v>215</v>
      </c>
      <c r="AB259" s="166">
        <v>45930.0</v>
      </c>
      <c r="AC259" s="166"/>
      <c r="AD259" s="87" t="s">
        <v>186</v>
      </c>
      <c r="AE259" s="162">
        <v>0.0</v>
      </c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3"/>
      <c r="Q260" s="3"/>
      <c r="R260" s="4"/>
      <c r="S260" s="4"/>
      <c r="T260" s="4"/>
      <c r="U260" s="4"/>
      <c r="V260" s="4"/>
      <c r="W260" s="4"/>
      <c r="X260" s="4"/>
      <c r="Y260" s="4"/>
      <c r="Z260" s="166">
        <v>46265.0</v>
      </c>
      <c r="AA260" s="87" t="s">
        <v>215</v>
      </c>
      <c r="AB260" s="166">
        <v>45930.0</v>
      </c>
      <c r="AC260" s="166"/>
      <c r="AD260" s="87" t="s">
        <v>187</v>
      </c>
      <c r="AE260" s="162">
        <v>0.0</v>
      </c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"/>
      <c r="Q261" s="3"/>
      <c r="R261" s="4"/>
      <c r="S261" s="4"/>
      <c r="T261" s="4"/>
      <c r="U261" s="4"/>
      <c r="V261" s="4"/>
      <c r="W261" s="4"/>
      <c r="X261" s="4"/>
      <c r="Y261" s="4"/>
      <c r="Z261" s="166">
        <v>46265.0</v>
      </c>
      <c r="AA261" s="87" t="s">
        <v>215</v>
      </c>
      <c r="AB261" s="166">
        <v>45930.0</v>
      </c>
      <c r="AC261" s="166"/>
      <c r="AD261" s="87" t="s">
        <v>188</v>
      </c>
      <c r="AE261" s="162">
        <v>0.0</v>
      </c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"/>
      <c r="Q262" s="3"/>
      <c r="R262" s="4"/>
      <c r="S262" s="4"/>
      <c r="T262" s="4"/>
      <c r="U262" s="4"/>
      <c r="V262" s="4"/>
      <c r="W262" s="4"/>
      <c r="X262" s="4"/>
      <c r="Y262" s="4"/>
      <c r="Z262" s="166">
        <v>46265.0</v>
      </c>
      <c r="AA262" s="87" t="s">
        <v>215</v>
      </c>
      <c r="AB262" s="166">
        <v>45930.0</v>
      </c>
      <c r="AC262" s="166"/>
      <c r="AD262" s="87" t="s">
        <v>189</v>
      </c>
      <c r="AE262" s="162">
        <v>0.0</v>
      </c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3"/>
      <c r="Q263" s="3"/>
      <c r="R263" s="4"/>
      <c r="S263" s="4"/>
      <c r="T263" s="4"/>
      <c r="U263" s="4"/>
      <c r="V263" s="4"/>
      <c r="W263" s="4"/>
      <c r="X263" s="4"/>
      <c r="Y263" s="4"/>
      <c r="Z263" s="166">
        <v>46265.0</v>
      </c>
      <c r="AA263" s="87" t="s">
        <v>215</v>
      </c>
      <c r="AB263" s="166">
        <v>45930.0</v>
      </c>
      <c r="AC263" s="166"/>
      <c r="AD263" s="87" t="s">
        <v>190</v>
      </c>
      <c r="AE263" s="162">
        <v>0.0</v>
      </c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3"/>
      <c r="Q264" s="3"/>
      <c r="R264" s="4"/>
      <c r="S264" s="4"/>
      <c r="T264" s="4"/>
      <c r="U264" s="4"/>
      <c r="V264" s="4"/>
      <c r="W264" s="4"/>
      <c r="X264" s="4"/>
      <c r="Y264" s="4"/>
      <c r="Z264" s="166">
        <v>46265.0</v>
      </c>
      <c r="AA264" s="87" t="s">
        <v>215</v>
      </c>
      <c r="AB264" s="166">
        <v>45930.0</v>
      </c>
      <c r="AC264" s="166"/>
      <c r="AD264" s="87" t="s">
        <v>191</v>
      </c>
      <c r="AE264" s="162">
        <v>0.0</v>
      </c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3"/>
      <c r="Q265" s="3"/>
      <c r="R265" s="4"/>
      <c r="S265" s="4"/>
      <c r="T265" s="4"/>
      <c r="U265" s="4"/>
      <c r="V265" s="4"/>
      <c r="W265" s="4"/>
      <c r="X265" s="4"/>
      <c r="Y265" s="4"/>
      <c r="Z265" s="166">
        <v>46265.0</v>
      </c>
      <c r="AA265" s="87" t="s">
        <v>215</v>
      </c>
      <c r="AB265" s="166">
        <v>45930.0</v>
      </c>
      <c r="AC265" s="166"/>
      <c r="AD265" s="87" t="s">
        <v>192</v>
      </c>
      <c r="AE265" s="162">
        <v>0.0</v>
      </c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3"/>
      <c r="Q266" s="3"/>
      <c r="R266" s="4"/>
      <c r="S266" s="4"/>
      <c r="T266" s="4"/>
      <c r="U266" s="4"/>
      <c r="V266" s="4"/>
      <c r="W266" s="4"/>
      <c r="X266" s="4"/>
      <c r="Y266" s="4"/>
      <c r="Z266" s="166">
        <v>46265.0</v>
      </c>
      <c r="AA266" s="87" t="s">
        <v>215</v>
      </c>
      <c r="AB266" s="166">
        <v>45930.0</v>
      </c>
      <c r="AC266" s="166"/>
      <c r="AD266" s="87" t="s">
        <v>193</v>
      </c>
      <c r="AE266" s="87">
        <v>0.0</v>
      </c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3"/>
      <c r="Q267" s="3"/>
      <c r="R267" s="4"/>
      <c r="S267" s="4"/>
      <c r="T267" s="4"/>
      <c r="U267" s="4"/>
      <c r="V267" s="4"/>
      <c r="W267" s="4"/>
      <c r="X267" s="4"/>
      <c r="Y267" s="4"/>
      <c r="Z267" s="166">
        <v>46265.0</v>
      </c>
      <c r="AA267" s="87" t="s">
        <v>215</v>
      </c>
      <c r="AB267" s="166">
        <v>45930.0</v>
      </c>
      <c r="AC267" s="166"/>
      <c r="AD267" s="87" t="s">
        <v>194</v>
      </c>
      <c r="AE267" s="162">
        <v>0.0</v>
      </c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3"/>
      <c r="Q268" s="3"/>
      <c r="R268" s="4"/>
      <c r="S268" s="4"/>
      <c r="T268" s="4"/>
      <c r="U268" s="4"/>
      <c r="V268" s="4"/>
      <c r="W268" s="4"/>
      <c r="X268" s="4"/>
      <c r="Y268" s="4"/>
      <c r="Z268" s="166">
        <v>46265.0</v>
      </c>
      <c r="AA268" s="87" t="s">
        <v>215</v>
      </c>
      <c r="AB268" s="166">
        <v>45930.0</v>
      </c>
      <c r="AC268" s="166"/>
      <c r="AD268" s="87" t="s">
        <v>196</v>
      </c>
      <c r="AE268" s="162">
        <v>0.0</v>
      </c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3"/>
      <c r="Q269" s="3"/>
      <c r="R269" s="4"/>
      <c r="S269" s="4"/>
      <c r="T269" s="4"/>
      <c r="U269" s="4"/>
      <c r="V269" s="4"/>
      <c r="W269" s="4"/>
      <c r="X269" s="4"/>
      <c r="Y269" s="4"/>
      <c r="Z269" s="166">
        <v>46265.0</v>
      </c>
      <c r="AA269" s="87" t="s">
        <v>215</v>
      </c>
      <c r="AB269" s="166">
        <v>45930.0</v>
      </c>
      <c r="AC269" s="166"/>
      <c r="AD269" s="87" t="s">
        <v>198</v>
      </c>
      <c r="AE269" s="87">
        <v>0.0</v>
      </c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3"/>
      <c r="Q270" s="3"/>
      <c r="R270" s="4"/>
      <c r="S270" s="4"/>
      <c r="T270" s="4"/>
      <c r="U270" s="4"/>
      <c r="V270" s="4"/>
      <c r="W270" s="4"/>
      <c r="X270" s="4"/>
      <c r="Y270" s="4"/>
      <c r="Z270" s="166">
        <v>46265.0</v>
      </c>
      <c r="AA270" s="87" t="s">
        <v>215</v>
      </c>
      <c r="AB270" s="166">
        <v>45930.0</v>
      </c>
      <c r="AC270" s="166"/>
      <c r="AD270" s="87" t="s">
        <v>200</v>
      </c>
      <c r="AE270" s="162">
        <v>1113100.0</v>
      </c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3"/>
      <c r="Q271" s="3"/>
      <c r="R271" s="4"/>
      <c r="S271" s="4"/>
      <c r="T271" s="4"/>
      <c r="U271" s="4"/>
      <c r="V271" s="4"/>
      <c r="W271" s="4"/>
      <c r="X271" s="4"/>
      <c r="Y271" s="4"/>
      <c r="Z271" s="166">
        <v>46265.0</v>
      </c>
      <c r="AA271" s="87" t="s">
        <v>215</v>
      </c>
      <c r="AB271" s="166">
        <v>45930.0</v>
      </c>
      <c r="AC271" s="166"/>
      <c r="AD271" s="87" t="s">
        <v>202</v>
      </c>
      <c r="AE271" s="162">
        <v>0.0</v>
      </c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3"/>
      <c r="Q272" s="3"/>
      <c r="R272" s="4"/>
      <c r="S272" s="4"/>
      <c r="T272" s="4"/>
      <c r="U272" s="4"/>
      <c r="V272" s="4"/>
      <c r="W272" s="4"/>
      <c r="X272" s="4"/>
      <c r="Y272" s="4"/>
      <c r="Z272" s="166">
        <v>46265.0</v>
      </c>
      <c r="AA272" s="87" t="s">
        <v>215</v>
      </c>
      <c r="AB272" s="166">
        <v>45930.0</v>
      </c>
      <c r="AC272" s="166"/>
      <c r="AD272" s="87" t="s">
        <v>203</v>
      </c>
      <c r="AE272" s="87">
        <v>0.0</v>
      </c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3"/>
      <c r="Q273" s="3"/>
      <c r="R273" s="4"/>
      <c r="S273" s="4"/>
      <c r="T273" s="4"/>
      <c r="U273" s="4"/>
      <c r="V273" s="4"/>
      <c r="W273" s="4"/>
      <c r="X273" s="4"/>
      <c r="Y273" s="4"/>
      <c r="Z273" s="166">
        <v>46265.0</v>
      </c>
      <c r="AA273" s="87" t="s">
        <v>215</v>
      </c>
      <c r="AB273" s="166">
        <v>45930.0</v>
      </c>
      <c r="AC273" s="166"/>
      <c r="AD273" s="87" t="s">
        <v>56</v>
      </c>
      <c r="AE273" s="87">
        <v>0.0</v>
      </c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3"/>
      <c r="Q274" s="3"/>
      <c r="R274" s="4"/>
      <c r="S274" s="4"/>
      <c r="T274" s="4"/>
      <c r="U274" s="4"/>
      <c r="V274" s="4"/>
      <c r="W274" s="4"/>
      <c r="X274" s="4"/>
      <c r="Y274" s="4"/>
      <c r="Z274" s="166">
        <v>46265.0</v>
      </c>
      <c r="AA274" s="87" t="s">
        <v>215</v>
      </c>
      <c r="AB274" s="166">
        <v>45930.0</v>
      </c>
      <c r="AC274" s="166"/>
      <c r="AD274" s="87" t="s">
        <v>205</v>
      </c>
      <c r="AE274" s="87">
        <v>0.0</v>
      </c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3"/>
      <c r="Q275" s="3"/>
      <c r="R275" s="4"/>
      <c r="S275" s="4"/>
      <c r="T275" s="4"/>
      <c r="U275" s="4"/>
      <c r="V275" s="4"/>
      <c r="W275" s="4"/>
      <c r="X275" s="4"/>
      <c r="Y275" s="4"/>
      <c r="Z275" s="166">
        <v>46265.0</v>
      </c>
      <c r="AA275" s="87" t="s">
        <v>215</v>
      </c>
      <c r="AB275" s="166">
        <v>45930.0</v>
      </c>
      <c r="AC275" s="166"/>
      <c r="AD275" s="87" t="s">
        <v>41</v>
      </c>
      <c r="AE275" s="87">
        <v>0.0</v>
      </c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3"/>
      <c r="Q276" s="3"/>
      <c r="R276" s="4"/>
      <c r="S276" s="4"/>
      <c r="T276" s="4"/>
      <c r="U276" s="4"/>
      <c r="V276" s="4"/>
      <c r="W276" s="4"/>
      <c r="X276" s="4"/>
      <c r="Y276" s="4"/>
      <c r="Z276" s="166">
        <v>46265.0</v>
      </c>
      <c r="AA276" s="87" t="s">
        <v>215</v>
      </c>
      <c r="AB276" s="166">
        <v>45930.0</v>
      </c>
      <c r="AC276" s="166"/>
      <c r="AD276" s="87" t="s">
        <v>208</v>
      </c>
      <c r="AE276" s="87">
        <v>0.0</v>
      </c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3"/>
      <c r="Q277" s="3"/>
      <c r="R277" s="4"/>
      <c r="S277" s="4"/>
      <c r="T277" s="4"/>
      <c r="U277" s="4"/>
      <c r="V277" s="4"/>
      <c r="W277" s="4"/>
      <c r="X277" s="4"/>
      <c r="Y277" s="4"/>
      <c r="Z277" s="166">
        <v>46265.0</v>
      </c>
      <c r="AA277" s="87" t="s">
        <v>215</v>
      </c>
      <c r="AB277" s="166">
        <v>45930.0</v>
      </c>
      <c r="AC277" s="166"/>
      <c r="AD277" s="87" t="s">
        <v>23</v>
      </c>
      <c r="AE277" s="87">
        <v>0.0</v>
      </c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3"/>
      <c r="Q278" s="3"/>
      <c r="R278" s="4"/>
      <c r="S278" s="4"/>
      <c r="T278" s="4"/>
      <c r="U278" s="4"/>
      <c r="V278" s="4"/>
      <c r="W278" s="4"/>
      <c r="X278" s="4"/>
      <c r="Y278" s="4"/>
      <c r="Z278" s="166">
        <v>46265.0</v>
      </c>
      <c r="AA278" s="87" t="s">
        <v>215</v>
      </c>
      <c r="AB278" s="166">
        <v>46022.0</v>
      </c>
      <c r="AC278" s="166"/>
      <c r="AD278" s="87" t="s">
        <v>184</v>
      </c>
      <c r="AE278" s="87">
        <v>0.0</v>
      </c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3"/>
      <c r="Q279" s="3"/>
      <c r="R279" s="4"/>
      <c r="S279" s="4"/>
      <c r="T279" s="4"/>
      <c r="U279" s="4"/>
      <c r="V279" s="4"/>
      <c r="W279" s="4"/>
      <c r="X279" s="4"/>
      <c r="Y279" s="4"/>
      <c r="Z279" s="166">
        <v>46265.0</v>
      </c>
      <c r="AA279" s="87" t="s">
        <v>215</v>
      </c>
      <c r="AB279" s="166">
        <v>46022.0</v>
      </c>
      <c r="AC279" s="166"/>
      <c r="AD279" s="87" t="s">
        <v>185</v>
      </c>
      <c r="AE279" s="87">
        <v>0.0</v>
      </c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3"/>
      <c r="Q280" s="3"/>
      <c r="R280" s="4"/>
      <c r="S280" s="4"/>
      <c r="T280" s="4"/>
      <c r="U280" s="4"/>
      <c r="V280" s="4"/>
      <c r="W280" s="4"/>
      <c r="X280" s="4"/>
      <c r="Y280" s="4"/>
      <c r="Z280" s="166">
        <v>46265.0</v>
      </c>
      <c r="AA280" s="87" t="s">
        <v>215</v>
      </c>
      <c r="AB280" s="166">
        <v>46022.0</v>
      </c>
      <c r="AC280" s="166"/>
      <c r="AD280" s="87" t="s">
        <v>186</v>
      </c>
      <c r="AE280" s="87">
        <v>0.0</v>
      </c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3"/>
      <c r="Q281" s="3"/>
      <c r="R281" s="4"/>
      <c r="S281" s="4"/>
      <c r="T281" s="4"/>
      <c r="U281" s="4"/>
      <c r="V281" s="4"/>
      <c r="W281" s="4"/>
      <c r="X281" s="4"/>
      <c r="Y281" s="4"/>
      <c r="Z281" s="166">
        <v>46265.0</v>
      </c>
      <c r="AA281" s="87" t="s">
        <v>215</v>
      </c>
      <c r="AB281" s="166">
        <v>46022.0</v>
      </c>
      <c r="AC281" s="166"/>
      <c r="AD281" s="87" t="s">
        <v>187</v>
      </c>
      <c r="AE281" s="87">
        <v>0.0</v>
      </c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3"/>
      <c r="Q282" s="3"/>
      <c r="R282" s="4"/>
      <c r="S282" s="4"/>
      <c r="T282" s="4"/>
      <c r="U282" s="4"/>
      <c r="V282" s="4"/>
      <c r="W282" s="4"/>
      <c r="X282" s="4"/>
      <c r="Y282" s="4"/>
      <c r="Z282" s="166">
        <v>46265.0</v>
      </c>
      <c r="AA282" s="87" t="s">
        <v>215</v>
      </c>
      <c r="AB282" s="166">
        <v>46022.0</v>
      </c>
      <c r="AC282" s="166"/>
      <c r="AD282" s="87" t="s">
        <v>188</v>
      </c>
      <c r="AE282" s="162">
        <v>0.0</v>
      </c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3"/>
      <c r="Q283" s="3"/>
      <c r="R283" s="4"/>
      <c r="S283" s="4"/>
      <c r="T283" s="4"/>
      <c r="U283" s="4"/>
      <c r="V283" s="4"/>
      <c r="W283" s="4"/>
      <c r="X283" s="4"/>
      <c r="Y283" s="4"/>
      <c r="Z283" s="166">
        <v>46265.0</v>
      </c>
      <c r="AA283" s="87" t="s">
        <v>215</v>
      </c>
      <c r="AB283" s="166">
        <v>46022.0</v>
      </c>
      <c r="AC283" s="166"/>
      <c r="AD283" s="87" t="s">
        <v>189</v>
      </c>
      <c r="AE283" s="162">
        <v>0.0</v>
      </c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3"/>
      <c r="Q284" s="3"/>
      <c r="R284" s="4"/>
      <c r="S284" s="4"/>
      <c r="T284" s="4"/>
      <c r="U284" s="4"/>
      <c r="V284" s="4"/>
      <c r="W284" s="4"/>
      <c r="X284" s="4"/>
      <c r="Y284" s="4"/>
      <c r="Z284" s="166">
        <v>46265.0</v>
      </c>
      <c r="AA284" s="87" t="s">
        <v>215</v>
      </c>
      <c r="AB284" s="166">
        <v>46022.0</v>
      </c>
      <c r="AC284" s="166"/>
      <c r="AD284" s="87" t="s">
        <v>190</v>
      </c>
      <c r="AE284" s="87">
        <v>0.0</v>
      </c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3"/>
      <c r="Q285" s="3"/>
      <c r="R285" s="4"/>
      <c r="S285" s="4"/>
      <c r="T285" s="4"/>
      <c r="U285" s="4"/>
      <c r="V285" s="4"/>
      <c r="W285" s="4"/>
      <c r="X285" s="4"/>
      <c r="Y285" s="4"/>
      <c r="Z285" s="166">
        <v>46265.0</v>
      </c>
      <c r="AA285" s="87" t="s">
        <v>215</v>
      </c>
      <c r="AB285" s="166">
        <v>46022.0</v>
      </c>
      <c r="AC285" s="166"/>
      <c r="AD285" s="87" t="s">
        <v>191</v>
      </c>
      <c r="AE285" s="87">
        <v>0.0</v>
      </c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3"/>
      <c r="Q286" s="3"/>
      <c r="R286" s="4"/>
      <c r="S286" s="4"/>
      <c r="T286" s="4"/>
      <c r="U286" s="4"/>
      <c r="V286" s="4"/>
      <c r="W286" s="4"/>
      <c r="X286" s="4"/>
      <c r="Y286" s="4"/>
      <c r="Z286" s="166">
        <v>46265.0</v>
      </c>
      <c r="AA286" s="87" t="s">
        <v>215</v>
      </c>
      <c r="AB286" s="166">
        <v>46022.0</v>
      </c>
      <c r="AC286" s="166"/>
      <c r="AD286" s="87" t="s">
        <v>192</v>
      </c>
      <c r="AE286" s="87">
        <v>0.0</v>
      </c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3"/>
      <c r="Q287" s="3"/>
      <c r="R287" s="4"/>
      <c r="S287" s="4"/>
      <c r="T287" s="4"/>
      <c r="U287" s="4"/>
      <c r="V287" s="4"/>
      <c r="W287" s="4"/>
      <c r="X287" s="4"/>
      <c r="Y287" s="4"/>
      <c r="Z287" s="166">
        <v>46265.0</v>
      </c>
      <c r="AA287" s="87" t="s">
        <v>215</v>
      </c>
      <c r="AB287" s="166">
        <v>46022.0</v>
      </c>
      <c r="AC287" s="166"/>
      <c r="AD287" s="87" t="s">
        <v>193</v>
      </c>
      <c r="AE287" s="87">
        <v>0.0</v>
      </c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3"/>
      <c r="Q288" s="3"/>
      <c r="R288" s="4"/>
      <c r="S288" s="4"/>
      <c r="T288" s="4"/>
      <c r="U288" s="4"/>
      <c r="V288" s="4"/>
      <c r="W288" s="4"/>
      <c r="X288" s="4"/>
      <c r="Y288" s="4"/>
      <c r="Z288" s="166">
        <v>46265.0</v>
      </c>
      <c r="AA288" s="87" t="s">
        <v>215</v>
      </c>
      <c r="AB288" s="166">
        <v>46022.0</v>
      </c>
      <c r="AC288" s="166"/>
      <c r="AD288" s="87" t="s">
        <v>194</v>
      </c>
      <c r="AE288" s="87">
        <v>0.0</v>
      </c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3"/>
      <c r="Q289" s="3"/>
      <c r="R289" s="4"/>
      <c r="S289" s="4"/>
      <c r="T289" s="4"/>
      <c r="U289" s="4"/>
      <c r="V289" s="4"/>
      <c r="W289" s="4"/>
      <c r="X289" s="4"/>
      <c r="Y289" s="4"/>
      <c r="Z289" s="166">
        <v>46265.0</v>
      </c>
      <c r="AA289" s="87" t="s">
        <v>215</v>
      </c>
      <c r="AB289" s="166">
        <v>46022.0</v>
      </c>
      <c r="AC289" s="166"/>
      <c r="AD289" s="87" t="s">
        <v>196</v>
      </c>
      <c r="AE289" s="87">
        <v>0.0</v>
      </c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3"/>
      <c r="Q290" s="3"/>
      <c r="R290" s="4"/>
      <c r="S290" s="4"/>
      <c r="T290" s="4"/>
      <c r="U290" s="4"/>
      <c r="V290" s="4"/>
      <c r="W290" s="4"/>
      <c r="X290" s="4"/>
      <c r="Y290" s="4"/>
      <c r="Z290" s="166">
        <v>46265.0</v>
      </c>
      <c r="AA290" s="87" t="s">
        <v>215</v>
      </c>
      <c r="AB290" s="166">
        <v>46022.0</v>
      </c>
      <c r="AC290" s="166"/>
      <c r="AD290" s="87" t="s">
        <v>198</v>
      </c>
      <c r="AE290" s="87">
        <v>0.0</v>
      </c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3"/>
      <c r="Q291" s="3"/>
      <c r="R291" s="4"/>
      <c r="S291" s="4"/>
      <c r="T291" s="4"/>
      <c r="U291" s="4"/>
      <c r="V291" s="4"/>
      <c r="W291" s="4"/>
      <c r="X291" s="4"/>
      <c r="Y291" s="4"/>
      <c r="Z291" s="166">
        <v>46265.0</v>
      </c>
      <c r="AA291" s="87" t="s">
        <v>215</v>
      </c>
      <c r="AB291" s="161">
        <v>46022.0</v>
      </c>
      <c r="AC291" s="161"/>
      <c r="AD291" s="87" t="s">
        <v>200</v>
      </c>
      <c r="AE291" s="87">
        <v>0.0</v>
      </c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3"/>
      <c r="Q292" s="3"/>
      <c r="R292" s="4"/>
      <c r="S292" s="4"/>
      <c r="T292" s="4"/>
      <c r="U292" s="4"/>
      <c r="V292" s="4"/>
      <c r="W292" s="4"/>
      <c r="X292" s="4"/>
      <c r="Y292" s="4"/>
      <c r="Z292" s="166">
        <v>46265.0</v>
      </c>
      <c r="AA292" s="87" t="s">
        <v>215</v>
      </c>
      <c r="AB292" s="161">
        <v>46022.0</v>
      </c>
      <c r="AC292" s="161"/>
      <c r="AD292" s="87" t="s">
        <v>202</v>
      </c>
      <c r="AE292" s="87">
        <v>0.0</v>
      </c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3"/>
      <c r="Q293" s="3"/>
      <c r="R293" s="4"/>
      <c r="S293" s="4"/>
      <c r="T293" s="4"/>
      <c r="U293" s="4"/>
      <c r="V293" s="4"/>
      <c r="W293" s="4"/>
      <c r="X293" s="4"/>
      <c r="Y293" s="4"/>
      <c r="Z293" s="166">
        <v>46265.0</v>
      </c>
      <c r="AA293" s="87" t="s">
        <v>215</v>
      </c>
      <c r="AB293" s="161">
        <v>46022.0</v>
      </c>
      <c r="AC293" s="161"/>
      <c r="AD293" s="87" t="s">
        <v>203</v>
      </c>
      <c r="AE293" s="87">
        <v>0.0</v>
      </c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3"/>
      <c r="Q294" s="3"/>
      <c r="R294" s="4"/>
      <c r="S294" s="4"/>
      <c r="T294" s="4"/>
      <c r="U294" s="4"/>
      <c r="V294" s="4"/>
      <c r="W294" s="4"/>
      <c r="X294" s="4"/>
      <c r="Y294" s="4"/>
      <c r="Z294" s="166">
        <v>46265.0</v>
      </c>
      <c r="AA294" s="87" t="s">
        <v>215</v>
      </c>
      <c r="AB294" s="161">
        <v>46022.0</v>
      </c>
      <c r="AC294" s="161"/>
      <c r="AD294" s="87" t="s">
        <v>56</v>
      </c>
      <c r="AE294" s="87">
        <v>0.0</v>
      </c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3"/>
      <c r="Q295" s="3"/>
      <c r="R295" s="4"/>
      <c r="S295" s="4"/>
      <c r="T295" s="4"/>
      <c r="U295" s="4"/>
      <c r="V295" s="4"/>
      <c r="W295" s="4"/>
      <c r="X295" s="4"/>
      <c r="Y295" s="4"/>
      <c r="Z295" s="166">
        <v>46265.0</v>
      </c>
      <c r="AA295" s="87" t="s">
        <v>215</v>
      </c>
      <c r="AB295" s="161">
        <v>46022.0</v>
      </c>
      <c r="AC295" s="161"/>
      <c r="AD295" s="87" t="s">
        <v>205</v>
      </c>
      <c r="AE295" s="87">
        <v>0.0</v>
      </c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3"/>
      <c r="Q296" s="3"/>
      <c r="R296" s="4"/>
      <c r="S296" s="4"/>
      <c r="T296" s="4"/>
      <c r="U296" s="4"/>
      <c r="V296" s="4"/>
      <c r="W296" s="4"/>
      <c r="X296" s="4"/>
      <c r="Y296" s="4"/>
      <c r="Z296" s="166">
        <v>46265.0</v>
      </c>
      <c r="AA296" s="87" t="s">
        <v>215</v>
      </c>
      <c r="AB296" s="161">
        <v>46022.0</v>
      </c>
      <c r="AC296" s="161"/>
      <c r="AD296" s="87" t="s">
        <v>41</v>
      </c>
      <c r="AE296" s="87">
        <v>0.0</v>
      </c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3"/>
      <c r="Q297" s="3"/>
      <c r="R297" s="4"/>
      <c r="S297" s="4"/>
      <c r="T297" s="4"/>
      <c r="U297" s="4"/>
      <c r="V297" s="4"/>
      <c r="W297" s="4"/>
      <c r="X297" s="4"/>
      <c r="Y297" s="4"/>
      <c r="Z297" s="166">
        <v>46265.0</v>
      </c>
      <c r="AA297" s="87" t="s">
        <v>215</v>
      </c>
      <c r="AB297" s="161">
        <v>46022.0</v>
      </c>
      <c r="AC297" s="161"/>
      <c r="AD297" s="87" t="s">
        <v>208</v>
      </c>
      <c r="AE297" s="87">
        <v>0.0</v>
      </c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3"/>
      <c r="Q298" s="3"/>
      <c r="R298" s="4"/>
      <c r="S298" s="4"/>
      <c r="T298" s="4"/>
      <c r="U298" s="4"/>
      <c r="V298" s="4"/>
      <c r="W298" s="4"/>
      <c r="X298" s="4"/>
      <c r="Y298" s="4"/>
      <c r="Z298" s="166">
        <v>46265.0</v>
      </c>
      <c r="AA298" s="87" t="s">
        <v>215</v>
      </c>
      <c r="AB298" s="161">
        <v>46022.0</v>
      </c>
      <c r="AC298" s="161"/>
      <c r="AD298" s="87" t="s">
        <v>23</v>
      </c>
      <c r="AE298" s="87">
        <v>0.0</v>
      </c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3"/>
      <c r="Q299" s="3"/>
      <c r="R299" s="4"/>
      <c r="S299" s="4"/>
      <c r="T299" s="4"/>
      <c r="U299" s="4"/>
      <c r="V299" s="4"/>
      <c r="W299" s="4"/>
      <c r="X299" s="4"/>
      <c r="Y299" s="4"/>
      <c r="Z299" s="166">
        <v>46265.0</v>
      </c>
      <c r="AA299" s="87" t="s">
        <v>215</v>
      </c>
      <c r="AB299" s="161">
        <v>46053.0</v>
      </c>
      <c r="AC299" s="161"/>
      <c r="AD299" s="87" t="s">
        <v>184</v>
      </c>
      <c r="AE299" s="87">
        <v>0.0</v>
      </c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3"/>
      <c r="Q300" s="3"/>
      <c r="R300" s="4"/>
      <c r="S300" s="4"/>
      <c r="T300" s="4"/>
      <c r="U300" s="4"/>
      <c r="V300" s="4"/>
      <c r="W300" s="4"/>
      <c r="X300" s="4"/>
      <c r="Y300" s="4"/>
      <c r="Z300" s="166">
        <v>46265.0</v>
      </c>
      <c r="AA300" s="87" t="s">
        <v>215</v>
      </c>
      <c r="AB300" s="161">
        <v>46053.0</v>
      </c>
      <c r="AC300" s="161"/>
      <c r="AD300" s="87" t="s">
        <v>185</v>
      </c>
      <c r="AE300" s="87">
        <v>0.0</v>
      </c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3"/>
      <c r="Q301" s="3"/>
      <c r="R301" s="4"/>
      <c r="S301" s="4"/>
      <c r="T301" s="4"/>
      <c r="U301" s="4"/>
      <c r="V301" s="4"/>
      <c r="W301" s="4"/>
      <c r="X301" s="4"/>
      <c r="Y301" s="4"/>
      <c r="Z301" s="166">
        <v>46265.0</v>
      </c>
      <c r="AA301" s="87" t="s">
        <v>215</v>
      </c>
      <c r="AB301" s="161">
        <v>46053.0</v>
      </c>
      <c r="AC301" s="161"/>
      <c r="AD301" s="87" t="s">
        <v>186</v>
      </c>
      <c r="AE301" s="87">
        <v>0.0</v>
      </c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3"/>
      <c r="Q302" s="3"/>
      <c r="R302" s="4"/>
      <c r="S302" s="4"/>
      <c r="T302" s="4"/>
      <c r="U302" s="4"/>
      <c r="V302" s="4"/>
      <c r="W302" s="4"/>
      <c r="X302" s="4"/>
      <c r="Y302" s="4"/>
      <c r="Z302" s="166">
        <v>46265.0</v>
      </c>
      <c r="AA302" s="87" t="s">
        <v>215</v>
      </c>
      <c r="AB302" s="161">
        <v>46053.0</v>
      </c>
      <c r="AC302" s="161"/>
      <c r="AD302" s="87" t="s">
        <v>187</v>
      </c>
      <c r="AE302" s="87">
        <v>0.0</v>
      </c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3"/>
      <c r="Q303" s="3"/>
      <c r="R303" s="4"/>
      <c r="S303" s="4"/>
      <c r="T303" s="4"/>
      <c r="U303" s="4"/>
      <c r="V303" s="4"/>
      <c r="W303" s="4"/>
      <c r="X303" s="4"/>
      <c r="Y303" s="4"/>
      <c r="Z303" s="166">
        <v>46265.0</v>
      </c>
      <c r="AA303" s="87" t="s">
        <v>215</v>
      </c>
      <c r="AB303" s="161">
        <v>46053.0</v>
      </c>
      <c r="AC303" s="161"/>
      <c r="AD303" s="87" t="s">
        <v>188</v>
      </c>
      <c r="AE303" s="87">
        <v>0.0</v>
      </c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3"/>
      <c r="Q304" s="3"/>
      <c r="R304" s="4"/>
      <c r="S304" s="4"/>
      <c r="T304" s="4"/>
      <c r="U304" s="4"/>
      <c r="V304" s="4"/>
      <c r="W304" s="4"/>
      <c r="X304" s="4"/>
      <c r="Y304" s="4"/>
      <c r="Z304" s="166">
        <v>46265.0</v>
      </c>
      <c r="AA304" s="87" t="s">
        <v>215</v>
      </c>
      <c r="AB304" s="161">
        <v>46053.0</v>
      </c>
      <c r="AC304" s="161"/>
      <c r="AD304" s="87" t="s">
        <v>189</v>
      </c>
      <c r="AE304" s="87">
        <v>0.0</v>
      </c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3"/>
      <c r="Q305" s="3"/>
      <c r="R305" s="4"/>
      <c r="S305" s="4"/>
      <c r="T305" s="4"/>
      <c r="U305" s="4"/>
      <c r="V305" s="4"/>
      <c r="W305" s="4"/>
      <c r="X305" s="4"/>
      <c r="Y305" s="4"/>
      <c r="Z305" s="166">
        <v>46265.0</v>
      </c>
      <c r="AA305" s="87" t="s">
        <v>215</v>
      </c>
      <c r="AB305" s="161">
        <v>46053.0</v>
      </c>
      <c r="AC305" s="161"/>
      <c r="AD305" s="87" t="s">
        <v>190</v>
      </c>
      <c r="AE305" s="87">
        <v>0.0</v>
      </c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3"/>
      <c r="Q306" s="3"/>
      <c r="R306" s="4"/>
      <c r="S306" s="4"/>
      <c r="T306" s="4"/>
      <c r="U306" s="4"/>
      <c r="V306" s="4"/>
      <c r="W306" s="4"/>
      <c r="X306" s="4"/>
      <c r="Y306" s="4"/>
      <c r="Z306" s="166">
        <v>46265.0</v>
      </c>
      <c r="AA306" s="87" t="s">
        <v>215</v>
      </c>
      <c r="AB306" s="161">
        <v>46053.0</v>
      </c>
      <c r="AC306" s="161"/>
      <c r="AD306" s="87" t="s">
        <v>191</v>
      </c>
      <c r="AE306" s="87">
        <v>0.0</v>
      </c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3"/>
      <c r="Q307" s="3"/>
      <c r="R307" s="4"/>
      <c r="S307" s="4"/>
      <c r="T307" s="4"/>
      <c r="U307" s="4"/>
      <c r="V307" s="4"/>
      <c r="W307" s="4"/>
      <c r="X307" s="4"/>
      <c r="Y307" s="4"/>
      <c r="Z307" s="166">
        <v>46265.0</v>
      </c>
      <c r="AA307" s="87" t="s">
        <v>215</v>
      </c>
      <c r="AB307" s="161">
        <v>46053.0</v>
      </c>
      <c r="AC307" s="161"/>
      <c r="AD307" s="87" t="s">
        <v>192</v>
      </c>
      <c r="AE307" s="87">
        <v>0.0</v>
      </c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3"/>
      <c r="Q308" s="3"/>
      <c r="R308" s="4"/>
      <c r="S308" s="4"/>
      <c r="T308" s="4"/>
      <c r="U308" s="4"/>
      <c r="V308" s="4"/>
      <c r="W308" s="4"/>
      <c r="X308" s="4"/>
      <c r="Y308" s="4"/>
      <c r="Z308" s="166">
        <v>46265.0</v>
      </c>
      <c r="AA308" s="87" t="s">
        <v>215</v>
      </c>
      <c r="AB308" s="161">
        <v>46053.0</v>
      </c>
      <c r="AC308" s="161"/>
      <c r="AD308" s="87" t="s">
        <v>193</v>
      </c>
      <c r="AE308" s="87">
        <v>0.0</v>
      </c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3"/>
      <c r="Q309" s="3"/>
      <c r="R309" s="4"/>
      <c r="S309" s="4"/>
      <c r="T309" s="4"/>
      <c r="U309" s="4"/>
      <c r="V309" s="4"/>
      <c r="W309" s="4"/>
      <c r="X309" s="4"/>
      <c r="Y309" s="4"/>
      <c r="Z309" s="166">
        <v>46265.0</v>
      </c>
      <c r="AA309" s="87" t="s">
        <v>215</v>
      </c>
      <c r="AB309" s="161">
        <v>46053.0</v>
      </c>
      <c r="AC309" s="161"/>
      <c r="AD309" s="87" t="s">
        <v>194</v>
      </c>
      <c r="AE309" s="87">
        <v>0.0</v>
      </c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3"/>
      <c r="Q310" s="3"/>
      <c r="R310" s="4"/>
      <c r="S310" s="4"/>
      <c r="T310" s="4"/>
      <c r="U310" s="4"/>
      <c r="V310" s="4"/>
      <c r="W310" s="4"/>
      <c r="X310" s="4"/>
      <c r="Y310" s="4"/>
      <c r="Z310" s="166">
        <v>46265.0</v>
      </c>
      <c r="AA310" s="87" t="s">
        <v>215</v>
      </c>
      <c r="AB310" s="161">
        <v>46053.0</v>
      </c>
      <c r="AC310" s="161"/>
      <c r="AD310" s="87" t="s">
        <v>196</v>
      </c>
      <c r="AE310" s="87">
        <v>0.0</v>
      </c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3"/>
      <c r="Q311" s="3"/>
      <c r="R311" s="4"/>
      <c r="S311" s="4"/>
      <c r="T311" s="4"/>
      <c r="U311" s="4"/>
      <c r="V311" s="4"/>
      <c r="W311" s="4"/>
      <c r="X311" s="4"/>
      <c r="Y311" s="4"/>
      <c r="Z311" s="166">
        <v>46265.0</v>
      </c>
      <c r="AA311" s="87" t="s">
        <v>215</v>
      </c>
      <c r="AB311" s="161">
        <v>46053.0</v>
      </c>
      <c r="AC311" s="161"/>
      <c r="AD311" s="87" t="s">
        <v>198</v>
      </c>
      <c r="AE311" s="87">
        <v>0.0</v>
      </c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3"/>
      <c r="Q312" s="3"/>
      <c r="R312" s="4"/>
      <c r="S312" s="4"/>
      <c r="T312" s="4"/>
      <c r="U312" s="4"/>
      <c r="V312" s="4"/>
      <c r="W312" s="4"/>
      <c r="X312" s="4"/>
      <c r="Y312" s="4"/>
      <c r="Z312" s="166">
        <v>46265.0</v>
      </c>
      <c r="AA312" s="87" t="s">
        <v>215</v>
      </c>
      <c r="AB312" s="161">
        <v>46053.0</v>
      </c>
      <c r="AC312" s="161"/>
      <c r="AD312" s="87" t="s">
        <v>200</v>
      </c>
      <c r="AE312" s="87">
        <v>0.0</v>
      </c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3"/>
      <c r="Q313" s="3"/>
      <c r="R313" s="4"/>
      <c r="S313" s="4"/>
      <c r="T313" s="4"/>
      <c r="U313" s="4"/>
      <c r="V313" s="4"/>
      <c r="W313" s="4"/>
      <c r="X313" s="4"/>
      <c r="Y313" s="4"/>
      <c r="Z313" s="166">
        <v>46265.0</v>
      </c>
      <c r="AA313" s="87" t="s">
        <v>215</v>
      </c>
      <c r="AB313" s="166">
        <v>46053.0</v>
      </c>
      <c r="AC313" s="166"/>
      <c r="AD313" s="87" t="s">
        <v>202</v>
      </c>
      <c r="AE313" s="87">
        <v>0.0</v>
      </c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3"/>
      <c r="Q314" s="3"/>
      <c r="R314" s="4"/>
      <c r="S314" s="4"/>
      <c r="T314" s="4"/>
      <c r="U314" s="4"/>
      <c r="V314" s="4"/>
      <c r="W314" s="4"/>
      <c r="X314" s="4"/>
      <c r="Y314" s="4"/>
      <c r="Z314" s="166">
        <v>46265.0</v>
      </c>
      <c r="AA314" s="87" t="s">
        <v>215</v>
      </c>
      <c r="AB314" s="166">
        <v>46053.0</v>
      </c>
      <c r="AC314" s="166"/>
      <c r="AD314" s="87" t="s">
        <v>203</v>
      </c>
      <c r="AE314" s="87">
        <v>0.0</v>
      </c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3"/>
      <c r="Q315" s="3"/>
      <c r="R315" s="4"/>
      <c r="S315" s="4"/>
      <c r="T315" s="4"/>
      <c r="U315" s="4"/>
      <c r="V315" s="4"/>
      <c r="W315" s="4"/>
      <c r="X315" s="4"/>
      <c r="Y315" s="4"/>
      <c r="Z315" s="166">
        <v>46265.0</v>
      </c>
      <c r="AA315" s="87" t="s">
        <v>215</v>
      </c>
      <c r="AB315" s="166">
        <v>46053.0</v>
      </c>
      <c r="AC315" s="166"/>
      <c r="AD315" s="87" t="s">
        <v>56</v>
      </c>
      <c r="AE315" s="87">
        <v>0.0</v>
      </c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3"/>
      <c r="Q316" s="3"/>
      <c r="R316" s="4"/>
      <c r="S316" s="4"/>
      <c r="T316" s="4"/>
      <c r="U316" s="4"/>
      <c r="V316" s="4"/>
      <c r="W316" s="4"/>
      <c r="X316" s="4"/>
      <c r="Y316" s="4"/>
      <c r="Z316" s="166">
        <v>46265.0</v>
      </c>
      <c r="AA316" s="87" t="s">
        <v>215</v>
      </c>
      <c r="AB316" s="166">
        <v>46053.0</v>
      </c>
      <c r="AC316" s="166"/>
      <c r="AD316" s="87" t="s">
        <v>205</v>
      </c>
      <c r="AE316" s="87">
        <v>0.0</v>
      </c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3"/>
      <c r="Q317" s="3"/>
      <c r="R317" s="4"/>
      <c r="S317" s="4"/>
      <c r="T317" s="4"/>
      <c r="U317" s="4"/>
      <c r="V317" s="4"/>
      <c r="W317" s="4"/>
      <c r="X317" s="4"/>
      <c r="Y317" s="4"/>
      <c r="Z317" s="166">
        <v>46265.0</v>
      </c>
      <c r="AA317" s="87" t="s">
        <v>215</v>
      </c>
      <c r="AB317" s="166">
        <v>46053.0</v>
      </c>
      <c r="AC317" s="166"/>
      <c r="AD317" s="87" t="s">
        <v>41</v>
      </c>
      <c r="AE317" s="87">
        <v>0.0</v>
      </c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3"/>
      <c r="Q318" s="3"/>
      <c r="R318" s="4"/>
      <c r="S318" s="4"/>
      <c r="T318" s="4"/>
      <c r="U318" s="4"/>
      <c r="V318" s="4"/>
      <c r="W318" s="4"/>
      <c r="X318" s="4"/>
      <c r="Y318" s="4"/>
      <c r="Z318" s="166">
        <v>46265.0</v>
      </c>
      <c r="AA318" s="87" t="s">
        <v>215</v>
      </c>
      <c r="AB318" s="166">
        <v>46053.0</v>
      </c>
      <c r="AC318" s="166"/>
      <c r="AD318" s="87" t="s">
        <v>208</v>
      </c>
      <c r="AE318" s="87">
        <v>0.0</v>
      </c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3"/>
      <c r="Q319" s="3"/>
      <c r="R319" s="4"/>
      <c r="S319" s="4"/>
      <c r="T319" s="4"/>
      <c r="U319" s="4"/>
      <c r="V319" s="4"/>
      <c r="W319" s="4"/>
      <c r="X319" s="4"/>
      <c r="Y319" s="4"/>
      <c r="Z319" s="166">
        <v>46265.0</v>
      </c>
      <c r="AA319" s="87" t="s">
        <v>215</v>
      </c>
      <c r="AB319" s="166">
        <v>46053.0</v>
      </c>
      <c r="AC319" s="166"/>
      <c r="AD319" s="87" t="s">
        <v>23</v>
      </c>
      <c r="AE319" s="162">
        <v>100000.0</v>
      </c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3"/>
      <c r="Q320" s="3"/>
      <c r="R320" s="4"/>
      <c r="S320" s="4"/>
      <c r="T320" s="4"/>
      <c r="U320" s="4"/>
      <c r="V320" s="4"/>
      <c r="W320" s="4"/>
      <c r="X320" s="4"/>
      <c r="Y320" s="4"/>
      <c r="Z320" s="166">
        <v>46265.0</v>
      </c>
      <c r="AA320" s="87" t="s">
        <v>215</v>
      </c>
      <c r="AB320" s="166">
        <v>46081.0</v>
      </c>
      <c r="AC320" s="166"/>
      <c r="AD320" s="87" t="s">
        <v>184</v>
      </c>
      <c r="AE320" s="87">
        <v>0.0</v>
      </c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3"/>
      <c r="Q321" s="3"/>
      <c r="R321" s="4"/>
      <c r="S321" s="4"/>
      <c r="T321" s="4"/>
      <c r="U321" s="4"/>
      <c r="V321" s="4"/>
      <c r="W321" s="4"/>
      <c r="X321" s="4"/>
      <c r="Y321" s="4"/>
      <c r="Z321" s="166">
        <v>46265.0</v>
      </c>
      <c r="AA321" s="87" t="s">
        <v>215</v>
      </c>
      <c r="AB321" s="166">
        <v>46081.0</v>
      </c>
      <c r="AC321" s="166"/>
      <c r="AD321" s="87" t="s">
        <v>185</v>
      </c>
      <c r="AE321" s="87">
        <v>0.0</v>
      </c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3"/>
      <c r="Q322" s="3"/>
      <c r="R322" s="4"/>
      <c r="S322" s="4"/>
      <c r="T322" s="4"/>
      <c r="U322" s="4"/>
      <c r="V322" s="4"/>
      <c r="W322" s="4"/>
      <c r="X322" s="4"/>
      <c r="Y322" s="4"/>
      <c r="Z322" s="166">
        <v>46265.0</v>
      </c>
      <c r="AA322" s="87" t="s">
        <v>215</v>
      </c>
      <c r="AB322" s="166">
        <v>46081.0</v>
      </c>
      <c r="AC322" s="166"/>
      <c r="AD322" s="87" t="s">
        <v>186</v>
      </c>
      <c r="AE322" s="87">
        <v>0.0</v>
      </c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3"/>
      <c r="Q323" s="3"/>
      <c r="R323" s="4"/>
      <c r="S323" s="4"/>
      <c r="T323" s="4"/>
      <c r="U323" s="4"/>
      <c r="V323" s="4"/>
      <c r="W323" s="4"/>
      <c r="X323" s="4"/>
      <c r="Y323" s="4"/>
      <c r="Z323" s="166">
        <v>46265.0</v>
      </c>
      <c r="AA323" s="87" t="s">
        <v>215</v>
      </c>
      <c r="AB323" s="166">
        <v>46081.0</v>
      </c>
      <c r="AC323" s="166"/>
      <c r="AD323" s="87" t="s">
        <v>187</v>
      </c>
      <c r="AE323" s="87">
        <v>0.0</v>
      </c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3"/>
      <c r="Q324" s="3"/>
      <c r="R324" s="4"/>
      <c r="S324" s="4"/>
      <c r="T324" s="4"/>
      <c r="U324" s="4"/>
      <c r="V324" s="4"/>
      <c r="W324" s="4"/>
      <c r="X324" s="4"/>
      <c r="Y324" s="4"/>
      <c r="Z324" s="166">
        <v>46265.0</v>
      </c>
      <c r="AA324" s="87" t="s">
        <v>215</v>
      </c>
      <c r="AB324" s="166">
        <v>46081.0</v>
      </c>
      <c r="AC324" s="166"/>
      <c r="AD324" s="87" t="s">
        <v>188</v>
      </c>
      <c r="AE324" s="87">
        <v>0.0</v>
      </c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3"/>
      <c r="Q325" s="3"/>
      <c r="R325" s="4"/>
      <c r="S325" s="4"/>
      <c r="T325" s="4"/>
      <c r="U325" s="4"/>
      <c r="V325" s="4"/>
      <c r="W325" s="4"/>
      <c r="X325" s="4"/>
      <c r="Y325" s="4"/>
      <c r="Z325" s="166">
        <v>46265.0</v>
      </c>
      <c r="AA325" s="87" t="s">
        <v>215</v>
      </c>
      <c r="AB325" s="166">
        <v>46081.0</v>
      </c>
      <c r="AC325" s="166"/>
      <c r="AD325" s="87" t="s">
        <v>189</v>
      </c>
      <c r="AE325" s="87">
        <v>0.0</v>
      </c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3"/>
      <c r="Q326" s="3"/>
      <c r="R326" s="4"/>
      <c r="S326" s="4"/>
      <c r="T326" s="4"/>
      <c r="U326" s="4"/>
      <c r="V326" s="4"/>
      <c r="W326" s="4"/>
      <c r="X326" s="4"/>
      <c r="Y326" s="4"/>
      <c r="Z326" s="166">
        <v>46265.0</v>
      </c>
      <c r="AA326" s="87" t="s">
        <v>215</v>
      </c>
      <c r="AB326" s="166">
        <v>46081.0</v>
      </c>
      <c r="AC326" s="166"/>
      <c r="AD326" s="87" t="s">
        <v>190</v>
      </c>
      <c r="AE326" s="87">
        <v>0.0</v>
      </c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3"/>
      <c r="Q327" s="3"/>
      <c r="R327" s="4"/>
      <c r="S327" s="4"/>
      <c r="T327" s="4"/>
      <c r="U327" s="4"/>
      <c r="V327" s="4"/>
      <c r="W327" s="4"/>
      <c r="X327" s="4"/>
      <c r="Y327" s="4"/>
      <c r="Z327" s="166">
        <v>46265.0</v>
      </c>
      <c r="AA327" s="87" t="s">
        <v>215</v>
      </c>
      <c r="AB327" s="166">
        <v>46081.0</v>
      </c>
      <c r="AC327" s="166"/>
      <c r="AD327" s="87" t="s">
        <v>191</v>
      </c>
      <c r="AE327" s="87">
        <v>0.0</v>
      </c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3"/>
      <c r="Q328" s="3"/>
      <c r="R328" s="4"/>
      <c r="S328" s="4"/>
      <c r="T328" s="4"/>
      <c r="U328" s="4"/>
      <c r="V328" s="4"/>
      <c r="W328" s="4"/>
      <c r="X328" s="4"/>
      <c r="Y328" s="4"/>
      <c r="Z328" s="166">
        <v>46265.0</v>
      </c>
      <c r="AA328" s="87" t="s">
        <v>215</v>
      </c>
      <c r="AB328" s="166">
        <v>46081.0</v>
      </c>
      <c r="AC328" s="166"/>
      <c r="AD328" s="87" t="s">
        <v>192</v>
      </c>
      <c r="AE328" s="87">
        <v>0.0</v>
      </c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3"/>
      <c r="Q329" s="3"/>
      <c r="R329" s="4"/>
      <c r="S329" s="4"/>
      <c r="T329" s="4"/>
      <c r="U329" s="4"/>
      <c r="V329" s="4"/>
      <c r="W329" s="4"/>
      <c r="X329" s="4"/>
      <c r="Y329" s="4"/>
      <c r="Z329" s="166">
        <v>46265.0</v>
      </c>
      <c r="AA329" s="87" t="s">
        <v>215</v>
      </c>
      <c r="AB329" s="166">
        <v>46081.0</v>
      </c>
      <c r="AC329" s="166"/>
      <c r="AD329" s="87" t="s">
        <v>193</v>
      </c>
      <c r="AE329" s="87">
        <v>0.0</v>
      </c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3"/>
      <c r="Q330" s="3"/>
      <c r="R330" s="4"/>
      <c r="S330" s="4"/>
      <c r="T330" s="4"/>
      <c r="U330" s="4"/>
      <c r="V330" s="4"/>
      <c r="W330" s="4"/>
      <c r="X330" s="4"/>
      <c r="Y330" s="4"/>
      <c r="Z330" s="166">
        <v>46265.0</v>
      </c>
      <c r="AA330" s="87" t="s">
        <v>215</v>
      </c>
      <c r="AB330" s="166">
        <v>46081.0</v>
      </c>
      <c r="AC330" s="166"/>
      <c r="AD330" s="87" t="s">
        <v>194</v>
      </c>
      <c r="AE330" s="87">
        <v>0.0</v>
      </c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3"/>
      <c r="Q331" s="3"/>
      <c r="R331" s="4"/>
      <c r="S331" s="4"/>
      <c r="T331" s="4"/>
      <c r="U331" s="4"/>
      <c r="V331" s="4"/>
      <c r="W331" s="4"/>
      <c r="X331" s="4"/>
      <c r="Y331" s="4"/>
      <c r="Z331" s="166">
        <v>46265.0</v>
      </c>
      <c r="AA331" s="87" t="s">
        <v>215</v>
      </c>
      <c r="AB331" s="166">
        <v>46081.0</v>
      </c>
      <c r="AC331" s="166"/>
      <c r="AD331" s="87" t="s">
        <v>196</v>
      </c>
      <c r="AE331" s="87">
        <v>0.0</v>
      </c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3"/>
      <c r="Q332" s="3"/>
      <c r="R332" s="4"/>
      <c r="S332" s="4"/>
      <c r="T332" s="4"/>
      <c r="U332" s="4"/>
      <c r="V332" s="4"/>
      <c r="W332" s="4"/>
      <c r="X332" s="4"/>
      <c r="Y332" s="4"/>
      <c r="Z332" s="166">
        <v>46265.0</v>
      </c>
      <c r="AA332" s="87" t="s">
        <v>215</v>
      </c>
      <c r="AB332" s="166">
        <v>46081.0</v>
      </c>
      <c r="AC332" s="166"/>
      <c r="AD332" s="87" t="s">
        <v>198</v>
      </c>
      <c r="AE332" s="87">
        <v>0.0</v>
      </c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3"/>
      <c r="Q333" s="3"/>
      <c r="R333" s="4"/>
      <c r="S333" s="4"/>
      <c r="T333" s="4"/>
      <c r="U333" s="4"/>
      <c r="V333" s="4"/>
      <c r="W333" s="4"/>
      <c r="X333" s="4"/>
      <c r="Y333" s="4"/>
      <c r="Z333" s="166">
        <v>46265.0</v>
      </c>
      <c r="AA333" s="87" t="s">
        <v>215</v>
      </c>
      <c r="AB333" s="166">
        <v>46081.0</v>
      </c>
      <c r="AC333" s="166"/>
      <c r="AD333" s="87" t="s">
        <v>200</v>
      </c>
      <c r="AE333" s="162">
        <v>0.0</v>
      </c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3"/>
      <c r="Q334" s="3"/>
      <c r="R334" s="4"/>
      <c r="S334" s="4"/>
      <c r="T334" s="4"/>
      <c r="U334" s="4"/>
      <c r="V334" s="4"/>
      <c r="W334" s="4"/>
      <c r="X334" s="4"/>
      <c r="Y334" s="4"/>
      <c r="Z334" s="166">
        <v>46265.0</v>
      </c>
      <c r="AA334" s="87" t="s">
        <v>215</v>
      </c>
      <c r="AB334" s="166">
        <v>46081.0</v>
      </c>
      <c r="AC334" s="166"/>
      <c r="AD334" s="87" t="s">
        <v>202</v>
      </c>
      <c r="AE334" s="162">
        <v>0.0</v>
      </c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3"/>
      <c r="Q335" s="3"/>
      <c r="R335" s="4"/>
      <c r="S335" s="4"/>
      <c r="T335" s="4"/>
      <c r="U335" s="4"/>
      <c r="V335" s="4"/>
      <c r="W335" s="4"/>
      <c r="X335" s="4"/>
      <c r="Y335" s="4"/>
      <c r="Z335" s="166">
        <v>46265.0</v>
      </c>
      <c r="AA335" s="87" t="s">
        <v>215</v>
      </c>
      <c r="AB335" s="166">
        <v>46081.0</v>
      </c>
      <c r="AC335" s="166"/>
      <c r="AD335" s="87" t="s">
        <v>203</v>
      </c>
      <c r="AE335" s="87">
        <v>0.0</v>
      </c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3"/>
      <c r="Q336" s="3"/>
      <c r="R336" s="4"/>
      <c r="S336" s="4"/>
      <c r="T336" s="4"/>
      <c r="U336" s="4"/>
      <c r="V336" s="4"/>
      <c r="W336" s="4"/>
      <c r="X336" s="4"/>
      <c r="Y336" s="4"/>
      <c r="Z336" s="166">
        <v>46265.0</v>
      </c>
      <c r="AA336" s="87" t="s">
        <v>215</v>
      </c>
      <c r="AB336" s="166">
        <v>46081.0</v>
      </c>
      <c r="AC336" s="166"/>
      <c r="AD336" s="87" t="s">
        <v>56</v>
      </c>
      <c r="AE336" s="87">
        <v>0.0</v>
      </c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3"/>
      <c r="Q337" s="3"/>
      <c r="R337" s="4"/>
      <c r="S337" s="4"/>
      <c r="T337" s="4"/>
      <c r="U337" s="4"/>
      <c r="V337" s="4"/>
      <c r="W337" s="4"/>
      <c r="X337" s="4"/>
      <c r="Y337" s="4"/>
      <c r="Z337" s="166">
        <v>46265.0</v>
      </c>
      <c r="AA337" s="87" t="s">
        <v>215</v>
      </c>
      <c r="AB337" s="166">
        <v>46081.0</v>
      </c>
      <c r="AC337" s="166"/>
      <c r="AD337" s="87" t="s">
        <v>205</v>
      </c>
      <c r="AE337" s="87">
        <v>0.0</v>
      </c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3"/>
      <c r="Q338" s="3"/>
      <c r="R338" s="4"/>
      <c r="S338" s="4"/>
      <c r="T338" s="4"/>
      <c r="U338" s="4"/>
      <c r="V338" s="4"/>
      <c r="W338" s="4"/>
      <c r="X338" s="4"/>
      <c r="Y338" s="4"/>
      <c r="Z338" s="166">
        <v>46265.0</v>
      </c>
      <c r="AA338" s="87" t="s">
        <v>215</v>
      </c>
      <c r="AB338" s="166">
        <v>46081.0</v>
      </c>
      <c r="AC338" s="166"/>
      <c r="AD338" s="87" t="s">
        <v>41</v>
      </c>
      <c r="AE338" s="87">
        <v>0.0</v>
      </c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3"/>
      <c r="Q339" s="3"/>
      <c r="R339" s="4"/>
      <c r="S339" s="4"/>
      <c r="T339" s="4"/>
      <c r="U339" s="4"/>
      <c r="V339" s="4"/>
      <c r="W339" s="4"/>
      <c r="X339" s="4"/>
      <c r="Y339" s="4"/>
      <c r="Z339" s="166">
        <v>46265.0</v>
      </c>
      <c r="AA339" s="87" t="s">
        <v>215</v>
      </c>
      <c r="AB339" s="166">
        <v>46081.0</v>
      </c>
      <c r="AC339" s="166"/>
      <c r="AD339" s="87" t="s">
        <v>208</v>
      </c>
      <c r="AE339" s="87">
        <v>0.0</v>
      </c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3"/>
      <c r="Q340" s="3"/>
      <c r="R340" s="4"/>
      <c r="S340" s="4"/>
      <c r="T340" s="4"/>
      <c r="U340" s="4"/>
      <c r="V340" s="4"/>
      <c r="W340" s="4"/>
      <c r="X340" s="4"/>
      <c r="Y340" s="4"/>
      <c r="Z340" s="166">
        <v>46265.0</v>
      </c>
      <c r="AA340" s="87" t="s">
        <v>215</v>
      </c>
      <c r="AB340" s="166">
        <v>46081.0</v>
      </c>
      <c r="AC340" s="166"/>
      <c r="AD340" s="87" t="s">
        <v>23</v>
      </c>
      <c r="AE340" s="162">
        <v>15000.0</v>
      </c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3"/>
      <c r="Q341" s="3"/>
      <c r="R341" s="4"/>
      <c r="S341" s="4"/>
      <c r="T341" s="4"/>
      <c r="U341" s="4"/>
      <c r="V341" s="4"/>
      <c r="W341" s="4"/>
      <c r="X341" s="4"/>
      <c r="Y341" s="4"/>
      <c r="Z341" s="166">
        <v>46265.0</v>
      </c>
      <c r="AA341" s="87" t="s">
        <v>215</v>
      </c>
      <c r="AB341" s="166">
        <v>46112.0</v>
      </c>
      <c r="AC341" s="166"/>
      <c r="AD341" s="87" t="s">
        <v>184</v>
      </c>
      <c r="AE341" s="162">
        <v>181188.0</v>
      </c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3"/>
      <c r="Q342" s="3"/>
      <c r="R342" s="4"/>
      <c r="S342" s="4"/>
      <c r="T342" s="4"/>
      <c r="U342" s="4"/>
      <c r="V342" s="4"/>
      <c r="W342" s="4"/>
      <c r="X342" s="4"/>
      <c r="Y342" s="4"/>
      <c r="Z342" s="166">
        <v>46265.0</v>
      </c>
      <c r="AA342" s="87" t="s">
        <v>215</v>
      </c>
      <c r="AB342" s="166">
        <v>46112.0</v>
      </c>
      <c r="AC342" s="166"/>
      <c r="AD342" s="87" t="s">
        <v>185</v>
      </c>
      <c r="AE342" s="87">
        <v>0.0</v>
      </c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3"/>
      <c r="Q343" s="3"/>
      <c r="R343" s="4"/>
      <c r="S343" s="4"/>
      <c r="T343" s="4"/>
      <c r="U343" s="4"/>
      <c r="V343" s="4"/>
      <c r="W343" s="4"/>
      <c r="X343" s="4"/>
      <c r="Y343" s="4"/>
      <c r="Z343" s="166">
        <v>46265.0</v>
      </c>
      <c r="AA343" s="87" t="s">
        <v>215</v>
      </c>
      <c r="AB343" s="166">
        <v>46112.0</v>
      </c>
      <c r="AC343" s="166"/>
      <c r="AD343" s="87" t="s">
        <v>186</v>
      </c>
      <c r="AE343" s="162">
        <v>39204.0</v>
      </c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3"/>
      <c r="Q344" s="3"/>
      <c r="R344" s="4"/>
      <c r="S344" s="4"/>
      <c r="T344" s="4"/>
      <c r="U344" s="4"/>
      <c r="V344" s="4"/>
      <c r="W344" s="4"/>
      <c r="X344" s="4"/>
      <c r="Y344" s="4"/>
      <c r="Z344" s="166">
        <v>46265.0</v>
      </c>
      <c r="AA344" s="87" t="s">
        <v>215</v>
      </c>
      <c r="AB344" s="166">
        <v>46112.0</v>
      </c>
      <c r="AC344" s="166"/>
      <c r="AD344" s="87" t="s">
        <v>187</v>
      </c>
      <c r="AE344" s="87">
        <v>0.0</v>
      </c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3"/>
      <c r="Q345" s="3"/>
      <c r="R345" s="4"/>
      <c r="S345" s="4"/>
      <c r="T345" s="4"/>
      <c r="U345" s="4"/>
      <c r="V345" s="4"/>
      <c r="W345" s="4"/>
      <c r="X345" s="4"/>
      <c r="Y345" s="4"/>
      <c r="Z345" s="166">
        <v>46265.0</v>
      </c>
      <c r="AA345" s="87" t="s">
        <v>215</v>
      </c>
      <c r="AB345" s="166">
        <v>46112.0</v>
      </c>
      <c r="AC345" s="166"/>
      <c r="AD345" s="87" t="s">
        <v>188</v>
      </c>
      <c r="AE345" s="87">
        <v>0.0</v>
      </c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3"/>
      <c r="Q346" s="3"/>
      <c r="R346" s="4"/>
      <c r="S346" s="4"/>
      <c r="T346" s="4"/>
      <c r="U346" s="4"/>
      <c r="V346" s="4"/>
      <c r="W346" s="4"/>
      <c r="X346" s="4"/>
      <c r="Y346" s="4"/>
      <c r="Z346" s="166">
        <v>46265.0</v>
      </c>
      <c r="AA346" s="87" t="s">
        <v>215</v>
      </c>
      <c r="AB346" s="166">
        <v>46112.0</v>
      </c>
      <c r="AC346" s="166"/>
      <c r="AD346" s="87" t="s">
        <v>189</v>
      </c>
      <c r="AE346" s="162">
        <v>1050000.0</v>
      </c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3"/>
      <c r="Q347" s="3"/>
      <c r="R347" s="4"/>
      <c r="S347" s="4"/>
      <c r="T347" s="4"/>
      <c r="U347" s="4"/>
      <c r="V347" s="4"/>
      <c r="W347" s="4"/>
      <c r="X347" s="4"/>
      <c r="Y347" s="4"/>
      <c r="Z347" s="166">
        <v>46265.0</v>
      </c>
      <c r="AA347" s="87" t="s">
        <v>215</v>
      </c>
      <c r="AB347" s="166">
        <v>46112.0</v>
      </c>
      <c r="AC347" s="166"/>
      <c r="AD347" s="87" t="s">
        <v>190</v>
      </c>
      <c r="AE347" s="87">
        <v>0.0</v>
      </c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3"/>
      <c r="Q348" s="3"/>
      <c r="R348" s="4"/>
      <c r="S348" s="4"/>
      <c r="T348" s="4"/>
      <c r="U348" s="4"/>
      <c r="V348" s="4"/>
      <c r="W348" s="4"/>
      <c r="X348" s="4"/>
      <c r="Y348" s="4"/>
      <c r="Z348" s="166">
        <v>46265.0</v>
      </c>
      <c r="AA348" s="87" t="s">
        <v>215</v>
      </c>
      <c r="AB348" s="166">
        <v>46112.0</v>
      </c>
      <c r="AC348" s="166"/>
      <c r="AD348" s="87" t="s">
        <v>191</v>
      </c>
      <c r="AE348" s="87">
        <v>0.0</v>
      </c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3"/>
      <c r="Q349" s="3"/>
      <c r="R349" s="4"/>
      <c r="S349" s="4"/>
      <c r="T349" s="4"/>
      <c r="U349" s="4"/>
      <c r="V349" s="4"/>
      <c r="W349" s="4"/>
      <c r="X349" s="4"/>
      <c r="Y349" s="4"/>
      <c r="Z349" s="166">
        <v>46265.0</v>
      </c>
      <c r="AA349" s="87" t="s">
        <v>215</v>
      </c>
      <c r="AB349" s="166">
        <v>46112.0</v>
      </c>
      <c r="AC349" s="166"/>
      <c r="AD349" s="87" t="s">
        <v>192</v>
      </c>
      <c r="AE349" s="87">
        <v>0.0</v>
      </c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3"/>
      <c r="Q350" s="3"/>
      <c r="R350" s="4"/>
      <c r="S350" s="4"/>
      <c r="T350" s="4"/>
      <c r="U350" s="4"/>
      <c r="V350" s="4"/>
      <c r="W350" s="4"/>
      <c r="X350" s="4"/>
      <c r="Y350" s="4"/>
      <c r="Z350" s="166">
        <v>46265.0</v>
      </c>
      <c r="AA350" s="87" t="s">
        <v>215</v>
      </c>
      <c r="AB350" s="166">
        <v>46112.0</v>
      </c>
      <c r="AC350" s="166"/>
      <c r="AD350" s="87" t="s">
        <v>193</v>
      </c>
      <c r="AE350" s="87">
        <v>0.0</v>
      </c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3"/>
      <c r="Q351" s="3"/>
      <c r="R351" s="4"/>
      <c r="S351" s="4"/>
      <c r="T351" s="4"/>
      <c r="U351" s="4"/>
      <c r="V351" s="4"/>
      <c r="W351" s="4"/>
      <c r="X351" s="4"/>
      <c r="Y351" s="4"/>
      <c r="Z351" s="166">
        <v>46265.0</v>
      </c>
      <c r="AA351" s="87" t="s">
        <v>215</v>
      </c>
      <c r="AB351" s="166">
        <v>46112.0</v>
      </c>
      <c r="AC351" s="166"/>
      <c r="AD351" s="87" t="s">
        <v>194</v>
      </c>
      <c r="AE351" s="87">
        <v>0.0</v>
      </c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3"/>
      <c r="Q352" s="3"/>
      <c r="R352" s="4"/>
      <c r="S352" s="4"/>
      <c r="T352" s="4"/>
      <c r="U352" s="4"/>
      <c r="V352" s="4"/>
      <c r="W352" s="4"/>
      <c r="X352" s="4"/>
      <c r="Y352" s="4"/>
      <c r="Z352" s="166">
        <v>46265.0</v>
      </c>
      <c r="AA352" s="87" t="s">
        <v>215</v>
      </c>
      <c r="AB352" s="166">
        <v>46112.0</v>
      </c>
      <c r="AC352" s="166"/>
      <c r="AD352" s="87" t="s">
        <v>196</v>
      </c>
      <c r="AE352" s="87">
        <v>0.0</v>
      </c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3"/>
      <c r="Q353" s="3"/>
      <c r="R353" s="4"/>
      <c r="S353" s="4"/>
      <c r="T353" s="4"/>
      <c r="U353" s="4"/>
      <c r="V353" s="4"/>
      <c r="W353" s="4"/>
      <c r="X353" s="4"/>
      <c r="Y353" s="4"/>
      <c r="Z353" s="166">
        <v>46265.0</v>
      </c>
      <c r="AA353" s="87" t="s">
        <v>215</v>
      </c>
      <c r="AB353" s="166">
        <v>46112.0</v>
      </c>
      <c r="AC353" s="166"/>
      <c r="AD353" s="87" t="s">
        <v>198</v>
      </c>
      <c r="AE353" s="87">
        <v>0.0</v>
      </c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3"/>
      <c r="Q354" s="3"/>
      <c r="R354" s="4"/>
      <c r="S354" s="4"/>
      <c r="T354" s="4"/>
      <c r="U354" s="4"/>
      <c r="V354" s="4"/>
      <c r="W354" s="4"/>
      <c r="X354" s="4"/>
      <c r="Y354" s="4"/>
      <c r="Z354" s="166">
        <v>46265.0</v>
      </c>
      <c r="AA354" s="87" t="s">
        <v>215</v>
      </c>
      <c r="AB354" s="166">
        <v>46112.0</v>
      </c>
      <c r="AC354" s="166"/>
      <c r="AD354" s="87" t="s">
        <v>200</v>
      </c>
      <c r="AE354" s="87">
        <v>0.0</v>
      </c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3"/>
      <c r="Q355" s="3"/>
      <c r="R355" s="4"/>
      <c r="S355" s="4"/>
      <c r="T355" s="4"/>
      <c r="U355" s="4"/>
      <c r="V355" s="4"/>
      <c r="W355" s="4"/>
      <c r="X355" s="4"/>
      <c r="Y355" s="4"/>
      <c r="Z355" s="166">
        <v>46265.0</v>
      </c>
      <c r="AA355" s="87" t="s">
        <v>215</v>
      </c>
      <c r="AB355" s="166">
        <v>46112.0</v>
      </c>
      <c r="AC355" s="166"/>
      <c r="AD355" s="87" t="s">
        <v>202</v>
      </c>
      <c r="AE355" s="162">
        <v>310000.0</v>
      </c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3"/>
      <c r="Q356" s="3"/>
      <c r="R356" s="4"/>
      <c r="S356" s="4"/>
      <c r="T356" s="4"/>
      <c r="U356" s="4"/>
      <c r="V356" s="4"/>
      <c r="W356" s="4"/>
      <c r="X356" s="4"/>
      <c r="Y356" s="4"/>
      <c r="Z356" s="166">
        <v>46265.0</v>
      </c>
      <c r="AA356" s="87" t="s">
        <v>215</v>
      </c>
      <c r="AB356" s="166">
        <v>46112.0</v>
      </c>
      <c r="AC356" s="166"/>
      <c r="AD356" s="87" t="s">
        <v>203</v>
      </c>
      <c r="AE356" s="162">
        <v>0.0</v>
      </c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3"/>
      <c r="Q357" s="3"/>
      <c r="R357" s="4"/>
      <c r="S357" s="4"/>
      <c r="T357" s="4"/>
      <c r="U357" s="4"/>
      <c r="V357" s="4"/>
      <c r="W357" s="4"/>
      <c r="X357" s="4"/>
      <c r="Y357" s="4"/>
      <c r="Z357" s="166">
        <v>46265.0</v>
      </c>
      <c r="AA357" s="87" t="s">
        <v>215</v>
      </c>
      <c r="AB357" s="166">
        <v>46112.0</v>
      </c>
      <c r="AC357" s="166"/>
      <c r="AD357" s="87" t="s">
        <v>56</v>
      </c>
      <c r="AE357" s="162">
        <v>0.0</v>
      </c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3"/>
      <c r="Q358" s="3"/>
      <c r="R358" s="4"/>
      <c r="S358" s="4"/>
      <c r="T358" s="4"/>
      <c r="U358" s="4"/>
      <c r="V358" s="4"/>
      <c r="W358" s="4"/>
      <c r="X358" s="4"/>
      <c r="Y358" s="4"/>
      <c r="Z358" s="166">
        <v>46265.0</v>
      </c>
      <c r="AA358" s="87" t="s">
        <v>215</v>
      </c>
      <c r="AB358" s="166">
        <v>46112.0</v>
      </c>
      <c r="AC358" s="166"/>
      <c r="AD358" s="87" t="s">
        <v>205</v>
      </c>
      <c r="AE358" s="162">
        <v>0.0</v>
      </c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3"/>
      <c r="Q359" s="3"/>
      <c r="R359" s="4"/>
      <c r="S359" s="4"/>
      <c r="T359" s="4"/>
      <c r="U359" s="4"/>
      <c r="V359" s="4"/>
      <c r="W359" s="4"/>
      <c r="X359" s="4"/>
      <c r="Y359" s="4"/>
      <c r="Z359" s="166">
        <v>46265.0</v>
      </c>
      <c r="AA359" s="87" t="s">
        <v>215</v>
      </c>
      <c r="AB359" s="166">
        <v>46112.0</v>
      </c>
      <c r="AC359" s="166"/>
      <c r="AD359" s="87" t="s">
        <v>41</v>
      </c>
      <c r="AE359" s="162">
        <v>0.0</v>
      </c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3"/>
      <c r="Q360" s="3"/>
      <c r="R360" s="4"/>
      <c r="S360" s="4"/>
      <c r="T360" s="4"/>
      <c r="U360" s="4"/>
      <c r="V360" s="4"/>
      <c r="W360" s="4"/>
      <c r="X360" s="4"/>
      <c r="Y360" s="4"/>
      <c r="Z360" s="166">
        <v>46265.0</v>
      </c>
      <c r="AA360" s="87" t="s">
        <v>215</v>
      </c>
      <c r="AB360" s="166">
        <v>46112.0</v>
      </c>
      <c r="AC360" s="166"/>
      <c r="AD360" s="87" t="s">
        <v>208</v>
      </c>
      <c r="AE360" s="162">
        <v>0.0</v>
      </c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3"/>
      <c r="Q361" s="3"/>
      <c r="R361" s="4"/>
      <c r="S361" s="4"/>
      <c r="T361" s="4"/>
      <c r="U361" s="4"/>
      <c r="V361" s="4"/>
      <c r="W361" s="4"/>
      <c r="X361" s="4"/>
      <c r="Y361" s="4"/>
      <c r="Z361" s="166">
        <v>46265.0</v>
      </c>
      <c r="AA361" s="87" t="s">
        <v>215</v>
      </c>
      <c r="AB361" s="166">
        <v>46112.0</v>
      </c>
      <c r="AC361" s="166"/>
      <c r="AD361" s="87" t="s">
        <v>23</v>
      </c>
      <c r="AE361" s="87">
        <v>0.0</v>
      </c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3"/>
      <c r="Q362" s="3"/>
      <c r="R362" s="4"/>
      <c r="S362" s="4"/>
      <c r="T362" s="4"/>
      <c r="U362" s="4"/>
      <c r="V362" s="4"/>
      <c r="W362" s="4"/>
      <c r="X362" s="4"/>
      <c r="Y362" s="4"/>
      <c r="Z362" s="166">
        <v>46265.0</v>
      </c>
      <c r="AA362" s="87" t="s">
        <v>215</v>
      </c>
      <c r="AB362" s="166">
        <v>46142.0</v>
      </c>
      <c r="AC362" s="166"/>
      <c r="AD362" s="87" t="s">
        <v>184</v>
      </c>
      <c r="AE362" s="162">
        <v>0.0</v>
      </c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3"/>
      <c r="Q363" s="3"/>
      <c r="R363" s="4"/>
      <c r="S363" s="4"/>
      <c r="T363" s="4"/>
      <c r="U363" s="4"/>
      <c r="V363" s="4"/>
      <c r="W363" s="4"/>
      <c r="X363" s="4"/>
      <c r="Y363" s="4"/>
      <c r="Z363" s="166">
        <v>46265.0</v>
      </c>
      <c r="AA363" s="87" t="s">
        <v>215</v>
      </c>
      <c r="AB363" s="166">
        <v>46142.0</v>
      </c>
      <c r="AC363" s="166"/>
      <c r="AD363" s="87" t="s">
        <v>185</v>
      </c>
      <c r="AE363" s="162">
        <v>0.0</v>
      </c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3"/>
      <c r="Q364" s="3"/>
      <c r="R364" s="4"/>
      <c r="S364" s="4"/>
      <c r="T364" s="4"/>
      <c r="U364" s="4"/>
      <c r="V364" s="4"/>
      <c r="W364" s="4"/>
      <c r="X364" s="4"/>
      <c r="Y364" s="4"/>
      <c r="Z364" s="166">
        <v>46265.0</v>
      </c>
      <c r="AA364" s="87" t="s">
        <v>215</v>
      </c>
      <c r="AB364" s="166">
        <v>46142.0</v>
      </c>
      <c r="AC364" s="166"/>
      <c r="AD364" s="87" t="s">
        <v>186</v>
      </c>
      <c r="AE364" s="87">
        <v>0.0</v>
      </c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3"/>
      <c r="Q365" s="3"/>
      <c r="R365" s="4"/>
      <c r="S365" s="4"/>
      <c r="T365" s="4"/>
      <c r="U365" s="4"/>
      <c r="V365" s="4"/>
      <c r="W365" s="4"/>
      <c r="X365" s="4"/>
      <c r="Y365" s="4"/>
      <c r="Z365" s="166">
        <v>46265.0</v>
      </c>
      <c r="AA365" s="87" t="s">
        <v>215</v>
      </c>
      <c r="AB365" s="166">
        <v>46142.0</v>
      </c>
      <c r="AC365" s="166"/>
      <c r="AD365" s="87" t="s">
        <v>187</v>
      </c>
      <c r="AE365" s="87">
        <v>0.0</v>
      </c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3"/>
      <c r="Q366" s="3"/>
      <c r="R366" s="4"/>
      <c r="S366" s="4"/>
      <c r="T366" s="4"/>
      <c r="U366" s="4"/>
      <c r="V366" s="4"/>
      <c r="W366" s="4"/>
      <c r="X366" s="4"/>
      <c r="Y366" s="4"/>
      <c r="Z366" s="166">
        <v>46265.0</v>
      </c>
      <c r="AA366" s="87" t="s">
        <v>215</v>
      </c>
      <c r="AB366" s="166">
        <v>46142.0</v>
      </c>
      <c r="AC366" s="166"/>
      <c r="AD366" s="87" t="s">
        <v>188</v>
      </c>
      <c r="AE366" s="87">
        <v>0.0</v>
      </c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3"/>
      <c r="Q367" s="3"/>
      <c r="R367" s="4"/>
      <c r="S367" s="4"/>
      <c r="T367" s="4"/>
      <c r="U367" s="4"/>
      <c r="V367" s="4"/>
      <c r="W367" s="4"/>
      <c r="X367" s="4"/>
      <c r="Y367" s="4"/>
      <c r="Z367" s="166">
        <v>46265.0</v>
      </c>
      <c r="AA367" s="87" t="s">
        <v>215</v>
      </c>
      <c r="AB367" s="166">
        <v>46142.0</v>
      </c>
      <c r="AC367" s="166"/>
      <c r="AD367" s="87" t="s">
        <v>189</v>
      </c>
      <c r="AE367" s="87">
        <v>0.0</v>
      </c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3"/>
      <c r="Q368" s="3"/>
      <c r="R368" s="4"/>
      <c r="S368" s="4"/>
      <c r="T368" s="4"/>
      <c r="U368" s="4"/>
      <c r="V368" s="4"/>
      <c r="W368" s="4"/>
      <c r="X368" s="4"/>
      <c r="Y368" s="4"/>
      <c r="Z368" s="166">
        <v>46265.0</v>
      </c>
      <c r="AA368" s="87" t="s">
        <v>215</v>
      </c>
      <c r="AB368" s="166">
        <v>46142.0</v>
      </c>
      <c r="AC368" s="166"/>
      <c r="AD368" s="87" t="s">
        <v>190</v>
      </c>
      <c r="AE368" s="87">
        <v>0.0</v>
      </c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3"/>
      <c r="Q369" s="3"/>
      <c r="R369" s="4"/>
      <c r="S369" s="4"/>
      <c r="T369" s="4"/>
      <c r="U369" s="4"/>
      <c r="V369" s="4"/>
      <c r="W369" s="4"/>
      <c r="X369" s="4"/>
      <c r="Y369" s="4"/>
      <c r="Z369" s="166">
        <v>46265.0</v>
      </c>
      <c r="AA369" s="87" t="s">
        <v>215</v>
      </c>
      <c r="AB369" s="166">
        <v>46142.0</v>
      </c>
      <c r="AC369" s="166"/>
      <c r="AD369" s="87" t="s">
        <v>191</v>
      </c>
      <c r="AE369" s="87">
        <v>0.0</v>
      </c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3"/>
      <c r="Q370" s="3"/>
      <c r="R370" s="4"/>
      <c r="S370" s="4"/>
      <c r="T370" s="4"/>
      <c r="U370" s="4"/>
      <c r="V370" s="4"/>
      <c r="W370" s="4"/>
      <c r="X370" s="4"/>
      <c r="Y370" s="4"/>
      <c r="Z370" s="166">
        <v>46265.0</v>
      </c>
      <c r="AA370" s="87" t="s">
        <v>215</v>
      </c>
      <c r="AB370" s="166">
        <v>46142.0</v>
      </c>
      <c r="AC370" s="166"/>
      <c r="AD370" s="87" t="s">
        <v>192</v>
      </c>
      <c r="AE370" s="87">
        <v>0.0</v>
      </c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3"/>
      <c r="Q371" s="3"/>
      <c r="R371" s="4"/>
      <c r="S371" s="4"/>
      <c r="T371" s="4"/>
      <c r="U371" s="4"/>
      <c r="V371" s="4"/>
      <c r="W371" s="4"/>
      <c r="X371" s="4"/>
      <c r="Y371" s="4"/>
      <c r="Z371" s="166">
        <v>46265.0</v>
      </c>
      <c r="AA371" s="87" t="s">
        <v>215</v>
      </c>
      <c r="AB371" s="166">
        <v>46142.0</v>
      </c>
      <c r="AC371" s="166"/>
      <c r="AD371" s="87" t="s">
        <v>193</v>
      </c>
      <c r="AE371" s="162">
        <v>0.0</v>
      </c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3"/>
      <c r="Q372" s="3"/>
      <c r="R372" s="4"/>
      <c r="S372" s="4"/>
      <c r="T372" s="4"/>
      <c r="U372" s="4"/>
      <c r="V372" s="4"/>
      <c r="W372" s="4"/>
      <c r="X372" s="4"/>
      <c r="Y372" s="4"/>
      <c r="Z372" s="166">
        <v>46265.0</v>
      </c>
      <c r="AA372" s="87" t="s">
        <v>215</v>
      </c>
      <c r="AB372" s="166">
        <v>46142.0</v>
      </c>
      <c r="AC372" s="166"/>
      <c r="AD372" s="87" t="s">
        <v>194</v>
      </c>
      <c r="AE372" s="162">
        <v>0.0</v>
      </c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3"/>
      <c r="Q373" s="3"/>
      <c r="R373" s="4"/>
      <c r="S373" s="4"/>
      <c r="T373" s="4"/>
      <c r="U373" s="4"/>
      <c r="V373" s="4"/>
      <c r="W373" s="4"/>
      <c r="X373" s="4"/>
      <c r="Y373" s="4"/>
      <c r="Z373" s="166">
        <v>46265.0</v>
      </c>
      <c r="AA373" s="87" t="s">
        <v>215</v>
      </c>
      <c r="AB373" s="166">
        <v>46142.0</v>
      </c>
      <c r="AC373" s="166"/>
      <c r="AD373" s="87" t="s">
        <v>196</v>
      </c>
      <c r="AE373" s="87">
        <v>0.0</v>
      </c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3"/>
      <c r="Q374" s="3"/>
      <c r="R374" s="4"/>
      <c r="S374" s="4"/>
      <c r="T374" s="4"/>
      <c r="U374" s="4"/>
      <c r="V374" s="4"/>
      <c r="W374" s="4"/>
      <c r="X374" s="4"/>
      <c r="Y374" s="4"/>
      <c r="Z374" s="166">
        <v>46265.0</v>
      </c>
      <c r="AA374" s="87" t="s">
        <v>215</v>
      </c>
      <c r="AB374" s="166">
        <v>46142.0</v>
      </c>
      <c r="AC374" s="166"/>
      <c r="AD374" s="87" t="s">
        <v>198</v>
      </c>
      <c r="AE374" s="87">
        <v>0.0</v>
      </c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3"/>
      <c r="Q375" s="3"/>
      <c r="R375" s="4"/>
      <c r="S375" s="4"/>
      <c r="T375" s="4"/>
      <c r="U375" s="4"/>
      <c r="V375" s="4"/>
      <c r="W375" s="4"/>
      <c r="X375" s="4"/>
      <c r="Y375" s="4"/>
      <c r="Z375" s="166">
        <v>46265.0</v>
      </c>
      <c r="AA375" s="87" t="s">
        <v>215</v>
      </c>
      <c r="AB375" s="166">
        <v>46142.0</v>
      </c>
      <c r="AC375" s="166"/>
      <c r="AD375" s="87" t="s">
        <v>200</v>
      </c>
      <c r="AE375" s="87">
        <v>0.0</v>
      </c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3"/>
      <c r="Q376" s="3"/>
      <c r="R376" s="4"/>
      <c r="S376" s="4"/>
      <c r="T376" s="4"/>
      <c r="U376" s="4"/>
      <c r="V376" s="4"/>
      <c r="W376" s="4"/>
      <c r="X376" s="4"/>
      <c r="Y376" s="4"/>
      <c r="Z376" s="166">
        <v>46265.0</v>
      </c>
      <c r="AA376" s="87" t="s">
        <v>215</v>
      </c>
      <c r="AB376" s="166">
        <v>46142.0</v>
      </c>
      <c r="AC376" s="166"/>
      <c r="AD376" s="87" t="s">
        <v>202</v>
      </c>
      <c r="AE376" s="162">
        <v>250000.0</v>
      </c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3"/>
      <c r="Q377" s="3"/>
      <c r="R377" s="4"/>
      <c r="S377" s="4"/>
      <c r="T377" s="4"/>
      <c r="U377" s="4"/>
      <c r="V377" s="4"/>
      <c r="W377" s="4"/>
      <c r="X377" s="4"/>
      <c r="Y377" s="4"/>
      <c r="Z377" s="166">
        <v>46265.0</v>
      </c>
      <c r="AA377" s="87" t="s">
        <v>215</v>
      </c>
      <c r="AB377" s="166">
        <v>46142.0</v>
      </c>
      <c r="AC377" s="166"/>
      <c r="AD377" s="87" t="s">
        <v>203</v>
      </c>
      <c r="AE377" s="87">
        <v>0.0</v>
      </c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3"/>
      <c r="Q378" s="3"/>
      <c r="R378" s="4"/>
      <c r="S378" s="4"/>
      <c r="T378" s="4"/>
      <c r="U378" s="4"/>
      <c r="V378" s="4"/>
      <c r="W378" s="4"/>
      <c r="X378" s="4"/>
      <c r="Y378" s="4"/>
      <c r="Z378" s="166">
        <v>46265.0</v>
      </c>
      <c r="AA378" s="87" t="s">
        <v>215</v>
      </c>
      <c r="AB378" s="166">
        <v>46142.0</v>
      </c>
      <c r="AC378" s="166"/>
      <c r="AD378" s="87" t="s">
        <v>56</v>
      </c>
      <c r="AE378" s="87">
        <v>0.0</v>
      </c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3"/>
      <c r="Q379" s="3"/>
      <c r="R379" s="4"/>
      <c r="S379" s="4"/>
      <c r="T379" s="4"/>
      <c r="U379" s="4"/>
      <c r="V379" s="4"/>
      <c r="W379" s="4"/>
      <c r="X379" s="4"/>
      <c r="Y379" s="4"/>
      <c r="Z379" s="166">
        <v>46265.0</v>
      </c>
      <c r="AA379" s="87" t="s">
        <v>215</v>
      </c>
      <c r="AB379" s="166">
        <v>46142.0</v>
      </c>
      <c r="AC379" s="166"/>
      <c r="AD379" s="87" t="s">
        <v>205</v>
      </c>
      <c r="AE379" s="87">
        <v>0.0</v>
      </c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3"/>
      <c r="Q380" s="3"/>
      <c r="R380" s="4"/>
      <c r="S380" s="4"/>
      <c r="T380" s="4"/>
      <c r="U380" s="4"/>
      <c r="V380" s="4"/>
      <c r="W380" s="4"/>
      <c r="X380" s="4"/>
      <c r="Y380" s="4"/>
      <c r="Z380" s="166">
        <v>46265.0</v>
      </c>
      <c r="AA380" s="87" t="s">
        <v>215</v>
      </c>
      <c r="AB380" s="166">
        <v>46142.0</v>
      </c>
      <c r="AC380" s="166"/>
      <c r="AD380" s="87" t="s">
        <v>41</v>
      </c>
      <c r="AE380" s="87">
        <v>0.0</v>
      </c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3"/>
      <c r="Q381" s="3"/>
      <c r="R381" s="4"/>
      <c r="S381" s="4"/>
      <c r="T381" s="4"/>
      <c r="U381" s="4"/>
      <c r="V381" s="4"/>
      <c r="W381" s="4"/>
      <c r="X381" s="4"/>
      <c r="Y381" s="4"/>
      <c r="Z381" s="166">
        <v>46265.0</v>
      </c>
      <c r="AA381" s="87" t="s">
        <v>215</v>
      </c>
      <c r="AB381" s="166">
        <v>46142.0</v>
      </c>
      <c r="AC381" s="166"/>
      <c r="AD381" s="87" t="s">
        <v>208</v>
      </c>
      <c r="AE381" s="87">
        <v>0.0</v>
      </c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3"/>
      <c r="Q382" s="3"/>
      <c r="R382" s="4"/>
      <c r="S382" s="4"/>
      <c r="T382" s="4"/>
      <c r="U382" s="4"/>
      <c r="V382" s="4"/>
      <c r="W382" s="4"/>
      <c r="X382" s="4"/>
      <c r="Y382" s="4"/>
      <c r="Z382" s="166">
        <v>46265.0</v>
      </c>
      <c r="AA382" s="87" t="s">
        <v>215</v>
      </c>
      <c r="AB382" s="166">
        <v>46142.0</v>
      </c>
      <c r="AC382" s="166"/>
      <c r="AD382" s="87" t="s">
        <v>23</v>
      </c>
      <c r="AE382" s="87">
        <v>0.0</v>
      </c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3"/>
      <c r="Q383" s="3"/>
      <c r="R383" s="4"/>
      <c r="S383" s="4"/>
      <c r="T383" s="4"/>
      <c r="U383" s="4"/>
      <c r="V383" s="4"/>
      <c r="W383" s="4"/>
      <c r="X383" s="4"/>
      <c r="Y383" s="4"/>
      <c r="Z383" s="166">
        <v>46265.0</v>
      </c>
      <c r="AA383" s="87" t="s">
        <v>215</v>
      </c>
      <c r="AB383" s="166">
        <v>46173.0</v>
      </c>
      <c r="AC383" s="166"/>
      <c r="AD383" s="87" t="s">
        <v>184</v>
      </c>
      <c r="AE383" s="87">
        <v>0.0</v>
      </c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3"/>
      <c r="Q384" s="3"/>
      <c r="R384" s="4"/>
      <c r="S384" s="4"/>
      <c r="T384" s="4"/>
      <c r="U384" s="4"/>
      <c r="V384" s="4"/>
      <c r="W384" s="4"/>
      <c r="X384" s="4"/>
      <c r="Y384" s="4"/>
      <c r="Z384" s="166">
        <v>46265.0</v>
      </c>
      <c r="AA384" s="87" t="s">
        <v>215</v>
      </c>
      <c r="AB384" s="166">
        <v>46173.0</v>
      </c>
      <c r="AC384" s="166"/>
      <c r="AD384" s="87" t="s">
        <v>185</v>
      </c>
      <c r="AE384" s="87">
        <v>0.0</v>
      </c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3"/>
      <c r="Q385" s="3"/>
      <c r="R385" s="4"/>
      <c r="S385" s="4"/>
      <c r="T385" s="4"/>
      <c r="U385" s="4"/>
      <c r="V385" s="4"/>
      <c r="W385" s="4"/>
      <c r="X385" s="4"/>
      <c r="Y385" s="4"/>
      <c r="Z385" s="166">
        <v>46265.0</v>
      </c>
      <c r="AA385" s="87" t="s">
        <v>215</v>
      </c>
      <c r="AB385" s="166">
        <v>46173.0</v>
      </c>
      <c r="AC385" s="166"/>
      <c r="AD385" s="87" t="s">
        <v>186</v>
      </c>
      <c r="AE385" s="87">
        <v>0.0</v>
      </c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3"/>
      <c r="Q386" s="3"/>
      <c r="R386" s="4"/>
      <c r="S386" s="4"/>
      <c r="T386" s="4"/>
      <c r="U386" s="4"/>
      <c r="V386" s="4"/>
      <c r="W386" s="4"/>
      <c r="X386" s="4"/>
      <c r="Y386" s="4"/>
      <c r="Z386" s="166">
        <v>46265.0</v>
      </c>
      <c r="AA386" s="87" t="s">
        <v>215</v>
      </c>
      <c r="AB386" s="166">
        <v>46173.0</v>
      </c>
      <c r="AC386" s="166"/>
      <c r="AD386" s="87" t="s">
        <v>187</v>
      </c>
      <c r="AE386" s="87">
        <v>0.0</v>
      </c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3"/>
      <c r="Q387" s="3"/>
      <c r="R387" s="4"/>
      <c r="S387" s="4"/>
      <c r="T387" s="4"/>
      <c r="U387" s="4"/>
      <c r="V387" s="4"/>
      <c r="W387" s="4"/>
      <c r="X387" s="4"/>
      <c r="Y387" s="4"/>
      <c r="Z387" s="166">
        <v>46265.0</v>
      </c>
      <c r="AA387" s="87" t="s">
        <v>215</v>
      </c>
      <c r="AB387" s="166">
        <v>46173.0</v>
      </c>
      <c r="AC387" s="166"/>
      <c r="AD387" s="87" t="s">
        <v>188</v>
      </c>
      <c r="AE387" s="87">
        <v>0.0</v>
      </c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3"/>
      <c r="Q388" s="3"/>
      <c r="R388" s="4"/>
      <c r="S388" s="4"/>
      <c r="T388" s="4"/>
      <c r="U388" s="4"/>
      <c r="V388" s="4"/>
      <c r="W388" s="4"/>
      <c r="X388" s="4"/>
      <c r="Y388" s="4"/>
      <c r="Z388" s="166">
        <v>46265.0</v>
      </c>
      <c r="AA388" s="87" t="s">
        <v>215</v>
      </c>
      <c r="AB388" s="166">
        <v>46173.0</v>
      </c>
      <c r="AC388" s="166"/>
      <c r="AD388" s="87" t="s">
        <v>189</v>
      </c>
      <c r="AE388" s="87">
        <v>0.0</v>
      </c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3"/>
      <c r="Q389" s="3"/>
      <c r="R389" s="4"/>
      <c r="S389" s="4"/>
      <c r="T389" s="4"/>
      <c r="U389" s="4"/>
      <c r="V389" s="4"/>
      <c r="W389" s="4"/>
      <c r="X389" s="4"/>
      <c r="Y389" s="4"/>
      <c r="Z389" s="166">
        <v>46265.0</v>
      </c>
      <c r="AA389" s="87" t="s">
        <v>215</v>
      </c>
      <c r="AB389" s="166">
        <v>46173.0</v>
      </c>
      <c r="AC389" s="166"/>
      <c r="AD389" s="87" t="s">
        <v>190</v>
      </c>
      <c r="AE389" s="87">
        <v>0.0</v>
      </c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3"/>
      <c r="Q390" s="3"/>
      <c r="R390" s="4"/>
      <c r="S390" s="4"/>
      <c r="T390" s="4"/>
      <c r="U390" s="4"/>
      <c r="V390" s="4"/>
      <c r="W390" s="4"/>
      <c r="X390" s="4"/>
      <c r="Y390" s="4"/>
      <c r="Z390" s="166">
        <v>46265.0</v>
      </c>
      <c r="AA390" s="87" t="s">
        <v>215</v>
      </c>
      <c r="AB390" s="166">
        <v>46173.0</v>
      </c>
      <c r="AC390" s="166"/>
      <c r="AD390" s="87" t="s">
        <v>191</v>
      </c>
      <c r="AE390" s="87">
        <v>0.0</v>
      </c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3"/>
      <c r="Q391" s="3"/>
      <c r="R391" s="4"/>
      <c r="S391" s="4"/>
      <c r="T391" s="4"/>
      <c r="U391" s="4"/>
      <c r="V391" s="4"/>
      <c r="W391" s="4"/>
      <c r="X391" s="4"/>
      <c r="Y391" s="4"/>
      <c r="Z391" s="166">
        <v>46265.0</v>
      </c>
      <c r="AA391" s="87" t="s">
        <v>215</v>
      </c>
      <c r="AB391" s="166">
        <v>46173.0</v>
      </c>
      <c r="AC391" s="166"/>
      <c r="AD391" s="87" t="s">
        <v>192</v>
      </c>
      <c r="AE391" s="87">
        <v>0.0</v>
      </c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3"/>
      <c r="Q392" s="3"/>
      <c r="R392" s="4"/>
      <c r="S392" s="4"/>
      <c r="T392" s="4"/>
      <c r="U392" s="4"/>
      <c r="V392" s="4"/>
      <c r="W392" s="4"/>
      <c r="X392" s="4"/>
      <c r="Y392" s="4"/>
      <c r="Z392" s="166">
        <v>46265.0</v>
      </c>
      <c r="AA392" s="87" t="s">
        <v>215</v>
      </c>
      <c r="AB392" s="166">
        <v>46173.0</v>
      </c>
      <c r="AC392" s="166"/>
      <c r="AD392" s="87" t="s">
        <v>193</v>
      </c>
      <c r="AE392" s="87">
        <v>0.0</v>
      </c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3"/>
      <c r="Q393" s="3"/>
      <c r="R393" s="4"/>
      <c r="S393" s="4"/>
      <c r="T393" s="4"/>
      <c r="U393" s="4"/>
      <c r="V393" s="4"/>
      <c r="W393" s="4"/>
      <c r="X393" s="4"/>
      <c r="Y393" s="4"/>
      <c r="Z393" s="166">
        <v>46265.0</v>
      </c>
      <c r="AA393" s="87" t="s">
        <v>215</v>
      </c>
      <c r="AB393" s="166">
        <v>46173.0</v>
      </c>
      <c r="AC393" s="166"/>
      <c r="AD393" s="87" t="s">
        <v>194</v>
      </c>
      <c r="AE393" s="162">
        <v>0.0</v>
      </c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3"/>
      <c r="Q394" s="3"/>
      <c r="R394" s="4"/>
      <c r="S394" s="4"/>
      <c r="T394" s="4"/>
      <c r="U394" s="4"/>
      <c r="V394" s="4"/>
      <c r="W394" s="4"/>
      <c r="X394" s="4"/>
      <c r="Y394" s="4"/>
      <c r="Z394" s="166">
        <v>46265.0</v>
      </c>
      <c r="AA394" s="87" t="s">
        <v>215</v>
      </c>
      <c r="AB394" s="166">
        <v>46173.0</v>
      </c>
      <c r="AC394" s="166"/>
      <c r="AD394" s="87" t="s">
        <v>196</v>
      </c>
      <c r="AE394" s="162">
        <v>0.0</v>
      </c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3"/>
      <c r="Q395" s="3"/>
      <c r="R395" s="4"/>
      <c r="S395" s="4"/>
      <c r="T395" s="4"/>
      <c r="U395" s="4"/>
      <c r="V395" s="4"/>
      <c r="W395" s="4"/>
      <c r="X395" s="4"/>
      <c r="Y395" s="4"/>
      <c r="Z395" s="166">
        <v>46265.0</v>
      </c>
      <c r="AA395" s="87" t="s">
        <v>215</v>
      </c>
      <c r="AB395" s="166">
        <v>46173.0</v>
      </c>
      <c r="AC395" s="166"/>
      <c r="AD395" s="87" t="s">
        <v>198</v>
      </c>
      <c r="AE395" s="87">
        <v>0.0</v>
      </c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3"/>
      <c r="Q396" s="3"/>
      <c r="R396" s="4"/>
      <c r="S396" s="4"/>
      <c r="T396" s="4"/>
      <c r="U396" s="4"/>
      <c r="V396" s="4"/>
      <c r="W396" s="4"/>
      <c r="X396" s="4"/>
      <c r="Y396" s="4"/>
      <c r="Z396" s="166">
        <v>46265.0</v>
      </c>
      <c r="AA396" s="87" t="s">
        <v>215</v>
      </c>
      <c r="AB396" s="166">
        <v>46173.0</v>
      </c>
      <c r="AC396" s="166"/>
      <c r="AD396" s="87" t="s">
        <v>200</v>
      </c>
      <c r="AE396" s="87">
        <v>0.0</v>
      </c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3"/>
      <c r="Q397" s="3"/>
      <c r="R397" s="4"/>
      <c r="S397" s="4"/>
      <c r="T397" s="4"/>
      <c r="U397" s="4"/>
      <c r="V397" s="4"/>
      <c r="W397" s="4"/>
      <c r="X397" s="4"/>
      <c r="Y397" s="4"/>
      <c r="Z397" s="166">
        <v>46265.0</v>
      </c>
      <c r="AA397" s="87" t="s">
        <v>215</v>
      </c>
      <c r="AB397" s="166">
        <v>46173.0</v>
      </c>
      <c r="AC397" s="166"/>
      <c r="AD397" s="87" t="s">
        <v>202</v>
      </c>
      <c r="AE397" s="162">
        <v>200000.0</v>
      </c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3"/>
      <c r="Q398" s="3"/>
      <c r="R398" s="4"/>
      <c r="S398" s="4"/>
      <c r="T398" s="4"/>
      <c r="U398" s="4"/>
      <c r="V398" s="4"/>
      <c r="W398" s="4"/>
      <c r="X398" s="4"/>
      <c r="Y398" s="4"/>
      <c r="Z398" s="166">
        <v>46265.0</v>
      </c>
      <c r="AA398" s="87" t="s">
        <v>215</v>
      </c>
      <c r="AB398" s="166">
        <v>46173.0</v>
      </c>
      <c r="AC398" s="166"/>
      <c r="AD398" s="87" t="s">
        <v>203</v>
      </c>
      <c r="AE398" s="87">
        <v>0.0</v>
      </c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3"/>
      <c r="Q399" s="3"/>
      <c r="R399" s="4"/>
      <c r="S399" s="4"/>
      <c r="T399" s="4"/>
      <c r="U399" s="4"/>
      <c r="V399" s="4"/>
      <c r="W399" s="4"/>
      <c r="X399" s="4"/>
      <c r="Y399" s="4"/>
      <c r="Z399" s="166">
        <v>46265.0</v>
      </c>
      <c r="AA399" s="87" t="s">
        <v>215</v>
      </c>
      <c r="AB399" s="166">
        <v>46173.0</v>
      </c>
      <c r="AC399" s="166"/>
      <c r="AD399" s="87" t="s">
        <v>56</v>
      </c>
      <c r="AE399" s="87">
        <v>0.0</v>
      </c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3"/>
      <c r="Q400" s="3"/>
      <c r="R400" s="4"/>
      <c r="S400" s="4"/>
      <c r="T400" s="4"/>
      <c r="U400" s="4"/>
      <c r="V400" s="4"/>
      <c r="W400" s="4"/>
      <c r="X400" s="4"/>
      <c r="Y400" s="4"/>
      <c r="Z400" s="166">
        <v>46265.0</v>
      </c>
      <c r="AA400" s="87" t="s">
        <v>215</v>
      </c>
      <c r="AB400" s="166">
        <v>46173.0</v>
      </c>
      <c r="AC400" s="166"/>
      <c r="AD400" s="87" t="s">
        <v>205</v>
      </c>
      <c r="AE400" s="87">
        <v>0.0</v>
      </c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3"/>
      <c r="Q401" s="3"/>
      <c r="R401" s="4"/>
      <c r="S401" s="4"/>
      <c r="T401" s="4"/>
      <c r="U401" s="4"/>
      <c r="V401" s="4"/>
      <c r="W401" s="4"/>
      <c r="X401" s="4"/>
      <c r="Y401" s="4"/>
      <c r="Z401" s="166">
        <v>46265.0</v>
      </c>
      <c r="AA401" s="87" t="s">
        <v>215</v>
      </c>
      <c r="AB401" s="166">
        <v>46173.0</v>
      </c>
      <c r="AC401" s="166"/>
      <c r="AD401" s="87" t="s">
        <v>41</v>
      </c>
      <c r="AE401" s="87">
        <v>0.0</v>
      </c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3"/>
      <c r="Q402" s="3"/>
      <c r="R402" s="4"/>
      <c r="S402" s="4"/>
      <c r="T402" s="4"/>
      <c r="U402" s="4"/>
      <c r="V402" s="4"/>
      <c r="W402" s="4"/>
      <c r="X402" s="4"/>
      <c r="Y402" s="4"/>
      <c r="Z402" s="166">
        <v>46265.0</v>
      </c>
      <c r="AA402" s="87" t="s">
        <v>215</v>
      </c>
      <c r="AB402" s="166">
        <v>46173.0</v>
      </c>
      <c r="AC402" s="166"/>
      <c r="AD402" s="87" t="s">
        <v>208</v>
      </c>
      <c r="AE402" s="87">
        <v>0.0</v>
      </c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3"/>
      <c r="Q403" s="3"/>
      <c r="R403" s="4"/>
      <c r="S403" s="4"/>
      <c r="T403" s="4"/>
      <c r="U403" s="4"/>
      <c r="V403" s="4"/>
      <c r="W403" s="4"/>
      <c r="X403" s="4"/>
      <c r="Y403" s="4"/>
      <c r="Z403" s="166">
        <v>46265.0</v>
      </c>
      <c r="AA403" s="87" t="s">
        <v>215</v>
      </c>
      <c r="AB403" s="166">
        <v>46173.0</v>
      </c>
      <c r="AC403" s="166"/>
      <c r="AD403" s="87" t="s">
        <v>23</v>
      </c>
      <c r="AE403" s="87">
        <v>0.0</v>
      </c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3"/>
      <c r="Q404" s="3"/>
      <c r="R404" s="4"/>
      <c r="S404" s="4"/>
      <c r="T404" s="4"/>
      <c r="U404" s="4"/>
      <c r="V404" s="4"/>
      <c r="W404" s="4"/>
      <c r="X404" s="4"/>
      <c r="Y404" s="4"/>
      <c r="Z404" s="166">
        <v>46265.0</v>
      </c>
      <c r="AA404" s="87" t="s">
        <v>215</v>
      </c>
      <c r="AB404" s="166">
        <v>46203.0</v>
      </c>
      <c r="AC404" s="166"/>
      <c r="AD404" s="87" t="s">
        <v>184</v>
      </c>
      <c r="AE404" s="87">
        <v>0.0</v>
      </c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3"/>
      <c r="Q405" s="3"/>
      <c r="R405" s="4"/>
      <c r="S405" s="4"/>
      <c r="T405" s="4"/>
      <c r="U405" s="4"/>
      <c r="V405" s="4"/>
      <c r="W405" s="4"/>
      <c r="X405" s="4"/>
      <c r="Y405" s="4"/>
      <c r="Z405" s="166">
        <v>46265.0</v>
      </c>
      <c r="AA405" s="87" t="s">
        <v>215</v>
      </c>
      <c r="AB405" s="166">
        <v>46203.0</v>
      </c>
      <c r="AC405" s="166"/>
      <c r="AD405" s="87" t="s">
        <v>185</v>
      </c>
      <c r="AE405" s="87">
        <v>0.0</v>
      </c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3"/>
      <c r="Q406" s="3"/>
      <c r="R406" s="4"/>
      <c r="S406" s="4"/>
      <c r="T406" s="4"/>
      <c r="U406" s="4"/>
      <c r="V406" s="4"/>
      <c r="W406" s="4"/>
      <c r="X406" s="4"/>
      <c r="Y406" s="4"/>
      <c r="Z406" s="166">
        <v>46265.0</v>
      </c>
      <c r="AA406" s="87" t="s">
        <v>215</v>
      </c>
      <c r="AB406" s="166">
        <v>46203.0</v>
      </c>
      <c r="AC406" s="166"/>
      <c r="AD406" s="87" t="s">
        <v>186</v>
      </c>
      <c r="AE406" s="87">
        <v>0.0</v>
      </c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3"/>
      <c r="Q407" s="3"/>
      <c r="R407" s="4"/>
      <c r="S407" s="4"/>
      <c r="T407" s="4"/>
      <c r="U407" s="4"/>
      <c r="V407" s="4"/>
      <c r="W407" s="4"/>
      <c r="X407" s="4"/>
      <c r="Y407" s="4"/>
      <c r="Z407" s="166">
        <v>46265.0</v>
      </c>
      <c r="AA407" s="87" t="s">
        <v>215</v>
      </c>
      <c r="AB407" s="166">
        <v>46203.0</v>
      </c>
      <c r="AC407" s="166"/>
      <c r="AD407" s="87" t="s">
        <v>187</v>
      </c>
      <c r="AE407" s="87">
        <v>0.0</v>
      </c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3"/>
      <c r="Q408" s="3"/>
      <c r="R408" s="4"/>
      <c r="S408" s="4"/>
      <c r="T408" s="4"/>
      <c r="U408" s="4"/>
      <c r="V408" s="4"/>
      <c r="W408" s="4"/>
      <c r="X408" s="4"/>
      <c r="Y408" s="4"/>
      <c r="Z408" s="166">
        <v>46265.0</v>
      </c>
      <c r="AA408" s="87" t="s">
        <v>215</v>
      </c>
      <c r="AB408" s="166">
        <v>46203.0</v>
      </c>
      <c r="AC408" s="166"/>
      <c r="AD408" s="87" t="s">
        <v>188</v>
      </c>
      <c r="AE408" s="87">
        <v>0.0</v>
      </c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3"/>
      <c r="Q409" s="3"/>
      <c r="R409" s="4"/>
      <c r="S409" s="4"/>
      <c r="T409" s="4"/>
      <c r="U409" s="4"/>
      <c r="V409" s="4"/>
      <c r="W409" s="4"/>
      <c r="X409" s="4"/>
      <c r="Y409" s="4"/>
      <c r="Z409" s="166">
        <v>46265.0</v>
      </c>
      <c r="AA409" s="87" t="s">
        <v>215</v>
      </c>
      <c r="AB409" s="166">
        <v>46203.0</v>
      </c>
      <c r="AC409" s="166"/>
      <c r="AD409" s="87" t="s">
        <v>189</v>
      </c>
      <c r="AE409" s="87">
        <v>0.0</v>
      </c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3"/>
      <c r="Q410" s="3"/>
      <c r="R410" s="4"/>
      <c r="S410" s="4"/>
      <c r="T410" s="4"/>
      <c r="U410" s="4"/>
      <c r="V410" s="4"/>
      <c r="W410" s="4"/>
      <c r="X410" s="4"/>
      <c r="Y410" s="4"/>
      <c r="Z410" s="166">
        <v>46265.0</v>
      </c>
      <c r="AA410" s="87" t="s">
        <v>215</v>
      </c>
      <c r="AB410" s="166">
        <v>46203.0</v>
      </c>
      <c r="AC410" s="166"/>
      <c r="AD410" s="87" t="s">
        <v>190</v>
      </c>
      <c r="AE410" s="87">
        <v>0.0</v>
      </c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3"/>
      <c r="Q411" s="3"/>
      <c r="R411" s="4"/>
      <c r="S411" s="4"/>
      <c r="T411" s="4"/>
      <c r="U411" s="4"/>
      <c r="V411" s="4"/>
      <c r="W411" s="4"/>
      <c r="X411" s="4"/>
      <c r="Y411" s="4"/>
      <c r="Z411" s="166">
        <v>46265.0</v>
      </c>
      <c r="AA411" s="87" t="s">
        <v>215</v>
      </c>
      <c r="AB411" s="166">
        <v>46203.0</v>
      </c>
      <c r="AC411" s="166"/>
      <c r="AD411" s="87" t="s">
        <v>191</v>
      </c>
      <c r="AE411" s="87">
        <v>0.0</v>
      </c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3"/>
      <c r="Q412" s="3"/>
      <c r="R412" s="4"/>
      <c r="S412" s="4"/>
      <c r="T412" s="4"/>
      <c r="U412" s="4"/>
      <c r="V412" s="4"/>
      <c r="W412" s="4"/>
      <c r="X412" s="4"/>
      <c r="Y412" s="4"/>
      <c r="Z412" s="166">
        <v>46265.0</v>
      </c>
      <c r="AA412" s="87" t="s">
        <v>215</v>
      </c>
      <c r="AB412" s="166">
        <v>46203.0</v>
      </c>
      <c r="AC412" s="166"/>
      <c r="AD412" s="87" t="s">
        <v>192</v>
      </c>
      <c r="AE412" s="87">
        <v>0.0</v>
      </c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3"/>
      <c r="Q413" s="3"/>
      <c r="R413" s="4"/>
      <c r="S413" s="4"/>
      <c r="T413" s="4"/>
      <c r="U413" s="4"/>
      <c r="V413" s="4"/>
      <c r="W413" s="4"/>
      <c r="X413" s="4"/>
      <c r="Y413" s="4"/>
      <c r="Z413" s="166">
        <v>46265.0</v>
      </c>
      <c r="AA413" s="87" t="s">
        <v>215</v>
      </c>
      <c r="AB413" s="166">
        <v>46203.0</v>
      </c>
      <c r="AC413" s="166"/>
      <c r="AD413" s="87" t="s">
        <v>193</v>
      </c>
      <c r="AE413" s="87">
        <v>0.0</v>
      </c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3"/>
      <c r="Q414" s="3"/>
      <c r="R414" s="4"/>
      <c r="S414" s="4"/>
      <c r="T414" s="4"/>
      <c r="U414" s="4"/>
      <c r="V414" s="4"/>
      <c r="W414" s="4"/>
      <c r="X414" s="4"/>
      <c r="Y414" s="4"/>
      <c r="Z414" s="166">
        <v>46265.0</v>
      </c>
      <c r="AA414" s="87" t="s">
        <v>215</v>
      </c>
      <c r="AB414" s="166">
        <v>46203.0</v>
      </c>
      <c r="AC414" s="166"/>
      <c r="AD414" s="87" t="s">
        <v>194</v>
      </c>
      <c r="AE414" s="87">
        <v>0.0</v>
      </c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3"/>
      <c r="Q415" s="3"/>
      <c r="R415" s="4"/>
      <c r="S415" s="4"/>
      <c r="T415" s="4"/>
      <c r="U415" s="4"/>
      <c r="V415" s="4"/>
      <c r="W415" s="4"/>
      <c r="X415" s="4"/>
      <c r="Y415" s="4"/>
      <c r="Z415" s="166">
        <v>46265.0</v>
      </c>
      <c r="AA415" s="87" t="s">
        <v>215</v>
      </c>
      <c r="AB415" s="166">
        <v>46203.0</v>
      </c>
      <c r="AC415" s="166"/>
      <c r="AD415" s="87" t="s">
        <v>196</v>
      </c>
      <c r="AE415" s="162">
        <v>0.0</v>
      </c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3"/>
      <c r="Q416" s="3"/>
      <c r="R416" s="4"/>
      <c r="S416" s="4"/>
      <c r="T416" s="4"/>
      <c r="U416" s="4"/>
      <c r="V416" s="4"/>
      <c r="W416" s="4"/>
      <c r="X416" s="4"/>
      <c r="Y416" s="4"/>
      <c r="Z416" s="166">
        <v>46265.0</v>
      </c>
      <c r="AA416" s="87" t="s">
        <v>215</v>
      </c>
      <c r="AB416" s="166">
        <v>46203.0</v>
      </c>
      <c r="AC416" s="166"/>
      <c r="AD416" s="87" t="s">
        <v>198</v>
      </c>
      <c r="AE416" s="162">
        <v>0.0</v>
      </c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3"/>
      <c r="Q417" s="3"/>
      <c r="R417" s="4"/>
      <c r="S417" s="4"/>
      <c r="T417" s="4"/>
      <c r="U417" s="4"/>
      <c r="V417" s="4"/>
      <c r="W417" s="4"/>
      <c r="X417" s="4"/>
      <c r="Y417" s="4"/>
      <c r="Z417" s="166">
        <v>46265.0</v>
      </c>
      <c r="AA417" s="87" t="s">
        <v>215</v>
      </c>
      <c r="AB417" s="166">
        <v>46203.0</v>
      </c>
      <c r="AC417" s="166"/>
      <c r="AD417" s="87" t="s">
        <v>200</v>
      </c>
      <c r="AE417" s="87">
        <v>0.0</v>
      </c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3"/>
      <c r="Q418" s="3"/>
      <c r="R418" s="4"/>
      <c r="S418" s="4"/>
      <c r="T418" s="4"/>
      <c r="U418" s="4"/>
      <c r="V418" s="4"/>
      <c r="W418" s="4"/>
      <c r="X418" s="4"/>
      <c r="Y418" s="4"/>
      <c r="Z418" s="166">
        <v>46265.0</v>
      </c>
      <c r="AA418" s="87" t="s">
        <v>215</v>
      </c>
      <c r="AB418" s="166">
        <v>46203.0</v>
      </c>
      <c r="AC418" s="166"/>
      <c r="AD418" s="87" t="s">
        <v>202</v>
      </c>
      <c r="AE418" s="87">
        <v>0.0</v>
      </c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3"/>
      <c r="Q419" s="3"/>
      <c r="R419" s="4"/>
      <c r="S419" s="4"/>
      <c r="T419" s="4"/>
      <c r="U419" s="4"/>
      <c r="V419" s="4"/>
      <c r="W419" s="4"/>
      <c r="X419" s="4"/>
      <c r="Y419" s="4"/>
      <c r="Z419" s="166">
        <v>46265.0</v>
      </c>
      <c r="AA419" s="87" t="s">
        <v>215</v>
      </c>
      <c r="AB419" s="166">
        <v>46203.0</v>
      </c>
      <c r="AC419" s="166"/>
      <c r="AD419" s="87" t="s">
        <v>203</v>
      </c>
      <c r="AE419" s="87">
        <v>0.0</v>
      </c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3"/>
      <c r="Q420" s="3"/>
      <c r="R420" s="4"/>
      <c r="S420" s="4"/>
      <c r="T420" s="4"/>
      <c r="U420" s="4"/>
      <c r="V420" s="4"/>
      <c r="W420" s="4"/>
      <c r="X420" s="4"/>
      <c r="Y420" s="4"/>
      <c r="Z420" s="166">
        <v>46265.0</v>
      </c>
      <c r="AA420" s="87" t="s">
        <v>215</v>
      </c>
      <c r="AB420" s="166">
        <v>46203.0</v>
      </c>
      <c r="AC420" s="166"/>
      <c r="AD420" s="87" t="s">
        <v>56</v>
      </c>
      <c r="AE420" s="87">
        <v>0.0</v>
      </c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3"/>
      <c r="Q421" s="3"/>
      <c r="R421" s="4"/>
      <c r="S421" s="4"/>
      <c r="T421" s="4"/>
      <c r="U421" s="4"/>
      <c r="V421" s="4"/>
      <c r="W421" s="4"/>
      <c r="X421" s="4"/>
      <c r="Y421" s="4"/>
      <c r="Z421" s="166">
        <v>46265.0</v>
      </c>
      <c r="AA421" s="87" t="s">
        <v>215</v>
      </c>
      <c r="AB421" s="166">
        <v>46203.0</v>
      </c>
      <c r="AC421" s="166"/>
      <c r="AD421" s="87" t="s">
        <v>205</v>
      </c>
      <c r="AE421" s="87">
        <v>0.0</v>
      </c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3"/>
      <c r="Q422" s="3"/>
      <c r="R422" s="4"/>
      <c r="S422" s="4"/>
      <c r="T422" s="4"/>
      <c r="U422" s="4"/>
      <c r="V422" s="4"/>
      <c r="W422" s="4"/>
      <c r="X422" s="4"/>
      <c r="Y422" s="4"/>
      <c r="Z422" s="166">
        <v>46265.0</v>
      </c>
      <c r="AA422" s="87" t="s">
        <v>215</v>
      </c>
      <c r="AB422" s="166">
        <v>46203.0</v>
      </c>
      <c r="AC422" s="166"/>
      <c r="AD422" s="87" t="s">
        <v>41</v>
      </c>
      <c r="AE422" s="87">
        <v>0.0</v>
      </c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3"/>
      <c r="Q423" s="3"/>
      <c r="R423" s="4"/>
      <c r="S423" s="4"/>
      <c r="T423" s="4"/>
      <c r="U423" s="4"/>
      <c r="V423" s="4"/>
      <c r="W423" s="4"/>
      <c r="X423" s="4"/>
      <c r="Y423" s="4"/>
      <c r="Z423" s="166">
        <v>46265.0</v>
      </c>
      <c r="AA423" s="87" t="s">
        <v>215</v>
      </c>
      <c r="AB423" s="166">
        <v>46203.0</v>
      </c>
      <c r="AC423" s="166"/>
      <c r="AD423" s="87" t="s">
        <v>208</v>
      </c>
      <c r="AE423" s="87">
        <v>0.0</v>
      </c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3"/>
      <c r="Q424" s="3"/>
      <c r="R424" s="4"/>
      <c r="S424" s="4"/>
      <c r="T424" s="4"/>
      <c r="U424" s="4"/>
      <c r="V424" s="4"/>
      <c r="W424" s="4"/>
      <c r="X424" s="4"/>
      <c r="Y424" s="4"/>
      <c r="Z424" s="166">
        <v>46265.0</v>
      </c>
      <c r="AA424" s="87" t="s">
        <v>215</v>
      </c>
      <c r="AB424" s="166">
        <v>46203.0</v>
      </c>
      <c r="AC424" s="166"/>
      <c r="AD424" s="87" t="s">
        <v>23</v>
      </c>
      <c r="AE424" s="162">
        <v>300000.0</v>
      </c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3"/>
      <c r="Q425" s="3"/>
      <c r="R425" s="4"/>
      <c r="S425" s="4"/>
      <c r="T425" s="4"/>
      <c r="U425" s="4"/>
      <c r="V425" s="4"/>
      <c r="W425" s="4"/>
      <c r="X425" s="4"/>
      <c r="Y425" s="4"/>
      <c r="Z425" s="166">
        <v>46265.0</v>
      </c>
      <c r="AA425" s="87" t="s">
        <v>215</v>
      </c>
      <c r="AB425" s="166">
        <v>46265.0</v>
      </c>
      <c r="AC425" s="166"/>
      <c r="AD425" s="87" t="s">
        <v>184</v>
      </c>
      <c r="AE425" s="87">
        <v>0.0</v>
      </c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3"/>
      <c r="Q426" s="3"/>
      <c r="R426" s="4"/>
      <c r="S426" s="4"/>
      <c r="T426" s="4"/>
      <c r="U426" s="4"/>
      <c r="V426" s="4"/>
      <c r="W426" s="4"/>
      <c r="X426" s="4"/>
      <c r="Y426" s="4"/>
      <c r="Z426" s="166">
        <v>46265.0</v>
      </c>
      <c r="AA426" s="87" t="s">
        <v>215</v>
      </c>
      <c r="AB426" s="166">
        <v>46265.0</v>
      </c>
      <c r="AC426" s="166"/>
      <c r="AD426" s="87" t="s">
        <v>185</v>
      </c>
      <c r="AE426" s="87">
        <v>0.0</v>
      </c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3"/>
      <c r="Q427" s="3"/>
      <c r="R427" s="4"/>
      <c r="S427" s="4"/>
      <c r="T427" s="4"/>
      <c r="U427" s="4"/>
      <c r="V427" s="4"/>
      <c r="W427" s="4"/>
      <c r="X427" s="4"/>
      <c r="Y427" s="4"/>
      <c r="Z427" s="166">
        <v>46265.0</v>
      </c>
      <c r="AA427" s="87" t="s">
        <v>215</v>
      </c>
      <c r="AB427" s="166">
        <v>46265.0</v>
      </c>
      <c r="AC427" s="166"/>
      <c r="AD427" s="87" t="s">
        <v>186</v>
      </c>
      <c r="AE427" s="87">
        <v>0.0</v>
      </c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3"/>
      <c r="Q428" s="3"/>
      <c r="R428" s="4"/>
      <c r="S428" s="4"/>
      <c r="T428" s="4"/>
      <c r="U428" s="4"/>
      <c r="V428" s="4"/>
      <c r="W428" s="4"/>
      <c r="X428" s="4"/>
      <c r="Y428" s="4"/>
      <c r="Z428" s="166">
        <v>46265.0</v>
      </c>
      <c r="AA428" s="87" t="s">
        <v>215</v>
      </c>
      <c r="AB428" s="166">
        <v>46265.0</v>
      </c>
      <c r="AC428" s="166"/>
      <c r="AD428" s="87" t="s">
        <v>187</v>
      </c>
      <c r="AE428" s="87">
        <v>0.0</v>
      </c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3"/>
      <c r="Q429" s="3"/>
      <c r="R429" s="4"/>
      <c r="S429" s="4"/>
      <c r="T429" s="4"/>
      <c r="U429" s="4"/>
      <c r="V429" s="4"/>
      <c r="W429" s="4"/>
      <c r="X429" s="4"/>
      <c r="Y429" s="4"/>
      <c r="Z429" s="166">
        <v>46265.0</v>
      </c>
      <c r="AA429" s="87" t="s">
        <v>215</v>
      </c>
      <c r="AB429" s="166">
        <v>46265.0</v>
      </c>
      <c r="AC429" s="166"/>
      <c r="AD429" s="87" t="s">
        <v>188</v>
      </c>
      <c r="AE429" s="87">
        <v>0.0</v>
      </c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3"/>
      <c r="Q430" s="3"/>
      <c r="R430" s="4"/>
      <c r="S430" s="4"/>
      <c r="T430" s="4"/>
      <c r="U430" s="4"/>
      <c r="V430" s="4"/>
      <c r="W430" s="4"/>
      <c r="X430" s="4"/>
      <c r="Y430" s="4"/>
      <c r="Z430" s="166">
        <v>46265.0</v>
      </c>
      <c r="AA430" s="87" t="s">
        <v>215</v>
      </c>
      <c r="AB430" s="166">
        <v>46265.0</v>
      </c>
      <c r="AC430" s="166"/>
      <c r="AD430" s="87" t="s">
        <v>189</v>
      </c>
      <c r="AE430" s="87">
        <v>0.0</v>
      </c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3"/>
      <c r="Q431" s="3"/>
      <c r="R431" s="4"/>
      <c r="S431" s="4"/>
      <c r="T431" s="4"/>
      <c r="U431" s="4"/>
      <c r="V431" s="4"/>
      <c r="W431" s="4"/>
      <c r="X431" s="4"/>
      <c r="Y431" s="4"/>
      <c r="Z431" s="166">
        <v>46265.0</v>
      </c>
      <c r="AA431" s="87" t="s">
        <v>215</v>
      </c>
      <c r="AB431" s="166">
        <v>46265.0</v>
      </c>
      <c r="AC431" s="166"/>
      <c r="AD431" s="87" t="s">
        <v>190</v>
      </c>
      <c r="AE431" s="87">
        <v>2500000.0</v>
      </c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3"/>
      <c r="Q432" s="3"/>
      <c r="R432" s="4"/>
      <c r="S432" s="4"/>
      <c r="T432" s="4"/>
      <c r="U432" s="4"/>
      <c r="V432" s="4"/>
      <c r="W432" s="4"/>
      <c r="X432" s="4"/>
      <c r="Y432" s="4"/>
      <c r="Z432" s="166">
        <v>46265.0</v>
      </c>
      <c r="AA432" s="87" t="s">
        <v>215</v>
      </c>
      <c r="AB432" s="166">
        <v>46265.0</v>
      </c>
      <c r="AC432" s="166"/>
      <c r="AD432" s="87" t="s">
        <v>191</v>
      </c>
      <c r="AE432" s="87">
        <v>0.0</v>
      </c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3"/>
      <c r="Q433" s="3"/>
      <c r="R433" s="4"/>
      <c r="S433" s="4"/>
      <c r="T433" s="4"/>
      <c r="U433" s="4"/>
      <c r="V433" s="4"/>
      <c r="W433" s="4"/>
      <c r="X433" s="4"/>
      <c r="Y433" s="4"/>
      <c r="Z433" s="166">
        <v>46265.0</v>
      </c>
      <c r="AA433" s="87" t="s">
        <v>215</v>
      </c>
      <c r="AB433" s="166">
        <v>46265.0</v>
      </c>
      <c r="AC433" s="166"/>
      <c r="AD433" s="87" t="s">
        <v>192</v>
      </c>
      <c r="AE433" s="87">
        <v>0.0</v>
      </c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3"/>
      <c r="Q434" s="3"/>
      <c r="R434" s="4"/>
      <c r="S434" s="4"/>
      <c r="T434" s="4"/>
      <c r="U434" s="4"/>
      <c r="V434" s="4"/>
      <c r="W434" s="4"/>
      <c r="X434" s="4"/>
      <c r="Y434" s="4"/>
      <c r="Z434" s="166">
        <v>46265.0</v>
      </c>
      <c r="AA434" s="87" t="s">
        <v>215</v>
      </c>
      <c r="AB434" s="166">
        <v>46265.0</v>
      </c>
      <c r="AC434" s="166"/>
      <c r="AD434" s="87" t="s">
        <v>193</v>
      </c>
      <c r="AE434" s="87">
        <v>0.0</v>
      </c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3"/>
      <c r="Q435" s="3"/>
      <c r="R435" s="4"/>
      <c r="S435" s="4"/>
      <c r="T435" s="4"/>
      <c r="U435" s="4"/>
      <c r="V435" s="4"/>
      <c r="W435" s="4"/>
      <c r="X435" s="4"/>
      <c r="Y435" s="4"/>
      <c r="Z435" s="166">
        <v>46265.0</v>
      </c>
      <c r="AA435" s="87" t="s">
        <v>215</v>
      </c>
      <c r="AB435" s="166">
        <v>46265.0</v>
      </c>
      <c r="AC435" s="166"/>
      <c r="AD435" s="87" t="s">
        <v>194</v>
      </c>
      <c r="AE435" s="87">
        <v>0.0</v>
      </c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3"/>
      <c r="Q436" s="3"/>
      <c r="R436" s="4"/>
      <c r="S436" s="4"/>
      <c r="T436" s="4"/>
      <c r="U436" s="4"/>
      <c r="V436" s="4"/>
      <c r="W436" s="4"/>
      <c r="X436" s="4"/>
      <c r="Y436" s="4"/>
      <c r="Z436" s="166">
        <v>46265.0</v>
      </c>
      <c r="AA436" s="87" t="s">
        <v>215</v>
      </c>
      <c r="AB436" s="166">
        <v>46265.0</v>
      </c>
      <c r="AC436" s="166"/>
      <c r="AD436" s="87" t="s">
        <v>196</v>
      </c>
      <c r="AE436" s="87">
        <v>0.0</v>
      </c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3"/>
      <c r="Q437" s="3"/>
      <c r="R437" s="4"/>
      <c r="S437" s="4"/>
      <c r="T437" s="4"/>
      <c r="U437" s="4"/>
      <c r="V437" s="4"/>
      <c r="W437" s="4"/>
      <c r="X437" s="4"/>
      <c r="Y437" s="4"/>
      <c r="Z437" s="166">
        <v>46265.0</v>
      </c>
      <c r="AA437" s="87" t="s">
        <v>215</v>
      </c>
      <c r="AB437" s="166">
        <v>46265.0</v>
      </c>
      <c r="AC437" s="166"/>
      <c r="AD437" s="87" t="s">
        <v>198</v>
      </c>
      <c r="AE437" s="87">
        <v>0.0</v>
      </c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3"/>
      <c r="Q438" s="3"/>
      <c r="R438" s="4"/>
      <c r="S438" s="4"/>
      <c r="T438" s="4"/>
      <c r="U438" s="4"/>
      <c r="V438" s="4"/>
      <c r="W438" s="4"/>
      <c r="X438" s="4"/>
      <c r="Y438" s="4"/>
      <c r="Z438" s="166">
        <v>46265.0</v>
      </c>
      <c r="AA438" s="87" t="s">
        <v>215</v>
      </c>
      <c r="AB438" s="166">
        <v>46265.0</v>
      </c>
      <c r="AC438" s="166"/>
      <c r="AD438" s="87" t="s">
        <v>200</v>
      </c>
      <c r="AE438" s="87">
        <v>0.0</v>
      </c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3"/>
      <c r="Q439" s="3"/>
      <c r="R439" s="4"/>
      <c r="S439" s="4"/>
      <c r="T439" s="4"/>
      <c r="U439" s="4"/>
      <c r="V439" s="4"/>
      <c r="W439" s="4"/>
      <c r="X439" s="4"/>
      <c r="Y439" s="4"/>
      <c r="Z439" s="166">
        <v>46265.0</v>
      </c>
      <c r="AA439" s="87" t="s">
        <v>215</v>
      </c>
      <c r="AB439" s="166">
        <v>46265.0</v>
      </c>
      <c r="AC439" s="166"/>
      <c r="AD439" s="87" t="s">
        <v>202</v>
      </c>
      <c r="AE439" s="162">
        <v>20000.0</v>
      </c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3"/>
      <c r="Q440" s="3"/>
      <c r="R440" s="4"/>
      <c r="S440" s="4"/>
      <c r="T440" s="4"/>
      <c r="U440" s="4"/>
      <c r="V440" s="4"/>
      <c r="W440" s="4"/>
      <c r="X440" s="4"/>
      <c r="Y440" s="4"/>
      <c r="Z440" s="166">
        <v>46265.0</v>
      </c>
      <c r="AA440" s="87" t="s">
        <v>215</v>
      </c>
      <c r="AB440" s="166">
        <v>46265.0</v>
      </c>
      <c r="AC440" s="166"/>
      <c r="AD440" s="87" t="s">
        <v>203</v>
      </c>
      <c r="AE440" s="87">
        <v>0.0</v>
      </c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3"/>
      <c r="Q441" s="3"/>
      <c r="R441" s="4"/>
      <c r="S441" s="4"/>
      <c r="T441" s="4"/>
      <c r="U441" s="4"/>
      <c r="V441" s="4"/>
      <c r="W441" s="4"/>
      <c r="X441" s="4"/>
      <c r="Y441" s="4"/>
      <c r="Z441" s="166">
        <v>46265.0</v>
      </c>
      <c r="AA441" s="87" t="s">
        <v>215</v>
      </c>
      <c r="AB441" s="166">
        <v>46265.0</v>
      </c>
      <c r="AC441" s="166"/>
      <c r="AD441" s="87" t="s">
        <v>56</v>
      </c>
      <c r="AE441" s="87">
        <v>0.0</v>
      </c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3"/>
      <c r="Q442" s="3"/>
      <c r="R442" s="4"/>
      <c r="S442" s="4"/>
      <c r="T442" s="4"/>
      <c r="U442" s="4"/>
      <c r="V442" s="4"/>
      <c r="W442" s="4"/>
      <c r="X442" s="4"/>
      <c r="Y442" s="4"/>
      <c r="Z442" s="166">
        <v>46265.0</v>
      </c>
      <c r="AA442" s="87" t="s">
        <v>215</v>
      </c>
      <c r="AB442" s="166">
        <v>46265.0</v>
      </c>
      <c r="AC442" s="166"/>
      <c r="AD442" s="87" t="s">
        <v>205</v>
      </c>
      <c r="AE442" s="87">
        <v>0.0</v>
      </c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3"/>
      <c r="Q443" s="3"/>
      <c r="R443" s="4"/>
      <c r="S443" s="4"/>
      <c r="T443" s="4"/>
      <c r="U443" s="4"/>
      <c r="V443" s="4"/>
      <c r="W443" s="4"/>
      <c r="X443" s="4"/>
      <c r="Y443" s="4"/>
      <c r="Z443" s="166">
        <v>46265.0</v>
      </c>
      <c r="AA443" s="87" t="s">
        <v>215</v>
      </c>
      <c r="AB443" s="166">
        <v>46265.0</v>
      </c>
      <c r="AC443" s="166"/>
      <c r="AD443" s="87" t="s">
        <v>41</v>
      </c>
      <c r="AE443" s="162">
        <v>0.0</v>
      </c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3"/>
      <c r="Q444" s="3"/>
      <c r="R444" s="4"/>
      <c r="S444" s="4"/>
      <c r="T444" s="4"/>
      <c r="U444" s="4"/>
      <c r="V444" s="4"/>
      <c r="W444" s="4"/>
      <c r="X444" s="4"/>
      <c r="Y444" s="4"/>
      <c r="Z444" s="166">
        <v>46265.0</v>
      </c>
      <c r="AA444" s="87" t="s">
        <v>215</v>
      </c>
      <c r="AB444" s="166">
        <v>46265.0</v>
      </c>
      <c r="AC444" s="166"/>
      <c r="AD444" s="87" t="s">
        <v>208</v>
      </c>
      <c r="AE444" s="162">
        <v>0.0</v>
      </c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3"/>
      <c r="Q445" s="3"/>
      <c r="R445" s="4"/>
      <c r="S445" s="4"/>
      <c r="T445" s="4"/>
      <c r="U445" s="4"/>
      <c r="V445" s="4"/>
      <c r="W445" s="4"/>
      <c r="X445" s="4"/>
      <c r="Y445" s="4"/>
      <c r="Z445" s="166">
        <v>46265.0</v>
      </c>
      <c r="AA445" s="87" t="s">
        <v>215</v>
      </c>
      <c r="AB445" s="166">
        <v>46265.0</v>
      </c>
      <c r="AC445" s="166"/>
      <c r="AD445" s="87" t="s">
        <v>23</v>
      </c>
      <c r="AE445" s="162">
        <v>50000.0</v>
      </c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3"/>
      <c r="Q446" s="3"/>
      <c r="R446" s="4"/>
      <c r="S446" s="4"/>
      <c r="T446" s="4"/>
      <c r="U446" s="4"/>
      <c r="V446" s="4"/>
      <c r="W446" s="4"/>
      <c r="X446" s="4"/>
      <c r="Y446" s="4"/>
      <c r="Z446" s="166">
        <v>46265.0</v>
      </c>
      <c r="AA446" s="87" t="s">
        <v>215</v>
      </c>
      <c r="AB446" s="166">
        <v>46295.0</v>
      </c>
      <c r="AC446" s="166"/>
      <c r="AD446" s="87" t="s">
        <v>184</v>
      </c>
      <c r="AE446" s="87">
        <v>0.0</v>
      </c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3"/>
      <c r="Q447" s="3"/>
      <c r="R447" s="4"/>
      <c r="S447" s="4"/>
      <c r="T447" s="4"/>
      <c r="U447" s="4"/>
      <c r="V447" s="4"/>
      <c r="W447" s="4"/>
      <c r="X447" s="4"/>
      <c r="Y447" s="4"/>
      <c r="Z447" s="166">
        <v>46265.0</v>
      </c>
      <c r="AA447" s="87" t="s">
        <v>215</v>
      </c>
      <c r="AB447" s="166">
        <v>46295.0</v>
      </c>
      <c r="AC447" s="166"/>
      <c r="AD447" s="87" t="s">
        <v>185</v>
      </c>
      <c r="AE447" s="162">
        <v>429840.0</v>
      </c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3"/>
      <c r="Q448" s="3"/>
      <c r="R448" s="4"/>
      <c r="S448" s="4"/>
      <c r="T448" s="4"/>
      <c r="U448" s="4"/>
      <c r="V448" s="4"/>
      <c r="W448" s="4"/>
      <c r="X448" s="4"/>
      <c r="Y448" s="4"/>
      <c r="Z448" s="166">
        <v>46265.0</v>
      </c>
      <c r="AA448" s="87" t="s">
        <v>215</v>
      </c>
      <c r="AB448" s="166">
        <v>46295.0</v>
      </c>
      <c r="AC448" s="166"/>
      <c r="AD448" s="87" t="s">
        <v>186</v>
      </c>
      <c r="AE448" s="87">
        <v>0.0</v>
      </c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3"/>
      <c r="Q449" s="3"/>
      <c r="R449" s="4"/>
      <c r="S449" s="4"/>
      <c r="T449" s="4"/>
      <c r="U449" s="4"/>
      <c r="V449" s="4"/>
      <c r="W449" s="4"/>
      <c r="X449" s="4"/>
      <c r="Y449" s="4"/>
      <c r="Z449" s="166">
        <v>46265.0</v>
      </c>
      <c r="AA449" s="87" t="s">
        <v>215</v>
      </c>
      <c r="AB449" s="166">
        <v>46295.0</v>
      </c>
      <c r="AC449" s="166"/>
      <c r="AD449" s="87" t="s">
        <v>187</v>
      </c>
      <c r="AE449" s="162">
        <v>2640.0</v>
      </c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3"/>
      <c r="Q450" s="3"/>
      <c r="R450" s="4"/>
      <c r="S450" s="4"/>
      <c r="T450" s="4"/>
      <c r="U450" s="4"/>
      <c r="V450" s="4"/>
      <c r="W450" s="4"/>
      <c r="X450" s="4"/>
      <c r="Y450" s="4"/>
      <c r="Z450" s="166">
        <v>46265.0</v>
      </c>
      <c r="AA450" s="87" t="s">
        <v>215</v>
      </c>
      <c r="AB450" s="166">
        <v>46295.0</v>
      </c>
      <c r="AC450" s="166"/>
      <c r="AD450" s="87" t="s">
        <v>188</v>
      </c>
      <c r="AE450" s="162">
        <v>7128.0</v>
      </c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3"/>
      <c r="Q451" s="3"/>
      <c r="R451" s="4"/>
      <c r="S451" s="4"/>
      <c r="T451" s="4"/>
      <c r="U451" s="4"/>
      <c r="V451" s="4"/>
      <c r="W451" s="4"/>
      <c r="X451" s="4"/>
      <c r="Y451" s="4"/>
      <c r="Z451" s="166">
        <v>46265.0</v>
      </c>
      <c r="AA451" s="87" t="s">
        <v>215</v>
      </c>
      <c r="AB451" s="166">
        <v>46295.0</v>
      </c>
      <c r="AC451" s="166"/>
      <c r="AD451" s="87" t="s">
        <v>189</v>
      </c>
      <c r="AE451" s="87">
        <v>0.0</v>
      </c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3"/>
      <c r="Q452" s="3"/>
      <c r="R452" s="4"/>
      <c r="S452" s="4"/>
      <c r="T452" s="4"/>
      <c r="U452" s="4"/>
      <c r="V452" s="4"/>
      <c r="W452" s="4"/>
      <c r="X452" s="4"/>
      <c r="Y452" s="4"/>
      <c r="Z452" s="166">
        <v>46265.0</v>
      </c>
      <c r="AA452" s="87" t="s">
        <v>215</v>
      </c>
      <c r="AB452" s="166">
        <v>46295.0</v>
      </c>
      <c r="AC452" s="166"/>
      <c r="AD452" s="87" t="s">
        <v>190</v>
      </c>
      <c r="AE452" s="87">
        <v>0.0</v>
      </c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3"/>
      <c r="Q453" s="3"/>
      <c r="R453" s="4"/>
      <c r="S453" s="4"/>
      <c r="T453" s="4"/>
      <c r="U453" s="4"/>
      <c r="V453" s="4"/>
      <c r="W453" s="4"/>
      <c r="X453" s="4"/>
      <c r="Y453" s="4"/>
      <c r="Z453" s="166">
        <v>46265.0</v>
      </c>
      <c r="AA453" s="87" t="s">
        <v>215</v>
      </c>
      <c r="AB453" s="166">
        <v>46295.0</v>
      </c>
      <c r="AC453" s="166"/>
      <c r="AD453" s="87" t="s">
        <v>191</v>
      </c>
      <c r="AE453" s="162">
        <v>100000.0</v>
      </c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3"/>
      <c r="Q454" s="3"/>
      <c r="R454" s="4"/>
      <c r="S454" s="4"/>
      <c r="T454" s="4"/>
      <c r="U454" s="4"/>
      <c r="V454" s="4"/>
      <c r="W454" s="4"/>
      <c r="X454" s="4"/>
      <c r="Y454" s="4"/>
      <c r="Z454" s="166">
        <v>46265.0</v>
      </c>
      <c r="AA454" s="87" t="s">
        <v>215</v>
      </c>
      <c r="AB454" s="166">
        <v>46295.0</v>
      </c>
      <c r="AC454" s="166"/>
      <c r="AD454" s="87" t="s">
        <v>192</v>
      </c>
      <c r="AE454" s="162">
        <v>110000.0</v>
      </c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3"/>
      <c r="Q455" s="3"/>
      <c r="R455" s="4"/>
      <c r="S455" s="4"/>
      <c r="T455" s="4"/>
      <c r="U455" s="4"/>
      <c r="V455" s="4"/>
      <c r="W455" s="4"/>
      <c r="X455" s="4"/>
      <c r="Y455" s="4"/>
      <c r="Z455" s="166">
        <v>46265.0</v>
      </c>
      <c r="AA455" s="87" t="s">
        <v>215</v>
      </c>
      <c r="AB455" s="166">
        <v>46295.0</v>
      </c>
      <c r="AC455" s="166"/>
      <c r="AD455" s="87" t="s">
        <v>193</v>
      </c>
      <c r="AE455" s="162">
        <v>700000.0</v>
      </c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3"/>
      <c r="Q456" s="3"/>
      <c r="R456" s="4"/>
      <c r="S456" s="4"/>
      <c r="T456" s="4"/>
      <c r="U456" s="4"/>
      <c r="V456" s="4"/>
      <c r="W456" s="4"/>
      <c r="X456" s="4"/>
      <c r="Y456" s="4"/>
      <c r="Z456" s="166">
        <v>46265.0</v>
      </c>
      <c r="AA456" s="87" t="s">
        <v>215</v>
      </c>
      <c r="AB456" s="166">
        <v>46295.0</v>
      </c>
      <c r="AC456" s="166"/>
      <c r="AD456" s="87" t="s">
        <v>194</v>
      </c>
      <c r="AE456" s="162">
        <v>2000000.0</v>
      </c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3"/>
      <c r="Q457" s="3"/>
      <c r="R457" s="4"/>
      <c r="S457" s="4"/>
      <c r="T457" s="4"/>
      <c r="U457" s="4"/>
      <c r="V457" s="4"/>
      <c r="W457" s="4"/>
      <c r="X457" s="4"/>
      <c r="Y457" s="4"/>
      <c r="Z457" s="166">
        <v>46265.0</v>
      </c>
      <c r="AA457" s="87" t="s">
        <v>215</v>
      </c>
      <c r="AB457" s="166">
        <v>46295.0</v>
      </c>
      <c r="AC457" s="166"/>
      <c r="AD457" s="87" t="s">
        <v>196</v>
      </c>
      <c r="AE457" s="162">
        <v>450000.0</v>
      </c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3"/>
      <c r="Q458" s="3"/>
      <c r="R458" s="4"/>
      <c r="S458" s="4"/>
      <c r="T458" s="4"/>
      <c r="U458" s="4"/>
      <c r="V458" s="4"/>
      <c r="W458" s="4"/>
      <c r="X458" s="4"/>
      <c r="Y458" s="4"/>
      <c r="Z458" s="166">
        <v>46265.0</v>
      </c>
      <c r="AA458" s="87" t="s">
        <v>215</v>
      </c>
      <c r="AB458" s="166">
        <v>46295.0</v>
      </c>
      <c r="AC458" s="166"/>
      <c r="AD458" s="87" t="s">
        <v>198</v>
      </c>
      <c r="AE458" s="87">
        <v>0.0</v>
      </c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3"/>
      <c r="Q459" s="3"/>
      <c r="R459" s="4"/>
      <c r="S459" s="4"/>
      <c r="T459" s="4"/>
      <c r="U459" s="4"/>
      <c r="V459" s="4"/>
      <c r="W459" s="4"/>
      <c r="X459" s="4"/>
      <c r="Y459" s="4"/>
      <c r="Z459" s="166">
        <v>46265.0</v>
      </c>
      <c r="AA459" s="87" t="s">
        <v>215</v>
      </c>
      <c r="AB459" s="166">
        <v>46295.0</v>
      </c>
      <c r="AC459" s="166"/>
      <c r="AD459" s="87" t="s">
        <v>200</v>
      </c>
      <c r="AE459" s="162">
        <v>2000000.0</v>
      </c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3"/>
      <c r="Q460" s="3"/>
      <c r="R460" s="4"/>
      <c r="S460" s="4"/>
      <c r="T460" s="4"/>
      <c r="U460" s="4"/>
      <c r="V460" s="4"/>
      <c r="W460" s="4"/>
      <c r="X460" s="4"/>
      <c r="Y460" s="4"/>
      <c r="Z460" s="166">
        <v>46265.0</v>
      </c>
      <c r="AA460" s="87" t="s">
        <v>215</v>
      </c>
      <c r="AB460" s="166">
        <v>46295.0</v>
      </c>
      <c r="AC460" s="166"/>
      <c r="AD460" s="87" t="s">
        <v>202</v>
      </c>
      <c r="AE460" s="162">
        <v>130000.0</v>
      </c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3"/>
      <c r="Q461" s="3"/>
      <c r="R461" s="4"/>
      <c r="S461" s="4"/>
      <c r="T461" s="4"/>
      <c r="U461" s="4"/>
      <c r="V461" s="4"/>
      <c r="W461" s="4"/>
      <c r="X461" s="4"/>
      <c r="Y461" s="4"/>
      <c r="Z461" s="166">
        <v>46265.0</v>
      </c>
      <c r="AA461" s="87" t="s">
        <v>215</v>
      </c>
      <c r="AB461" s="166">
        <v>46295.0</v>
      </c>
      <c r="AC461" s="166"/>
      <c r="AD461" s="87" t="s">
        <v>203</v>
      </c>
      <c r="AE461" s="87">
        <v>0.0</v>
      </c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3"/>
      <c r="Q462" s="3"/>
      <c r="R462" s="4"/>
      <c r="S462" s="4"/>
      <c r="T462" s="4"/>
      <c r="U462" s="4"/>
      <c r="V462" s="4"/>
      <c r="W462" s="4"/>
      <c r="X462" s="4"/>
      <c r="Y462" s="4"/>
      <c r="Z462" s="166">
        <v>46265.0</v>
      </c>
      <c r="AA462" s="87" t="s">
        <v>215</v>
      </c>
      <c r="AB462" s="166">
        <v>46295.0</v>
      </c>
      <c r="AC462" s="166"/>
      <c r="AD462" s="87" t="s">
        <v>56</v>
      </c>
      <c r="AE462" s="162">
        <v>150000.0</v>
      </c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3"/>
      <c r="Q463" s="3"/>
      <c r="R463" s="4"/>
      <c r="S463" s="4"/>
      <c r="T463" s="4"/>
      <c r="U463" s="4"/>
      <c r="V463" s="4"/>
      <c r="W463" s="4"/>
      <c r="X463" s="4"/>
      <c r="Y463" s="4"/>
      <c r="Z463" s="166">
        <v>46265.0</v>
      </c>
      <c r="AA463" s="87" t="s">
        <v>215</v>
      </c>
      <c r="AB463" s="166">
        <v>46295.0</v>
      </c>
      <c r="AC463" s="166"/>
      <c r="AD463" s="87" t="s">
        <v>205</v>
      </c>
      <c r="AE463" s="162">
        <v>60000.0</v>
      </c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3"/>
      <c r="Q464" s="3"/>
      <c r="R464" s="4"/>
      <c r="S464" s="4"/>
      <c r="T464" s="4"/>
      <c r="U464" s="4"/>
      <c r="V464" s="4"/>
      <c r="W464" s="4"/>
      <c r="X464" s="4"/>
      <c r="Y464" s="4"/>
      <c r="Z464" s="166">
        <v>46265.0</v>
      </c>
      <c r="AA464" s="87" t="s">
        <v>215</v>
      </c>
      <c r="AB464" s="166">
        <v>46295.0</v>
      </c>
      <c r="AC464" s="166"/>
      <c r="AD464" s="87" t="s">
        <v>41</v>
      </c>
      <c r="AE464" s="87">
        <v>0.0</v>
      </c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3"/>
      <c r="Q465" s="3"/>
      <c r="R465" s="4"/>
      <c r="S465" s="4"/>
      <c r="T465" s="4"/>
      <c r="U465" s="4"/>
      <c r="V465" s="4"/>
      <c r="W465" s="4"/>
      <c r="X465" s="4"/>
      <c r="Y465" s="4"/>
      <c r="Z465" s="166">
        <v>46265.0</v>
      </c>
      <c r="AA465" s="87" t="s">
        <v>215</v>
      </c>
      <c r="AB465" s="166">
        <v>46295.0</v>
      </c>
      <c r="AC465" s="166"/>
      <c r="AD465" s="87" t="s">
        <v>208</v>
      </c>
      <c r="AE465" s="162">
        <v>0.0</v>
      </c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3"/>
      <c r="Q466" s="3"/>
      <c r="R466" s="4"/>
      <c r="S466" s="4"/>
      <c r="T466" s="4"/>
      <c r="U466" s="4"/>
      <c r="V466" s="4"/>
      <c r="W466" s="4"/>
      <c r="X466" s="4"/>
      <c r="Y466" s="4"/>
      <c r="Z466" s="166">
        <v>46265.0</v>
      </c>
      <c r="AA466" s="87" t="s">
        <v>215</v>
      </c>
      <c r="AB466" s="166">
        <v>46295.0</v>
      </c>
      <c r="AC466" s="166"/>
      <c r="AD466" s="87" t="s">
        <v>23</v>
      </c>
      <c r="AE466" s="162">
        <v>300000.0</v>
      </c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3"/>
      <c r="Q467" s="3"/>
      <c r="R467" s="4"/>
      <c r="S467" s="4"/>
      <c r="T467" s="4"/>
      <c r="U467" s="4"/>
      <c r="V467" s="4"/>
      <c r="W467" s="4"/>
      <c r="X467" s="4"/>
      <c r="Y467" s="4"/>
      <c r="Z467" s="166"/>
      <c r="AA467" s="87"/>
      <c r="AB467" s="4"/>
      <c r="AC467" s="4"/>
      <c r="AD467" s="87"/>
      <c r="AE467" s="87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3"/>
      <c r="Q468" s="3"/>
      <c r="R468" s="4"/>
      <c r="S468" s="4"/>
      <c r="T468" s="4"/>
      <c r="U468" s="4"/>
      <c r="V468" s="4"/>
      <c r="W468" s="4"/>
      <c r="X468" s="4"/>
      <c r="Y468" s="4"/>
      <c r="Z468" s="166"/>
      <c r="AA468" s="87"/>
      <c r="AB468" s="4"/>
      <c r="AC468" s="4"/>
      <c r="AD468" s="87"/>
      <c r="AE468" s="162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3"/>
      <c r="Q469" s="3"/>
      <c r="R469" s="4"/>
      <c r="S469" s="4"/>
      <c r="T469" s="4"/>
      <c r="U469" s="4"/>
      <c r="V469" s="4"/>
      <c r="W469" s="4"/>
      <c r="X469" s="4"/>
      <c r="Y469" s="4"/>
      <c r="Z469" s="166"/>
      <c r="AA469" s="87"/>
      <c r="AB469" s="4"/>
      <c r="AC469" s="4"/>
      <c r="AD469" s="87"/>
      <c r="AE469" s="162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3"/>
      <c r="Q470" s="3"/>
      <c r="R470" s="4"/>
      <c r="S470" s="4"/>
      <c r="T470" s="4"/>
      <c r="U470" s="4"/>
      <c r="V470" s="4"/>
      <c r="W470" s="4"/>
      <c r="X470" s="4"/>
      <c r="Y470" s="4"/>
      <c r="Z470" s="166"/>
      <c r="AA470" s="87"/>
      <c r="AB470" s="4"/>
      <c r="AC470" s="4"/>
      <c r="AD470" s="87"/>
      <c r="AE470" s="162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3"/>
      <c r="Q471" s="3"/>
      <c r="R471" s="4"/>
      <c r="S471" s="4"/>
      <c r="T471" s="4"/>
      <c r="U471" s="4"/>
      <c r="V471" s="4"/>
      <c r="W471" s="4"/>
      <c r="X471" s="4"/>
      <c r="Y471" s="4"/>
      <c r="Z471" s="166"/>
      <c r="AA471" s="87"/>
      <c r="AB471" s="4"/>
      <c r="AC471" s="4"/>
      <c r="AD471" s="87"/>
      <c r="AE471" s="162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3"/>
      <c r="Q472" s="3"/>
      <c r="R472" s="4"/>
      <c r="S472" s="4"/>
      <c r="T472" s="4"/>
      <c r="U472" s="4"/>
      <c r="V472" s="4"/>
      <c r="W472" s="4"/>
      <c r="X472" s="4"/>
      <c r="Y472" s="4"/>
      <c r="Z472" s="166"/>
      <c r="AA472" s="87"/>
      <c r="AB472" s="4"/>
      <c r="AC472" s="4"/>
      <c r="AD472" s="87"/>
      <c r="AE472" s="162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3"/>
      <c r="Q473" s="3"/>
      <c r="R473" s="4"/>
      <c r="S473" s="4"/>
      <c r="T473" s="4"/>
      <c r="U473" s="4"/>
      <c r="V473" s="4"/>
      <c r="W473" s="4"/>
      <c r="X473" s="4"/>
      <c r="Y473" s="4"/>
      <c r="Z473" s="166"/>
      <c r="AA473" s="87"/>
      <c r="AB473" s="4"/>
      <c r="AC473" s="4"/>
      <c r="AD473" s="87"/>
      <c r="AE473" s="87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3"/>
      <c r="Q474" s="3"/>
      <c r="R474" s="4"/>
      <c r="S474" s="4"/>
      <c r="T474" s="4"/>
      <c r="U474" s="4"/>
      <c r="V474" s="4"/>
      <c r="W474" s="4"/>
      <c r="X474" s="4"/>
      <c r="Y474" s="4"/>
      <c r="Z474" s="166"/>
      <c r="AA474" s="87"/>
      <c r="AB474" s="4"/>
      <c r="AC474" s="4"/>
      <c r="AD474" s="87"/>
      <c r="AE474" s="162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3"/>
      <c r="Q475" s="3"/>
      <c r="R475" s="4"/>
      <c r="S475" s="4"/>
      <c r="T475" s="4"/>
      <c r="U475" s="4"/>
      <c r="V475" s="4"/>
      <c r="W475" s="4"/>
      <c r="X475" s="4"/>
      <c r="Y475" s="4"/>
      <c r="Z475" s="166"/>
      <c r="AA475" s="87"/>
      <c r="AB475" s="4"/>
      <c r="AC475" s="4"/>
      <c r="AD475" s="87"/>
      <c r="AE475" s="162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3"/>
      <c r="Q476" s="3"/>
      <c r="R476" s="4"/>
      <c r="S476" s="4"/>
      <c r="T476" s="4"/>
      <c r="U476" s="4"/>
      <c r="V476" s="4"/>
      <c r="W476" s="4"/>
      <c r="X476" s="4"/>
      <c r="Y476" s="4"/>
      <c r="Z476" s="166"/>
      <c r="AA476" s="87"/>
      <c r="AB476" s="4"/>
      <c r="AC476" s="4"/>
      <c r="AD476" s="87"/>
      <c r="AE476" s="162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3"/>
      <c r="Q477" s="3"/>
      <c r="R477" s="4"/>
      <c r="S477" s="4"/>
      <c r="T477" s="4"/>
      <c r="U477" s="4"/>
      <c r="V477" s="4"/>
      <c r="W477" s="4"/>
      <c r="X477" s="4"/>
      <c r="Y477" s="4"/>
      <c r="Z477" s="166"/>
      <c r="AA477" s="87"/>
      <c r="AB477" s="4"/>
      <c r="AC477" s="4"/>
      <c r="AD477" s="87"/>
      <c r="AE477" s="162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3"/>
      <c r="Q478" s="3"/>
      <c r="R478" s="4"/>
      <c r="S478" s="4"/>
      <c r="T478" s="4"/>
      <c r="U478" s="4"/>
      <c r="V478" s="4"/>
      <c r="W478" s="4"/>
      <c r="X478" s="4"/>
      <c r="Y478" s="4"/>
      <c r="Z478" s="166"/>
      <c r="AA478" s="87"/>
      <c r="AB478" s="4"/>
      <c r="AC478" s="4"/>
      <c r="AD478" s="87"/>
      <c r="AE478" s="162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3"/>
      <c r="Q479" s="3"/>
      <c r="R479" s="4"/>
      <c r="S479" s="4"/>
      <c r="T479" s="4"/>
      <c r="U479" s="4"/>
      <c r="V479" s="4"/>
      <c r="W479" s="4"/>
      <c r="X479" s="4"/>
      <c r="Y479" s="4"/>
      <c r="Z479" s="166"/>
      <c r="AA479" s="87"/>
      <c r="AB479" s="4"/>
      <c r="AC479" s="4"/>
      <c r="AD479" s="87"/>
      <c r="AE479" s="162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3"/>
      <c r="Q480" s="3"/>
      <c r="R480" s="4"/>
      <c r="S480" s="4"/>
      <c r="T480" s="4"/>
      <c r="U480" s="4"/>
      <c r="V480" s="4"/>
      <c r="W480" s="4"/>
      <c r="X480" s="4"/>
      <c r="Y480" s="4"/>
      <c r="Z480" s="166"/>
      <c r="AA480" s="87"/>
      <c r="AB480" s="4"/>
      <c r="AC480" s="4"/>
      <c r="AD480" s="87"/>
      <c r="AE480" s="162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3"/>
      <c r="Q481" s="3"/>
      <c r="R481" s="4"/>
      <c r="S481" s="4"/>
      <c r="T481" s="4"/>
      <c r="U481" s="4"/>
      <c r="V481" s="4"/>
      <c r="W481" s="4"/>
      <c r="X481" s="4"/>
      <c r="Y481" s="4"/>
      <c r="Z481" s="166"/>
      <c r="AA481" s="87"/>
      <c r="AB481" s="4"/>
      <c r="AC481" s="4"/>
      <c r="AD481" s="87"/>
      <c r="AE481" s="162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3"/>
      <c r="Q482" s="3"/>
      <c r="R482" s="4"/>
      <c r="S482" s="4"/>
      <c r="T482" s="4"/>
      <c r="U482" s="4"/>
      <c r="V482" s="4"/>
      <c r="W482" s="4"/>
      <c r="X482" s="4"/>
      <c r="Y482" s="4"/>
      <c r="Z482" s="166"/>
      <c r="AA482" s="87"/>
      <c r="AB482" s="4"/>
      <c r="AC482" s="4"/>
      <c r="AD482" s="87"/>
      <c r="AE482" s="162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3"/>
      <c r="Q483" s="3"/>
      <c r="R483" s="4"/>
      <c r="S483" s="4"/>
      <c r="T483" s="4"/>
      <c r="U483" s="4"/>
      <c r="V483" s="4"/>
      <c r="W483" s="4"/>
      <c r="X483" s="4"/>
      <c r="Y483" s="4"/>
      <c r="Z483" s="166"/>
      <c r="AA483" s="87"/>
      <c r="AB483" s="4"/>
      <c r="AC483" s="4"/>
      <c r="AD483" s="87"/>
      <c r="AE483" s="162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3"/>
      <c r="Q484" s="3"/>
      <c r="R484" s="4"/>
      <c r="S484" s="4"/>
      <c r="T484" s="4"/>
      <c r="U484" s="4"/>
      <c r="V484" s="4"/>
      <c r="W484" s="4"/>
      <c r="X484" s="4"/>
      <c r="Y484" s="4"/>
      <c r="Z484" s="166"/>
      <c r="AA484" s="87"/>
      <c r="AB484" s="4"/>
      <c r="AC484" s="4"/>
      <c r="AD484" s="87"/>
      <c r="AE484" s="162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3"/>
      <c r="Q485" s="3"/>
      <c r="R485" s="4"/>
      <c r="S485" s="4"/>
      <c r="T485" s="4"/>
      <c r="U485" s="4"/>
      <c r="V485" s="4"/>
      <c r="W485" s="4"/>
      <c r="X485" s="4"/>
      <c r="Y485" s="4"/>
      <c r="Z485" s="166"/>
      <c r="AA485" s="87"/>
      <c r="AB485" s="4"/>
      <c r="AC485" s="4"/>
      <c r="AD485" s="87"/>
      <c r="AE485" s="162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3"/>
      <c r="Q486" s="3"/>
      <c r="R486" s="4"/>
      <c r="S486" s="4"/>
      <c r="T486" s="4"/>
      <c r="U486" s="4"/>
      <c r="V486" s="4"/>
      <c r="W486" s="4"/>
      <c r="X486" s="4"/>
      <c r="Y486" s="4"/>
      <c r="Z486" s="166"/>
      <c r="AA486" s="87"/>
      <c r="AB486" s="4"/>
      <c r="AC486" s="4"/>
      <c r="AD486" s="87"/>
      <c r="AE486" s="87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3"/>
      <c r="Q487" s="3"/>
      <c r="R487" s="4"/>
      <c r="S487" s="4"/>
      <c r="T487" s="4"/>
      <c r="U487" s="4"/>
      <c r="V487" s="4"/>
      <c r="W487" s="4"/>
      <c r="X487" s="4"/>
      <c r="Y487" s="4"/>
      <c r="Z487" s="166"/>
      <c r="AA487" s="87"/>
      <c r="AB487" s="4"/>
      <c r="AC487" s="4"/>
      <c r="AD487" s="87"/>
      <c r="AE487" s="162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3"/>
      <c r="Q488" s="3"/>
      <c r="R488" s="4"/>
      <c r="S488" s="4"/>
      <c r="T488" s="4"/>
      <c r="U488" s="4"/>
      <c r="V488" s="4"/>
      <c r="W488" s="4"/>
      <c r="X488" s="4"/>
      <c r="Y488" s="4"/>
      <c r="Z488" s="166"/>
      <c r="AA488" s="87"/>
      <c r="AB488" s="4"/>
      <c r="AC488" s="4"/>
      <c r="AD488" s="87"/>
      <c r="AE488" s="162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3"/>
      <c r="Q489" s="3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3"/>
      <c r="Q490" s="3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3"/>
      <c r="Q491" s="3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3"/>
      <c r="Q492" s="3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3"/>
      <c r="Q493" s="3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3"/>
      <c r="Q494" s="3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3"/>
      <c r="Q495" s="3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3"/>
      <c r="Q496" s="3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3"/>
      <c r="Q497" s="3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3"/>
      <c r="Q498" s="3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3"/>
      <c r="Q499" s="3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3"/>
      <c r="Q500" s="3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3"/>
      <c r="Q501" s="3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3"/>
      <c r="Q502" s="3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3"/>
      <c r="Q503" s="3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3"/>
      <c r="Q504" s="3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3"/>
      <c r="Q505" s="3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3"/>
      <c r="Q506" s="3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3"/>
      <c r="Q507" s="3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3"/>
      <c r="Q508" s="3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3"/>
      <c r="Q509" s="3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3"/>
      <c r="Q510" s="3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3"/>
      <c r="Q511" s="3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3"/>
      <c r="Q512" s="3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3"/>
      <c r="Q513" s="3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3"/>
      <c r="Q514" s="3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3"/>
      <c r="Q515" s="3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3"/>
      <c r="Q516" s="3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3"/>
      <c r="Q517" s="3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3"/>
      <c r="Q518" s="3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3"/>
      <c r="Q519" s="3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3"/>
      <c r="Q520" s="3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3"/>
      <c r="Q521" s="3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3"/>
      <c r="Q522" s="3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3"/>
      <c r="Q523" s="3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3"/>
      <c r="Q524" s="3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3"/>
      <c r="Q525" s="3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3"/>
      <c r="Q526" s="3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3"/>
      <c r="Q527" s="3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3"/>
      <c r="Q528" s="3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3"/>
      <c r="Q529" s="3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3"/>
      <c r="Q530" s="3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3"/>
      <c r="Q531" s="3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3"/>
      <c r="Q532" s="3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3"/>
      <c r="Q533" s="3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3"/>
      <c r="Q534" s="3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3"/>
      <c r="Q535" s="3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3"/>
      <c r="Q536" s="3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3"/>
      <c r="Q537" s="3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3"/>
      <c r="Q538" s="3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3"/>
      <c r="Q539" s="3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3"/>
      <c r="Q540" s="3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3"/>
      <c r="Q541" s="3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3"/>
      <c r="Q542" s="3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3"/>
      <c r="Q543" s="3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3"/>
      <c r="Q544" s="3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3"/>
      <c r="Q545" s="3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3"/>
      <c r="Q546" s="3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3"/>
      <c r="Q547" s="3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3"/>
      <c r="Q548" s="3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3"/>
      <c r="Q549" s="3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3"/>
      <c r="Q550" s="3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3"/>
      <c r="Q551" s="3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3"/>
      <c r="Q552" s="3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3"/>
      <c r="Q553" s="3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3"/>
      <c r="Q554" s="3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3"/>
      <c r="Q555" s="3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3"/>
      <c r="Q556" s="3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3"/>
      <c r="Q557" s="3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3"/>
      <c r="Q558" s="3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3"/>
      <c r="Q559" s="3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3"/>
      <c r="Q560" s="3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3"/>
      <c r="Q561" s="3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3"/>
      <c r="Q562" s="3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3"/>
      <c r="Q563" s="3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3"/>
      <c r="Q564" s="3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3"/>
      <c r="Q565" s="3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3"/>
      <c r="Q566" s="3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3"/>
      <c r="Q567" s="3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3"/>
      <c r="Q568" s="3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3"/>
      <c r="Q569" s="3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3"/>
      <c r="Q570" s="3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3"/>
      <c r="Q571" s="3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3"/>
      <c r="Q572" s="3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3"/>
      <c r="Q573" s="3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3"/>
      <c r="Q574" s="3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3"/>
      <c r="Q575" s="3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3"/>
      <c r="Q576" s="3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3"/>
      <c r="Q577" s="3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3"/>
      <c r="Q578" s="3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3"/>
      <c r="Q579" s="3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3"/>
      <c r="Q580" s="3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3"/>
      <c r="Q581" s="3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3"/>
      <c r="Q582" s="3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3"/>
      <c r="Q583" s="3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3"/>
      <c r="Q584" s="3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3"/>
      <c r="Q585" s="3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3"/>
      <c r="Q586" s="3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3"/>
      <c r="Q587" s="3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3"/>
      <c r="Q588" s="3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3"/>
      <c r="Q589" s="3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3"/>
      <c r="Q590" s="3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3"/>
      <c r="Q591" s="3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3"/>
      <c r="Q592" s="3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3"/>
      <c r="Q593" s="3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3"/>
      <c r="Q594" s="3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3"/>
      <c r="Q595" s="3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3"/>
      <c r="Q596" s="3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3"/>
      <c r="Q597" s="3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3"/>
      <c r="Q598" s="3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3"/>
      <c r="Q599" s="3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3"/>
      <c r="Q600" s="3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3"/>
      <c r="Q601" s="3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3"/>
      <c r="Q602" s="3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3"/>
      <c r="Q603" s="3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3"/>
      <c r="Q604" s="3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3"/>
      <c r="Q605" s="3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3"/>
      <c r="Q606" s="3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3"/>
      <c r="Q607" s="3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3"/>
      <c r="Q608" s="3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3"/>
      <c r="Q609" s="3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3"/>
      <c r="Q610" s="3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3"/>
      <c r="Q611" s="3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3"/>
      <c r="Q612" s="3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3"/>
      <c r="Q613" s="3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3"/>
      <c r="Q614" s="3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3"/>
      <c r="Q615" s="3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3"/>
      <c r="Q616" s="3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3"/>
      <c r="Q617" s="3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3"/>
      <c r="Q618" s="3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3"/>
      <c r="Q619" s="3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3"/>
      <c r="Q620" s="3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3"/>
      <c r="Q621" s="3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3"/>
      <c r="Q622" s="3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3"/>
      <c r="Q623" s="3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3"/>
      <c r="Q624" s="3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3"/>
      <c r="Q625" s="3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3"/>
      <c r="Q626" s="3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3"/>
      <c r="Q627" s="3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3"/>
      <c r="Q628" s="3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3"/>
      <c r="Q629" s="3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3"/>
      <c r="Q630" s="3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3"/>
      <c r="Q631" s="3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3"/>
      <c r="Q632" s="3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3"/>
      <c r="Q633" s="3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3"/>
      <c r="Q634" s="3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3"/>
      <c r="Q635" s="3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3"/>
      <c r="Q636" s="3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3"/>
      <c r="Q637" s="3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3"/>
      <c r="Q638" s="3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3"/>
      <c r="Q639" s="3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3"/>
      <c r="Q640" s="3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3"/>
      <c r="Q641" s="3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3"/>
      <c r="Q642" s="3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3"/>
      <c r="Q643" s="3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3"/>
      <c r="Q644" s="3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3"/>
      <c r="Q645" s="3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3"/>
      <c r="Q646" s="3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3"/>
      <c r="Q647" s="3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3"/>
      <c r="Q648" s="3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3"/>
      <c r="Q649" s="3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3"/>
      <c r="Q650" s="3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3"/>
      <c r="Q651" s="3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3"/>
      <c r="Q652" s="3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3"/>
      <c r="Q653" s="3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3"/>
      <c r="Q654" s="3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3"/>
      <c r="Q655" s="3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3"/>
      <c r="Q656" s="3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3"/>
      <c r="Q657" s="3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3"/>
      <c r="Q658" s="3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3"/>
      <c r="Q659" s="3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3"/>
      <c r="Q660" s="3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3"/>
      <c r="Q661" s="3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3"/>
      <c r="Q662" s="3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3"/>
      <c r="Q663" s="3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3"/>
      <c r="Q664" s="3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3"/>
      <c r="Q665" s="3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3"/>
      <c r="Q666" s="3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3"/>
      <c r="Q667" s="3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3"/>
      <c r="Q668" s="3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3"/>
      <c r="Q669" s="3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3"/>
      <c r="Q670" s="3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3"/>
      <c r="Q671" s="3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3"/>
      <c r="Q672" s="3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3"/>
      <c r="Q673" s="3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3"/>
      <c r="Q674" s="3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3"/>
      <c r="Q675" s="3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3"/>
      <c r="Q676" s="3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3"/>
      <c r="Q677" s="3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3"/>
      <c r="Q678" s="3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3"/>
      <c r="Q679" s="3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3"/>
      <c r="Q680" s="3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3"/>
      <c r="Q681" s="3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3"/>
      <c r="Q682" s="3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3"/>
      <c r="Q683" s="3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3"/>
      <c r="Q684" s="3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3"/>
      <c r="Q685" s="3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3"/>
      <c r="Q686" s="3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3"/>
      <c r="Q687" s="3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3"/>
      <c r="Q688" s="3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3"/>
      <c r="Q689" s="3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3"/>
      <c r="Q690" s="3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3"/>
      <c r="Q691" s="3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3"/>
      <c r="Q692" s="3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3"/>
      <c r="Q693" s="3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3"/>
      <c r="Q694" s="3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3"/>
      <c r="Q695" s="3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3"/>
      <c r="Q696" s="3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3"/>
      <c r="Q697" s="3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3"/>
      <c r="Q698" s="3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3"/>
      <c r="Q699" s="3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3"/>
      <c r="Q700" s="3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3"/>
      <c r="Q701" s="3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3"/>
      <c r="Q702" s="3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3"/>
      <c r="Q703" s="3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3"/>
      <c r="Q704" s="3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3"/>
      <c r="Q705" s="3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3"/>
      <c r="Q706" s="3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3"/>
      <c r="Q707" s="3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3"/>
      <c r="Q708" s="3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3"/>
      <c r="Q709" s="3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3"/>
      <c r="Q710" s="3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3"/>
      <c r="Q711" s="3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3"/>
      <c r="Q712" s="3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3"/>
      <c r="Q713" s="3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3"/>
      <c r="Q714" s="3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3"/>
      <c r="Q715" s="3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3"/>
      <c r="Q716" s="3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3"/>
      <c r="Q717" s="3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3"/>
      <c r="Q718" s="3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3"/>
      <c r="Q719" s="3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3"/>
      <c r="Q720" s="3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3"/>
      <c r="Q721" s="3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3"/>
      <c r="Q722" s="3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3"/>
      <c r="Q723" s="3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3"/>
      <c r="Q724" s="3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3"/>
      <c r="Q725" s="3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3"/>
      <c r="Q726" s="3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3"/>
      <c r="Q727" s="3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3"/>
      <c r="Q728" s="3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3"/>
      <c r="Q729" s="3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3"/>
      <c r="Q730" s="3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3"/>
      <c r="Q731" s="3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3"/>
      <c r="Q732" s="3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3"/>
      <c r="Q733" s="3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3"/>
      <c r="Q734" s="3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3"/>
      <c r="Q735" s="3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3"/>
      <c r="Q736" s="3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3"/>
      <c r="Q737" s="3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3"/>
      <c r="Q738" s="3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3"/>
      <c r="Q739" s="3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3"/>
      <c r="Q740" s="3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3"/>
      <c r="Q741" s="3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3"/>
      <c r="Q742" s="3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3"/>
      <c r="Q743" s="3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3"/>
      <c r="Q744" s="3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3"/>
      <c r="Q745" s="3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3"/>
      <c r="Q746" s="3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3"/>
      <c r="Q747" s="3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3"/>
      <c r="Q748" s="3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3"/>
      <c r="Q749" s="3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3"/>
      <c r="Q750" s="3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3"/>
      <c r="Q751" s="3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3"/>
      <c r="Q752" s="3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3"/>
      <c r="Q753" s="3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3"/>
      <c r="Q754" s="3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3"/>
      <c r="Q755" s="3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3"/>
      <c r="Q756" s="3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3"/>
      <c r="Q757" s="3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3"/>
      <c r="Q758" s="3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3"/>
      <c r="Q759" s="3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3"/>
      <c r="Q760" s="3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3"/>
      <c r="Q761" s="3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3"/>
      <c r="Q762" s="3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3"/>
      <c r="Q763" s="3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3"/>
      <c r="Q764" s="3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3"/>
      <c r="Q765" s="3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3"/>
      <c r="Q766" s="3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3"/>
      <c r="Q767" s="3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3"/>
      <c r="Q768" s="3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3"/>
      <c r="Q769" s="3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3"/>
      <c r="Q770" s="3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3"/>
      <c r="Q771" s="3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3"/>
      <c r="Q772" s="3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3"/>
      <c r="Q773" s="3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3"/>
      <c r="Q774" s="3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3"/>
      <c r="Q775" s="3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3"/>
      <c r="Q776" s="3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3"/>
      <c r="Q777" s="3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3"/>
      <c r="Q778" s="3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3"/>
      <c r="Q779" s="3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3"/>
      <c r="Q780" s="3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3"/>
      <c r="Q781" s="3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3"/>
      <c r="Q782" s="3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3"/>
      <c r="Q783" s="3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3"/>
      <c r="Q784" s="3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3"/>
      <c r="Q785" s="3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3"/>
      <c r="Q786" s="3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3"/>
      <c r="Q787" s="3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3"/>
      <c r="Q788" s="3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3"/>
      <c r="Q789" s="3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3"/>
      <c r="Q790" s="3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3"/>
      <c r="Q791" s="3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3"/>
      <c r="Q792" s="3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3"/>
      <c r="Q793" s="3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3"/>
      <c r="Q794" s="3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3"/>
      <c r="Q795" s="3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3"/>
      <c r="Q796" s="3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3"/>
      <c r="Q797" s="3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3"/>
      <c r="Q798" s="3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3"/>
      <c r="Q799" s="3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3"/>
      <c r="Q800" s="3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3"/>
      <c r="Q801" s="3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3"/>
      <c r="Q802" s="3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3"/>
      <c r="Q803" s="3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3"/>
      <c r="Q804" s="3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3"/>
      <c r="Q805" s="3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3"/>
      <c r="Q806" s="3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3"/>
      <c r="Q807" s="3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3"/>
      <c r="Q808" s="3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3"/>
      <c r="Q809" s="3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3"/>
      <c r="Q810" s="3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3"/>
      <c r="Q811" s="3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3"/>
      <c r="Q812" s="3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3"/>
      <c r="Q813" s="3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3"/>
      <c r="Q814" s="3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3"/>
      <c r="Q815" s="3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3"/>
      <c r="Q816" s="3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3"/>
      <c r="Q817" s="3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3"/>
      <c r="Q818" s="3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3"/>
      <c r="Q819" s="3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3"/>
      <c r="Q820" s="3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3"/>
      <c r="Q821" s="3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3"/>
      <c r="Q822" s="3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3"/>
      <c r="Q823" s="3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3"/>
      <c r="Q824" s="3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3"/>
      <c r="Q825" s="3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3"/>
      <c r="Q826" s="3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3"/>
      <c r="Q827" s="3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3"/>
      <c r="Q828" s="3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3"/>
      <c r="Q829" s="3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3"/>
      <c r="Q830" s="3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3"/>
      <c r="Q831" s="3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3"/>
      <c r="Q832" s="3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3"/>
      <c r="Q833" s="3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3"/>
      <c r="Q834" s="3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3"/>
      <c r="Q835" s="3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3"/>
      <c r="Q836" s="3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3"/>
      <c r="Q837" s="3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3"/>
      <c r="Q838" s="3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3"/>
      <c r="Q839" s="3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3"/>
      <c r="Q840" s="3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3"/>
      <c r="Q841" s="3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3"/>
      <c r="Q842" s="3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3"/>
      <c r="Q843" s="3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3"/>
      <c r="Q844" s="3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3"/>
      <c r="Q845" s="3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3"/>
      <c r="Q846" s="3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3"/>
      <c r="Q847" s="3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3"/>
      <c r="Q848" s="3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3"/>
      <c r="Q849" s="3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3"/>
      <c r="Q850" s="3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3"/>
      <c r="Q851" s="3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3"/>
      <c r="Q852" s="3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3"/>
      <c r="Q853" s="3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3"/>
      <c r="Q854" s="3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3"/>
      <c r="Q855" s="3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3"/>
      <c r="Q856" s="3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3"/>
      <c r="Q857" s="3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3"/>
      <c r="Q858" s="3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3"/>
      <c r="Q859" s="3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3"/>
      <c r="Q860" s="3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3"/>
      <c r="Q861" s="3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3"/>
      <c r="Q862" s="3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3"/>
      <c r="Q863" s="3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3"/>
      <c r="Q864" s="3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3"/>
      <c r="Q865" s="3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3"/>
      <c r="Q866" s="3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3"/>
      <c r="Q867" s="3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3"/>
      <c r="Q868" s="3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3"/>
      <c r="Q869" s="3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3"/>
      <c r="Q870" s="3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3"/>
      <c r="Q871" s="3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3"/>
      <c r="Q872" s="3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3"/>
      <c r="Q873" s="3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3"/>
      <c r="Q874" s="3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3"/>
      <c r="Q875" s="3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3"/>
      <c r="Q876" s="3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3"/>
      <c r="Q877" s="3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3"/>
      <c r="Q878" s="3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3"/>
      <c r="Q879" s="3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3"/>
      <c r="Q880" s="3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3"/>
      <c r="Q881" s="3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3"/>
      <c r="Q882" s="3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3"/>
      <c r="Q883" s="3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3"/>
      <c r="Q884" s="3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3"/>
      <c r="Q885" s="3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3"/>
      <c r="Q886" s="3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3"/>
      <c r="Q887" s="3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3"/>
      <c r="Q888" s="3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3"/>
      <c r="Q889" s="3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3"/>
      <c r="Q890" s="3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3"/>
      <c r="Q891" s="3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3"/>
      <c r="Q892" s="3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3"/>
      <c r="Q893" s="3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3"/>
      <c r="Q894" s="3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3"/>
      <c r="Q895" s="3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3"/>
      <c r="Q896" s="3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3"/>
      <c r="Q897" s="3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3"/>
      <c r="Q898" s="3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3"/>
      <c r="Q899" s="3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3"/>
      <c r="Q900" s="3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3"/>
      <c r="Q901" s="3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3"/>
      <c r="Q902" s="3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3"/>
      <c r="Q903" s="3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3"/>
      <c r="Q904" s="3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3"/>
      <c r="Q905" s="3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3"/>
      <c r="Q906" s="3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3"/>
      <c r="Q907" s="3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3"/>
      <c r="Q908" s="3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3"/>
      <c r="Q909" s="3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3"/>
      <c r="Q910" s="3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3"/>
      <c r="Q911" s="3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3"/>
      <c r="Q912" s="3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3"/>
      <c r="Q913" s="3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3"/>
      <c r="Q914" s="3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3"/>
      <c r="Q915" s="3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3"/>
      <c r="Q916" s="3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3"/>
      <c r="Q917" s="3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3"/>
      <c r="Q918" s="3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3"/>
      <c r="Q919" s="3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3"/>
      <c r="Q920" s="3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3"/>
      <c r="Q921" s="3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3"/>
      <c r="Q922" s="3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3"/>
      <c r="Q923" s="3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3"/>
      <c r="Q924" s="3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3"/>
      <c r="Q925" s="3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3"/>
      <c r="Q926" s="3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3"/>
      <c r="Q927" s="3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3"/>
      <c r="Q928" s="3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3"/>
      <c r="Q929" s="3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3"/>
      <c r="Q930" s="3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3"/>
      <c r="Q931" s="3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3"/>
      <c r="Q932" s="3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3"/>
      <c r="Q933" s="3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3"/>
      <c r="Q934" s="3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3"/>
      <c r="Q935" s="3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3"/>
      <c r="Q936" s="3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3"/>
      <c r="Q937" s="3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3"/>
      <c r="Q938" s="3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3"/>
      <c r="Q939" s="3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3"/>
      <c r="Q940" s="3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3"/>
      <c r="Q941" s="3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3"/>
      <c r="Q942" s="3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3"/>
      <c r="Q943" s="3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3"/>
      <c r="Q944" s="3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3"/>
      <c r="Q945" s="3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3"/>
      <c r="Q946" s="3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3"/>
      <c r="Q947" s="3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3"/>
      <c r="Q948" s="3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3"/>
      <c r="Q949" s="3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3"/>
      <c r="Q950" s="3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3"/>
      <c r="Q951" s="3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3"/>
      <c r="Q952" s="3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3"/>
      <c r="Q953" s="3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3"/>
      <c r="Q954" s="3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3"/>
      <c r="Q955" s="3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3"/>
      <c r="Q956" s="3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3"/>
      <c r="Q957" s="3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3"/>
      <c r="Q958" s="3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3"/>
      <c r="Q959" s="3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3"/>
      <c r="Q960" s="3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3"/>
      <c r="Q961" s="3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3"/>
      <c r="Q962" s="3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3"/>
      <c r="Q963" s="3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3"/>
      <c r="Q964" s="3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3"/>
      <c r="Q965" s="3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3"/>
      <c r="Q966" s="3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3"/>
      <c r="Q967" s="3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3"/>
      <c r="Q968" s="3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3"/>
      <c r="Q969" s="3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3"/>
      <c r="Q970" s="3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3"/>
      <c r="Q971" s="3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3"/>
      <c r="Q972" s="3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3"/>
      <c r="Q973" s="3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3"/>
      <c r="Q974" s="3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3"/>
      <c r="Q975" s="3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3"/>
      <c r="Q976" s="3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3"/>
      <c r="Q977" s="3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3"/>
      <c r="Q978" s="3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3"/>
      <c r="Q979" s="3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3"/>
      <c r="Q980" s="3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3"/>
      <c r="Q981" s="3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3"/>
      <c r="Q982" s="3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3"/>
      <c r="Q983" s="3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3"/>
      <c r="Q984" s="3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3"/>
      <c r="Q985" s="3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3"/>
      <c r="Q986" s="3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</sheetData>
  <autoFilter ref="$Z$3:$AE$466"/>
  <mergeCells count="4">
    <mergeCell ref="B3:C3"/>
    <mergeCell ref="B4:C4"/>
    <mergeCell ref="B38:P38"/>
    <mergeCell ref="B39:C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1.13"/>
    <col customWidth="1" min="2" max="2" width="3.38"/>
    <col customWidth="1" min="3" max="3" width="31.13"/>
    <col customWidth="1" min="4" max="15" width="10.88"/>
    <col customWidth="1" min="16" max="16" width="9.5"/>
    <col customWidth="1" min="17" max="17" width="44.5"/>
  </cols>
  <sheetData>
    <row r="1" ht="33.0" customHeight="1" collapsed="1">
      <c r="A1" s="1"/>
      <c r="B1" s="2" t="s">
        <v>0</v>
      </c>
      <c r="C1" s="3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idden="1" outlineLevel="1">
      <c r="A2" s="1"/>
      <c r="B2" s="4"/>
      <c r="C2" s="4"/>
      <c r="D2" s="4" t="str">
        <f t="shared" ref="D2:O2" si="1">YEAR(D3)&amp;MONTH(D3)</f>
        <v>20263</v>
      </c>
      <c r="E2" s="4" t="str">
        <f t="shared" si="1"/>
        <v>20264</v>
      </c>
      <c r="F2" s="4" t="str">
        <f t="shared" si="1"/>
        <v>20265</v>
      </c>
      <c r="G2" s="4" t="str">
        <f t="shared" si="1"/>
        <v>20266</v>
      </c>
      <c r="H2" s="4" t="str">
        <f t="shared" si="1"/>
        <v>20267</v>
      </c>
      <c r="I2" s="4" t="str">
        <f t="shared" si="1"/>
        <v>20268</v>
      </c>
      <c r="J2" s="4" t="str">
        <f t="shared" si="1"/>
        <v>20269</v>
      </c>
      <c r="K2" s="4" t="str">
        <f t="shared" si="1"/>
        <v>202610</v>
      </c>
      <c r="L2" s="4" t="str">
        <f t="shared" si="1"/>
        <v>202611</v>
      </c>
      <c r="M2" s="4" t="str">
        <f t="shared" si="1"/>
        <v>202612</v>
      </c>
      <c r="N2" s="4" t="str">
        <f t="shared" si="1"/>
        <v>20271</v>
      </c>
      <c r="O2" s="4" t="str">
        <f t="shared" si="1"/>
        <v>20272</v>
      </c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</row>
    <row r="3" ht="18.0" customHeight="1" collapsed="1">
      <c r="A3" s="5"/>
      <c r="B3" s="6" t="s">
        <v>2</v>
      </c>
      <c r="C3" s="7"/>
      <c r="D3" s="8">
        <v>46112.0</v>
      </c>
      <c r="E3" s="8">
        <f t="shared" ref="E3:O3" si="2">EOMONTH(D3,1)</f>
        <v>46142</v>
      </c>
      <c r="F3" s="8">
        <f t="shared" si="2"/>
        <v>46173</v>
      </c>
      <c r="G3" s="8">
        <f t="shared" si="2"/>
        <v>46203</v>
      </c>
      <c r="H3" s="8">
        <f t="shared" si="2"/>
        <v>46234</v>
      </c>
      <c r="I3" s="8">
        <f t="shared" si="2"/>
        <v>46265</v>
      </c>
      <c r="J3" s="8">
        <f t="shared" si="2"/>
        <v>46295</v>
      </c>
      <c r="K3" s="8">
        <f t="shared" si="2"/>
        <v>46326</v>
      </c>
      <c r="L3" s="8">
        <f t="shared" si="2"/>
        <v>46356</v>
      </c>
      <c r="M3" s="8">
        <f t="shared" si="2"/>
        <v>46387</v>
      </c>
      <c r="N3" s="8">
        <f t="shared" si="2"/>
        <v>46418</v>
      </c>
      <c r="O3" s="8">
        <f t="shared" si="2"/>
        <v>46446</v>
      </c>
      <c r="P3" s="9" t="s">
        <v>3</v>
      </c>
      <c r="Q3" s="9" t="s">
        <v>4</v>
      </c>
      <c r="R3" s="2"/>
      <c r="T3" s="3"/>
      <c r="U3" s="3"/>
      <c r="V3" s="3"/>
      <c r="W3" s="3"/>
      <c r="X3" s="3"/>
      <c r="Y3" s="3"/>
      <c r="Z3" s="3"/>
      <c r="AA3" s="3"/>
    </row>
    <row r="4" ht="24.0" hidden="1" customHeight="1" outlineLevel="1">
      <c r="A4" s="5"/>
      <c r="B4" s="10" t="s">
        <v>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3"/>
      <c r="R4" s="3"/>
      <c r="S4" s="3"/>
      <c r="T4" s="3"/>
      <c r="U4" s="3"/>
      <c r="V4" s="3"/>
      <c r="W4" s="3"/>
      <c r="X4" s="3"/>
      <c r="Y4" s="3"/>
      <c r="Z4" s="3"/>
      <c r="AA4" s="3"/>
    </row>
    <row r="5" hidden="1" outlineLevel="1">
      <c r="A5" s="5"/>
      <c r="B5" s="18">
        <v>1.0</v>
      </c>
      <c r="C5" s="19" t="s">
        <v>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2">
        <f t="shared" ref="P5:P37" si="3">SUM(D5:O5)</f>
        <v>0</v>
      </c>
      <c r="Q5" s="22"/>
      <c r="R5" s="4"/>
      <c r="S5" s="4"/>
      <c r="T5" s="4"/>
      <c r="U5" s="4"/>
      <c r="V5" s="4"/>
      <c r="W5" s="4"/>
      <c r="X5" s="4"/>
      <c r="Y5" s="4"/>
      <c r="Z5" s="4"/>
      <c r="AA5" s="4"/>
    </row>
    <row r="6" hidden="1" outlineLevel="1">
      <c r="A6" s="5"/>
      <c r="B6" s="18">
        <f t="shared" ref="B6:B13" si="4">B5+1</f>
        <v>2</v>
      </c>
      <c r="C6" s="19" t="s">
        <v>10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2">
        <f t="shared" si="3"/>
        <v>0</v>
      </c>
      <c r="Q6" s="22"/>
      <c r="R6" s="4"/>
      <c r="S6" s="4"/>
      <c r="T6" s="4"/>
      <c r="U6" s="4"/>
      <c r="V6" s="4"/>
      <c r="W6" s="4"/>
      <c r="X6" s="4"/>
      <c r="Y6" s="4"/>
      <c r="Z6" s="4"/>
      <c r="AA6" s="4"/>
    </row>
    <row r="7" hidden="1" outlineLevel="1">
      <c r="A7" s="5"/>
      <c r="B7" s="18">
        <f t="shared" si="4"/>
        <v>3</v>
      </c>
      <c r="C7" s="19" t="s">
        <v>12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2">
        <f t="shared" si="3"/>
        <v>0</v>
      </c>
      <c r="Q7" s="22"/>
      <c r="R7" s="4"/>
      <c r="S7" s="4"/>
      <c r="T7" s="4"/>
      <c r="U7" s="4"/>
      <c r="V7" s="4"/>
      <c r="W7" s="4"/>
      <c r="X7" s="4"/>
      <c r="Y7" s="4"/>
      <c r="Z7" s="4"/>
      <c r="AA7" s="4"/>
    </row>
    <row r="8" hidden="1" outlineLevel="1">
      <c r="A8" s="5"/>
      <c r="B8" s="18">
        <f t="shared" si="4"/>
        <v>4</v>
      </c>
      <c r="C8" s="19" t="s">
        <v>14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2">
        <f t="shared" si="3"/>
        <v>0</v>
      </c>
      <c r="Q8" s="22"/>
      <c r="R8" s="4"/>
      <c r="S8" s="4"/>
      <c r="T8" s="4"/>
      <c r="U8" s="4"/>
      <c r="V8" s="4"/>
      <c r="W8" s="4"/>
      <c r="X8" s="4"/>
      <c r="Y8" s="4"/>
      <c r="Z8" s="4"/>
      <c r="AA8" s="4"/>
    </row>
    <row r="9" hidden="1" outlineLevel="1">
      <c r="A9" s="5"/>
      <c r="B9" s="18">
        <f t="shared" si="4"/>
        <v>5</v>
      </c>
      <c r="C9" s="19" t="s">
        <v>16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2">
        <f t="shared" si="3"/>
        <v>0</v>
      </c>
      <c r="Q9" s="22"/>
      <c r="R9" s="4"/>
      <c r="S9" s="4"/>
      <c r="T9" s="4"/>
      <c r="U9" s="4"/>
      <c r="V9" s="4"/>
      <c r="W9" s="4"/>
      <c r="X9" s="4"/>
      <c r="Y9" s="4"/>
      <c r="Z9" s="4"/>
      <c r="AA9" s="4"/>
    </row>
    <row r="10" hidden="1" outlineLevel="1">
      <c r="A10" s="5"/>
      <c r="B10" s="18">
        <f t="shared" si="4"/>
        <v>6</v>
      </c>
      <c r="C10" s="19" t="s">
        <v>18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2">
        <f t="shared" si="3"/>
        <v>0</v>
      </c>
      <c r="Q10" s="22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idden="1" outlineLevel="1">
      <c r="A11" s="5"/>
      <c r="B11" s="18">
        <f t="shared" si="4"/>
        <v>7</v>
      </c>
      <c r="C11" s="19" t="s">
        <v>20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2">
        <f t="shared" si="3"/>
        <v>0</v>
      </c>
      <c r="Q11" s="22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idden="1" outlineLevel="1">
      <c r="A12" s="5"/>
      <c r="B12" s="18">
        <f t="shared" si="4"/>
        <v>8</v>
      </c>
      <c r="C12" s="19" t="s">
        <v>21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2">
        <f t="shared" si="3"/>
        <v>0</v>
      </c>
      <c r="Q12" s="22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idden="1" outlineLevel="1">
      <c r="A13" s="5"/>
      <c r="B13" s="18">
        <f t="shared" si="4"/>
        <v>9</v>
      </c>
      <c r="C13" s="19" t="s">
        <v>23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2">
        <f t="shared" si="3"/>
        <v>0</v>
      </c>
      <c r="Q13" s="22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idden="1" outlineLevel="1">
      <c r="A14" s="5"/>
      <c r="B14" s="34"/>
      <c r="C14" s="35" t="s">
        <v>25</v>
      </c>
      <c r="D14" s="36">
        <f t="shared" ref="D14:O14" si="5">SUM(D5:D13)</f>
        <v>0</v>
      </c>
      <c r="E14" s="36">
        <f t="shared" si="5"/>
        <v>0</v>
      </c>
      <c r="F14" s="36">
        <f t="shared" si="5"/>
        <v>0</v>
      </c>
      <c r="G14" s="36">
        <f t="shared" si="5"/>
        <v>0</v>
      </c>
      <c r="H14" s="36">
        <f t="shared" si="5"/>
        <v>0</v>
      </c>
      <c r="I14" s="36">
        <f t="shared" si="5"/>
        <v>0</v>
      </c>
      <c r="J14" s="36">
        <f t="shared" si="5"/>
        <v>0</v>
      </c>
      <c r="K14" s="36">
        <f t="shared" si="5"/>
        <v>0</v>
      </c>
      <c r="L14" s="36">
        <f t="shared" si="5"/>
        <v>0</v>
      </c>
      <c r="M14" s="36">
        <f t="shared" si="5"/>
        <v>0</v>
      </c>
      <c r="N14" s="36">
        <f t="shared" si="5"/>
        <v>0</v>
      </c>
      <c r="O14" s="36">
        <f t="shared" si="5"/>
        <v>0</v>
      </c>
      <c r="P14" s="37">
        <f t="shared" si="3"/>
        <v>0</v>
      </c>
      <c r="Q14" s="37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idden="1" outlineLevel="1">
      <c r="A15" s="19" t="s">
        <v>182</v>
      </c>
      <c r="B15" s="18">
        <f>B13+1</f>
        <v>10</v>
      </c>
      <c r="C15" s="19" t="s">
        <v>27</v>
      </c>
      <c r="D15" s="20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>
        <f t="shared" si="3"/>
        <v>0</v>
      </c>
      <c r="Q15" s="22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idden="1" outlineLevel="1">
      <c r="A16" s="19" t="s">
        <v>195</v>
      </c>
      <c r="B16" s="18">
        <f t="shared" ref="B16:B35" si="6">B15+1</f>
        <v>11</v>
      </c>
      <c r="C16" s="19" t="s">
        <v>27</v>
      </c>
      <c r="D16" s="20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>
        <f t="shared" si="3"/>
        <v>0</v>
      </c>
      <c r="Q16" s="22"/>
      <c r="R16" s="4"/>
      <c r="S16" s="4"/>
      <c r="T16" s="4" t="s">
        <v>216</v>
      </c>
      <c r="U16" s="4" t="str">
        <f t="array" ref="U16:U32">UNIQUE(VSTACK(T16:T51))</f>
        <v>役員報酬</v>
      </c>
      <c r="V16" s="4"/>
      <c r="W16" s="4"/>
      <c r="X16" s="4"/>
      <c r="Y16" s="4"/>
      <c r="Z16" s="4"/>
      <c r="AA16" s="4"/>
    </row>
    <row r="17" hidden="1" outlineLevel="1">
      <c r="A17" s="19" t="s">
        <v>197</v>
      </c>
      <c r="B17" s="18">
        <f t="shared" si="6"/>
        <v>12</v>
      </c>
      <c r="C17" s="19" t="s">
        <v>27</v>
      </c>
      <c r="D17" s="2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>
        <f t="shared" si="3"/>
        <v>0</v>
      </c>
      <c r="Q17" s="22"/>
      <c r="R17" s="4"/>
      <c r="S17" s="4"/>
      <c r="T17" s="4" t="s">
        <v>217</v>
      </c>
      <c r="U17" s="4" t="s">
        <v>217</v>
      </c>
      <c r="V17" s="4"/>
      <c r="W17" s="4"/>
      <c r="X17" s="4"/>
      <c r="Y17" s="4"/>
      <c r="Z17" s="4"/>
      <c r="AA17" s="4"/>
    </row>
    <row r="18" hidden="1" outlineLevel="1">
      <c r="A18" s="19" t="s">
        <v>199</v>
      </c>
      <c r="B18" s="18">
        <f t="shared" si="6"/>
        <v>13</v>
      </c>
      <c r="C18" s="19" t="s">
        <v>27</v>
      </c>
      <c r="D18" s="2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>
        <f t="shared" si="3"/>
        <v>0</v>
      </c>
      <c r="Q18" s="22"/>
      <c r="R18" s="4"/>
      <c r="S18" s="4"/>
      <c r="T18" s="4" t="s">
        <v>218</v>
      </c>
      <c r="U18" s="4" t="s">
        <v>218</v>
      </c>
      <c r="V18" s="4"/>
      <c r="W18" s="4"/>
      <c r="X18" s="4"/>
      <c r="Y18" s="4"/>
      <c r="Z18" s="4"/>
      <c r="AA18" s="4"/>
    </row>
    <row r="19" hidden="1" outlineLevel="1">
      <c r="A19" s="19" t="s">
        <v>201</v>
      </c>
      <c r="B19" s="18">
        <f t="shared" si="6"/>
        <v>14</v>
      </c>
      <c r="C19" s="19" t="s">
        <v>27</v>
      </c>
      <c r="D19" s="2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>
        <f t="shared" si="3"/>
        <v>0</v>
      </c>
      <c r="Q19" s="22"/>
      <c r="R19" s="4"/>
      <c r="S19" s="4"/>
      <c r="T19" s="4" t="s">
        <v>52</v>
      </c>
      <c r="U19" s="4" t="s">
        <v>52</v>
      </c>
      <c r="V19" s="4"/>
      <c r="W19" s="4"/>
      <c r="X19" s="4"/>
      <c r="Y19" s="4"/>
      <c r="Z19" s="4"/>
      <c r="AA19" s="4"/>
    </row>
    <row r="20" hidden="1" outlineLevel="1">
      <c r="A20" s="19" t="s">
        <v>189</v>
      </c>
      <c r="B20" s="18">
        <f t="shared" si="6"/>
        <v>15</v>
      </c>
      <c r="C20" s="19" t="s">
        <v>29</v>
      </c>
      <c r="D20" s="2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>
        <f t="shared" si="3"/>
        <v>0</v>
      </c>
      <c r="Q20" s="22"/>
      <c r="R20" s="4"/>
      <c r="S20" s="4"/>
      <c r="T20" s="4" t="s">
        <v>41</v>
      </c>
      <c r="U20" s="4" t="s">
        <v>41</v>
      </c>
      <c r="V20" s="4"/>
      <c r="W20" s="4"/>
      <c r="X20" s="4"/>
      <c r="Y20" s="4"/>
      <c r="Z20" s="4"/>
      <c r="AA20" s="4"/>
    </row>
    <row r="21" hidden="1" outlineLevel="1">
      <c r="A21" s="19" t="s">
        <v>190</v>
      </c>
      <c r="B21" s="18">
        <f t="shared" si="6"/>
        <v>16</v>
      </c>
      <c r="C21" s="19" t="s">
        <v>31</v>
      </c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>
        <f t="shared" si="3"/>
        <v>0</v>
      </c>
      <c r="Q21" s="22"/>
      <c r="R21" s="4"/>
      <c r="S21" s="4"/>
      <c r="T21" s="4" t="s">
        <v>53</v>
      </c>
      <c r="U21" s="4" t="s">
        <v>53</v>
      </c>
      <c r="V21" s="4"/>
      <c r="W21" s="4"/>
      <c r="X21" s="4"/>
      <c r="Y21" s="4"/>
      <c r="Z21" s="4"/>
      <c r="AA21" s="4"/>
    </row>
    <row r="22" hidden="1" outlineLevel="1">
      <c r="A22" s="19" t="s">
        <v>204</v>
      </c>
      <c r="B22" s="18">
        <f t="shared" si="6"/>
        <v>17</v>
      </c>
      <c r="C22" s="19" t="s">
        <v>31</v>
      </c>
      <c r="D22" s="2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>
        <f t="shared" si="3"/>
        <v>0</v>
      </c>
      <c r="Q22" s="22"/>
      <c r="R22" s="4"/>
      <c r="S22" s="4"/>
      <c r="T22" s="4" t="s">
        <v>27</v>
      </c>
      <c r="U22" s="4" t="s">
        <v>27</v>
      </c>
      <c r="V22" s="4"/>
      <c r="W22" s="4"/>
      <c r="X22" s="4"/>
      <c r="Y22" s="4"/>
      <c r="Z22" s="4"/>
      <c r="AA22" s="4"/>
    </row>
    <row r="23" hidden="1" outlineLevel="1">
      <c r="A23" s="19" t="s">
        <v>206</v>
      </c>
      <c r="B23" s="18">
        <f t="shared" si="6"/>
        <v>18</v>
      </c>
      <c r="C23" s="19" t="s">
        <v>31</v>
      </c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>
        <f t="shared" si="3"/>
        <v>0</v>
      </c>
      <c r="Q23" s="22"/>
      <c r="R23" s="4"/>
      <c r="S23" s="4"/>
      <c r="T23" s="4" t="s">
        <v>54</v>
      </c>
      <c r="U23" s="4" t="s">
        <v>54</v>
      </c>
      <c r="V23" s="4"/>
      <c r="W23" s="4"/>
      <c r="X23" s="4"/>
      <c r="Y23" s="4"/>
      <c r="Z23" s="4"/>
      <c r="AA23" s="4"/>
    </row>
    <row r="24" hidden="1" outlineLevel="1">
      <c r="A24" s="19" t="s">
        <v>207</v>
      </c>
      <c r="B24" s="18">
        <f t="shared" si="6"/>
        <v>19</v>
      </c>
      <c r="C24" s="19" t="s">
        <v>31</v>
      </c>
      <c r="D24" s="2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>
        <f t="shared" si="3"/>
        <v>0</v>
      </c>
      <c r="Q24" s="22"/>
      <c r="R24" s="4"/>
      <c r="S24" s="4"/>
      <c r="T24" s="4" t="s">
        <v>219</v>
      </c>
      <c r="U24" s="4" t="s">
        <v>219</v>
      </c>
      <c r="V24" s="4"/>
      <c r="W24" s="4"/>
      <c r="X24" s="4"/>
      <c r="Y24" s="4"/>
      <c r="Z24" s="4"/>
      <c r="AA24" s="4"/>
    </row>
    <row r="25" hidden="1" outlineLevel="1">
      <c r="A25" s="19" t="s">
        <v>194</v>
      </c>
      <c r="B25" s="18">
        <f t="shared" si="6"/>
        <v>20</v>
      </c>
      <c r="C25" s="19" t="s">
        <v>31</v>
      </c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>
        <f t="shared" si="3"/>
        <v>0</v>
      </c>
      <c r="Q25" s="22"/>
      <c r="R25" s="4"/>
      <c r="S25" s="4"/>
      <c r="T25" s="4" t="s">
        <v>56</v>
      </c>
      <c r="U25" s="4" t="s">
        <v>56</v>
      </c>
      <c r="V25" s="4"/>
      <c r="W25" s="4"/>
      <c r="X25" s="4"/>
      <c r="Y25" s="4"/>
      <c r="Z25" s="4"/>
      <c r="AA25" s="4"/>
    </row>
    <row r="26" hidden="1" outlineLevel="1">
      <c r="A26" s="19" t="s">
        <v>209</v>
      </c>
      <c r="B26" s="18">
        <f t="shared" si="6"/>
        <v>21</v>
      </c>
      <c r="C26" s="19" t="s">
        <v>31</v>
      </c>
      <c r="D26" s="2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>
        <f t="shared" si="3"/>
        <v>0</v>
      </c>
      <c r="Q26" s="22"/>
      <c r="R26" s="4"/>
      <c r="S26" s="4"/>
      <c r="T26" s="4" t="s">
        <v>59</v>
      </c>
      <c r="U26" s="4" t="s">
        <v>59</v>
      </c>
      <c r="V26" s="4"/>
      <c r="W26" s="4"/>
      <c r="X26" s="4"/>
      <c r="Y26" s="4"/>
      <c r="Z26" s="4"/>
      <c r="AA26" s="4"/>
    </row>
    <row r="27" hidden="1" outlineLevel="1">
      <c r="A27" s="19" t="s">
        <v>198</v>
      </c>
      <c r="B27" s="18">
        <f t="shared" si="6"/>
        <v>22</v>
      </c>
      <c r="C27" s="19" t="s">
        <v>33</v>
      </c>
      <c r="D27" s="2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>
        <f t="shared" si="3"/>
        <v>0</v>
      </c>
      <c r="Q27" s="22"/>
      <c r="R27" s="4"/>
      <c r="S27" s="4"/>
      <c r="T27" s="4" t="s">
        <v>40</v>
      </c>
      <c r="U27" s="4" t="s">
        <v>40</v>
      </c>
      <c r="V27" s="4"/>
      <c r="W27" s="4"/>
      <c r="X27" s="4"/>
      <c r="Y27" s="4"/>
      <c r="Z27" s="4"/>
      <c r="AA27" s="4"/>
    </row>
    <row r="28" hidden="1" outlineLevel="1">
      <c r="A28" s="19" t="s">
        <v>200</v>
      </c>
      <c r="B28" s="18">
        <f t="shared" si="6"/>
        <v>23</v>
      </c>
      <c r="C28" s="19" t="s">
        <v>36</v>
      </c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2">
        <f t="shared" si="3"/>
        <v>0</v>
      </c>
      <c r="Q28" s="22"/>
      <c r="R28" s="4"/>
      <c r="S28" s="4"/>
      <c r="T28" s="4" t="s">
        <v>33</v>
      </c>
      <c r="U28" s="4" t="s">
        <v>33</v>
      </c>
      <c r="V28" s="4"/>
      <c r="W28" s="4"/>
      <c r="X28" s="4"/>
      <c r="Y28" s="4"/>
      <c r="Z28" s="4"/>
      <c r="AA28" s="4"/>
    </row>
    <row r="29" hidden="1" outlineLevel="1">
      <c r="A29" s="19" t="s">
        <v>202</v>
      </c>
      <c r="B29" s="18">
        <f t="shared" si="6"/>
        <v>24</v>
      </c>
      <c r="C29" s="19" t="s">
        <v>33</v>
      </c>
      <c r="D29" s="20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>
        <f t="shared" si="3"/>
        <v>0</v>
      </c>
      <c r="Q29" s="22"/>
      <c r="R29" s="4"/>
      <c r="S29" s="4"/>
      <c r="T29" s="4" t="s">
        <v>216</v>
      </c>
      <c r="U29" s="4"/>
      <c r="V29" s="4"/>
      <c r="W29" s="4"/>
      <c r="X29" s="4"/>
      <c r="Y29" s="4"/>
      <c r="Z29" s="4"/>
      <c r="AA29" s="4"/>
    </row>
    <row r="30" hidden="1" outlineLevel="1">
      <c r="A30" s="19" t="s">
        <v>203</v>
      </c>
      <c r="B30" s="18">
        <f t="shared" si="6"/>
        <v>25</v>
      </c>
      <c r="C30" s="19" t="s">
        <v>33</v>
      </c>
      <c r="D30" s="20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2">
        <f t="shared" si="3"/>
        <v>0</v>
      </c>
      <c r="Q30" s="22"/>
      <c r="R30" s="4"/>
      <c r="S30" s="4"/>
      <c r="T30" s="4" t="s">
        <v>217</v>
      </c>
      <c r="U30" s="4" t="s">
        <v>38</v>
      </c>
      <c r="V30" s="4"/>
      <c r="W30" s="4"/>
      <c r="X30" s="4"/>
      <c r="Y30" s="4"/>
      <c r="Z30" s="4"/>
      <c r="AA30" s="4"/>
    </row>
    <row r="31" hidden="1" outlineLevel="1">
      <c r="A31" s="19" t="s">
        <v>56</v>
      </c>
      <c r="B31" s="18">
        <f t="shared" si="6"/>
        <v>26</v>
      </c>
      <c r="C31" s="19" t="s">
        <v>38</v>
      </c>
      <c r="D31" s="20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>
        <f t="shared" si="3"/>
        <v>0</v>
      </c>
      <c r="Q31" s="22"/>
      <c r="R31" s="4"/>
      <c r="S31" s="4"/>
      <c r="T31" s="4" t="s">
        <v>218</v>
      </c>
      <c r="U31" s="4" t="s">
        <v>36</v>
      </c>
      <c r="V31" s="4"/>
      <c r="W31" s="4"/>
      <c r="X31" s="4"/>
      <c r="Y31" s="4"/>
      <c r="Z31" s="4"/>
      <c r="AA31" s="4"/>
    </row>
    <row r="32" hidden="1" outlineLevel="1">
      <c r="A32" s="19" t="s">
        <v>205</v>
      </c>
      <c r="B32" s="18">
        <f t="shared" si="6"/>
        <v>27</v>
      </c>
      <c r="C32" s="19" t="s">
        <v>40</v>
      </c>
      <c r="D32" s="20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>
        <f t="shared" si="3"/>
        <v>0</v>
      </c>
      <c r="Q32" s="22"/>
      <c r="R32" s="4"/>
      <c r="S32" s="4"/>
      <c r="T32" s="4" t="s">
        <v>52</v>
      </c>
      <c r="U32" s="4" t="s">
        <v>55</v>
      </c>
      <c r="V32" s="4"/>
      <c r="W32" s="4"/>
      <c r="X32" s="4"/>
      <c r="Y32" s="4"/>
      <c r="Z32" s="4"/>
      <c r="AA32" s="4"/>
    </row>
    <row r="33" hidden="1" outlineLevel="1">
      <c r="A33" s="19" t="s">
        <v>41</v>
      </c>
      <c r="B33" s="18">
        <f t="shared" si="6"/>
        <v>28</v>
      </c>
      <c r="C33" s="19" t="s">
        <v>41</v>
      </c>
      <c r="D33" s="20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>
        <f t="shared" si="3"/>
        <v>0</v>
      </c>
      <c r="Q33" s="22"/>
      <c r="R33" s="4"/>
      <c r="S33" s="4"/>
      <c r="T33" s="4" t="s">
        <v>41</v>
      </c>
      <c r="U33" s="4"/>
      <c r="V33" s="4"/>
      <c r="W33" s="4"/>
      <c r="X33" s="4"/>
      <c r="Y33" s="4"/>
      <c r="Z33" s="4"/>
      <c r="AA33" s="4"/>
    </row>
    <row r="34" hidden="1" outlineLevel="1">
      <c r="A34" s="19" t="s">
        <v>208</v>
      </c>
      <c r="B34" s="18">
        <f t="shared" si="6"/>
        <v>29</v>
      </c>
      <c r="C34" s="19" t="s">
        <v>33</v>
      </c>
      <c r="D34" s="20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>
        <f t="shared" si="3"/>
        <v>0</v>
      </c>
      <c r="Q34" s="22"/>
      <c r="R34" s="4"/>
      <c r="S34" s="4"/>
      <c r="T34" s="4" t="s">
        <v>53</v>
      </c>
      <c r="U34" s="4"/>
      <c r="V34" s="4"/>
      <c r="W34" s="4"/>
      <c r="X34" s="4"/>
      <c r="Y34" s="4"/>
      <c r="Z34" s="4"/>
      <c r="AA34" s="4"/>
    </row>
    <row r="35" hidden="1" outlineLevel="1">
      <c r="A35" s="19" t="s">
        <v>23</v>
      </c>
      <c r="B35" s="18">
        <f t="shared" si="6"/>
        <v>30</v>
      </c>
      <c r="C35" s="150" t="s">
        <v>210</v>
      </c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2">
        <f t="shared" si="3"/>
        <v>0</v>
      </c>
      <c r="Q35" s="152"/>
      <c r="R35" s="4"/>
      <c r="S35" s="4"/>
      <c r="T35" s="4" t="s">
        <v>27</v>
      </c>
      <c r="U35" s="4"/>
      <c r="V35" s="4"/>
      <c r="W35" s="4"/>
      <c r="X35" s="4"/>
      <c r="Y35" s="4"/>
      <c r="Z35" s="4"/>
      <c r="AA35" s="4"/>
    </row>
    <row r="36" hidden="1" outlineLevel="1">
      <c r="A36" s="5"/>
      <c r="B36" s="55"/>
      <c r="C36" s="56" t="s">
        <v>42</v>
      </c>
      <c r="D36" s="57">
        <f t="shared" ref="D36:O36" si="7">SUM(D15:D35)</f>
        <v>0</v>
      </c>
      <c r="E36" s="57">
        <f t="shared" si="7"/>
        <v>0</v>
      </c>
      <c r="F36" s="57">
        <f t="shared" si="7"/>
        <v>0</v>
      </c>
      <c r="G36" s="57">
        <f t="shared" si="7"/>
        <v>0</v>
      </c>
      <c r="H36" s="57">
        <f t="shared" si="7"/>
        <v>0</v>
      </c>
      <c r="I36" s="57">
        <f t="shared" si="7"/>
        <v>0</v>
      </c>
      <c r="J36" s="57">
        <f t="shared" si="7"/>
        <v>0</v>
      </c>
      <c r="K36" s="57">
        <f t="shared" si="7"/>
        <v>0</v>
      </c>
      <c r="L36" s="57">
        <f t="shared" si="7"/>
        <v>0</v>
      </c>
      <c r="M36" s="57">
        <f t="shared" si="7"/>
        <v>0</v>
      </c>
      <c r="N36" s="57">
        <f t="shared" si="7"/>
        <v>0</v>
      </c>
      <c r="O36" s="57">
        <f t="shared" si="7"/>
        <v>0</v>
      </c>
      <c r="P36" s="58">
        <f t="shared" si="3"/>
        <v>0</v>
      </c>
      <c r="Q36" s="58"/>
      <c r="R36" s="4"/>
      <c r="S36" s="4"/>
      <c r="T36" s="4" t="s">
        <v>54</v>
      </c>
      <c r="U36" s="4"/>
      <c r="V36" s="4"/>
      <c r="W36" s="4"/>
      <c r="X36" s="4"/>
      <c r="Y36" s="4"/>
      <c r="Z36" s="4"/>
      <c r="AA36" s="4"/>
    </row>
    <row r="37" hidden="1" outlineLevel="1">
      <c r="A37" s="5"/>
      <c r="B37" s="59"/>
      <c r="C37" s="60" t="s">
        <v>44</v>
      </c>
      <c r="D37" s="61">
        <f t="shared" ref="D37:O37" si="8">D14-D36</f>
        <v>0</v>
      </c>
      <c r="E37" s="61">
        <f t="shared" si="8"/>
        <v>0</v>
      </c>
      <c r="F37" s="61">
        <f t="shared" si="8"/>
        <v>0</v>
      </c>
      <c r="G37" s="61">
        <f t="shared" si="8"/>
        <v>0</v>
      </c>
      <c r="H37" s="61">
        <f t="shared" si="8"/>
        <v>0</v>
      </c>
      <c r="I37" s="61">
        <f t="shared" si="8"/>
        <v>0</v>
      </c>
      <c r="J37" s="61">
        <f t="shared" si="8"/>
        <v>0</v>
      </c>
      <c r="K37" s="61">
        <f t="shared" si="8"/>
        <v>0</v>
      </c>
      <c r="L37" s="61">
        <f t="shared" si="8"/>
        <v>0</v>
      </c>
      <c r="M37" s="61">
        <f t="shared" si="8"/>
        <v>0</v>
      </c>
      <c r="N37" s="61">
        <f t="shared" si="8"/>
        <v>0</v>
      </c>
      <c r="O37" s="61">
        <f t="shared" si="8"/>
        <v>0</v>
      </c>
      <c r="P37" s="62">
        <f t="shared" si="3"/>
        <v>0</v>
      </c>
      <c r="Q37" s="62"/>
      <c r="R37" s="4"/>
      <c r="S37" s="4"/>
      <c r="T37" s="4" t="s">
        <v>59</v>
      </c>
      <c r="U37" s="4"/>
      <c r="V37" s="4"/>
      <c r="W37" s="4"/>
      <c r="X37" s="4"/>
      <c r="Y37" s="4"/>
      <c r="Z37" s="4"/>
      <c r="AA37" s="4"/>
    </row>
    <row r="38" ht="8.25" hidden="1" customHeight="1" outlineLevel="1">
      <c r="A38" s="5"/>
      <c r="B38" s="63"/>
      <c r="P38" s="64"/>
      <c r="R38" s="3"/>
      <c r="S38" s="3"/>
      <c r="T38" s="3" t="s">
        <v>33</v>
      </c>
      <c r="U38" s="3"/>
      <c r="V38" s="3"/>
      <c r="W38" s="3"/>
      <c r="X38" s="3"/>
      <c r="Y38" s="3"/>
      <c r="Z38" s="3"/>
      <c r="AA38" s="3"/>
    </row>
    <row r="39" ht="24.0" customHeight="1">
      <c r="A39" s="5"/>
      <c r="B39" s="10" t="s">
        <v>220</v>
      </c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65"/>
      <c r="Q39" s="65"/>
      <c r="R39" s="3"/>
      <c r="S39" s="3"/>
      <c r="T39" s="3" t="s">
        <v>40</v>
      </c>
      <c r="U39" s="3"/>
      <c r="V39" s="3"/>
      <c r="W39" s="3"/>
      <c r="X39" s="3"/>
      <c r="Y39" s="3"/>
      <c r="Z39" s="3"/>
      <c r="AA39" s="3"/>
    </row>
    <row r="40">
      <c r="A40" s="5"/>
      <c r="B40" s="18">
        <v>1.0</v>
      </c>
      <c r="C40" s="165" t="s">
        <v>221</v>
      </c>
      <c r="D40" s="20">
        <f t="shared" ref="D40:O40" si="9">2382000+300000</f>
        <v>2682000</v>
      </c>
      <c r="E40" s="20">
        <f t="shared" si="9"/>
        <v>2682000</v>
      </c>
      <c r="F40" s="20">
        <f t="shared" si="9"/>
        <v>2682000</v>
      </c>
      <c r="G40" s="20">
        <f t="shared" si="9"/>
        <v>2682000</v>
      </c>
      <c r="H40" s="20">
        <f t="shared" si="9"/>
        <v>2682000</v>
      </c>
      <c r="I40" s="20">
        <f t="shared" si="9"/>
        <v>2682000</v>
      </c>
      <c r="J40" s="20">
        <f t="shared" si="9"/>
        <v>2682000</v>
      </c>
      <c r="K40" s="20">
        <f t="shared" si="9"/>
        <v>2682000</v>
      </c>
      <c r="L40" s="20">
        <f t="shared" si="9"/>
        <v>2682000</v>
      </c>
      <c r="M40" s="20">
        <f t="shared" si="9"/>
        <v>2682000</v>
      </c>
      <c r="N40" s="20">
        <f t="shared" si="9"/>
        <v>2682000</v>
      </c>
      <c r="O40" s="20">
        <f t="shared" si="9"/>
        <v>2682000</v>
      </c>
      <c r="P40" s="22">
        <f t="shared" ref="P40:P51" si="12">SUM(D40:O40)</f>
        <v>32184000</v>
      </c>
      <c r="Q40" s="72" t="s">
        <v>222</v>
      </c>
      <c r="R40" s="4"/>
      <c r="S40" s="4"/>
      <c r="T40" s="87"/>
      <c r="U40" s="4"/>
      <c r="V40" s="4"/>
      <c r="W40" s="4"/>
      <c r="X40" s="4"/>
      <c r="Y40" s="4"/>
      <c r="Z40" s="4"/>
      <c r="AA40" s="4"/>
    </row>
    <row r="41">
      <c r="A41" s="5"/>
      <c r="B41" s="18">
        <f t="shared" ref="B41:B50" si="13">B40+1</f>
        <v>2</v>
      </c>
      <c r="C41" s="165" t="s">
        <v>52</v>
      </c>
      <c r="D41" s="20">
        <f t="shared" ref="D41:H41" si="10">1000000+210000+600000</f>
        <v>1810000</v>
      </c>
      <c r="E41" s="20">
        <f t="shared" si="10"/>
        <v>1810000</v>
      </c>
      <c r="F41" s="20">
        <f t="shared" si="10"/>
        <v>1810000</v>
      </c>
      <c r="G41" s="20">
        <f t="shared" si="10"/>
        <v>1810000</v>
      </c>
      <c r="H41" s="20">
        <f t="shared" si="10"/>
        <v>1810000</v>
      </c>
      <c r="I41" s="20">
        <f t="shared" ref="I41:O41" si="11">750000+210000+600000</f>
        <v>1560000</v>
      </c>
      <c r="J41" s="20">
        <f t="shared" si="11"/>
        <v>1560000</v>
      </c>
      <c r="K41" s="20">
        <f t="shared" si="11"/>
        <v>1560000</v>
      </c>
      <c r="L41" s="20">
        <f t="shared" si="11"/>
        <v>1560000</v>
      </c>
      <c r="M41" s="20">
        <f t="shared" si="11"/>
        <v>1560000</v>
      </c>
      <c r="N41" s="20">
        <f t="shared" si="11"/>
        <v>1560000</v>
      </c>
      <c r="O41" s="20">
        <f t="shared" si="11"/>
        <v>1560000</v>
      </c>
      <c r="P41" s="22">
        <f t="shared" si="12"/>
        <v>19970000</v>
      </c>
      <c r="Q41" s="72" t="s">
        <v>223</v>
      </c>
      <c r="R41" s="4"/>
      <c r="S41" s="4"/>
      <c r="T41" s="87" t="s">
        <v>218</v>
      </c>
      <c r="U41" s="4"/>
      <c r="V41" s="4"/>
      <c r="W41" s="4"/>
      <c r="X41" s="4"/>
      <c r="Y41" s="4"/>
      <c r="Z41" s="4"/>
      <c r="AA41" s="4"/>
    </row>
    <row r="42">
      <c r="A42" s="5"/>
      <c r="B42" s="18">
        <f t="shared" si="13"/>
        <v>3</v>
      </c>
      <c r="C42" s="165" t="s">
        <v>41</v>
      </c>
      <c r="D42" s="20">
        <f t="shared" ref="D42:O42" si="14">22000+4750+10000</f>
        <v>36750</v>
      </c>
      <c r="E42" s="20">
        <f t="shared" si="14"/>
        <v>36750</v>
      </c>
      <c r="F42" s="20">
        <f t="shared" si="14"/>
        <v>36750</v>
      </c>
      <c r="G42" s="20">
        <f t="shared" si="14"/>
        <v>36750</v>
      </c>
      <c r="H42" s="20">
        <f t="shared" si="14"/>
        <v>36750</v>
      </c>
      <c r="I42" s="20">
        <f t="shared" si="14"/>
        <v>36750</v>
      </c>
      <c r="J42" s="20">
        <f t="shared" si="14"/>
        <v>36750</v>
      </c>
      <c r="K42" s="20">
        <f t="shared" si="14"/>
        <v>36750</v>
      </c>
      <c r="L42" s="20">
        <f t="shared" si="14"/>
        <v>36750</v>
      </c>
      <c r="M42" s="20">
        <f t="shared" si="14"/>
        <v>36750</v>
      </c>
      <c r="N42" s="20">
        <f t="shared" si="14"/>
        <v>36750</v>
      </c>
      <c r="O42" s="20">
        <f t="shared" si="14"/>
        <v>36750</v>
      </c>
      <c r="P42" s="22">
        <f t="shared" si="12"/>
        <v>441000</v>
      </c>
      <c r="Q42" s="72" t="s">
        <v>224</v>
      </c>
      <c r="R42" s="4"/>
      <c r="S42" s="4"/>
      <c r="T42" s="87" t="s">
        <v>52</v>
      </c>
      <c r="U42" s="4"/>
      <c r="V42" s="4"/>
      <c r="W42" s="4"/>
      <c r="X42" s="4"/>
      <c r="Y42" s="4"/>
      <c r="Z42" s="4"/>
      <c r="AA42" s="4"/>
    </row>
    <row r="43">
      <c r="A43" s="5"/>
      <c r="B43" s="18">
        <f t="shared" si="13"/>
        <v>4</v>
      </c>
      <c r="C43" s="165" t="s">
        <v>53</v>
      </c>
      <c r="D43" s="20">
        <v>310968.0</v>
      </c>
      <c r="E43" s="20">
        <v>310968.0</v>
      </c>
      <c r="F43" s="20">
        <v>310968.0</v>
      </c>
      <c r="G43" s="20">
        <v>310968.0</v>
      </c>
      <c r="H43" s="20">
        <v>310968.0</v>
      </c>
      <c r="I43" s="20">
        <v>310968.0</v>
      </c>
      <c r="J43" s="20">
        <v>310968.0</v>
      </c>
      <c r="K43" s="20">
        <v>310968.0</v>
      </c>
      <c r="L43" s="20">
        <v>310968.0</v>
      </c>
      <c r="M43" s="20">
        <v>310968.0</v>
      </c>
      <c r="N43" s="20">
        <v>310968.0</v>
      </c>
      <c r="O43" s="20">
        <v>310968.0</v>
      </c>
      <c r="P43" s="22">
        <f t="shared" si="12"/>
        <v>3731616</v>
      </c>
      <c r="Q43" s="22"/>
      <c r="R43" s="4"/>
      <c r="S43" s="4"/>
      <c r="T43" s="87" t="s">
        <v>41</v>
      </c>
      <c r="U43" s="4"/>
      <c r="V43" s="4"/>
      <c r="W43" s="4"/>
      <c r="X43" s="4"/>
      <c r="Y43" s="4"/>
      <c r="Z43" s="4"/>
      <c r="AA43" s="4"/>
    </row>
    <row r="44">
      <c r="A44" s="5"/>
      <c r="B44" s="18">
        <f t="shared" si="13"/>
        <v>5</v>
      </c>
      <c r="C44" s="165" t="s">
        <v>27</v>
      </c>
      <c r="D44" s="20">
        <v>50000.0</v>
      </c>
      <c r="E44" s="20">
        <v>50000.0</v>
      </c>
      <c r="F44" s="20">
        <v>50000.0</v>
      </c>
      <c r="G44" s="20">
        <v>50000.0</v>
      </c>
      <c r="H44" s="20">
        <v>50000.0</v>
      </c>
      <c r="I44" s="20">
        <v>50000.0</v>
      </c>
      <c r="J44" s="20">
        <v>50000.0</v>
      </c>
      <c r="K44" s="20">
        <v>50000.0</v>
      </c>
      <c r="L44" s="20">
        <v>50000.0</v>
      </c>
      <c r="M44" s="20">
        <v>50000.0</v>
      </c>
      <c r="N44" s="20">
        <v>50000.0</v>
      </c>
      <c r="O44" s="20">
        <v>50000.0</v>
      </c>
      <c r="P44" s="22">
        <f t="shared" si="12"/>
        <v>600000</v>
      </c>
      <c r="Q44" s="22"/>
      <c r="R44" s="4"/>
      <c r="S44" s="4"/>
      <c r="T44" s="87" t="s">
        <v>53</v>
      </c>
      <c r="U44" s="4"/>
      <c r="V44" s="4"/>
      <c r="W44" s="4"/>
      <c r="X44" s="4"/>
      <c r="Y44" s="4"/>
      <c r="Z44" s="4"/>
      <c r="AA44" s="4"/>
    </row>
    <row r="45">
      <c r="A45" s="5"/>
      <c r="B45" s="18">
        <f t="shared" si="13"/>
        <v>6</v>
      </c>
      <c r="C45" s="165" t="s">
        <v>54</v>
      </c>
      <c r="D45" s="20">
        <v>11193.0</v>
      </c>
      <c r="E45" s="20">
        <v>11193.0</v>
      </c>
      <c r="F45" s="20">
        <v>11193.0</v>
      </c>
      <c r="G45" s="20">
        <v>11193.0</v>
      </c>
      <c r="H45" s="20">
        <v>11193.0</v>
      </c>
      <c r="I45" s="20">
        <v>11193.0</v>
      </c>
      <c r="J45" s="20">
        <v>11193.0</v>
      </c>
      <c r="K45" s="20">
        <v>11193.0</v>
      </c>
      <c r="L45" s="20">
        <v>11193.0</v>
      </c>
      <c r="M45" s="20">
        <v>11193.0</v>
      </c>
      <c r="N45" s="20">
        <v>11193.0</v>
      </c>
      <c r="O45" s="20">
        <v>11193.0</v>
      </c>
      <c r="P45" s="22">
        <f t="shared" si="12"/>
        <v>134316</v>
      </c>
      <c r="Q45" s="22"/>
      <c r="R45" s="4"/>
      <c r="S45" s="4"/>
      <c r="T45" s="87" t="s">
        <v>27</v>
      </c>
      <c r="U45" s="4"/>
      <c r="V45" s="4"/>
      <c r="W45" s="4"/>
      <c r="X45" s="4"/>
      <c r="Y45" s="4"/>
      <c r="Z45" s="4"/>
      <c r="AA45" s="4"/>
    </row>
    <row r="46">
      <c r="A46" s="5"/>
      <c r="B46" s="18">
        <f t="shared" si="13"/>
        <v>7</v>
      </c>
      <c r="C46" s="66" t="s">
        <v>36</v>
      </c>
      <c r="D46" s="90">
        <v>27611.0</v>
      </c>
      <c r="E46" s="90">
        <v>27611.0</v>
      </c>
      <c r="F46" s="90">
        <v>27611.0</v>
      </c>
      <c r="G46" s="90">
        <v>27611.0</v>
      </c>
      <c r="H46" s="90">
        <v>27611.0</v>
      </c>
      <c r="I46" s="90">
        <v>27611.0</v>
      </c>
      <c r="J46" s="90">
        <v>27611.0</v>
      </c>
      <c r="K46" s="90">
        <v>27611.0</v>
      </c>
      <c r="L46" s="90">
        <v>27611.0</v>
      </c>
      <c r="M46" s="90">
        <v>27611.0</v>
      </c>
      <c r="N46" s="90">
        <v>27611.0</v>
      </c>
      <c r="O46" s="90">
        <v>27611.0</v>
      </c>
      <c r="P46" s="22">
        <f t="shared" si="12"/>
        <v>331332</v>
      </c>
      <c r="Q46" s="22"/>
      <c r="R46" s="4"/>
      <c r="S46" s="4"/>
      <c r="T46" s="87" t="s">
        <v>38</v>
      </c>
      <c r="U46" s="4"/>
      <c r="V46" s="4"/>
      <c r="W46" s="4"/>
      <c r="X46" s="4"/>
      <c r="Y46" s="4"/>
      <c r="Z46" s="4"/>
      <c r="AA46" s="4"/>
    </row>
    <row r="47">
      <c r="A47" s="5"/>
      <c r="B47" s="18">
        <f t="shared" si="13"/>
        <v>8</v>
      </c>
      <c r="C47" s="66" t="s">
        <v>55</v>
      </c>
      <c r="D47" s="20">
        <v>2700.0</v>
      </c>
      <c r="E47" s="20">
        <v>42400.0</v>
      </c>
      <c r="F47" s="20">
        <v>0.0</v>
      </c>
      <c r="G47" s="20">
        <v>0.0</v>
      </c>
      <c r="H47" s="20">
        <v>0.0</v>
      </c>
      <c r="I47" s="20">
        <v>16000.0</v>
      </c>
      <c r="J47" s="20">
        <v>5000.0</v>
      </c>
      <c r="K47" s="20">
        <v>0.0</v>
      </c>
      <c r="L47" s="20">
        <v>0.0</v>
      </c>
      <c r="M47" s="20">
        <v>0.0</v>
      </c>
      <c r="N47" s="20">
        <v>0.0</v>
      </c>
      <c r="O47" s="20">
        <v>0.0</v>
      </c>
      <c r="P47" s="22">
        <f t="shared" si="12"/>
        <v>66100</v>
      </c>
      <c r="Q47" s="22"/>
      <c r="R47" s="4"/>
      <c r="S47" s="4"/>
      <c r="T47" s="87" t="s">
        <v>36</v>
      </c>
      <c r="U47" s="4"/>
      <c r="V47" s="4"/>
      <c r="W47" s="4"/>
      <c r="X47" s="4"/>
      <c r="Y47" s="4"/>
      <c r="Z47" s="4"/>
      <c r="AA47" s="4"/>
    </row>
    <row r="48">
      <c r="A48" s="5"/>
      <c r="B48" s="18">
        <f t="shared" si="13"/>
        <v>9</v>
      </c>
      <c r="C48" s="66" t="s">
        <v>56</v>
      </c>
      <c r="D48" s="167">
        <f t="shared" ref="D48:O48" si="15">114582+10000+10000</f>
        <v>134582</v>
      </c>
      <c r="E48" s="167">
        <f t="shared" si="15"/>
        <v>134582</v>
      </c>
      <c r="F48" s="167">
        <f t="shared" si="15"/>
        <v>134582</v>
      </c>
      <c r="G48" s="167">
        <f t="shared" si="15"/>
        <v>134582</v>
      </c>
      <c r="H48" s="167">
        <f t="shared" si="15"/>
        <v>134582</v>
      </c>
      <c r="I48" s="167">
        <f t="shared" si="15"/>
        <v>134582</v>
      </c>
      <c r="J48" s="167">
        <f t="shared" si="15"/>
        <v>134582</v>
      </c>
      <c r="K48" s="167">
        <f t="shared" si="15"/>
        <v>134582</v>
      </c>
      <c r="L48" s="167">
        <f t="shared" si="15"/>
        <v>134582</v>
      </c>
      <c r="M48" s="167">
        <f t="shared" si="15"/>
        <v>134582</v>
      </c>
      <c r="N48" s="167">
        <f t="shared" si="15"/>
        <v>134582</v>
      </c>
      <c r="O48" s="167">
        <f t="shared" si="15"/>
        <v>134582</v>
      </c>
      <c r="P48" s="22">
        <f t="shared" si="12"/>
        <v>1614984</v>
      </c>
      <c r="Q48" s="72" t="s">
        <v>225</v>
      </c>
      <c r="R48" s="4"/>
      <c r="S48" s="4"/>
      <c r="T48" s="87" t="s">
        <v>36</v>
      </c>
      <c r="U48" s="4"/>
      <c r="V48" s="4"/>
      <c r="W48" s="4"/>
      <c r="X48" s="4"/>
      <c r="Y48" s="4"/>
      <c r="Z48" s="4"/>
      <c r="AA48" s="4"/>
    </row>
    <row r="49">
      <c r="A49" s="5"/>
      <c r="B49" s="18">
        <f t="shared" si="13"/>
        <v>10</v>
      </c>
      <c r="C49" s="66" t="s">
        <v>57</v>
      </c>
      <c r="D49" s="20">
        <v>0.0</v>
      </c>
      <c r="E49" s="20">
        <v>0.0</v>
      </c>
      <c r="F49" s="20">
        <v>0.0</v>
      </c>
      <c r="G49" s="20">
        <v>0.0</v>
      </c>
      <c r="H49" s="20">
        <v>28180.0</v>
      </c>
      <c r="I49" s="20">
        <v>0.0</v>
      </c>
      <c r="J49" s="20">
        <v>0.0</v>
      </c>
      <c r="K49" s="20">
        <v>0.0</v>
      </c>
      <c r="L49" s="20">
        <v>0.0</v>
      </c>
      <c r="M49" s="20">
        <v>0.0</v>
      </c>
      <c r="N49" s="20">
        <v>0.0</v>
      </c>
      <c r="O49" s="20">
        <v>0.0</v>
      </c>
      <c r="P49" s="22">
        <f t="shared" si="12"/>
        <v>28180</v>
      </c>
      <c r="Q49" s="72" t="s">
        <v>226</v>
      </c>
      <c r="R49" s="4"/>
      <c r="S49" s="4"/>
      <c r="T49" s="87" t="s">
        <v>36</v>
      </c>
      <c r="U49" s="4"/>
      <c r="V49" s="4"/>
      <c r="W49" s="4"/>
      <c r="X49" s="4"/>
      <c r="Y49" s="4"/>
      <c r="Z49" s="4"/>
      <c r="AA49" s="4"/>
    </row>
    <row r="50">
      <c r="A50" s="5"/>
      <c r="B50" s="18">
        <f t="shared" si="13"/>
        <v>11</v>
      </c>
      <c r="C50" s="66" t="s">
        <v>33</v>
      </c>
      <c r="D50" s="20">
        <v>4985.0</v>
      </c>
      <c r="E50" s="20">
        <v>4985.0</v>
      </c>
      <c r="F50" s="20">
        <v>4985.0</v>
      </c>
      <c r="G50" s="20">
        <v>4985.0</v>
      </c>
      <c r="H50" s="20">
        <v>4985.0</v>
      </c>
      <c r="I50" s="20">
        <v>4985.0</v>
      </c>
      <c r="J50" s="20">
        <v>4985.0</v>
      </c>
      <c r="K50" s="20">
        <v>4985.0</v>
      </c>
      <c r="L50" s="20">
        <v>4985.0</v>
      </c>
      <c r="M50" s="20">
        <v>4985.0</v>
      </c>
      <c r="N50" s="20">
        <v>4985.0</v>
      </c>
      <c r="O50" s="20">
        <v>4985.0</v>
      </c>
      <c r="P50" s="22">
        <f t="shared" si="12"/>
        <v>59820</v>
      </c>
      <c r="Q50" s="72"/>
      <c r="R50" s="4"/>
      <c r="S50" s="4"/>
      <c r="T50" s="87" t="s">
        <v>36</v>
      </c>
      <c r="U50" s="4"/>
      <c r="V50" s="4"/>
      <c r="W50" s="4"/>
      <c r="X50" s="4"/>
      <c r="Y50" s="4"/>
      <c r="Z50" s="4"/>
      <c r="AA50" s="4"/>
    </row>
    <row r="51">
      <c r="A51" s="5"/>
      <c r="B51" s="73"/>
      <c r="C51" s="74" t="s">
        <v>78</v>
      </c>
      <c r="D51" s="75">
        <f t="shared" ref="D51:O51" si="16">SUM(D40:D47)</f>
        <v>4931222</v>
      </c>
      <c r="E51" s="75">
        <f t="shared" si="16"/>
        <v>4970922</v>
      </c>
      <c r="F51" s="75">
        <f t="shared" si="16"/>
        <v>4928522</v>
      </c>
      <c r="G51" s="75">
        <f t="shared" si="16"/>
        <v>4928522</v>
      </c>
      <c r="H51" s="75">
        <f t="shared" si="16"/>
        <v>4928522</v>
      </c>
      <c r="I51" s="75">
        <f t="shared" si="16"/>
        <v>4694522</v>
      </c>
      <c r="J51" s="75">
        <f t="shared" si="16"/>
        <v>4683522</v>
      </c>
      <c r="K51" s="75">
        <f t="shared" si="16"/>
        <v>4678522</v>
      </c>
      <c r="L51" s="75">
        <f t="shared" si="16"/>
        <v>4678522</v>
      </c>
      <c r="M51" s="75">
        <f t="shared" si="16"/>
        <v>4678522</v>
      </c>
      <c r="N51" s="75">
        <f t="shared" si="16"/>
        <v>4678522</v>
      </c>
      <c r="O51" s="75">
        <f t="shared" si="16"/>
        <v>4678522</v>
      </c>
      <c r="P51" s="76">
        <f t="shared" si="12"/>
        <v>57458364</v>
      </c>
      <c r="Q51" s="76"/>
      <c r="R51" s="4"/>
      <c r="S51" s="4"/>
      <c r="T51" s="87" t="s">
        <v>55</v>
      </c>
      <c r="U51" s="4"/>
      <c r="V51" s="4"/>
      <c r="W51" s="4"/>
      <c r="X51" s="4"/>
      <c r="Y51" s="4"/>
      <c r="Z51" s="4"/>
      <c r="AA51" s="4"/>
    </row>
    <row r="52" collapsed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3"/>
      <c r="Q52" s="3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idden="1" outlineLevel="1">
      <c r="A53" s="5"/>
      <c r="B53" s="77"/>
      <c r="C53" s="78" t="s">
        <v>214</v>
      </c>
      <c r="D53" s="79">
        <f t="shared" ref="D53:O53" si="17">D37-D51</f>
        <v>-4931222</v>
      </c>
      <c r="E53" s="79">
        <f t="shared" si="17"/>
        <v>-4970922</v>
      </c>
      <c r="F53" s="79">
        <f t="shared" si="17"/>
        <v>-4928522</v>
      </c>
      <c r="G53" s="79">
        <f t="shared" si="17"/>
        <v>-4928522</v>
      </c>
      <c r="H53" s="79">
        <f t="shared" si="17"/>
        <v>-4928522</v>
      </c>
      <c r="I53" s="79">
        <f t="shared" si="17"/>
        <v>-4694522</v>
      </c>
      <c r="J53" s="79">
        <f t="shared" si="17"/>
        <v>-4683522</v>
      </c>
      <c r="K53" s="79">
        <f t="shared" si="17"/>
        <v>-4678522</v>
      </c>
      <c r="L53" s="79">
        <f t="shared" si="17"/>
        <v>-4678522</v>
      </c>
      <c r="M53" s="79">
        <f t="shared" si="17"/>
        <v>-4678522</v>
      </c>
      <c r="N53" s="79">
        <f t="shared" si="17"/>
        <v>-4678522</v>
      </c>
      <c r="O53" s="79">
        <f t="shared" si="17"/>
        <v>-4678522</v>
      </c>
      <c r="P53" s="80">
        <f>SUM(D53:O53)</f>
        <v>-57458364</v>
      </c>
      <c r="Q53" s="80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3"/>
      <c r="Q54" s="3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3"/>
      <c r="Q55" s="3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3"/>
      <c r="Q56" s="3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3"/>
      <c r="Q57" s="3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3"/>
      <c r="Q59" s="3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3"/>
      <c r="Q60" s="3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3"/>
      <c r="Q61" s="3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3"/>
      <c r="Q70" s="3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3"/>
      <c r="Q71" s="3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3"/>
      <c r="Q72" s="3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3"/>
      <c r="Q73" s="3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3"/>
      <c r="Q74" s="3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3"/>
      <c r="Q75" s="3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3"/>
      <c r="Q76" s="3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3"/>
      <c r="Q77" s="3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3"/>
      <c r="Q78" s="3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3"/>
      <c r="Q79" s="3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3"/>
      <c r="Q80" s="3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3"/>
      <c r="Q81" s="3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3"/>
      <c r="Q82" s="3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3"/>
      <c r="Q83" s="3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3"/>
      <c r="Q84" s="3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3"/>
      <c r="Q85" s="3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3"/>
      <c r="Q86" s="3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3"/>
      <c r="Q87" s="3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3"/>
      <c r="Q88" s="3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3"/>
      <c r="Q89" s="3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3"/>
      <c r="Q90" s="3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3"/>
      <c r="Q91" s="3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3"/>
      <c r="Q92" s="3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3"/>
      <c r="Q93" s="3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3"/>
      <c r="Q94" s="3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3"/>
      <c r="Q95" s="3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3"/>
      <c r="Q96" s="3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3"/>
      <c r="Q97" s="3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3"/>
      <c r="Q98" s="3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3"/>
      <c r="Q99" s="3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3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3"/>
      <c r="Q101" s="3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3"/>
      <c r="Q102" s="3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3"/>
      <c r="Q103" s="3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3"/>
      <c r="Q104" s="3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3"/>
      <c r="Q105" s="3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3"/>
      <c r="Q106" s="3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3"/>
      <c r="Q107" s="3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3"/>
      <c r="Q108" s="3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3"/>
      <c r="Q109" s="3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3"/>
      <c r="Q110" s="3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3"/>
      <c r="Q111" s="3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3"/>
      <c r="Q112" s="3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3"/>
      <c r="Q113" s="3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3"/>
      <c r="Q114" s="3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3"/>
      <c r="Q115" s="3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3"/>
      <c r="Q116" s="3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3"/>
      <c r="Q119" s="3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3"/>
      <c r="Q120" s="3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3"/>
      <c r="Q121" s="3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3"/>
      <c r="Q122" s="3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3"/>
      <c r="Q123" s="3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3"/>
      <c r="Q124" s="3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3"/>
      <c r="Q126" s="3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3"/>
      <c r="Q127" s="3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3"/>
      <c r="Q128" s="3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3"/>
      <c r="Q129" s="3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3"/>
      <c r="Q130" s="3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3"/>
      <c r="Q131" s="3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3"/>
      <c r="Q132" s="3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3"/>
      <c r="Q133" s="3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3"/>
      <c r="Q134" s="3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3"/>
      <c r="Q135" s="3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3"/>
      <c r="Q136" s="3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3"/>
      <c r="Q137" s="3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3"/>
      <c r="Q138" s="3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3"/>
      <c r="Q139" s="3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3"/>
      <c r="Q140" s="3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3"/>
      <c r="Q141" s="3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3"/>
      <c r="Q142" s="3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3"/>
      <c r="Q143" s="3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3"/>
      <c r="Q144" s="3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3"/>
      <c r="Q145" s="3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3"/>
      <c r="Q146" s="3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3"/>
      <c r="Q147" s="3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3"/>
      <c r="Q148" s="3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3"/>
      <c r="Q149" s="3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Q150" s="3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3"/>
      <c r="Q151" s="3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3"/>
      <c r="Q153" s="3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3"/>
      <c r="Q154" s="3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3"/>
      <c r="Q155" s="3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3"/>
      <c r="Q156" s="3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3"/>
      <c r="Q157" s="3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3"/>
      <c r="Q158" s="3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3"/>
      <c r="Q159" s="3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3"/>
      <c r="Q160" s="3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3"/>
      <c r="Q161" s="3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3"/>
      <c r="Q162" s="3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3"/>
      <c r="Q163" s="3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3"/>
      <c r="Q164" s="3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3"/>
      <c r="Q165" s="3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"/>
      <c r="Q166" s="3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3"/>
      <c r="Q167" s="3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3"/>
      <c r="Q168" s="3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3"/>
      <c r="Q169" s="3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3"/>
      <c r="Q170" s="3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3"/>
      <c r="Q171" s="3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3"/>
      <c r="Q172" s="3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3"/>
      <c r="Q173" s="3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3"/>
      <c r="Q174" s="3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3"/>
      <c r="Q175" s="3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"/>
      <c r="Q176" s="3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3"/>
      <c r="Q177" s="3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3"/>
      <c r="Q178" s="3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3"/>
      <c r="Q179" s="3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3"/>
      <c r="Q180" s="3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3"/>
      <c r="Q181" s="3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3"/>
      <c r="Q182" s="3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"/>
      <c r="Q183" s="3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3"/>
      <c r="Q184" s="3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3"/>
      <c r="Q185" s="3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3"/>
      <c r="Q186" s="3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3"/>
      <c r="Q187" s="3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"/>
      <c r="Q188" s="3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3"/>
      <c r="Q189" s="3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3"/>
      <c r="Q190" s="3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3"/>
      <c r="Q191" s="3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3"/>
      <c r="Q192" s="3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3"/>
      <c r="Q193" s="3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3"/>
      <c r="Q194" s="3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3"/>
      <c r="Q195" s="3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3"/>
      <c r="Q196" s="3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3"/>
      <c r="Q197" s="3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3"/>
      <c r="Q198" s="3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3"/>
      <c r="Q199" s="3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3"/>
      <c r="Q200" s="3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3"/>
      <c r="Q201" s="3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3"/>
      <c r="Q202" s="3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3"/>
      <c r="Q203" s="3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3"/>
      <c r="Q204" s="3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3"/>
      <c r="Q205" s="3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3"/>
      <c r="Q206" s="3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3"/>
      <c r="Q207" s="3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3"/>
      <c r="Q208" s="3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3"/>
      <c r="Q209" s="3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3"/>
      <c r="Q210" s="3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3"/>
      <c r="Q211" s="3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3"/>
      <c r="Q212" s="3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3"/>
      <c r="Q213" s="3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3"/>
      <c r="Q214" s="3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3"/>
      <c r="Q215" s="3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3"/>
      <c r="Q216" s="3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3"/>
      <c r="Q217" s="3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3"/>
      <c r="Q218" s="3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3"/>
      <c r="Q219" s="3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3"/>
      <c r="Q220" s="3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3"/>
      <c r="Q221" s="3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3"/>
      <c r="Q222" s="3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3"/>
      <c r="Q223" s="3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3"/>
      <c r="Q224" s="3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3"/>
      <c r="Q225" s="3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3"/>
      <c r="Q245" s="3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3"/>
      <c r="Q246" s="3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3"/>
      <c r="Q247" s="3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3"/>
      <c r="Q248" s="3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3"/>
      <c r="Q249" s="3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3"/>
      <c r="Q250" s="3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3"/>
      <c r="Q251" s="3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3"/>
      <c r="Q252" s="3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3"/>
      <c r="Q253" s="3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3"/>
      <c r="Q254" s="3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3"/>
      <c r="Q255" s="3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3"/>
      <c r="Q256" s="3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3"/>
      <c r="Q257" s="3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3"/>
      <c r="Q258" s="3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3"/>
      <c r="Q259" s="3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3"/>
      <c r="Q260" s="3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"/>
      <c r="Q261" s="3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"/>
      <c r="Q262" s="3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3"/>
      <c r="Q263" s="3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3"/>
      <c r="Q264" s="3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3"/>
      <c r="Q265" s="3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3"/>
      <c r="Q266" s="3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3"/>
      <c r="Q267" s="3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3"/>
      <c r="Q268" s="3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3"/>
      <c r="Q269" s="3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3"/>
      <c r="Q270" s="3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3"/>
      <c r="Q271" s="3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3"/>
      <c r="Q272" s="3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3"/>
      <c r="Q273" s="3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3"/>
      <c r="Q274" s="3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3"/>
      <c r="Q275" s="3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3"/>
      <c r="Q276" s="3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3"/>
      <c r="Q277" s="3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3"/>
      <c r="Q278" s="3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3"/>
      <c r="Q279" s="3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3"/>
      <c r="Q280" s="3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3"/>
      <c r="Q281" s="3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3"/>
      <c r="Q282" s="3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3"/>
      <c r="Q283" s="3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3"/>
      <c r="Q284" s="3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3"/>
      <c r="Q285" s="3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3"/>
      <c r="Q286" s="3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3"/>
      <c r="Q287" s="3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3"/>
      <c r="Q288" s="3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3"/>
      <c r="Q289" s="3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3"/>
      <c r="Q290" s="3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3"/>
      <c r="Q291" s="3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3"/>
      <c r="Q292" s="3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3"/>
      <c r="Q293" s="3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3"/>
      <c r="Q294" s="3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3"/>
      <c r="Q295" s="3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3"/>
      <c r="Q296" s="3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3"/>
      <c r="Q297" s="3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3"/>
      <c r="Q298" s="3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3"/>
      <c r="Q299" s="3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3"/>
      <c r="Q300" s="3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3"/>
      <c r="Q301" s="3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3"/>
      <c r="Q302" s="3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3"/>
      <c r="Q303" s="3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3"/>
      <c r="Q304" s="3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3"/>
      <c r="Q305" s="3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3"/>
      <c r="Q306" s="3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3"/>
      <c r="Q307" s="3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3"/>
      <c r="Q308" s="3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3"/>
      <c r="Q309" s="3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3"/>
      <c r="Q310" s="3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3"/>
      <c r="Q311" s="3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3"/>
      <c r="Q312" s="3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3"/>
      <c r="Q313" s="3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3"/>
      <c r="Q314" s="3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3"/>
      <c r="Q315" s="3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3"/>
      <c r="Q316" s="3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3"/>
      <c r="Q317" s="3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3"/>
      <c r="Q318" s="3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3"/>
      <c r="Q319" s="3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3"/>
      <c r="Q320" s="3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3"/>
      <c r="Q321" s="3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3"/>
      <c r="Q322" s="3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3"/>
      <c r="Q323" s="3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3"/>
      <c r="Q324" s="3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3"/>
      <c r="Q325" s="3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3"/>
      <c r="Q326" s="3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3"/>
      <c r="Q327" s="3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3"/>
      <c r="Q328" s="3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3"/>
      <c r="Q329" s="3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3"/>
      <c r="Q330" s="3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3"/>
      <c r="Q331" s="3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3"/>
      <c r="Q332" s="3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3"/>
      <c r="Q333" s="3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3"/>
      <c r="Q334" s="3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3"/>
      <c r="Q335" s="3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3"/>
      <c r="Q336" s="3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3"/>
      <c r="Q337" s="3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3"/>
      <c r="Q338" s="3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3"/>
      <c r="Q339" s="3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3"/>
      <c r="Q340" s="3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3"/>
      <c r="Q341" s="3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3"/>
      <c r="Q342" s="3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3"/>
      <c r="Q343" s="3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3"/>
      <c r="Q344" s="3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3"/>
      <c r="Q345" s="3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3"/>
      <c r="Q346" s="3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3"/>
      <c r="Q347" s="3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3"/>
      <c r="Q348" s="3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3"/>
      <c r="Q349" s="3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3"/>
      <c r="Q350" s="3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3"/>
      <c r="Q351" s="3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3"/>
      <c r="Q352" s="3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3"/>
      <c r="Q353" s="3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3"/>
      <c r="Q354" s="3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3"/>
      <c r="Q355" s="3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3"/>
      <c r="Q356" s="3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3"/>
      <c r="Q357" s="3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3"/>
      <c r="Q358" s="3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3"/>
      <c r="Q359" s="3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3"/>
      <c r="Q360" s="3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3"/>
      <c r="Q361" s="3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3"/>
      <c r="Q362" s="3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3"/>
      <c r="Q363" s="3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3"/>
      <c r="Q364" s="3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3"/>
      <c r="Q365" s="3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3"/>
      <c r="Q366" s="3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3"/>
      <c r="Q367" s="3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3"/>
      <c r="Q368" s="3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3"/>
      <c r="Q369" s="3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3"/>
      <c r="Q370" s="3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3"/>
      <c r="Q371" s="3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3"/>
      <c r="Q372" s="3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3"/>
      <c r="Q373" s="3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3"/>
      <c r="Q374" s="3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3"/>
      <c r="Q375" s="3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3"/>
      <c r="Q376" s="3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3"/>
      <c r="Q377" s="3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3"/>
      <c r="Q378" s="3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3"/>
      <c r="Q379" s="3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3"/>
      <c r="Q380" s="3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3"/>
      <c r="Q381" s="3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3"/>
      <c r="Q382" s="3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3"/>
      <c r="Q383" s="3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3"/>
      <c r="Q384" s="3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3"/>
      <c r="Q385" s="3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3"/>
      <c r="Q386" s="3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3"/>
      <c r="Q387" s="3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3"/>
      <c r="Q388" s="3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3"/>
      <c r="Q389" s="3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3"/>
      <c r="Q390" s="3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3"/>
      <c r="Q391" s="3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3"/>
      <c r="Q392" s="3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3"/>
      <c r="Q393" s="3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3"/>
      <c r="Q394" s="3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3"/>
      <c r="Q395" s="3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3"/>
      <c r="Q396" s="3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3"/>
      <c r="Q397" s="3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3"/>
      <c r="Q398" s="3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3"/>
      <c r="Q399" s="3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3"/>
      <c r="Q400" s="3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3"/>
      <c r="Q401" s="3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3"/>
      <c r="Q402" s="3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3"/>
      <c r="Q403" s="3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3"/>
      <c r="Q404" s="3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3"/>
      <c r="Q405" s="3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3"/>
      <c r="Q406" s="3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3"/>
      <c r="Q407" s="3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3"/>
      <c r="Q408" s="3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3"/>
      <c r="Q409" s="3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3"/>
      <c r="Q410" s="3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3"/>
      <c r="Q411" s="3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3"/>
      <c r="Q412" s="3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3"/>
      <c r="Q413" s="3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3"/>
      <c r="Q414" s="3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3"/>
      <c r="Q415" s="3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3"/>
      <c r="Q416" s="3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3"/>
      <c r="Q417" s="3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3"/>
      <c r="Q418" s="3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3"/>
      <c r="Q419" s="3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3"/>
      <c r="Q420" s="3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3"/>
      <c r="Q421" s="3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3"/>
      <c r="Q422" s="3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3"/>
      <c r="Q423" s="3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3"/>
      <c r="Q424" s="3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3"/>
      <c r="Q425" s="3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3"/>
      <c r="Q426" s="3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3"/>
      <c r="Q427" s="3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3"/>
      <c r="Q428" s="3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3"/>
      <c r="Q429" s="3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3"/>
      <c r="Q430" s="3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3"/>
      <c r="Q431" s="3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3"/>
      <c r="Q432" s="3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3"/>
      <c r="Q433" s="3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3"/>
      <c r="Q434" s="3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3"/>
      <c r="Q435" s="3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3"/>
      <c r="Q436" s="3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3"/>
      <c r="Q437" s="3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3"/>
      <c r="Q438" s="3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3"/>
      <c r="Q439" s="3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3"/>
      <c r="Q440" s="3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3"/>
      <c r="Q441" s="3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3"/>
      <c r="Q442" s="3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3"/>
      <c r="Q443" s="3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3"/>
      <c r="Q444" s="3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3"/>
      <c r="Q445" s="3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3"/>
      <c r="Q446" s="3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3"/>
      <c r="Q447" s="3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3"/>
      <c r="Q448" s="3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3"/>
      <c r="Q449" s="3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3"/>
      <c r="Q450" s="3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3"/>
      <c r="Q451" s="3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3"/>
      <c r="Q452" s="3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3"/>
      <c r="Q453" s="3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3"/>
      <c r="Q454" s="3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3"/>
      <c r="Q455" s="3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3"/>
      <c r="Q456" s="3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3"/>
      <c r="Q457" s="3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3"/>
      <c r="Q458" s="3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3"/>
      <c r="Q459" s="3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3"/>
      <c r="Q460" s="3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3"/>
      <c r="Q461" s="3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3"/>
      <c r="Q462" s="3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3"/>
      <c r="Q463" s="3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3"/>
      <c r="Q464" s="3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3"/>
      <c r="Q465" s="3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3"/>
      <c r="Q466" s="3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3"/>
      <c r="Q467" s="3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3"/>
      <c r="Q468" s="3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3"/>
      <c r="Q469" s="3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3"/>
      <c r="Q470" s="3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3"/>
      <c r="Q471" s="3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3"/>
      <c r="Q472" s="3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3"/>
      <c r="Q473" s="3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3"/>
      <c r="Q474" s="3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3"/>
      <c r="Q475" s="3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3"/>
      <c r="Q476" s="3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3"/>
      <c r="Q477" s="3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3"/>
      <c r="Q478" s="3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3"/>
      <c r="Q479" s="3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3"/>
      <c r="Q480" s="3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3"/>
      <c r="Q481" s="3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3"/>
      <c r="Q482" s="3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3"/>
      <c r="Q483" s="3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3"/>
      <c r="Q484" s="3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3"/>
      <c r="Q485" s="3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3"/>
      <c r="Q486" s="3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3"/>
      <c r="Q487" s="3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3"/>
      <c r="Q488" s="3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3"/>
      <c r="Q489" s="3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3"/>
      <c r="Q490" s="3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3"/>
      <c r="Q491" s="3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3"/>
      <c r="Q492" s="3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3"/>
      <c r="Q493" s="3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3"/>
      <c r="Q494" s="3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3"/>
      <c r="Q495" s="3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3"/>
      <c r="Q496" s="3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3"/>
      <c r="Q497" s="3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3"/>
      <c r="Q498" s="3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3"/>
      <c r="Q499" s="3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3"/>
      <c r="Q500" s="3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3"/>
      <c r="Q501" s="3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3"/>
      <c r="Q502" s="3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3"/>
      <c r="Q503" s="3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3"/>
      <c r="Q504" s="3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3"/>
      <c r="Q505" s="3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3"/>
      <c r="Q506" s="3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3"/>
      <c r="Q507" s="3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3"/>
      <c r="Q508" s="3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3"/>
      <c r="Q509" s="3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3"/>
      <c r="Q510" s="3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3"/>
      <c r="Q511" s="3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3"/>
      <c r="Q512" s="3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3"/>
      <c r="Q513" s="3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3"/>
      <c r="Q514" s="3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3"/>
      <c r="Q515" s="3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3"/>
      <c r="Q516" s="3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3"/>
      <c r="Q517" s="3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3"/>
      <c r="Q518" s="3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3"/>
      <c r="Q519" s="3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3"/>
      <c r="Q520" s="3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3"/>
      <c r="Q521" s="3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3"/>
      <c r="Q522" s="3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3"/>
      <c r="Q523" s="3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3"/>
      <c r="Q524" s="3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3"/>
      <c r="Q525" s="3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3"/>
      <c r="Q526" s="3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3"/>
      <c r="Q527" s="3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3"/>
      <c r="Q528" s="3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3"/>
      <c r="Q529" s="3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3"/>
      <c r="Q530" s="3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3"/>
      <c r="Q531" s="3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3"/>
      <c r="Q532" s="3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3"/>
      <c r="Q533" s="3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3"/>
      <c r="Q534" s="3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3"/>
      <c r="Q535" s="3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3"/>
      <c r="Q536" s="3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3"/>
      <c r="Q537" s="3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3"/>
      <c r="Q538" s="3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3"/>
      <c r="Q539" s="3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3"/>
      <c r="Q540" s="3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3"/>
      <c r="Q541" s="3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3"/>
      <c r="Q542" s="3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3"/>
      <c r="Q543" s="3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3"/>
      <c r="Q544" s="3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3"/>
      <c r="Q545" s="3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3"/>
      <c r="Q546" s="3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3"/>
      <c r="Q547" s="3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3"/>
      <c r="Q548" s="3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3"/>
      <c r="Q549" s="3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3"/>
      <c r="Q550" s="3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3"/>
      <c r="Q551" s="3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3"/>
      <c r="Q552" s="3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3"/>
      <c r="Q553" s="3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3"/>
      <c r="Q554" s="3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3"/>
      <c r="Q555" s="3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3"/>
      <c r="Q556" s="3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3"/>
      <c r="Q557" s="3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3"/>
      <c r="Q558" s="3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3"/>
      <c r="Q559" s="3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3"/>
      <c r="Q560" s="3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3"/>
      <c r="Q561" s="3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3"/>
      <c r="Q562" s="3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3"/>
      <c r="Q563" s="3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3"/>
      <c r="Q564" s="3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3"/>
      <c r="Q565" s="3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3"/>
      <c r="Q566" s="3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3"/>
      <c r="Q567" s="3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3"/>
      <c r="Q568" s="3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3"/>
      <c r="Q569" s="3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3"/>
      <c r="Q570" s="3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3"/>
      <c r="Q571" s="3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3"/>
      <c r="Q572" s="3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3"/>
      <c r="Q573" s="3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3"/>
      <c r="Q574" s="3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3"/>
      <c r="Q575" s="3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3"/>
      <c r="Q576" s="3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3"/>
      <c r="Q577" s="3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3"/>
      <c r="Q578" s="3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3"/>
      <c r="Q579" s="3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3"/>
      <c r="Q580" s="3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3"/>
      <c r="Q581" s="3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3"/>
      <c r="Q582" s="3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3"/>
      <c r="Q583" s="3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3"/>
      <c r="Q584" s="3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3"/>
      <c r="Q585" s="3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3"/>
      <c r="Q586" s="3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3"/>
      <c r="Q587" s="3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3"/>
      <c r="Q588" s="3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3"/>
      <c r="Q589" s="3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3"/>
      <c r="Q590" s="3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3"/>
      <c r="Q591" s="3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3"/>
      <c r="Q592" s="3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3"/>
      <c r="Q593" s="3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3"/>
      <c r="Q594" s="3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3"/>
      <c r="Q595" s="3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3"/>
      <c r="Q596" s="3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3"/>
      <c r="Q597" s="3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3"/>
      <c r="Q598" s="3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3"/>
      <c r="Q599" s="3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3"/>
      <c r="Q600" s="3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3"/>
      <c r="Q601" s="3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3"/>
      <c r="Q602" s="3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3"/>
      <c r="Q603" s="3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3"/>
      <c r="Q604" s="3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3"/>
      <c r="Q605" s="3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3"/>
      <c r="Q606" s="3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3"/>
      <c r="Q607" s="3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3"/>
      <c r="Q608" s="3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3"/>
      <c r="Q609" s="3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3"/>
      <c r="Q610" s="3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3"/>
      <c r="Q611" s="3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3"/>
      <c r="Q612" s="3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3"/>
      <c r="Q613" s="3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3"/>
      <c r="Q614" s="3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3"/>
      <c r="Q615" s="3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3"/>
      <c r="Q616" s="3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3"/>
      <c r="Q617" s="3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3"/>
      <c r="Q618" s="3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3"/>
      <c r="Q619" s="3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3"/>
      <c r="Q620" s="3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3"/>
      <c r="Q621" s="3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3"/>
      <c r="Q622" s="3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3"/>
      <c r="Q623" s="3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3"/>
      <c r="Q624" s="3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3"/>
      <c r="Q625" s="3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3"/>
      <c r="Q626" s="3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3"/>
      <c r="Q627" s="3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3"/>
      <c r="Q628" s="3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3"/>
      <c r="Q629" s="3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3"/>
      <c r="Q630" s="3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3"/>
      <c r="Q631" s="3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3"/>
      <c r="Q632" s="3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3"/>
      <c r="Q633" s="3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3"/>
      <c r="Q634" s="3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3"/>
      <c r="Q635" s="3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3"/>
      <c r="Q636" s="3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3"/>
      <c r="Q637" s="3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3"/>
      <c r="Q638" s="3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3"/>
      <c r="Q639" s="3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3"/>
      <c r="Q640" s="3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3"/>
      <c r="Q641" s="3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3"/>
      <c r="Q642" s="3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3"/>
      <c r="Q643" s="3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3"/>
      <c r="Q644" s="3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3"/>
      <c r="Q645" s="3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3"/>
      <c r="Q646" s="3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3"/>
      <c r="Q647" s="3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3"/>
      <c r="Q648" s="3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3"/>
      <c r="Q649" s="3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3"/>
      <c r="Q650" s="3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3"/>
      <c r="Q651" s="3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3"/>
      <c r="Q652" s="3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3"/>
      <c r="Q653" s="3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3"/>
      <c r="Q654" s="3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3"/>
      <c r="Q655" s="3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3"/>
      <c r="Q656" s="3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3"/>
      <c r="Q657" s="3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3"/>
      <c r="Q658" s="3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3"/>
      <c r="Q659" s="3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3"/>
      <c r="Q660" s="3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3"/>
      <c r="Q661" s="3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3"/>
      <c r="Q662" s="3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3"/>
      <c r="Q663" s="3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3"/>
      <c r="Q664" s="3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3"/>
      <c r="Q665" s="3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3"/>
      <c r="Q666" s="3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3"/>
      <c r="Q667" s="3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3"/>
      <c r="Q668" s="3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3"/>
      <c r="Q669" s="3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3"/>
      <c r="Q670" s="3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3"/>
      <c r="Q671" s="3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3"/>
      <c r="Q672" s="3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3"/>
      <c r="Q673" s="3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3"/>
      <c r="Q674" s="3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3"/>
      <c r="Q675" s="3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3"/>
      <c r="Q676" s="3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3"/>
      <c r="Q677" s="3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3"/>
      <c r="Q678" s="3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3"/>
      <c r="Q679" s="3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3"/>
      <c r="Q680" s="3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3"/>
      <c r="Q681" s="3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3"/>
      <c r="Q682" s="3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3"/>
      <c r="Q683" s="3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3"/>
      <c r="Q684" s="3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3"/>
      <c r="Q685" s="3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3"/>
      <c r="Q686" s="3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3"/>
      <c r="Q687" s="3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3"/>
      <c r="Q688" s="3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3"/>
      <c r="Q689" s="3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3"/>
      <c r="Q690" s="3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3"/>
      <c r="Q691" s="3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3"/>
      <c r="Q692" s="3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3"/>
      <c r="Q693" s="3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3"/>
      <c r="Q694" s="3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3"/>
      <c r="Q695" s="3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3"/>
      <c r="Q696" s="3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3"/>
      <c r="Q697" s="3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3"/>
      <c r="Q698" s="3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3"/>
      <c r="Q699" s="3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3"/>
      <c r="Q700" s="3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3"/>
      <c r="Q701" s="3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3"/>
      <c r="Q702" s="3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3"/>
      <c r="Q703" s="3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3"/>
      <c r="Q704" s="3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3"/>
      <c r="Q705" s="3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3"/>
      <c r="Q706" s="3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3"/>
      <c r="Q707" s="3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3"/>
      <c r="Q708" s="3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3"/>
      <c r="Q709" s="3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3"/>
      <c r="Q710" s="3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3"/>
      <c r="Q711" s="3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3"/>
      <c r="Q712" s="3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3"/>
      <c r="Q713" s="3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3"/>
      <c r="Q714" s="3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3"/>
      <c r="Q715" s="3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3"/>
      <c r="Q716" s="3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3"/>
      <c r="Q717" s="3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3"/>
      <c r="Q718" s="3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3"/>
      <c r="Q719" s="3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3"/>
      <c r="Q720" s="3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3"/>
      <c r="Q721" s="3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3"/>
      <c r="Q722" s="3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3"/>
      <c r="Q723" s="3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3"/>
      <c r="Q724" s="3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3"/>
      <c r="Q725" s="3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3"/>
      <c r="Q726" s="3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3"/>
      <c r="Q727" s="3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3"/>
      <c r="Q728" s="3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3"/>
      <c r="Q729" s="3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3"/>
      <c r="Q730" s="3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3"/>
      <c r="Q731" s="3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3"/>
      <c r="Q732" s="3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3"/>
      <c r="Q733" s="3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3"/>
      <c r="Q734" s="3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3"/>
      <c r="Q735" s="3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3"/>
      <c r="Q736" s="3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3"/>
      <c r="Q737" s="3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3"/>
      <c r="Q738" s="3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3"/>
      <c r="Q739" s="3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3"/>
      <c r="Q740" s="3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3"/>
      <c r="Q741" s="3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3"/>
      <c r="Q742" s="3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3"/>
      <c r="Q743" s="3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3"/>
      <c r="Q744" s="3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3"/>
      <c r="Q745" s="3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3"/>
      <c r="Q746" s="3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3"/>
      <c r="Q747" s="3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3"/>
      <c r="Q748" s="3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3"/>
      <c r="Q749" s="3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3"/>
      <c r="Q750" s="3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3"/>
      <c r="Q751" s="3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3"/>
      <c r="Q752" s="3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3"/>
      <c r="Q753" s="3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3"/>
      <c r="Q754" s="3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3"/>
      <c r="Q755" s="3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3"/>
      <c r="Q756" s="3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3"/>
      <c r="Q757" s="3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3"/>
      <c r="Q758" s="3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3"/>
      <c r="Q759" s="3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3"/>
      <c r="Q760" s="3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3"/>
      <c r="Q761" s="3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3"/>
      <c r="Q762" s="3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3"/>
      <c r="Q763" s="3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3"/>
      <c r="Q764" s="3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3"/>
      <c r="Q765" s="3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3"/>
      <c r="Q766" s="3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3"/>
      <c r="Q767" s="3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3"/>
      <c r="Q768" s="3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3"/>
      <c r="Q769" s="3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3"/>
      <c r="Q770" s="3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3"/>
      <c r="Q771" s="3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3"/>
      <c r="Q772" s="3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3"/>
      <c r="Q773" s="3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3"/>
      <c r="Q774" s="3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3"/>
      <c r="Q775" s="3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3"/>
      <c r="Q776" s="3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3"/>
      <c r="Q777" s="3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3"/>
      <c r="Q778" s="3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3"/>
      <c r="Q779" s="3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3"/>
      <c r="Q780" s="3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3"/>
      <c r="Q781" s="3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3"/>
      <c r="Q782" s="3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3"/>
      <c r="Q783" s="3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3"/>
      <c r="Q784" s="3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3"/>
      <c r="Q785" s="3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3"/>
      <c r="Q786" s="3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3"/>
      <c r="Q787" s="3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3"/>
      <c r="Q788" s="3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3"/>
      <c r="Q789" s="3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3"/>
      <c r="Q790" s="3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3"/>
      <c r="Q791" s="3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3"/>
      <c r="Q792" s="3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3"/>
      <c r="Q793" s="3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3"/>
      <c r="Q794" s="3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3"/>
      <c r="Q795" s="3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3"/>
      <c r="Q796" s="3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3"/>
      <c r="Q797" s="3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3"/>
      <c r="Q798" s="3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3"/>
      <c r="Q799" s="3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3"/>
      <c r="Q800" s="3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3"/>
      <c r="Q801" s="3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3"/>
      <c r="Q802" s="3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3"/>
      <c r="Q803" s="3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3"/>
      <c r="Q804" s="3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3"/>
      <c r="Q805" s="3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3"/>
      <c r="Q806" s="3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3"/>
      <c r="Q807" s="3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3"/>
      <c r="Q808" s="3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3"/>
      <c r="Q809" s="3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3"/>
      <c r="Q810" s="3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3"/>
      <c r="Q811" s="3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3"/>
      <c r="Q812" s="3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3"/>
      <c r="Q813" s="3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3"/>
      <c r="Q814" s="3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3"/>
      <c r="Q815" s="3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3"/>
      <c r="Q816" s="3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3"/>
      <c r="Q817" s="3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3"/>
      <c r="Q818" s="3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3"/>
      <c r="Q819" s="3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3"/>
      <c r="Q820" s="3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3"/>
      <c r="Q821" s="3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3"/>
      <c r="Q822" s="3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3"/>
      <c r="Q823" s="3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3"/>
      <c r="Q824" s="3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3"/>
      <c r="Q825" s="3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3"/>
      <c r="Q826" s="3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3"/>
      <c r="Q827" s="3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3"/>
      <c r="Q828" s="3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3"/>
      <c r="Q829" s="3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3"/>
      <c r="Q830" s="3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3"/>
      <c r="Q831" s="3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3"/>
      <c r="Q832" s="3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3"/>
      <c r="Q833" s="3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3"/>
      <c r="Q834" s="3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3"/>
      <c r="Q835" s="3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3"/>
      <c r="Q836" s="3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3"/>
      <c r="Q837" s="3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3"/>
      <c r="Q838" s="3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3"/>
      <c r="Q839" s="3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3"/>
      <c r="Q840" s="3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3"/>
      <c r="Q841" s="3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3"/>
      <c r="Q842" s="3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3"/>
      <c r="Q843" s="3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3"/>
      <c r="Q844" s="3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3"/>
      <c r="Q845" s="3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3"/>
      <c r="Q846" s="3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3"/>
      <c r="Q847" s="3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3"/>
      <c r="Q848" s="3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3"/>
      <c r="Q849" s="3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3"/>
      <c r="Q850" s="3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3"/>
      <c r="Q851" s="3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3"/>
      <c r="Q852" s="3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3"/>
      <c r="Q853" s="3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3"/>
      <c r="Q854" s="3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3"/>
      <c r="Q855" s="3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3"/>
      <c r="Q856" s="3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3"/>
      <c r="Q857" s="3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3"/>
      <c r="Q858" s="3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3"/>
      <c r="Q859" s="3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3"/>
      <c r="Q860" s="3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3"/>
      <c r="Q861" s="3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3"/>
      <c r="Q862" s="3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3"/>
      <c r="Q863" s="3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3"/>
      <c r="Q864" s="3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3"/>
      <c r="Q865" s="3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3"/>
      <c r="Q866" s="3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3"/>
      <c r="Q867" s="3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3"/>
      <c r="Q868" s="3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3"/>
      <c r="Q869" s="3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3"/>
      <c r="Q870" s="3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3"/>
      <c r="Q871" s="3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3"/>
      <c r="Q872" s="3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3"/>
      <c r="Q873" s="3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3"/>
      <c r="Q874" s="3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3"/>
      <c r="Q875" s="3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3"/>
      <c r="Q876" s="3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3"/>
      <c r="Q877" s="3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3"/>
      <c r="Q878" s="3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3"/>
      <c r="Q879" s="3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3"/>
      <c r="Q880" s="3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3"/>
      <c r="Q881" s="3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3"/>
      <c r="Q882" s="3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3"/>
      <c r="Q883" s="3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3"/>
      <c r="Q884" s="3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3"/>
      <c r="Q885" s="3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3"/>
      <c r="Q886" s="3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3"/>
      <c r="Q887" s="3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3"/>
      <c r="Q888" s="3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3"/>
      <c r="Q889" s="3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3"/>
      <c r="Q890" s="3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3"/>
      <c r="Q891" s="3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3"/>
      <c r="Q892" s="3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3"/>
      <c r="Q893" s="3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3"/>
      <c r="Q894" s="3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3"/>
      <c r="Q895" s="3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3"/>
      <c r="Q896" s="3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3"/>
      <c r="Q897" s="3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3"/>
      <c r="Q898" s="3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3"/>
      <c r="Q899" s="3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3"/>
      <c r="Q900" s="3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3"/>
      <c r="Q901" s="3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3"/>
      <c r="Q902" s="3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3"/>
      <c r="Q903" s="3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3"/>
      <c r="Q904" s="3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3"/>
      <c r="Q905" s="3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3"/>
      <c r="Q906" s="3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3"/>
      <c r="Q907" s="3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3"/>
      <c r="Q908" s="3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3"/>
      <c r="Q909" s="3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3"/>
      <c r="Q910" s="3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3"/>
      <c r="Q911" s="3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3"/>
      <c r="Q912" s="3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3"/>
      <c r="Q913" s="3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3"/>
      <c r="Q914" s="3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3"/>
      <c r="Q915" s="3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3"/>
      <c r="Q916" s="3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3"/>
      <c r="Q917" s="3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3"/>
      <c r="Q918" s="3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3"/>
      <c r="Q919" s="3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3"/>
      <c r="Q920" s="3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3"/>
      <c r="Q921" s="3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3"/>
      <c r="Q922" s="3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3"/>
      <c r="Q923" s="3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3"/>
      <c r="Q924" s="3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3"/>
      <c r="Q925" s="3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3"/>
      <c r="Q926" s="3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3"/>
      <c r="Q927" s="3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3"/>
      <c r="Q928" s="3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3"/>
      <c r="Q929" s="3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3"/>
      <c r="Q930" s="3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3"/>
      <c r="Q931" s="3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3"/>
      <c r="Q932" s="3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3"/>
      <c r="Q933" s="3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3"/>
      <c r="Q934" s="3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3"/>
      <c r="Q935" s="3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3"/>
      <c r="Q936" s="3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3"/>
      <c r="Q937" s="3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3"/>
      <c r="Q938" s="3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3"/>
      <c r="Q939" s="3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3"/>
      <c r="Q940" s="3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3"/>
      <c r="Q941" s="3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3"/>
      <c r="Q942" s="3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3"/>
      <c r="Q943" s="3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3"/>
      <c r="Q944" s="3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3"/>
      <c r="Q945" s="3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3"/>
      <c r="Q946" s="3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3"/>
      <c r="Q947" s="3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3"/>
      <c r="Q948" s="3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3"/>
      <c r="Q949" s="3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3"/>
      <c r="Q950" s="3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3"/>
      <c r="Q951" s="3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3"/>
      <c r="Q952" s="3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3"/>
      <c r="Q953" s="3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3"/>
      <c r="Q954" s="3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3"/>
      <c r="Q955" s="3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3"/>
      <c r="Q956" s="3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3"/>
      <c r="Q957" s="3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3"/>
      <c r="Q958" s="3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3"/>
      <c r="Q959" s="3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3"/>
      <c r="Q960" s="3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3"/>
      <c r="Q961" s="3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3"/>
      <c r="Q962" s="3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3"/>
      <c r="Q963" s="3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3"/>
      <c r="Q964" s="3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3"/>
      <c r="Q965" s="3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3"/>
      <c r="Q966" s="3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3"/>
      <c r="Q967" s="3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3"/>
      <c r="Q968" s="3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3"/>
      <c r="Q969" s="3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3"/>
      <c r="Q970" s="3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3"/>
      <c r="Q971" s="3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3"/>
      <c r="Q972" s="3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3"/>
      <c r="Q973" s="3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3"/>
      <c r="Q974" s="3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3"/>
      <c r="Q975" s="3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3"/>
      <c r="Q976" s="3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3"/>
      <c r="Q977" s="3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3"/>
      <c r="Q978" s="3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3"/>
      <c r="Q979" s="3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3"/>
      <c r="Q980" s="3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3"/>
      <c r="Q981" s="3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3"/>
      <c r="Q982" s="3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3"/>
      <c r="Q983" s="3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3"/>
      <c r="Q984" s="3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3"/>
      <c r="Q985" s="3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3"/>
      <c r="Q986" s="3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3"/>
      <c r="Q987" s="3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3"/>
      <c r="Q988" s="3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3"/>
      <c r="Q989" s="3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3"/>
      <c r="Q990" s="3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3"/>
      <c r="Q991" s="3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3"/>
      <c r="Q992" s="3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3"/>
      <c r="Q993" s="3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3"/>
      <c r="Q994" s="3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3"/>
      <c r="Q995" s="3"/>
      <c r="R995" s="4"/>
      <c r="S995" s="4"/>
      <c r="T995" s="4"/>
      <c r="U995" s="4"/>
      <c r="V995" s="4"/>
      <c r="W995" s="4"/>
      <c r="X995" s="4"/>
      <c r="Y995" s="4"/>
      <c r="Z995" s="4"/>
      <c r="AA995" s="4"/>
    </row>
  </sheetData>
  <mergeCells count="4">
    <mergeCell ref="B3:C3"/>
    <mergeCell ref="B4:C4"/>
    <mergeCell ref="B38:P38"/>
    <mergeCell ref="B39:C39"/>
  </mergeCells>
  <drawing r:id="rId1"/>
</worksheet>
</file>