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4"/>
    <sheet state="visible" name="PJT1_入力" sheetId="2" r:id="rId5"/>
    <sheet state="visible" name="PJT2_入力" sheetId="3" r:id="rId6"/>
    <sheet state="visible" name="コスト" sheetId="4" r:id="rId7"/>
    <sheet state="visible" name="PJT1_収支" sheetId="5" r:id="rId8"/>
    <sheet state="visible" name="PJT2_収支" sheetId="6" r:id="rId9"/>
  </sheets>
  <definedNames/>
  <calcPr/>
  <extLst>
    <ext uri="GoogleSheetsCustomDataVersion2">
      <go:sheetsCustomData xmlns:go="http://customooxmlschemas.google.com/" r:id="rId10" roundtripDataChecksum="kVoESs29deaaJiuEnNAJuC1aRjunLU8i/1/RCwwqsOg="/>
    </ext>
  </extLst>
</workbook>
</file>

<file path=xl/sharedStrings.xml><?xml version="1.0" encoding="utf-8"?>
<sst xmlns="http://schemas.openxmlformats.org/spreadsheetml/2006/main" count="183" uniqueCount="104">
  <si>
    <r>
      <rPr>
        <rFont val="Cambria"/>
        <b/>
        <color theme="1"/>
        <sz val="16.0"/>
      </rPr>
      <t>SFF</t>
    </r>
    <r>
      <rPr>
        <rFont val="Noto Sans CJK SC"/>
        <b/>
        <color theme="1"/>
        <sz val="16.0"/>
      </rPr>
      <t>大会 収益シミュレーション ダッシュボード</t>
    </r>
  </si>
  <si>
    <t>【目標設定】</t>
  </si>
  <si>
    <r>
      <rPr>
        <rFont val="Noto Sans CJK SC"/>
        <color theme="1"/>
        <sz val="11.0"/>
      </rPr>
      <t>売上目標（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大会合計）</t>
    </r>
  </si>
  <si>
    <r>
      <rPr>
        <rFont val="Noto Sans CJK SC"/>
        <color theme="1"/>
        <sz val="11.0"/>
      </rPr>
      <t>※前年比</t>
    </r>
    <r>
      <rPr>
        <rFont val="Calibri"/>
        <color theme="1"/>
        <sz val="11.0"/>
      </rPr>
      <t>120%</t>
    </r>
  </si>
  <si>
    <t>限界利益率目標</t>
  </si>
  <si>
    <r>
      <rPr>
        <rFont val="Noto Sans CJK SC"/>
        <b/>
        <color theme="1"/>
        <sz val="11.0"/>
      </rPr>
      <t>【</t>
    </r>
    <r>
      <rPr>
        <rFont val="Cambria"/>
        <b/>
        <color theme="1"/>
        <sz val="11.0"/>
      </rPr>
      <t>KPI</t>
    </r>
    <r>
      <rPr>
        <rFont val="Noto Sans CJK SC"/>
        <b/>
        <color theme="1"/>
        <sz val="11.0"/>
      </rPr>
      <t>サマリー（</t>
    </r>
    <r>
      <rPr>
        <rFont val="Cambria"/>
        <b/>
        <color theme="1"/>
        <sz val="11.0"/>
      </rPr>
      <t>2</t>
    </r>
    <r>
      <rPr>
        <rFont val="Noto Sans CJK SC"/>
        <b/>
        <color theme="1"/>
        <sz val="11.0"/>
      </rPr>
      <t>大会合計）】</t>
    </r>
  </si>
  <si>
    <t>項目</t>
  </si>
  <si>
    <t>PJT1</t>
  </si>
  <si>
    <t>PJT2</t>
  </si>
  <si>
    <t>合計</t>
  </si>
  <si>
    <t>目標</t>
  </si>
  <si>
    <t>達成率</t>
  </si>
  <si>
    <t>売上合計</t>
  </si>
  <si>
    <t>変動費合計</t>
  </si>
  <si>
    <t>-</t>
  </si>
  <si>
    <t>限界利益</t>
  </si>
  <si>
    <t>限界利益率</t>
  </si>
  <si>
    <t>【達成判定】</t>
  </si>
  <si>
    <t>売上目標</t>
  </si>
  <si>
    <t>利益率目標</t>
  </si>
  <si>
    <t>【大会別 収益内訳】</t>
  </si>
  <si>
    <t>収益項目</t>
  </si>
  <si>
    <t>選手売上</t>
  </si>
  <si>
    <t>観客売上</t>
  </si>
  <si>
    <t>スポンサー売上</t>
  </si>
  <si>
    <t>付帯収入</t>
  </si>
  <si>
    <r>
      <rPr>
        <rFont val="Cambria"/>
        <b/>
        <color theme="1"/>
        <sz val="14.0"/>
      </rPr>
      <t>PJT1</t>
    </r>
    <r>
      <rPr>
        <rFont val="Noto Sans CJK SC"/>
        <b/>
        <color theme="1"/>
        <sz val="14.0"/>
      </rPr>
      <t>（パープルホール）入力シート</t>
    </r>
  </si>
  <si>
    <t>【選手】</t>
  </si>
  <si>
    <t>カテゴリ</t>
  </si>
  <si>
    <t>単価</t>
  </si>
  <si>
    <t>人数</t>
  </si>
  <si>
    <t>売上</t>
  </si>
  <si>
    <t>一般</t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</si>
  <si>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</si>
  <si>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新人</t>
    </r>
  </si>
  <si>
    <t>バックサポート</t>
  </si>
  <si>
    <t>ステージパートナー</t>
  </si>
  <si>
    <t>選手売上 小計</t>
  </si>
  <si>
    <t>【観客】</t>
  </si>
  <si>
    <t>席種</t>
  </si>
  <si>
    <t>キャパ</t>
  </si>
  <si>
    <t>販売数</t>
  </si>
  <si>
    <t>充足率</t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</si>
  <si>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</si>
  <si>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</si>
  <si>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</si>
  <si>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</si>
  <si>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t>観客売上 小計</t>
  </si>
  <si>
    <t>【スポンサー】</t>
  </si>
  <si>
    <t>プラン</t>
  </si>
  <si>
    <t>社数</t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</si>
  <si>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</si>
  <si>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DIAMOND</t>
  </si>
  <si>
    <t>PLATINUM</t>
  </si>
  <si>
    <r>
      <rPr>
        <rFont val="Calibri"/>
        <color theme="1"/>
        <sz val="11.0"/>
      </rPr>
      <t>GOLD/</t>
    </r>
    <r>
      <rPr>
        <rFont val="Noto Sans CJK SC"/>
        <color theme="1"/>
        <sz val="11.0"/>
      </rPr>
      <t>物品</t>
    </r>
  </si>
  <si>
    <t>スポンサー売上 小計</t>
  </si>
  <si>
    <t>【付帯収入】</t>
  </si>
  <si>
    <t>物販売上</t>
  </si>
  <si>
    <t>フォトレコ</t>
  </si>
  <si>
    <t>動画販売</t>
  </si>
  <si>
    <t>カラーリング</t>
  </si>
  <si>
    <t>付帯収入 小計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</si>
  <si>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（ひらしん）入力シート</t>
    </r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</si>
  <si>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</si>
  <si>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新人</t>
    </r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</si>
  <si>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</si>
  <si>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</si>
  <si>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</si>
  <si>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</si>
  <si>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</si>
  <si>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r>
      <rPr>
        <rFont val="Calibri"/>
        <color theme="1"/>
        <sz val="11.0"/>
      </rPr>
      <t>GOLD/</t>
    </r>
    <r>
      <rPr>
        <rFont val="Noto Sans CJK SC"/>
        <color theme="1"/>
        <sz val="11.0"/>
      </rPr>
      <t>物品</t>
    </r>
  </si>
  <si>
    <t>コスト入力シート</t>
  </si>
  <si>
    <r>
      <rPr>
        <rFont val="Noto Sans CJK SC"/>
        <b/>
        <color theme="1"/>
        <sz val="11.0"/>
      </rPr>
      <t>【</t>
    </r>
    <r>
      <rPr>
        <rFont val="Cambria"/>
        <b/>
        <color theme="1"/>
        <sz val="11.0"/>
      </rPr>
      <t xml:space="preserve">PJT1 </t>
    </r>
    <r>
      <rPr>
        <rFont val="Noto Sans CJK SC"/>
        <b/>
        <color theme="1"/>
        <sz val="11.0"/>
      </rPr>
      <t>コスト】</t>
    </r>
  </si>
  <si>
    <t>費目</t>
  </si>
  <si>
    <r>
      <rPr>
        <rFont val="Noto Sans CJK SC"/>
        <b/>
        <color rgb="FFFFFFFF"/>
        <sz val="12.0"/>
      </rPr>
      <t>予算</t>
    </r>
    <r>
      <rPr>
        <rFont val="Cambria"/>
        <b/>
        <color rgb="FFFFFFFF"/>
        <sz val="12.0"/>
      </rPr>
      <t>(</t>
    </r>
    <r>
      <rPr>
        <rFont val="Noto Sans CJK SC"/>
        <b/>
        <color rgb="FFFFFFFF"/>
        <sz val="12.0"/>
      </rPr>
      <t>円</t>
    </r>
    <r>
      <rPr>
        <rFont val="Cambria"/>
        <b/>
        <color rgb="FFFFFFFF"/>
        <sz val="12.0"/>
      </rPr>
      <t>)</t>
    </r>
  </si>
  <si>
    <t>備考</t>
  </si>
  <si>
    <t>会場費・設営費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</si>
  <si>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日分＋設営費</t>
    </r>
  </si>
  <si>
    <t>音響・照明・演出</t>
  </si>
  <si>
    <t>クオリティ維持</t>
  </si>
  <si>
    <t>人件費・運営費（業務委託）</t>
  </si>
  <si>
    <t>スタッフ・警備</t>
  </si>
  <si>
    <t>制作物・広報費</t>
  </si>
  <si>
    <r>
      <rPr>
        <rFont val="Noto Sans CJK SC"/>
        <color theme="1"/>
        <sz val="11.0"/>
      </rPr>
      <t>パンフ・</t>
    </r>
    <r>
      <rPr>
        <rFont val="Calibri"/>
        <color theme="1"/>
        <sz val="11.0"/>
      </rPr>
      <t>Web</t>
    </r>
    <r>
      <rPr>
        <rFont val="Noto Sans CJK SC"/>
        <color theme="1"/>
        <sz val="11.0"/>
      </rPr>
      <t>制作</t>
    </r>
  </si>
  <si>
    <r>
      <rPr>
        <rFont val="Noto Sans CJK SC"/>
        <color theme="1"/>
        <sz val="11.0"/>
      </rPr>
      <t>決済手数料（</t>
    </r>
    <r>
      <rPr>
        <rFont val="Calibri"/>
        <color theme="1"/>
        <sz val="11.0"/>
      </rPr>
      <t>3.6%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</si>
  <si>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売上の</t>
    </r>
    <r>
      <rPr>
        <rFont val="Calibri"/>
        <color theme="1"/>
        <sz val="11.0"/>
      </rPr>
      <t>3.6%</t>
    </r>
  </si>
  <si>
    <t>予備費</t>
  </si>
  <si>
    <t>リスクヘッジ</t>
  </si>
  <si>
    <t>社内人件費</t>
  </si>
  <si>
    <r>
      <rPr>
        <rFont val="Noto Sans CJK SC"/>
        <color theme="1"/>
        <sz val="11.0"/>
      </rPr>
      <t>※項目のみ（初期値</t>
    </r>
    <r>
      <rPr>
        <rFont val="Calibri"/>
        <color theme="1"/>
        <sz val="11.0"/>
      </rPr>
      <t>0</t>
    </r>
    <r>
      <rPr>
        <rFont val="Noto Sans CJK SC"/>
        <color theme="1"/>
        <sz val="11.0"/>
      </rPr>
      <t>）</t>
    </r>
  </si>
  <si>
    <r>
      <rPr>
        <rFont val="Cambria"/>
        <b/>
        <color theme="1"/>
        <sz val="11.0"/>
      </rPr>
      <t xml:space="preserve">PJT1 </t>
    </r>
    <r>
      <rPr>
        <rFont val="Noto Sans CJK SC"/>
        <b/>
        <color theme="1"/>
        <sz val="11.0"/>
      </rPr>
      <t>コスト合計</t>
    </r>
  </si>
  <si>
    <r>
      <rPr>
        <rFont val="Noto Sans CJK SC"/>
        <b/>
        <color theme="1"/>
        <sz val="11.0"/>
      </rPr>
      <t>【</t>
    </r>
    <r>
      <rPr>
        <rFont val="Cambria"/>
        <b/>
        <color theme="1"/>
        <sz val="11.0"/>
      </rPr>
      <t xml:space="preserve">PJT2 </t>
    </r>
    <r>
      <rPr>
        <rFont val="Noto Sans CJK SC"/>
        <b/>
        <color theme="1"/>
        <sz val="11.0"/>
      </rPr>
      <t>コスト】</t>
    </r>
  </si>
  <si>
    <r>
      <rPr>
        <rFont val="Noto Sans CJK SC"/>
        <b/>
        <color rgb="FFFFFFFF"/>
        <sz val="12.0"/>
      </rPr>
      <t>予算</t>
    </r>
    <r>
      <rPr>
        <rFont val="Cambria"/>
        <b/>
        <color rgb="FFFFFFFF"/>
        <sz val="12.0"/>
      </rPr>
      <t>(</t>
    </r>
    <r>
      <rPr>
        <rFont val="Noto Sans CJK SC"/>
        <b/>
        <color rgb="FFFFFFFF"/>
        <sz val="12.0"/>
      </rPr>
      <t>円</t>
    </r>
    <r>
      <rPr>
        <rFont val="Cambria"/>
        <b/>
        <color rgb="FFFFFFFF"/>
        <sz val="12.0"/>
      </rPr>
      <t>)</t>
    </r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</si>
  <si>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日分＋設営費</t>
    </r>
  </si>
  <si>
    <r>
      <rPr>
        <rFont val="Noto Sans CJK SC"/>
        <color theme="1"/>
        <sz val="11.0"/>
      </rPr>
      <t>パンフ・</t>
    </r>
    <r>
      <rPr>
        <rFont val="Calibri"/>
        <color theme="1"/>
        <sz val="11.0"/>
      </rPr>
      <t>Web</t>
    </r>
    <r>
      <rPr>
        <rFont val="Noto Sans CJK SC"/>
        <color theme="1"/>
        <sz val="11.0"/>
      </rPr>
      <t>制作</t>
    </r>
  </si>
  <si>
    <r>
      <rPr>
        <rFont val="Noto Sans CJK SC"/>
        <color theme="1"/>
        <sz val="11.0"/>
      </rPr>
      <t>決済手数料（</t>
    </r>
    <r>
      <rPr>
        <rFont val="Calibri"/>
        <color theme="1"/>
        <sz val="11.0"/>
      </rPr>
      <t>3.6%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</si>
  <si>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売上の</t>
    </r>
    <r>
      <rPr>
        <rFont val="Calibri"/>
        <color theme="1"/>
        <sz val="11.0"/>
      </rPr>
      <t>3.6%</t>
    </r>
  </si>
  <si>
    <r>
      <rPr>
        <rFont val="Noto Sans CJK SC"/>
        <color theme="1"/>
        <sz val="11.0"/>
      </rPr>
      <t>※項目のみ（初期値</t>
    </r>
    <r>
      <rPr>
        <rFont val="Calibri"/>
        <color theme="1"/>
        <sz val="11.0"/>
      </rPr>
      <t>0</t>
    </r>
    <r>
      <rPr>
        <rFont val="Noto Sans CJK SC"/>
        <color theme="1"/>
        <sz val="11.0"/>
      </rPr>
      <t>）</t>
    </r>
  </si>
  <si>
    <r>
      <rPr>
        <rFont val="Cambria"/>
        <b/>
        <color theme="1"/>
        <sz val="11.0"/>
      </rPr>
      <t xml:space="preserve">PJT2 </t>
    </r>
    <r>
      <rPr>
        <rFont val="Noto Sans CJK SC"/>
        <b/>
        <color theme="1"/>
        <sz val="11.0"/>
      </rPr>
      <t>コスト合計</t>
    </r>
  </si>
  <si>
    <r>
      <rPr>
        <rFont val="Cambria"/>
        <b/>
        <color theme="1"/>
        <sz val="14.0"/>
      </rPr>
      <t>PJT1</t>
    </r>
    <r>
      <rPr>
        <rFont val="Noto Sans CJK SC"/>
        <b/>
        <color theme="1"/>
        <sz val="14.0"/>
      </rPr>
      <t>（パープルホール）収支計算</t>
    </r>
  </si>
  <si>
    <t>金額</t>
  </si>
  <si>
    <t>【売上内訳】</t>
  </si>
  <si>
    <t>構成比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</si>
  <si>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（ひらしん）収支計算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</si>
</sst>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¥#,##0"/>
    <numFmt numFmtId="165" formatCode="0.0%"/>
  </numFmts>
  <fonts count="13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theme="1"/>
      <name val="Noto Sans"/>
    </font>
    <font>
      <sz val="11.0"/>
      <color theme="1"/>
      <name val="Noto Sans"/>
    </font>
    <font>
      <b/>
      <sz val="11.0"/>
      <color rgb="FF0000FF"/>
      <name val="Cambria"/>
    </font>
    <font>
      <b/>
      <sz val="12.0"/>
      <color rgb="FFFFFFFF"/>
      <name val="Noto Sans"/>
    </font>
    <font>
      <b/>
      <sz val="12.0"/>
      <color rgb="FFFFFFFF"/>
      <name val="Cambria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mbria"/>
    </font>
    <font>
      <b/>
      <sz val="14.0"/>
      <color theme="1"/>
      <name val="Noto Sans"/>
    </font>
    <font>
      <sz val="11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1" fillId="2" fontId="4" numFmtId="9" xfId="0" applyAlignment="1" applyBorder="1" applyFont="1" applyNumberForma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2" fillId="3" fontId="6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7" numFmtId="164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2" fillId="2" fontId="4" numFmtId="164" xfId="0" applyAlignment="1" applyBorder="1" applyFont="1" applyNumberForma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1" fillId="4" fontId="10" numFmtId="164" xfId="0" applyAlignment="1" applyBorder="1" applyFill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2" fillId="4" fontId="12" numFmtId="164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4" fontId="10" numFmtId="164" xfId="0" applyAlignment="1" applyBorder="1" applyFont="1" applyNumberFormat="1">
      <alignment shrinkToFit="0" vertical="bottom" wrapText="0"/>
    </xf>
    <xf borderId="2" fillId="0" fontId="10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5" width="15.0"/>
    <col customWidth="1" min="6" max="6" width="12.0"/>
    <col customWidth="1" min="7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C4" s="4">
        <v>5.1653879E7</v>
      </c>
      <c r="D4" s="3" t="s">
        <v>3</v>
      </c>
    </row>
    <row r="5">
      <c r="A5" s="3" t="s">
        <v>4</v>
      </c>
      <c r="C5" s="5">
        <v>0.5</v>
      </c>
    </row>
    <row r="7">
      <c r="A7" s="2" t="s">
        <v>5</v>
      </c>
    </row>
    <row r="8">
      <c r="A8" s="6" t="s">
        <v>6</v>
      </c>
      <c r="B8" s="7" t="s">
        <v>7</v>
      </c>
      <c r="C8" s="7" t="s">
        <v>8</v>
      </c>
      <c r="D8" s="6" t="s">
        <v>9</v>
      </c>
      <c r="E8" s="6" t="s">
        <v>10</v>
      </c>
      <c r="F8" s="6" t="s">
        <v>11</v>
      </c>
    </row>
    <row r="9">
      <c r="A9" s="8" t="s">
        <v>12</v>
      </c>
      <c r="B9" s="9">
        <f>'PJT1_収支'!B4</f>
        <v>18660000</v>
      </c>
      <c r="C9" s="9">
        <f>'PJT2_収支'!B4</f>
        <v>18660000</v>
      </c>
      <c r="D9" s="9">
        <f t="shared" ref="D9:D11" si="1">B9+C9</f>
        <v>37320000</v>
      </c>
      <c r="E9" s="9">
        <f>C4</f>
        <v>51653879</v>
      </c>
      <c r="F9" s="10">
        <f>IF(E9=0,0,D9/E9)</f>
        <v>0.7225014021</v>
      </c>
    </row>
    <row r="10">
      <c r="A10" s="8" t="s">
        <v>13</v>
      </c>
      <c r="B10" s="9">
        <f>'PJT1_収支'!B5</f>
        <v>9071760</v>
      </c>
      <c r="C10" s="9">
        <f>'PJT2_収支'!B5</f>
        <v>9071760</v>
      </c>
      <c r="D10" s="9">
        <f t="shared" si="1"/>
        <v>18143520</v>
      </c>
      <c r="E10" s="11" t="s">
        <v>14</v>
      </c>
      <c r="F10" s="11" t="s">
        <v>14</v>
      </c>
    </row>
    <row r="11">
      <c r="A11" s="8" t="s">
        <v>15</v>
      </c>
      <c r="B11" s="9">
        <f>'PJT1_収支'!B6</f>
        <v>9588240</v>
      </c>
      <c r="C11" s="9">
        <f>'PJT2_収支'!B6</f>
        <v>9588240</v>
      </c>
      <c r="D11" s="9">
        <f t="shared" si="1"/>
        <v>19176480</v>
      </c>
      <c r="E11" s="9">
        <f>D9*C5</f>
        <v>18660000</v>
      </c>
      <c r="F11" s="10">
        <f t="shared" ref="F11:F12" si="2">IF(E11=0,0,D11/E11)</f>
        <v>1.027678457</v>
      </c>
    </row>
    <row r="12">
      <c r="A12" s="8" t="s">
        <v>16</v>
      </c>
      <c r="B12" s="10">
        <f>'PJT1_収支'!B7</f>
        <v>0.5138392283</v>
      </c>
      <c r="C12" s="10">
        <f>'PJT2_収支'!B7</f>
        <v>0.5138392283</v>
      </c>
      <c r="D12" s="10">
        <f>IF(D9=0,0,D11/D9)</f>
        <v>0.5138392283</v>
      </c>
      <c r="E12" s="10">
        <f>C5</f>
        <v>0.5</v>
      </c>
      <c r="F12" s="10">
        <f t="shared" si="2"/>
        <v>1.027678457</v>
      </c>
    </row>
    <row r="14">
      <c r="A14" s="2" t="s">
        <v>17</v>
      </c>
    </row>
    <row r="15">
      <c r="A15" s="3" t="s">
        <v>18</v>
      </c>
      <c r="B15" s="12" t="str">
        <f>IF(D9&gt;=C4,"✓ 達成","✗ 未達")</f>
        <v>✗ 未達</v>
      </c>
    </row>
    <row r="16">
      <c r="A16" s="3" t="s">
        <v>19</v>
      </c>
      <c r="B16" s="12" t="str">
        <f>IF(D12&gt;=C5,"✓ 達成","✗ 未達")</f>
        <v>✓ 達成</v>
      </c>
    </row>
    <row r="18">
      <c r="A18" s="2" t="s">
        <v>20</v>
      </c>
    </row>
    <row r="19">
      <c r="A19" s="6" t="s">
        <v>21</v>
      </c>
      <c r="B19" s="7" t="s">
        <v>7</v>
      </c>
      <c r="C19" s="7" t="s">
        <v>8</v>
      </c>
      <c r="D19" s="6" t="s">
        <v>9</v>
      </c>
    </row>
    <row r="20">
      <c r="A20" s="8" t="s">
        <v>22</v>
      </c>
      <c r="B20" s="9">
        <f>'PJT1_収支'!B11</f>
        <v>2960000</v>
      </c>
      <c r="C20" s="9">
        <f>'PJT2_収支'!B11</f>
        <v>2960000</v>
      </c>
      <c r="D20" s="9">
        <f t="shared" ref="D20:D23" si="3">B20+C20</f>
        <v>5920000</v>
      </c>
    </row>
    <row r="21" ht="15.75" customHeight="1">
      <c r="A21" s="8" t="s">
        <v>23</v>
      </c>
      <c r="B21" s="9">
        <f>'PJT1_収支'!B12</f>
        <v>11400000</v>
      </c>
      <c r="C21" s="9">
        <f>'PJT2_収支'!B12</f>
        <v>11400000</v>
      </c>
      <c r="D21" s="9">
        <f t="shared" si="3"/>
        <v>22800000</v>
      </c>
    </row>
    <row r="22" ht="15.75" customHeight="1">
      <c r="A22" s="8" t="s">
        <v>24</v>
      </c>
      <c r="B22" s="9">
        <f>'PJT1_収支'!B13</f>
        <v>1900000</v>
      </c>
      <c r="C22" s="9">
        <f>'PJT2_収支'!B13</f>
        <v>1900000</v>
      </c>
      <c r="D22" s="9">
        <f t="shared" si="3"/>
        <v>3800000</v>
      </c>
    </row>
    <row r="23" ht="15.75" customHeight="1">
      <c r="A23" s="8" t="s">
        <v>25</v>
      </c>
      <c r="B23" s="9">
        <f>'PJT1_収支'!B14</f>
        <v>2400000</v>
      </c>
      <c r="C23" s="9">
        <f>'PJT2_収支'!B14</f>
        <v>2400000</v>
      </c>
      <c r="D23" s="9">
        <f t="shared" si="3"/>
        <v>4800000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  <col customWidth="1" min="7" max="26" width="8.71"/>
  </cols>
  <sheetData>
    <row r="1">
      <c r="A1" s="13" t="s">
        <v>26</v>
      </c>
    </row>
    <row r="3">
      <c r="A3" s="2" t="s">
        <v>27</v>
      </c>
    </row>
    <row r="4">
      <c r="A4" s="14" t="s">
        <v>28</v>
      </c>
      <c r="B4" s="14" t="s">
        <v>29</v>
      </c>
      <c r="C4" s="14" t="s">
        <v>30</v>
      </c>
      <c r="D4" s="14" t="s">
        <v>31</v>
      </c>
    </row>
    <row r="5">
      <c r="A5" s="8" t="s">
        <v>32</v>
      </c>
      <c r="B5" s="15">
        <v>15000.0</v>
      </c>
      <c r="C5" s="16">
        <v>100.0</v>
      </c>
      <c r="D5" s="9">
        <f t="shared" ref="D5:D9" si="1">B5*C5</f>
        <v>1500000</v>
      </c>
    </row>
    <row r="6">
      <c r="A6" s="11" t="s">
        <v>33</v>
      </c>
      <c r="B6" s="15">
        <v>8000.0</v>
      </c>
      <c r="C6" s="16">
        <v>50.0</v>
      </c>
      <c r="D6" s="9">
        <f t="shared" si="1"/>
        <v>400000</v>
      </c>
    </row>
    <row r="7">
      <c r="A7" s="8" t="s">
        <v>34</v>
      </c>
      <c r="B7" s="15">
        <v>8000.0</v>
      </c>
      <c r="C7" s="16">
        <v>50.0</v>
      </c>
      <c r="D7" s="9">
        <f t="shared" si="1"/>
        <v>400000</v>
      </c>
    </row>
    <row r="8">
      <c r="A8" s="8" t="s">
        <v>35</v>
      </c>
      <c r="B8" s="15">
        <v>3300.0</v>
      </c>
      <c r="C8" s="16">
        <v>150.0</v>
      </c>
      <c r="D8" s="9">
        <f t="shared" si="1"/>
        <v>495000</v>
      </c>
    </row>
    <row r="9">
      <c r="A9" s="8" t="s">
        <v>36</v>
      </c>
      <c r="B9" s="15">
        <v>3300.0</v>
      </c>
      <c r="C9" s="16">
        <v>50.0</v>
      </c>
      <c r="D9" s="9">
        <f t="shared" si="1"/>
        <v>165000</v>
      </c>
    </row>
    <row r="10">
      <c r="A10" s="2" t="s">
        <v>37</v>
      </c>
      <c r="D10" s="17">
        <f>SUM(D5:D9)</f>
        <v>2960000</v>
      </c>
    </row>
    <row r="12">
      <c r="A12" s="2" t="s">
        <v>38</v>
      </c>
    </row>
    <row r="13">
      <c r="A13" s="14" t="s">
        <v>39</v>
      </c>
      <c r="B13" s="14" t="s">
        <v>29</v>
      </c>
      <c r="C13" s="14" t="s">
        <v>40</v>
      </c>
      <c r="D13" s="14" t="s">
        <v>41</v>
      </c>
      <c r="E13" s="14" t="s">
        <v>31</v>
      </c>
      <c r="F13" s="14" t="s">
        <v>42</v>
      </c>
    </row>
    <row r="14">
      <c r="A14" s="11" t="s">
        <v>43</v>
      </c>
      <c r="B14" s="15">
        <v>50000.0</v>
      </c>
      <c r="C14" s="16">
        <v>30.0</v>
      </c>
      <c r="D14" s="16">
        <v>30.0</v>
      </c>
      <c r="E14" s="9">
        <f t="shared" ref="E14:E17" si="2">B14*D14</f>
        <v>1500000</v>
      </c>
      <c r="F14" s="10">
        <f t="shared" ref="F14:F18" si="3">IF(C14=0,0,D14/C14)</f>
        <v>1</v>
      </c>
    </row>
    <row r="15">
      <c r="A15" s="11" t="s">
        <v>44</v>
      </c>
      <c r="B15" s="15">
        <v>12000.0</v>
      </c>
      <c r="C15" s="16">
        <v>300.0</v>
      </c>
      <c r="D15" s="16">
        <v>300.0</v>
      </c>
      <c r="E15" s="9">
        <f t="shared" si="2"/>
        <v>3600000</v>
      </c>
      <c r="F15" s="10">
        <f t="shared" si="3"/>
        <v>1</v>
      </c>
    </row>
    <row r="16">
      <c r="A16" s="11" t="s">
        <v>45</v>
      </c>
      <c r="B16" s="15">
        <v>8000.0</v>
      </c>
      <c r="C16" s="16">
        <v>600.0</v>
      </c>
      <c r="D16" s="16">
        <v>600.0</v>
      </c>
      <c r="E16" s="9">
        <f t="shared" si="2"/>
        <v>4800000</v>
      </c>
      <c r="F16" s="10">
        <f t="shared" si="3"/>
        <v>1</v>
      </c>
    </row>
    <row r="17">
      <c r="A17" s="11" t="s">
        <v>46</v>
      </c>
      <c r="B17" s="15">
        <v>5000.0</v>
      </c>
      <c r="C17" s="16">
        <v>300.0</v>
      </c>
      <c r="D17" s="16">
        <v>300.0</v>
      </c>
      <c r="E17" s="9">
        <f t="shared" si="2"/>
        <v>1500000</v>
      </c>
      <c r="F17" s="10">
        <f t="shared" si="3"/>
        <v>1</v>
      </c>
    </row>
    <row r="18">
      <c r="A18" s="2" t="s">
        <v>47</v>
      </c>
      <c r="C18" s="2">
        <f t="shared" ref="C18:E18" si="4">SUM(C14:C17)</f>
        <v>1230</v>
      </c>
      <c r="D18" s="2">
        <f t="shared" si="4"/>
        <v>1230</v>
      </c>
      <c r="E18" s="17">
        <f t="shared" si="4"/>
        <v>11400000</v>
      </c>
      <c r="F18" s="18">
        <f t="shared" si="3"/>
        <v>1</v>
      </c>
    </row>
    <row r="20">
      <c r="A20" s="2" t="s">
        <v>48</v>
      </c>
    </row>
    <row r="21" ht="15.75" customHeight="1">
      <c r="A21" s="14" t="s">
        <v>49</v>
      </c>
      <c r="B21" s="14" t="s">
        <v>29</v>
      </c>
      <c r="C21" s="14" t="s">
        <v>50</v>
      </c>
      <c r="D21" s="14" t="s">
        <v>31</v>
      </c>
    </row>
    <row r="22" ht="15.75" customHeight="1">
      <c r="A22" s="11" t="s">
        <v>51</v>
      </c>
      <c r="B22" s="15">
        <v>5000000.0</v>
      </c>
      <c r="C22" s="16">
        <v>0.0</v>
      </c>
      <c r="D22" s="9">
        <f t="shared" ref="D22:D25" si="5">B22*C22</f>
        <v>0</v>
      </c>
    </row>
    <row r="23" ht="15.75" customHeight="1">
      <c r="A23" s="11" t="s">
        <v>52</v>
      </c>
      <c r="B23" s="15">
        <v>700000.0</v>
      </c>
      <c r="C23" s="19">
        <v>1.0</v>
      </c>
      <c r="D23" s="9">
        <f t="shared" si="5"/>
        <v>700000</v>
      </c>
    </row>
    <row r="24" ht="15.75" customHeight="1">
      <c r="A24" s="11" t="s">
        <v>53</v>
      </c>
      <c r="B24" s="15">
        <v>300000.0</v>
      </c>
      <c r="C24" s="19">
        <v>4.0</v>
      </c>
      <c r="D24" s="9">
        <f t="shared" si="5"/>
        <v>1200000</v>
      </c>
    </row>
    <row r="25" ht="15.75" customHeight="1">
      <c r="A25" s="11" t="s">
        <v>54</v>
      </c>
      <c r="B25" s="15">
        <v>100000.0</v>
      </c>
      <c r="C25" s="16">
        <v>0.0</v>
      </c>
      <c r="D25" s="9">
        <f t="shared" si="5"/>
        <v>0</v>
      </c>
    </row>
    <row r="26" ht="15.75" customHeight="1">
      <c r="A26" s="2" t="s">
        <v>55</v>
      </c>
      <c r="D26" s="17">
        <f>SUM(D22:D25)</f>
        <v>1900000</v>
      </c>
    </row>
    <row r="27" ht="15.75" customHeight="1"/>
    <row r="28" ht="15.75" customHeight="1">
      <c r="A28" s="2" t="s">
        <v>56</v>
      </c>
    </row>
    <row r="29" ht="15.75" customHeight="1">
      <c r="A29" s="14" t="s">
        <v>6</v>
      </c>
      <c r="B29" s="14" t="s">
        <v>31</v>
      </c>
    </row>
    <row r="30" ht="15.75" customHeight="1">
      <c r="A30" s="8" t="s">
        <v>57</v>
      </c>
      <c r="B30" s="15">
        <v>800000.0</v>
      </c>
    </row>
    <row r="31" ht="15.75" customHeight="1">
      <c r="A31" s="8" t="s">
        <v>58</v>
      </c>
      <c r="B31" s="15">
        <v>1000000.0</v>
      </c>
    </row>
    <row r="32" ht="15.75" customHeight="1">
      <c r="A32" s="8" t="s">
        <v>59</v>
      </c>
      <c r="B32" s="15">
        <v>400000.0</v>
      </c>
    </row>
    <row r="33" ht="15.75" customHeight="1">
      <c r="A33" s="8" t="s">
        <v>60</v>
      </c>
      <c r="B33" s="15">
        <v>200000.0</v>
      </c>
    </row>
    <row r="34" ht="15.75" customHeight="1">
      <c r="A34" s="2" t="s">
        <v>61</v>
      </c>
      <c r="B34" s="17">
        <f>SUM(B30:B33)</f>
        <v>2400000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  <col customWidth="1" min="7" max="26" width="8.71"/>
  </cols>
  <sheetData>
    <row r="1">
      <c r="A1" s="13" t="s">
        <v>62</v>
      </c>
    </row>
    <row r="3">
      <c r="A3" s="2" t="s">
        <v>27</v>
      </c>
    </row>
    <row r="4">
      <c r="A4" s="14" t="s">
        <v>28</v>
      </c>
      <c r="B4" s="14" t="s">
        <v>29</v>
      </c>
      <c r="C4" s="14" t="s">
        <v>30</v>
      </c>
      <c r="D4" s="14" t="s">
        <v>31</v>
      </c>
    </row>
    <row r="5">
      <c r="A5" s="8" t="s">
        <v>32</v>
      </c>
      <c r="B5" s="15">
        <v>15000.0</v>
      </c>
      <c r="C5" s="16">
        <v>100.0</v>
      </c>
      <c r="D5" s="9">
        <f t="shared" ref="D5:D9" si="1">B5*C5</f>
        <v>1500000</v>
      </c>
    </row>
    <row r="6">
      <c r="A6" s="11" t="s">
        <v>63</v>
      </c>
      <c r="B6" s="15">
        <v>8000.0</v>
      </c>
      <c r="C6" s="16">
        <v>50.0</v>
      </c>
      <c r="D6" s="9">
        <f t="shared" si="1"/>
        <v>400000</v>
      </c>
    </row>
    <row r="7">
      <c r="A7" s="8" t="s">
        <v>64</v>
      </c>
      <c r="B7" s="15">
        <v>8000.0</v>
      </c>
      <c r="C7" s="16">
        <v>50.0</v>
      </c>
      <c r="D7" s="9">
        <f t="shared" si="1"/>
        <v>400000</v>
      </c>
    </row>
    <row r="8">
      <c r="A8" s="8" t="s">
        <v>35</v>
      </c>
      <c r="B8" s="15">
        <v>3300.0</v>
      </c>
      <c r="C8" s="16">
        <v>150.0</v>
      </c>
      <c r="D8" s="9">
        <f t="shared" si="1"/>
        <v>495000</v>
      </c>
    </row>
    <row r="9">
      <c r="A9" s="8" t="s">
        <v>36</v>
      </c>
      <c r="B9" s="15">
        <v>3300.0</v>
      </c>
      <c r="C9" s="16">
        <v>50.0</v>
      </c>
      <c r="D9" s="9">
        <f t="shared" si="1"/>
        <v>165000</v>
      </c>
    </row>
    <row r="10">
      <c r="A10" s="2" t="s">
        <v>37</v>
      </c>
      <c r="D10" s="17">
        <f>SUM(D5:D9)</f>
        <v>2960000</v>
      </c>
    </row>
    <row r="12">
      <c r="A12" s="2" t="s">
        <v>38</v>
      </c>
    </row>
    <row r="13">
      <c r="A13" s="14" t="s">
        <v>39</v>
      </c>
      <c r="B13" s="14" t="s">
        <v>29</v>
      </c>
      <c r="C13" s="14" t="s">
        <v>40</v>
      </c>
      <c r="D13" s="14" t="s">
        <v>41</v>
      </c>
      <c r="E13" s="14" t="s">
        <v>31</v>
      </c>
      <c r="F13" s="14" t="s">
        <v>42</v>
      </c>
    </row>
    <row r="14">
      <c r="A14" s="11" t="s">
        <v>65</v>
      </c>
      <c r="B14" s="15">
        <v>50000.0</v>
      </c>
      <c r="C14" s="16">
        <v>30.0</v>
      </c>
      <c r="D14" s="16">
        <v>30.0</v>
      </c>
      <c r="E14" s="9">
        <f t="shared" ref="E14:E17" si="2">B14*D14</f>
        <v>1500000</v>
      </c>
      <c r="F14" s="10">
        <f t="shared" ref="F14:F18" si="3">IF(C14=0,0,D14/C14)</f>
        <v>1</v>
      </c>
    </row>
    <row r="15">
      <c r="A15" s="11" t="s">
        <v>66</v>
      </c>
      <c r="B15" s="15">
        <v>12000.0</v>
      </c>
      <c r="C15" s="16">
        <v>300.0</v>
      </c>
      <c r="D15" s="16">
        <v>300.0</v>
      </c>
      <c r="E15" s="9">
        <f t="shared" si="2"/>
        <v>3600000</v>
      </c>
      <c r="F15" s="10">
        <f t="shared" si="3"/>
        <v>1</v>
      </c>
    </row>
    <row r="16">
      <c r="A16" s="11" t="s">
        <v>67</v>
      </c>
      <c r="B16" s="15">
        <v>8000.0</v>
      </c>
      <c r="C16" s="16">
        <v>600.0</v>
      </c>
      <c r="D16" s="16">
        <v>600.0</v>
      </c>
      <c r="E16" s="9">
        <f t="shared" si="2"/>
        <v>4800000</v>
      </c>
      <c r="F16" s="10">
        <f t="shared" si="3"/>
        <v>1</v>
      </c>
    </row>
    <row r="17">
      <c r="A17" s="11" t="s">
        <v>68</v>
      </c>
      <c r="B17" s="15">
        <v>5000.0</v>
      </c>
      <c r="C17" s="16">
        <v>300.0</v>
      </c>
      <c r="D17" s="16">
        <v>300.0</v>
      </c>
      <c r="E17" s="9">
        <f t="shared" si="2"/>
        <v>1500000</v>
      </c>
      <c r="F17" s="10">
        <f t="shared" si="3"/>
        <v>1</v>
      </c>
    </row>
    <row r="18">
      <c r="A18" s="2" t="s">
        <v>47</v>
      </c>
      <c r="C18" s="2">
        <f t="shared" ref="C18:E18" si="4">SUM(C14:C17)</f>
        <v>1230</v>
      </c>
      <c r="D18" s="2">
        <f t="shared" si="4"/>
        <v>1230</v>
      </c>
      <c r="E18" s="17">
        <f t="shared" si="4"/>
        <v>11400000</v>
      </c>
      <c r="F18" s="18">
        <f t="shared" si="3"/>
        <v>1</v>
      </c>
    </row>
    <row r="20">
      <c r="A20" s="2" t="s">
        <v>48</v>
      </c>
    </row>
    <row r="21" ht="15.75" customHeight="1">
      <c r="A21" s="14" t="s">
        <v>49</v>
      </c>
      <c r="B21" s="14" t="s">
        <v>29</v>
      </c>
      <c r="C21" s="14" t="s">
        <v>50</v>
      </c>
      <c r="D21" s="14" t="s">
        <v>31</v>
      </c>
    </row>
    <row r="22" ht="15.75" customHeight="1">
      <c r="A22" s="11" t="s">
        <v>69</v>
      </c>
      <c r="B22" s="15">
        <v>5000000.0</v>
      </c>
      <c r="C22" s="16">
        <v>0.0</v>
      </c>
      <c r="D22" s="9">
        <f t="shared" ref="D22:D25" si="5">B22*C22</f>
        <v>0</v>
      </c>
    </row>
    <row r="23" ht="15.75" customHeight="1">
      <c r="A23" s="11" t="s">
        <v>52</v>
      </c>
      <c r="B23" s="15">
        <v>700000.0</v>
      </c>
      <c r="C23" s="19">
        <v>1.0</v>
      </c>
      <c r="D23" s="9">
        <f t="shared" si="5"/>
        <v>700000</v>
      </c>
    </row>
    <row r="24" ht="15.75" customHeight="1">
      <c r="A24" s="11" t="s">
        <v>53</v>
      </c>
      <c r="B24" s="15">
        <v>300000.0</v>
      </c>
      <c r="C24" s="19">
        <v>4.0</v>
      </c>
      <c r="D24" s="9">
        <f t="shared" si="5"/>
        <v>1200000</v>
      </c>
    </row>
    <row r="25" ht="15.75" customHeight="1">
      <c r="A25" s="11" t="s">
        <v>70</v>
      </c>
      <c r="B25" s="15">
        <v>100000.0</v>
      </c>
      <c r="C25" s="16">
        <v>0.0</v>
      </c>
      <c r="D25" s="9">
        <f t="shared" si="5"/>
        <v>0</v>
      </c>
    </row>
    <row r="26" ht="15.75" customHeight="1">
      <c r="A26" s="2" t="s">
        <v>55</v>
      </c>
      <c r="D26" s="17">
        <f>SUM(D22:D25)</f>
        <v>1900000</v>
      </c>
    </row>
    <row r="27" ht="15.75" customHeight="1"/>
    <row r="28" ht="15.75" customHeight="1">
      <c r="A28" s="2" t="s">
        <v>56</v>
      </c>
    </row>
    <row r="29" ht="15.75" customHeight="1">
      <c r="A29" s="14" t="s">
        <v>6</v>
      </c>
      <c r="B29" s="14" t="s">
        <v>31</v>
      </c>
    </row>
    <row r="30" ht="15.75" customHeight="1">
      <c r="A30" s="8" t="s">
        <v>57</v>
      </c>
      <c r="B30" s="15">
        <v>800000.0</v>
      </c>
    </row>
    <row r="31" ht="15.75" customHeight="1">
      <c r="A31" s="8" t="s">
        <v>58</v>
      </c>
      <c r="B31" s="15">
        <v>1000000.0</v>
      </c>
    </row>
    <row r="32" ht="15.75" customHeight="1">
      <c r="A32" s="8" t="s">
        <v>59</v>
      </c>
      <c r="B32" s="15">
        <v>400000.0</v>
      </c>
    </row>
    <row r="33" ht="15.75" customHeight="1">
      <c r="A33" s="8" t="s">
        <v>60</v>
      </c>
      <c r="B33" s="15">
        <v>200000.0</v>
      </c>
    </row>
    <row r="34" ht="15.75" customHeight="1">
      <c r="A34" s="2" t="s">
        <v>61</v>
      </c>
      <c r="B34" s="17">
        <f>SUM(B30:B33)</f>
        <v>2400000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25.0"/>
    <col customWidth="1" min="4" max="26" width="8.71"/>
  </cols>
  <sheetData>
    <row r="1">
      <c r="A1" s="20" t="s">
        <v>71</v>
      </c>
    </row>
    <row r="3">
      <c r="A3" s="2" t="s">
        <v>72</v>
      </c>
    </row>
    <row r="4">
      <c r="A4" s="14" t="s">
        <v>73</v>
      </c>
      <c r="B4" s="14" t="s">
        <v>74</v>
      </c>
      <c r="C4" s="14" t="s">
        <v>75</v>
      </c>
    </row>
    <row r="5">
      <c r="A5" s="8" t="s">
        <v>76</v>
      </c>
      <c r="B5" s="15">
        <v>4000000.0</v>
      </c>
      <c r="C5" s="11" t="s">
        <v>77</v>
      </c>
    </row>
    <row r="6">
      <c r="A6" s="8" t="s">
        <v>78</v>
      </c>
      <c r="B6" s="15">
        <v>2500000.0</v>
      </c>
      <c r="C6" s="8" t="s">
        <v>79</v>
      </c>
    </row>
    <row r="7">
      <c r="A7" s="8" t="s">
        <v>80</v>
      </c>
      <c r="B7" s="15">
        <v>300000.0</v>
      </c>
      <c r="C7" s="8" t="s">
        <v>81</v>
      </c>
    </row>
    <row r="8">
      <c r="A8" s="8" t="s">
        <v>82</v>
      </c>
      <c r="B8" s="15">
        <v>1000000.0</v>
      </c>
      <c r="C8" s="8" t="s">
        <v>83</v>
      </c>
    </row>
    <row r="9">
      <c r="A9" s="8" t="s">
        <v>84</v>
      </c>
      <c r="B9" s="21">
        <f>('PJT1_入力'!D10+'PJT1_入力'!E18+'PJT1_入力'!D26+'PJT1_入力'!B34)*0.036</f>
        <v>671760</v>
      </c>
      <c r="C9" s="8" t="s">
        <v>85</v>
      </c>
    </row>
    <row r="10">
      <c r="A10" s="8" t="s">
        <v>86</v>
      </c>
      <c r="B10" s="15">
        <v>600000.0</v>
      </c>
      <c r="C10" s="8" t="s">
        <v>87</v>
      </c>
    </row>
    <row r="11">
      <c r="A11" s="8" t="s">
        <v>88</v>
      </c>
      <c r="B11" s="15">
        <v>0.0</v>
      </c>
      <c r="C11" s="8" t="s">
        <v>89</v>
      </c>
    </row>
    <row r="12">
      <c r="A12" s="22" t="s">
        <v>90</v>
      </c>
      <c r="B12" s="17">
        <f>SUM(B5:B11)</f>
        <v>9071760</v>
      </c>
    </row>
    <row r="14">
      <c r="A14" s="2" t="s">
        <v>91</v>
      </c>
    </row>
    <row r="15">
      <c r="A15" s="14" t="s">
        <v>73</v>
      </c>
      <c r="B15" s="14" t="s">
        <v>92</v>
      </c>
      <c r="C15" s="14" t="s">
        <v>75</v>
      </c>
    </row>
    <row r="16">
      <c r="A16" s="8" t="s">
        <v>76</v>
      </c>
      <c r="B16" s="15">
        <v>4000000.0</v>
      </c>
      <c r="C16" s="11" t="s">
        <v>93</v>
      </c>
    </row>
    <row r="17">
      <c r="A17" s="8" t="s">
        <v>78</v>
      </c>
      <c r="B17" s="15">
        <v>2500000.0</v>
      </c>
      <c r="C17" s="8" t="s">
        <v>79</v>
      </c>
    </row>
    <row r="18">
      <c r="A18" s="8" t="s">
        <v>80</v>
      </c>
      <c r="B18" s="15">
        <v>300000.0</v>
      </c>
      <c r="C18" s="8" t="s">
        <v>81</v>
      </c>
    </row>
    <row r="19">
      <c r="A19" s="8" t="s">
        <v>82</v>
      </c>
      <c r="B19" s="15">
        <v>1000000.0</v>
      </c>
      <c r="C19" s="8" t="s">
        <v>94</v>
      </c>
    </row>
    <row r="20">
      <c r="A20" s="8" t="s">
        <v>95</v>
      </c>
      <c r="B20" s="21">
        <f>('PJT2_入力'!D10+'PJT2_入力'!E18+'PJT2_入力'!D26+'PJT2_入力'!B34)*0.036</f>
        <v>671760</v>
      </c>
      <c r="C20" s="8" t="s">
        <v>96</v>
      </c>
    </row>
    <row r="21" ht="15.75" customHeight="1">
      <c r="A21" s="8" t="s">
        <v>86</v>
      </c>
      <c r="B21" s="15">
        <v>600000.0</v>
      </c>
      <c r="C21" s="8" t="s">
        <v>87</v>
      </c>
    </row>
    <row r="22" ht="15.75" customHeight="1">
      <c r="A22" s="8" t="s">
        <v>88</v>
      </c>
      <c r="B22" s="15">
        <v>0.0</v>
      </c>
      <c r="C22" s="8" t="s">
        <v>97</v>
      </c>
    </row>
    <row r="23" ht="15.75" customHeight="1">
      <c r="A23" s="22" t="s">
        <v>98</v>
      </c>
      <c r="B23" s="17">
        <f>SUM(B16:B22)</f>
        <v>9071760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24" width="8.71"/>
  </cols>
  <sheetData>
    <row r="1">
      <c r="A1" s="13" t="s">
        <v>99</v>
      </c>
    </row>
    <row r="3">
      <c r="A3" s="23" t="s">
        <v>6</v>
      </c>
      <c r="B3" s="8" t="s">
        <v>100</v>
      </c>
    </row>
    <row r="4">
      <c r="A4" s="8" t="s">
        <v>12</v>
      </c>
      <c r="B4" s="24">
        <f>B11+B12+B13+B14</f>
        <v>18660000</v>
      </c>
    </row>
    <row r="5">
      <c r="A5" s="8" t="s">
        <v>13</v>
      </c>
      <c r="B5" s="9">
        <f>'コスト'!B12</f>
        <v>9071760</v>
      </c>
    </row>
    <row r="6">
      <c r="A6" s="8" t="s">
        <v>15</v>
      </c>
      <c r="B6" s="24">
        <f>B4-B5</f>
        <v>9588240</v>
      </c>
    </row>
    <row r="7">
      <c r="A7" s="8" t="s">
        <v>16</v>
      </c>
      <c r="B7" s="25">
        <f>IF(B4=0,0,B6/B4)</f>
        <v>0.5138392283</v>
      </c>
    </row>
    <row r="9">
      <c r="A9" s="2" t="s">
        <v>101</v>
      </c>
    </row>
    <row r="10">
      <c r="A10" s="14" t="s">
        <v>28</v>
      </c>
      <c r="B10" s="14" t="s">
        <v>100</v>
      </c>
      <c r="C10" s="14" t="s">
        <v>102</v>
      </c>
    </row>
    <row r="11">
      <c r="A11" s="8" t="s">
        <v>22</v>
      </c>
      <c r="B11" s="9">
        <f>'PJT1_入力'!D10</f>
        <v>2960000</v>
      </c>
      <c r="C11" s="10">
        <f t="shared" ref="C11:C14" si="1">IF($B$4=0,0,B11/$B$4)</f>
        <v>0.1586280815</v>
      </c>
    </row>
    <row r="12">
      <c r="A12" s="8" t="s">
        <v>23</v>
      </c>
      <c r="B12" s="9">
        <f>'PJT1_入力'!E18</f>
        <v>11400000</v>
      </c>
      <c r="C12" s="10">
        <f t="shared" si="1"/>
        <v>0.6109324759</v>
      </c>
    </row>
    <row r="13">
      <c r="A13" s="8" t="s">
        <v>24</v>
      </c>
      <c r="B13" s="9">
        <f>'PJT1_入力'!D26</f>
        <v>1900000</v>
      </c>
      <c r="C13" s="10">
        <f t="shared" si="1"/>
        <v>0.1018220793</v>
      </c>
    </row>
    <row r="14">
      <c r="A14" s="8" t="s">
        <v>25</v>
      </c>
      <c r="B14" s="9">
        <f>'PJT1_入力'!B34</f>
        <v>2400000</v>
      </c>
      <c r="C14" s="10">
        <f t="shared" si="1"/>
        <v>0.1286173633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24" width="8.71"/>
  </cols>
  <sheetData>
    <row r="1">
      <c r="A1" s="13" t="s">
        <v>103</v>
      </c>
    </row>
    <row r="3">
      <c r="A3" s="23" t="s">
        <v>6</v>
      </c>
      <c r="B3" s="8" t="s">
        <v>100</v>
      </c>
    </row>
    <row r="4">
      <c r="A4" s="8" t="s">
        <v>12</v>
      </c>
      <c r="B4" s="24">
        <f>B11+B12+B13+B14</f>
        <v>18660000</v>
      </c>
    </row>
    <row r="5">
      <c r="A5" s="8" t="s">
        <v>13</v>
      </c>
      <c r="B5" s="9">
        <f>'コスト'!B23</f>
        <v>9071760</v>
      </c>
    </row>
    <row r="6">
      <c r="A6" s="8" t="s">
        <v>15</v>
      </c>
      <c r="B6" s="24">
        <f>B4-B5</f>
        <v>9588240</v>
      </c>
    </row>
    <row r="7">
      <c r="A7" s="8" t="s">
        <v>16</v>
      </c>
      <c r="B7" s="25">
        <f>IF(B4=0,0,B6/B4)</f>
        <v>0.5138392283</v>
      </c>
    </row>
    <row r="9">
      <c r="A9" s="2" t="s">
        <v>101</v>
      </c>
    </row>
    <row r="10">
      <c r="A10" s="14" t="s">
        <v>28</v>
      </c>
      <c r="B10" s="14" t="s">
        <v>100</v>
      </c>
      <c r="C10" s="14" t="s">
        <v>102</v>
      </c>
    </row>
    <row r="11">
      <c r="A11" s="8" t="s">
        <v>22</v>
      </c>
      <c r="B11" s="9">
        <f>'PJT2_入力'!D10</f>
        <v>2960000</v>
      </c>
      <c r="C11" s="10">
        <f t="shared" ref="C11:C14" si="1">IF($B$4=0,0,B11/$B$4)</f>
        <v>0.1586280815</v>
      </c>
    </row>
    <row r="12">
      <c r="A12" s="8" t="s">
        <v>23</v>
      </c>
      <c r="B12" s="9">
        <f>'PJT2_入力'!E18</f>
        <v>11400000</v>
      </c>
      <c r="C12" s="10">
        <f t="shared" si="1"/>
        <v>0.6109324759</v>
      </c>
    </row>
    <row r="13">
      <c r="A13" s="8" t="s">
        <v>24</v>
      </c>
      <c r="B13" s="9">
        <f>'PJT2_入力'!D26</f>
        <v>1900000</v>
      </c>
      <c r="C13" s="10">
        <f t="shared" si="1"/>
        <v>0.1018220793</v>
      </c>
    </row>
    <row r="14">
      <c r="A14" s="8" t="s">
        <v>25</v>
      </c>
      <c r="B14" s="9">
        <f>'PJT2_入力'!B34</f>
        <v>2400000</v>
      </c>
      <c r="C14" s="10">
        <f t="shared" si="1"/>
        <v>0.1286173633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2026-01-17T01:53:43Z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