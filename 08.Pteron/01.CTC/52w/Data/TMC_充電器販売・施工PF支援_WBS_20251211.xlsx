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efiles\AID×DBP\1.案件別\7.充電器販売・施工DX支援\4.KOMTG\"/>
    </mc:Choice>
  </mc:AlternateContent>
  <xr:revisionPtr revIDLastSave="0" documentId="13_ncr:1_{B0C27ED9-B0F8-436B-BDC4-CA64BEC18985}" xr6:coauthVersionLast="47" xr6:coauthVersionMax="47" xr10:uidLastSave="{00000000-0000-0000-0000-000000000000}"/>
  <bookViews>
    <workbookView xWindow="-120" yWindow="-16320" windowWidth="29040" windowHeight="15720" tabRatio="834" xr2:uid="{00000000-000D-0000-FFFF-FFFF00000000}"/>
  </bookViews>
  <sheets>
    <sheet name="WBS" sheetId="2" r:id="rId1"/>
  </sheets>
  <externalReferences>
    <externalReference r:id="rId2"/>
  </externalReferences>
  <definedNames>
    <definedName name="_xlnm._FilterDatabase" localSheetId="0" hidden="1">WBS!$B$8:$DZ$95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_xlnm.Print_Area" localSheetId="0">WBS!$A$1:$DZ$95</definedName>
    <definedName name="_xlnm.Print_Area">[1]参考③CX開発規模!$A$1:$I$222</definedName>
    <definedName name="シート選択見だし">"ラベル 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" l="1"/>
  <c r="R22" i="2"/>
  <c r="T22" i="2" s="1"/>
  <c r="V22" i="2"/>
  <c r="B24" i="2"/>
  <c r="R24" i="2"/>
  <c r="T24" i="2" s="1"/>
  <c r="V24" i="2"/>
  <c r="W24" i="2" l="1"/>
  <c r="U24" i="2"/>
  <c r="U22" i="2"/>
  <c r="W22" i="2"/>
  <c r="R10" i="2" l="1"/>
  <c r="R11" i="2"/>
  <c r="R12" i="2"/>
  <c r="R14" i="2"/>
  <c r="R15" i="2"/>
  <c r="R16" i="2"/>
  <c r="R17" i="2"/>
  <c r="R19" i="2"/>
  <c r="R20" i="2"/>
  <c r="R25" i="2"/>
  <c r="R26" i="2"/>
  <c r="R27" i="2"/>
  <c r="R28" i="2"/>
  <c r="R29" i="2"/>
  <c r="R31" i="2"/>
  <c r="R32" i="2"/>
  <c r="R33" i="2"/>
  <c r="R34" i="2"/>
  <c r="R35" i="2"/>
  <c r="R37" i="2"/>
  <c r="R38" i="2"/>
  <c r="R39" i="2"/>
  <c r="R40" i="2"/>
  <c r="R41" i="2"/>
  <c r="R42" i="2"/>
  <c r="R44" i="2"/>
  <c r="R45" i="2"/>
  <c r="R46" i="2"/>
  <c r="R47" i="2"/>
  <c r="R49" i="2"/>
  <c r="R50" i="2"/>
  <c r="R51" i="2"/>
  <c r="R52" i="2"/>
  <c r="R54" i="2"/>
  <c r="R55" i="2"/>
  <c r="R56" i="2"/>
  <c r="R57" i="2"/>
  <c r="R59" i="2"/>
  <c r="R60" i="2"/>
  <c r="R61" i="2"/>
  <c r="R62" i="2"/>
  <c r="R63" i="2"/>
  <c r="R65" i="2"/>
  <c r="R66" i="2"/>
  <c r="R67" i="2"/>
  <c r="R68" i="2"/>
  <c r="R70" i="2"/>
  <c r="R71" i="2"/>
  <c r="R72" i="2"/>
  <c r="R73" i="2"/>
  <c r="R75" i="2"/>
  <c r="R76" i="2"/>
  <c r="R77" i="2"/>
  <c r="R78" i="2"/>
  <c r="R80" i="2"/>
  <c r="R81" i="2"/>
  <c r="R82" i="2"/>
  <c r="R83" i="2"/>
  <c r="R85" i="2"/>
  <c r="R86" i="2"/>
  <c r="R87" i="2"/>
  <c r="R88" i="2"/>
  <c r="R90" i="2"/>
  <c r="R91" i="2"/>
  <c r="R92" i="2"/>
  <c r="R93" i="2"/>
  <c r="R9" i="2"/>
  <c r="B19" i="2" l="1"/>
  <c r="B15" i="2"/>
  <c r="B16" i="2"/>
  <c r="B17" i="2"/>
  <c r="B20" i="2"/>
  <c r="V11" i="2" l="1"/>
  <c r="V12" i="2"/>
  <c r="V14" i="2"/>
  <c r="V20" i="2"/>
  <c r="V29" i="2"/>
  <c r="V31" i="2"/>
  <c r="V32" i="2"/>
  <c r="V33" i="2"/>
  <c r="V34" i="2"/>
  <c r="V38" i="2"/>
  <c r="V41" i="2"/>
  <c r="V42" i="2"/>
  <c r="V46" i="2"/>
  <c r="V51" i="2"/>
  <c r="V57" i="2"/>
  <c r="V59" i="2"/>
  <c r="V62" i="2"/>
  <c r="V66" i="2"/>
  <c r="V67" i="2"/>
  <c r="V71" i="2"/>
  <c r="V76" i="2"/>
  <c r="V82" i="2"/>
  <c r="V83" i="2"/>
  <c r="V87" i="2"/>
  <c r="V91" i="2"/>
  <c r="V92" i="2"/>
  <c r="T11" i="2" l="1"/>
  <c r="U11" i="2"/>
  <c r="W11" i="2"/>
  <c r="T59" i="2"/>
  <c r="U59" i="2"/>
  <c r="W59" i="2"/>
  <c r="T44" i="2"/>
  <c r="U44" i="2"/>
  <c r="V44" i="2"/>
  <c r="W44" i="2"/>
  <c r="U87" i="2"/>
  <c r="T87" i="2"/>
  <c r="W87" i="2"/>
  <c r="U72" i="2"/>
  <c r="T72" i="2"/>
  <c r="V72" i="2"/>
  <c r="W72" i="2"/>
  <c r="U57" i="2"/>
  <c r="T57" i="2"/>
  <c r="W57" i="2"/>
  <c r="U42" i="2"/>
  <c r="T42" i="2"/>
  <c r="W42" i="2"/>
  <c r="U28" i="2"/>
  <c r="T28" i="2"/>
  <c r="V28" i="2"/>
  <c r="W28" i="2"/>
  <c r="T31" i="2"/>
  <c r="U31" i="2"/>
  <c r="W31" i="2"/>
  <c r="T88" i="2"/>
  <c r="U88" i="2"/>
  <c r="V88" i="2"/>
  <c r="W88" i="2"/>
  <c r="T29" i="2"/>
  <c r="U29" i="2"/>
  <c r="W29" i="2"/>
  <c r="T86" i="2"/>
  <c r="U86" i="2"/>
  <c r="V86" i="2"/>
  <c r="W86" i="2"/>
  <c r="T71" i="2"/>
  <c r="U71" i="2"/>
  <c r="W71" i="2"/>
  <c r="T56" i="2"/>
  <c r="U56" i="2"/>
  <c r="V56" i="2"/>
  <c r="W56" i="2"/>
  <c r="T41" i="2"/>
  <c r="U41" i="2"/>
  <c r="W41" i="2"/>
  <c r="T27" i="2"/>
  <c r="U27" i="2"/>
  <c r="V27" i="2"/>
  <c r="W27" i="2"/>
  <c r="T73" i="2"/>
  <c r="U73" i="2"/>
  <c r="V73" i="2"/>
  <c r="W73" i="2"/>
  <c r="T85" i="2"/>
  <c r="U85" i="2"/>
  <c r="V85" i="2"/>
  <c r="W85" i="2"/>
  <c r="T70" i="2"/>
  <c r="U70" i="2"/>
  <c r="V70" i="2"/>
  <c r="W70" i="2"/>
  <c r="T55" i="2"/>
  <c r="U55" i="2"/>
  <c r="V55" i="2"/>
  <c r="W55" i="2"/>
  <c r="T40" i="2"/>
  <c r="U40" i="2"/>
  <c r="V40" i="2"/>
  <c r="W40" i="2"/>
  <c r="T26" i="2"/>
  <c r="U26" i="2"/>
  <c r="V26" i="2"/>
  <c r="W26" i="2"/>
  <c r="T60" i="2"/>
  <c r="U60" i="2"/>
  <c r="V60" i="2"/>
  <c r="W60" i="2"/>
  <c r="U83" i="2"/>
  <c r="T83" i="2"/>
  <c r="W83" i="2"/>
  <c r="U68" i="2"/>
  <c r="T68" i="2"/>
  <c r="V68" i="2"/>
  <c r="W68" i="2"/>
  <c r="U54" i="2"/>
  <c r="W54" i="2"/>
  <c r="T54" i="2"/>
  <c r="V54" i="2"/>
  <c r="U39" i="2"/>
  <c r="T39" i="2"/>
  <c r="W39" i="2"/>
  <c r="V39" i="2"/>
  <c r="U25" i="2"/>
  <c r="T25" i="2"/>
  <c r="V25" i="2"/>
  <c r="W25" i="2"/>
  <c r="T82" i="2"/>
  <c r="U82" i="2"/>
  <c r="W82" i="2"/>
  <c r="T67" i="2"/>
  <c r="U67" i="2"/>
  <c r="W67" i="2"/>
  <c r="T52" i="2"/>
  <c r="U52" i="2"/>
  <c r="V52" i="2"/>
  <c r="W52" i="2"/>
  <c r="T38" i="2"/>
  <c r="U38" i="2"/>
  <c r="W38" i="2"/>
  <c r="T81" i="2"/>
  <c r="U81" i="2"/>
  <c r="V81" i="2"/>
  <c r="W81" i="2"/>
  <c r="T66" i="2"/>
  <c r="U66" i="2"/>
  <c r="W66" i="2"/>
  <c r="T51" i="2"/>
  <c r="U51" i="2"/>
  <c r="W51" i="2"/>
  <c r="T37" i="2"/>
  <c r="U37" i="2"/>
  <c r="V37" i="2"/>
  <c r="W37" i="2"/>
  <c r="T90" i="2"/>
  <c r="U90" i="2"/>
  <c r="V90" i="2"/>
  <c r="W90" i="2"/>
  <c r="U80" i="2"/>
  <c r="T80" i="2"/>
  <c r="V80" i="2"/>
  <c r="W80" i="2"/>
  <c r="U65" i="2"/>
  <c r="V65" i="2"/>
  <c r="W65" i="2"/>
  <c r="T65" i="2"/>
  <c r="U50" i="2"/>
  <c r="T50" i="2"/>
  <c r="V50" i="2"/>
  <c r="W50" i="2"/>
  <c r="U35" i="2"/>
  <c r="T35" i="2"/>
  <c r="V35" i="2"/>
  <c r="W35" i="2"/>
  <c r="U20" i="2"/>
  <c r="W20" i="2"/>
  <c r="T20" i="2"/>
  <c r="T93" i="2"/>
  <c r="U93" i="2"/>
  <c r="V93" i="2"/>
  <c r="W93" i="2"/>
  <c r="T78" i="2"/>
  <c r="U78" i="2"/>
  <c r="V78" i="2"/>
  <c r="W78" i="2"/>
  <c r="T63" i="2"/>
  <c r="U63" i="2"/>
  <c r="V63" i="2"/>
  <c r="W63" i="2"/>
  <c r="T49" i="2"/>
  <c r="U49" i="2"/>
  <c r="V49" i="2"/>
  <c r="W49" i="2"/>
  <c r="T34" i="2"/>
  <c r="U34" i="2"/>
  <c r="W34" i="2"/>
  <c r="T15" i="2"/>
  <c r="U15" i="2"/>
  <c r="V15" i="2"/>
  <c r="W15" i="2"/>
  <c r="T75" i="2"/>
  <c r="U75" i="2"/>
  <c r="V75" i="2"/>
  <c r="W75" i="2"/>
  <c r="T92" i="2"/>
  <c r="U92" i="2"/>
  <c r="W92" i="2"/>
  <c r="T77" i="2"/>
  <c r="U77" i="2"/>
  <c r="V77" i="2"/>
  <c r="W77" i="2"/>
  <c r="T62" i="2"/>
  <c r="U62" i="2"/>
  <c r="W62" i="2"/>
  <c r="T47" i="2"/>
  <c r="U47" i="2"/>
  <c r="V47" i="2"/>
  <c r="W47" i="2"/>
  <c r="T33" i="2"/>
  <c r="U33" i="2"/>
  <c r="W33" i="2"/>
  <c r="T14" i="2"/>
  <c r="U14" i="2"/>
  <c r="W14" i="2"/>
  <c r="T45" i="2"/>
  <c r="U45" i="2"/>
  <c r="V45" i="2"/>
  <c r="W45" i="2"/>
  <c r="U91" i="2"/>
  <c r="W91" i="2"/>
  <c r="T91" i="2"/>
  <c r="U76" i="2"/>
  <c r="W76" i="2"/>
  <c r="T76" i="2"/>
  <c r="U61" i="2"/>
  <c r="T61" i="2"/>
  <c r="V61" i="2"/>
  <c r="W61" i="2"/>
  <c r="U46" i="2"/>
  <c r="T46" i="2"/>
  <c r="W46" i="2"/>
  <c r="U32" i="2"/>
  <c r="W32" i="2"/>
  <c r="T32" i="2"/>
  <c r="U12" i="2"/>
  <c r="T12" i="2"/>
  <c r="W12" i="2"/>
  <c r="B81" i="2" l="1"/>
  <c r="B80" i="2"/>
  <c r="B78" i="2"/>
  <c r="B77" i="2"/>
  <c r="B76" i="2"/>
  <c r="B56" i="2"/>
  <c r="B55" i="2"/>
  <c r="B54" i="2"/>
  <c r="B52" i="2"/>
  <c r="B51" i="2"/>
  <c r="B14" i="2" l="1"/>
  <c r="B12" i="2"/>
  <c r="B28" i="2" l="1"/>
  <c r="B27" i="2"/>
  <c r="B26" i="2"/>
  <c r="B93" i="2"/>
  <c r="B92" i="2"/>
  <c r="B91" i="2"/>
  <c r="B90" i="2"/>
  <c r="B88" i="2"/>
  <c r="B87" i="2"/>
  <c r="B86" i="2"/>
  <c r="B85" i="2"/>
  <c r="B83" i="2"/>
  <c r="B75" i="2"/>
  <c r="B73" i="2"/>
  <c r="B72" i="2"/>
  <c r="B71" i="2"/>
  <c r="B70" i="2"/>
  <c r="B68" i="2"/>
  <c r="B67" i="2"/>
  <c r="B66" i="2"/>
  <c r="B65" i="2"/>
  <c r="B63" i="2"/>
  <c r="B62" i="2"/>
  <c r="B61" i="2"/>
  <c r="B60" i="2"/>
  <c r="B59" i="2"/>
  <c r="B38" i="2"/>
  <c r="B39" i="2"/>
  <c r="B40" i="2"/>
  <c r="B41" i="2"/>
  <c r="B42" i="2"/>
  <c r="B44" i="2"/>
  <c r="B45" i="2"/>
  <c r="B46" i="2"/>
  <c r="B47" i="2"/>
  <c r="B49" i="2"/>
  <c r="B50" i="2"/>
  <c r="B57" i="2"/>
  <c r="B82" i="2"/>
  <c r="O7" i="2" l="1"/>
  <c r="B33" i="2"/>
  <c r="B32" i="2"/>
  <c r="B31" i="2"/>
  <c r="B29" i="2"/>
  <c r="B25" i="2"/>
  <c r="B34" i="2" l="1"/>
  <c r="B35" i="2"/>
  <c r="B37" i="2"/>
  <c r="B11" i="2" l="1"/>
  <c r="V10" i="2"/>
  <c r="U10" i="2"/>
  <c r="B10" i="2"/>
  <c r="V9" i="2"/>
  <c r="W9" i="2"/>
  <c r="B9" i="2"/>
  <c r="S7" i="2"/>
  <c r="P7" i="2"/>
  <c r="U9" i="2" l="1"/>
  <c r="T9" i="2"/>
  <c r="W10" i="2"/>
  <c r="R7" i="2"/>
  <c r="W7" i="2" s="1"/>
  <c r="T10" i="2"/>
  <c r="V7" i="2" l="1"/>
  <c r="U7" i="2"/>
  <c r="T7" i="2"/>
</calcChain>
</file>

<file path=xl/sharedStrings.xml><?xml version="1.0" encoding="utf-8"?>
<sst xmlns="http://schemas.openxmlformats.org/spreadsheetml/2006/main" count="309" uniqueCount="162">
  <si>
    <t>当初計画完了日</t>
    <rPh sb="0" eb="2">
      <t>トウショ</t>
    </rPh>
    <rPh sb="2" eb="4">
      <t>ケイカク</t>
    </rPh>
    <rPh sb="4" eb="7">
      <t>カンリョウビ</t>
    </rPh>
    <phoneticPr fontId="3"/>
  </si>
  <si>
    <t>記入者</t>
    <rPh sb="0" eb="2">
      <t>キニュウ</t>
    </rPh>
    <rPh sb="2" eb="3">
      <t>シャ</t>
    </rPh>
    <phoneticPr fontId="3"/>
  </si>
  <si>
    <t>記入日</t>
    <rPh sb="0" eb="2">
      <t>キニュウ</t>
    </rPh>
    <rPh sb="2" eb="3">
      <t>ビ</t>
    </rPh>
    <phoneticPr fontId="3"/>
  </si>
  <si>
    <t>予定工数</t>
    <rPh sb="0" eb="2">
      <t>ヨテイ</t>
    </rPh>
    <rPh sb="2" eb="4">
      <t>コウスウ</t>
    </rPh>
    <phoneticPr fontId="3"/>
  </si>
  <si>
    <t>実績工数</t>
    <rPh sb="0" eb="2">
      <t>ジッセキ</t>
    </rPh>
    <rPh sb="2" eb="4">
      <t>コウスウ</t>
    </rPh>
    <phoneticPr fontId="3"/>
  </si>
  <si>
    <t>進捗率</t>
    <rPh sb="0" eb="2">
      <t>シンチョク</t>
    </rPh>
    <rPh sb="2" eb="3">
      <t>リツ</t>
    </rPh>
    <phoneticPr fontId="3"/>
  </si>
  <si>
    <t>までのPV</t>
    <phoneticPr fontId="3"/>
  </si>
  <si>
    <t>作業予定</t>
    <rPh sb="0" eb="2">
      <t>サギョウ</t>
    </rPh>
    <rPh sb="2" eb="4">
      <t>ヨテイ</t>
    </rPh>
    <phoneticPr fontId="3"/>
  </si>
  <si>
    <t>開始日</t>
    <rPh sb="0" eb="2">
      <t>カイシ</t>
    </rPh>
    <rPh sb="2" eb="3">
      <t>ヒ</t>
    </rPh>
    <phoneticPr fontId="3"/>
  </si>
  <si>
    <t>終了日</t>
    <rPh sb="0" eb="2">
      <t>シュウリョウ</t>
    </rPh>
    <rPh sb="2" eb="3">
      <t>ヒ</t>
    </rPh>
    <phoneticPr fontId="3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</si>
  <si>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</si>
  <si>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</si>
  <si>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</si>
  <si>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</si>
  <si>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</si>
  <si>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</si>
  <si>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</si>
  <si>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</si>
  <si>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</si>
  <si>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</si>
  <si>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</si>
  <si>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</si>
  <si>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</si>
  <si>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</si>
  <si>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</si>
  <si>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</si>
  <si>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</si>
  <si>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</si>
  <si>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</si>
  <si>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</si>
  <si>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</si>
  <si>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</si>
  <si>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</si>
  <si>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</si>
  <si>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</si>
  <si>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</si>
  <si>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</si>
  <si>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</si>
  <si>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</si>
  <si>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</si>
  <si>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№</t>
  </si>
  <si>
    <t>項目</t>
    <rPh sb="0" eb="2">
      <t>コウモク</t>
    </rPh>
    <phoneticPr fontId="3"/>
  </si>
  <si>
    <t>担当者</t>
    <rPh sb="0" eb="3">
      <t>タントウシャ</t>
    </rPh>
    <phoneticPr fontId="3"/>
  </si>
  <si>
    <t>(yy/mm/dd)</t>
    <phoneticPr fontId="3"/>
  </si>
  <si>
    <t>Aさん</t>
    <phoneticPr fontId="3"/>
  </si>
  <si>
    <t>実績</t>
    <rPh sb="0" eb="2">
      <t>ジッセキ</t>
    </rPh>
    <phoneticPr fontId="3"/>
  </si>
  <si>
    <t>差異</t>
    <rPh sb="0" eb="2">
      <t>サイ</t>
    </rPh>
    <phoneticPr fontId="3"/>
  </si>
  <si>
    <t>効率</t>
    <rPh sb="0" eb="2">
      <t>コウリツ</t>
    </rPh>
    <phoneticPr fontId="3"/>
  </si>
  <si>
    <t>ステータス</t>
    <phoneticPr fontId="3"/>
  </si>
  <si>
    <t>備考</t>
    <rPh sb="0" eb="2">
      <t>ビコウ</t>
    </rPh>
    <phoneticPr fontId="3"/>
  </si>
  <si>
    <t>フリー</t>
  </si>
  <si>
    <t>タスク名</t>
    <rPh sb="3" eb="4">
      <t>メイ</t>
    </rPh>
    <phoneticPr fontId="3"/>
  </si>
  <si>
    <t>会社</t>
    <rPh sb="0" eb="2">
      <t>カイシャ</t>
    </rPh>
    <phoneticPr fontId="3"/>
  </si>
  <si>
    <t>担当</t>
    <rPh sb="0" eb="2">
      <t>タントウ</t>
    </rPh>
    <phoneticPr fontId="3"/>
  </si>
  <si>
    <t>人日</t>
    <rPh sb="0" eb="2">
      <t>ニンニチ</t>
    </rPh>
    <phoneticPr fontId="3"/>
  </si>
  <si>
    <t>%</t>
  </si>
  <si>
    <t>%</t>
    <phoneticPr fontId="3"/>
  </si>
  <si>
    <t>PJ管理</t>
  </si>
  <si>
    <t>全体管理</t>
  </si>
  <si>
    <t>週次定例会</t>
  </si>
  <si>
    <t>1. 立上げ</t>
  </si>
  <si>
    <t>キックオフ資料作成</t>
  </si>
  <si>
    <t>内部レビューおよび修正</t>
  </si>
  <si>
    <t>キックオフ実施（顧客レビュー）</t>
  </si>
  <si>
    <t>議事録作成・管理表策定</t>
  </si>
  <si>
    <t>関係者調整（架電・日程調整）</t>
  </si>
  <si>
    <t>2. 現状分析</t>
  </si>
  <si>
    <t>既存業務・システム調査</t>
  </si>
  <si>
    <t>ヒアリングシート作成</t>
  </si>
  <si>
    <t>内部レビューおよび修正（シート）</t>
  </si>
  <si>
    <t>ヒアリング実施（1回目：集中開催）</t>
  </si>
  <si>
    <t>ヒアリング議事録・課題整理</t>
  </si>
  <si>
    <t>追加質疑応答（テキストベース）</t>
  </si>
  <si>
    <t>ヒアリング実施（2回目：確認・深掘り）</t>
  </si>
  <si>
    <t>現状業務フロー図作成</t>
  </si>
  <si>
    <t>ヒアリング結果報告書作成</t>
  </si>
  <si>
    <t>現状分析資料一式 内部レビューおよび修正</t>
  </si>
  <si>
    <t>現状分析資料一式 顧客レビュー</t>
  </si>
  <si>
    <t>顧客レビュー後修正</t>
  </si>
  <si>
    <t>プラットフォーム比較・評価レポート作成</t>
  </si>
  <si>
    <t>選定理由書・承認資料作成</t>
  </si>
  <si>
    <t>選定資料一式 内部レビューおよび修正</t>
  </si>
  <si>
    <t>選定意思決定会議（顧客レビュー）</t>
  </si>
  <si>
    <t>顧客レビュー後修正（選定）</t>
  </si>
  <si>
    <t>3. 業務設計</t>
  </si>
  <si>
    <t>新業務フロー図策定</t>
  </si>
  <si>
    <t>新業務フロー 内部レビューおよび修正</t>
  </si>
  <si>
    <t>新業務フロー 顧客レビュー</t>
  </si>
  <si>
    <t>機能要件定義書作成</t>
  </si>
  <si>
    <t>機能要件定義 内部レビューおよび修正</t>
  </si>
  <si>
    <t>機能要件定義セッション（顧客レビュー）</t>
  </si>
  <si>
    <t>画面遷移図・UI/UX設計案作成</t>
  </si>
  <si>
    <t>UI/UX設計 内部レビューおよび修正</t>
  </si>
  <si>
    <t>UI/UX設計 顧客レビュー</t>
  </si>
  <si>
    <t>非機能要件定義書（セキュリティ含む）作成</t>
  </si>
  <si>
    <t>非機能要件 内部レビューおよび修正</t>
  </si>
  <si>
    <t>非機能要件 顧客レビュー</t>
  </si>
  <si>
    <t>4. システム構想</t>
  </si>
  <si>
    <t>全体システム構成図作成</t>
  </si>
  <si>
    <t>全体システム構成 内部レビューおよび修正</t>
  </si>
  <si>
    <t>全体システム構成 顧客レビュー</t>
  </si>
  <si>
    <t>データモデル設計書作成</t>
  </si>
  <si>
    <t>データモデル 内部レビューおよび修正</t>
  </si>
  <si>
    <t>データモデル 顧客レビュー</t>
  </si>
  <si>
    <t>移行・テスト計画書作成</t>
  </si>
  <si>
    <t>移行・テスト計画 内部レビューおよび修正</t>
  </si>
  <si>
    <t>移行・テスト計画 顧客レビュー</t>
  </si>
  <si>
    <t>概算見積書作成</t>
  </si>
  <si>
    <t>計画・見積 内部レビューおよび修正</t>
  </si>
  <si>
    <t>概算見積・計画 顧客レビュー</t>
  </si>
  <si>
    <t>開発実行計画書・WBS詳細化</t>
  </si>
  <si>
    <t>実行計画書 内部レビューおよび修正</t>
  </si>
  <si>
    <t>実行計画書 顧客レビュー</t>
  </si>
  <si>
    <t>最終報告書作成・全体整合</t>
  </si>
  <si>
    <t>最終報告書 内部レビューおよび修正</t>
  </si>
  <si>
    <t>最終報告会（顧客レビュー）</t>
  </si>
  <si>
    <t>最終修正・納品対応</t>
  </si>
  <si>
    <t>CTC</t>
  </si>
  <si>
    <t>伊藤</t>
  </si>
  <si>
    <t>伊藤/鈴木</t>
  </si>
  <si>
    <t>鈴木</t>
  </si>
  <si>
    <t>2026年1月</t>
    <phoneticPr fontId="2"/>
  </si>
  <si>
    <t>2026年2月</t>
    <phoneticPr fontId="2"/>
  </si>
  <si>
    <t>2026年3月</t>
    <phoneticPr fontId="2"/>
  </si>
  <si>
    <t>期間短縮に伴い密度高</t>
  </si>
  <si>
    <t>先行着手</t>
  </si>
  <si>
    <t>現状分析報告と同日開催</t>
  </si>
  <si>
    <t>関係者調節</t>
    <rPh sb="0" eb="5">
      <t>カンケイシャチョウセツ</t>
    </rPh>
    <phoneticPr fontId="2"/>
  </si>
  <si>
    <t>キックオフ</t>
    <phoneticPr fontId="2"/>
  </si>
  <si>
    <t>机上調査</t>
    <rPh sb="0" eb="2">
      <t>キジョウ</t>
    </rPh>
    <rPh sb="2" eb="4">
      <t>チョウサ</t>
    </rPh>
    <phoneticPr fontId="2"/>
  </si>
  <si>
    <t>ヒアリング</t>
    <phoneticPr fontId="2"/>
  </si>
  <si>
    <t>現状可視化</t>
    <rPh sb="0" eb="5">
      <t>ゲンジョウカシカ</t>
    </rPh>
    <phoneticPr fontId="2"/>
  </si>
  <si>
    <t>PF選定</t>
    <rPh sb="2" eb="4">
      <t>センテイ</t>
    </rPh>
    <phoneticPr fontId="2"/>
  </si>
  <si>
    <t>新業務設計</t>
    <rPh sb="0" eb="3">
      <t>シンギョウム</t>
    </rPh>
    <rPh sb="3" eb="5">
      <t>セッケイ</t>
    </rPh>
    <phoneticPr fontId="2"/>
  </si>
  <si>
    <t>機能要件定義</t>
    <phoneticPr fontId="2"/>
  </si>
  <si>
    <t>UI/UX設計</t>
    <rPh sb="5" eb="7">
      <t>セッケイ</t>
    </rPh>
    <phoneticPr fontId="2"/>
  </si>
  <si>
    <t>非機能要件定義</t>
    <phoneticPr fontId="2"/>
  </si>
  <si>
    <t>方式設計</t>
    <rPh sb="0" eb="4">
      <t>ホウシキセッケイ</t>
    </rPh>
    <phoneticPr fontId="2"/>
  </si>
  <si>
    <t>データ設計</t>
    <rPh sb="3" eb="5">
      <t>セッケイ</t>
    </rPh>
    <phoneticPr fontId="2"/>
  </si>
  <si>
    <t>移行・テスト</t>
    <rPh sb="0" eb="2">
      <t>イコウ</t>
    </rPh>
    <phoneticPr fontId="2"/>
  </si>
  <si>
    <t>概算見積</t>
    <rPh sb="0" eb="4">
      <t>ガイサンミツ</t>
    </rPh>
    <phoneticPr fontId="2"/>
  </si>
  <si>
    <t>実行計画</t>
    <rPh sb="0" eb="4">
      <t>ジッコウケイカク</t>
    </rPh>
    <phoneticPr fontId="2"/>
  </si>
  <si>
    <t>最終報告</t>
    <rPh sb="0" eb="4">
      <t>サイシュウホウコク</t>
    </rPh>
    <phoneticPr fontId="2"/>
  </si>
  <si>
    <t>システム構想全体報告と合わせて実施想定</t>
    <phoneticPr fontId="2"/>
  </si>
  <si>
    <t>システム構想全体報告と合わせて実施想定</t>
  </si>
  <si>
    <t>実施都度作成</t>
  </si>
  <si>
    <t>1週間枠で調整</t>
  </si>
  <si>
    <t>2/11祝日考慮</t>
  </si>
  <si>
    <t>現状分析と並行</t>
  </si>
  <si>
    <t>2/23祝日考慮</t>
  </si>
  <si>
    <t>**【期間確保】**品質重視のため3営業日を確保。1/5から社内作業のみ先行着手。</t>
    <phoneticPr fontId="2"/>
  </si>
  <si>
    <t>【期間・工数増】既存資料の精読に加え、不明点の洗い出し期間を8営業日に延長。複雑な現行業務を網羅するため工数も増強。</t>
    <phoneticPr fontId="2"/>
  </si>
  <si>
    <t>ヒアリング全日程終了後、結果を統合して作成。</t>
  </si>
  <si>
    <t>現状分析フェーズのマイルストーン。</t>
  </si>
  <si>
    <t>【スコープ調整】詳細なモックアップ作成は開発フェーズへ移動。本工程では画面遷移図の作成に留めることで工数を削減し、要件定義との整合性を優先する。</t>
  </si>
  <si>
    <t>【スコープ調整】システム全体の骨格定義に集中。通知機能や詳細なKPIダッシュボード等の仕様策定は開発フェーズへ送り、手戻りを防ぐ。</t>
  </si>
  <si>
    <t>3月16日の週に設定。月曜日は準備予備日とし、火曜開催。</t>
  </si>
  <si>
    <t>報告会での指摘事項対応。3/20(祝)前に全納品完了。</t>
  </si>
  <si>
    <t>**【日程調整】**クライアント稼働開始(1/6〜)および連休(1/12)明けの最短日程で設定。</t>
  </si>
  <si>
    <t>キックオフ開始前から骨子・対象者・要件など決められるところから作成を開始する</t>
    <rPh sb="5" eb="8">
      <t>カイシマエ</t>
    </rPh>
    <rPh sb="10" eb="12">
      <t>コッシ</t>
    </rPh>
    <rPh sb="13" eb="16">
      <t>タイショウシャ</t>
    </rPh>
    <rPh sb="17" eb="19">
      <t>ヨウケン</t>
    </rPh>
    <rPh sb="21" eb="22">
      <t>キ</t>
    </rPh>
    <rPh sb="31" eb="33">
      <t>サクセイ</t>
    </rPh>
    <rPh sb="34" eb="36">
      <t>カイシ</t>
    </rPh>
    <phoneticPr fontId="2"/>
  </si>
  <si>
    <t>**【期間拡大】**複数の関係者との日程調整を柔軟に行うため、2週間の実施期間を確保。1回目・2回目の区分けを統合し、期間内で集中的に実施。</t>
    <phoneticPr fontId="2"/>
  </si>
  <si>
    <t>回数調整（8回想定）
月曜理想</t>
    <rPh sb="11" eb="15">
      <t>ゲツヨウリソウ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</si>
</sst>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0.0_ "/>
    <numFmt numFmtId="178" formatCode="0.0;&quot;▲ &quot;0.0"/>
    <numFmt numFmtId="179" formatCode="yy/mm/dd"/>
    <numFmt numFmtId="180" formatCode="aaa"/>
  </numFmts>
  <fonts count="11" x14ac:knownFonts="1"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12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10"/>
      <name val="Yu Gothic UI"/>
      <family val="3"/>
      <charset val="128"/>
    </font>
    <font>
      <b/>
      <i/>
      <sz val="10"/>
      <name val="Yu Gothic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 style="dotted">
        <color auto="1"/>
      </right>
      <top/>
      <bottom style="thin">
        <color auto="1"/>
      </bottom>
      <diagonal/>
    </border>
    <border>
      <left style="dashDot">
        <color auto="1"/>
      </left>
      <right style="dotted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dotted">
        <color auto="1"/>
      </right>
      <top/>
      <bottom style="hair">
        <color auto="1"/>
      </bottom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Dot">
        <color auto="1"/>
      </left>
      <right style="dotted">
        <color auto="1"/>
      </right>
      <top/>
      <bottom style="hair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/>
    <xf numFmtId="38" fontId="4" fillId="0" borderId="0" applyFont="0" applyFill="0" applyBorder="0" applyAlignment="0" applyProtection="0"/>
  </cellStyleXfs>
  <cellXfs count="118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0" fontId="4" fillId="0" borderId="0" xfId="2"/>
    <xf numFmtId="0" fontId="1" fillId="0" borderId="4" xfId="1" applyBorder="1"/>
    <xf numFmtId="0" fontId="6" fillId="0" borderId="6" xfId="1" applyFont="1" applyBorder="1" applyAlignment="1">
      <alignment horizontal="center"/>
    </xf>
    <xf numFmtId="0" fontId="1" fillId="0" borderId="6" xfId="1" applyBorder="1" applyAlignment="1">
      <alignment horizontal="center"/>
    </xf>
    <xf numFmtId="56" fontId="5" fillId="0" borderId="6" xfId="1" applyNumberFormat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177" fontId="1" fillId="0" borderId="21" xfId="3" applyNumberFormat="1" applyFont="1" applyFill="1" applyBorder="1" applyAlignment="1">
      <alignment horizontal="right"/>
    </xf>
    <xf numFmtId="178" fontId="1" fillId="0" borderId="21" xfId="3" applyNumberFormat="1" applyFont="1" applyFill="1" applyBorder="1" applyAlignment="1">
      <alignment horizontal="right"/>
    </xf>
    <xf numFmtId="9" fontId="1" fillId="0" borderId="21" xfId="3" applyNumberFormat="1" applyFont="1" applyFill="1" applyBorder="1" applyAlignment="1">
      <alignment horizontal="right"/>
    </xf>
    <xf numFmtId="177" fontId="1" fillId="0" borderId="16" xfId="3" applyNumberFormat="1" applyFont="1" applyFill="1" applyBorder="1" applyAlignment="1">
      <alignment horizontal="right"/>
    </xf>
    <xf numFmtId="9" fontId="1" fillId="0" borderId="16" xfId="3" applyNumberFormat="1" applyFont="1" applyFill="1" applyBorder="1" applyAlignment="1">
      <alignment horizontal="right"/>
    </xf>
    <xf numFmtId="178" fontId="1" fillId="0" borderId="16" xfId="3" applyNumberFormat="1" applyFont="1" applyFill="1" applyBorder="1" applyAlignment="1">
      <alignment horizontal="right"/>
    </xf>
    <xf numFmtId="0" fontId="4" fillId="0" borderId="14" xfId="2" applyBorder="1"/>
    <xf numFmtId="0" fontId="4" fillId="0" borderId="14" xfId="2" quotePrefix="1" applyBorder="1"/>
    <xf numFmtId="177" fontId="1" fillId="2" borderId="21" xfId="3" applyNumberFormat="1" applyFont="1" applyFill="1" applyBorder="1" applyAlignment="1">
      <alignment horizontal="right"/>
    </xf>
    <xf numFmtId="177" fontId="1" fillId="2" borderId="16" xfId="3" applyNumberFormat="1" applyFont="1" applyFill="1" applyBorder="1" applyAlignment="1">
      <alignment horizontal="right"/>
    </xf>
    <xf numFmtId="0" fontId="4" fillId="0" borderId="30" xfId="2" applyBorder="1"/>
    <xf numFmtId="0" fontId="4" fillId="0" borderId="29" xfId="2" applyBorder="1"/>
    <xf numFmtId="0" fontId="4" fillId="0" borderId="31" xfId="2" quotePrefix="1" applyBorder="1"/>
    <xf numFmtId="0" fontId="4" fillId="0" borderId="32" xfId="2" quotePrefix="1" applyBorder="1"/>
    <xf numFmtId="0" fontId="4" fillId="0" borderId="29" xfId="2" quotePrefix="1" applyBorder="1"/>
    <xf numFmtId="0" fontId="4" fillId="0" borderId="33" xfId="2" quotePrefix="1" applyBorder="1"/>
    <xf numFmtId="180" fontId="4" fillId="0" borderId="32" xfId="2" applyNumberFormat="1" applyBorder="1"/>
    <xf numFmtId="0" fontId="1" fillId="0" borderId="29" xfId="1" applyBorder="1" applyAlignment="1">
      <alignment horizontal="center"/>
    </xf>
    <xf numFmtId="0" fontId="1" fillId="3" borderId="1" xfId="1" applyFill="1" applyBorder="1"/>
    <xf numFmtId="0" fontId="1" fillId="3" borderId="2" xfId="1" applyFill="1" applyBorder="1"/>
    <xf numFmtId="176" fontId="1" fillId="3" borderId="3" xfId="1" applyNumberFormat="1" applyFill="1" applyBorder="1" applyAlignment="1">
      <alignment horizontal="left"/>
    </xf>
    <xf numFmtId="0" fontId="1" fillId="3" borderId="0" xfId="1" applyFill="1"/>
    <xf numFmtId="0" fontId="1" fillId="3" borderId="0" xfId="1" applyFill="1" applyAlignment="1">
      <alignment horizontal="right"/>
    </xf>
    <xf numFmtId="49" fontId="1" fillId="3" borderId="3" xfId="1" applyNumberFormat="1" applyFill="1" applyBorder="1" applyAlignment="1">
      <alignment horizontal="left"/>
    </xf>
    <xf numFmtId="0" fontId="1" fillId="3" borderId="29" xfId="1" applyFill="1" applyBorder="1"/>
    <xf numFmtId="0" fontId="5" fillId="3" borderId="29" xfId="1" applyFont="1" applyFill="1" applyBorder="1" applyAlignment="1">
      <alignment horizontal="center"/>
    </xf>
    <xf numFmtId="0" fontId="6" fillId="3" borderId="29" xfId="1" applyFont="1" applyFill="1" applyBorder="1" applyAlignment="1">
      <alignment horizontal="center"/>
    </xf>
    <xf numFmtId="0" fontId="1" fillId="3" borderId="5" xfId="1" applyFill="1" applyBorder="1"/>
    <xf numFmtId="0" fontId="1" fillId="3" borderId="6" xfId="1" applyFill="1" applyBorder="1"/>
    <xf numFmtId="0" fontId="1" fillId="3" borderId="7" xfId="1" applyFill="1" applyBorder="1"/>
    <xf numFmtId="0" fontId="1" fillId="3" borderId="7" xfId="1" applyFill="1" applyBorder="1" applyAlignment="1">
      <alignment horizontal="center"/>
    </xf>
    <xf numFmtId="0" fontId="1" fillId="3" borderId="8" xfId="1" applyFill="1" applyBorder="1" applyAlignment="1">
      <alignment horizontal="centerContinuous"/>
    </xf>
    <xf numFmtId="0" fontId="1" fillId="3" borderId="9" xfId="1" applyFill="1" applyBorder="1" applyAlignment="1">
      <alignment horizontal="centerContinuous"/>
    </xf>
    <xf numFmtId="0" fontId="5" fillId="3" borderId="8" xfId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11" xfId="1" applyFill="1" applyBorder="1" applyAlignment="1">
      <alignment horizontal="centerContinuous"/>
    </xf>
    <xf numFmtId="0" fontId="1" fillId="3" borderId="13" xfId="1" applyFill="1" applyBorder="1" applyAlignment="1">
      <alignment horizontal="center"/>
    </xf>
    <xf numFmtId="0" fontId="8" fillId="3" borderId="34" xfId="1" applyFont="1" applyFill="1" applyBorder="1" applyAlignment="1">
      <alignment horizontal="left"/>
    </xf>
    <xf numFmtId="0" fontId="8" fillId="3" borderId="17" xfId="1" applyFont="1" applyFill="1" applyBorder="1" applyAlignment="1">
      <alignment horizontal="left"/>
    </xf>
    <xf numFmtId="0" fontId="8" fillId="3" borderId="18" xfId="1" applyFont="1" applyFill="1" applyBorder="1" applyAlignment="1">
      <alignment horizontal="left"/>
    </xf>
    <xf numFmtId="0" fontId="8" fillId="3" borderId="19" xfId="1" applyFont="1" applyFill="1" applyBorder="1" applyAlignment="1">
      <alignment horizontal="left"/>
    </xf>
    <xf numFmtId="177" fontId="1" fillId="3" borderId="20" xfId="1" applyNumberFormat="1" applyFill="1" applyBorder="1" applyAlignment="1">
      <alignment horizontal="right"/>
    </xf>
    <xf numFmtId="177" fontId="1" fillId="3" borderId="21" xfId="3" applyNumberFormat="1" applyFont="1" applyFill="1" applyBorder="1" applyAlignment="1">
      <alignment horizontal="right"/>
    </xf>
    <xf numFmtId="9" fontId="1" fillId="3" borderId="20" xfId="3" applyNumberFormat="1" applyFont="1" applyFill="1" applyBorder="1" applyAlignment="1">
      <alignment horizontal="right"/>
    </xf>
    <xf numFmtId="0" fontId="8" fillId="3" borderId="22" xfId="1" applyFont="1" applyFill="1" applyBorder="1" applyAlignment="1">
      <alignment horizontal="left"/>
    </xf>
    <xf numFmtId="0" fontId="8" fillId="3" borderId="23" xfId="1" applyFont="1" applyFill="1" applyBorder="1" applyAlignment="1">
      <alignment horizontal="left"/>
    </xf>
    <xf numFmtId="177" fontId="1" fillId="3" borderId="24" xfId="1" applyNumberFormat="1" applyFill="1" applyBorder="1" applyAlignment="1">
      <alignment horizontal="right"/>
    </xf>
    <xf numFmtId="177" fontId="1" fillId="3" borderId="16" xfId="3" applyNumberFormat="1" applyFont="1" applyFill="1" applyBorder="1" applyAlignment="1">
      <alignment horizontal="right"/>
    </xf>
    <xf numFmtId="9" fontId="1" fillId="3" borderId="16" xfId="3" applyNumberFormat="1" applyFont="1" applyFill="1" applyBorder="1" applyAlignment="1">
      <alignment horizontal="right"/>
    </xf>
    <xf numFmtId="0" fontId="1" fillId="3" borderId="0" xfId="1" applyFill="1" applyAlignment="1">
      <alignment horizontal="left"/>
    </xf>
    <xf numFmtId="0" fontId="1" fillId="3" borderId="8" xfId="1" applyFill="1" applyBorder="1" applyAlignment="1">
      <alignment horizontal="center"/>
    </xf>
    <xf numFmtId="0" fontId="1" fillId="3" borderId="12" xfId="1" applyFill="1" applyBorder="1" applyAlignment="1">
      <alignment horizontal="center"/>
    </xf>
    <xf numFmtId="0" fontId="1" fillId="3" borderId="4" xfId="1" applyFill="1" applyBorder="1" applyAlignment="1">
      <alignment horizontal="left"/>
    </xf>
    <xf numFmtId="0" fontId="1" fillId="3" borderId="12" xfId="1" applyFill="1" applyBorder="1" applyAlignment="1">
      <alignment horizontal="left"/>
    </xf>
    <xf numFmtId="0" fontId="8" fillId="3" borderId="20" xfId="1" applyFont="1" applyFill="1" applyBorder="1" applyAlignment="1">
      <alignment horizontal="left"/>
    </xf>
    <xf numFmtId="0" fontId="8" fillId="3" borderId="24" xfId="1" applyFont="1" applyFill="1" applyBorder="1" applyAlignment="1">
      <alignment horizontal="left"/>
    </xf>
    <xf numFmtId="0" fontId="1" fillId="3" borderId="29" xfId="1" applyFill="1" applyBorder="1" applyAlignment="1">
      <alignment horizontal="center"/>
    </xf>
    <xf numFmtId="0" fontId="7" fillId="3" borderId="11" xfId="1" applyFont="1" applyFill="1" applyBorder="1" applyAlignment="1">
      <alignment horizontal="center"/>
    </xf>
    <xf numFmtId="177" fontId="1" fillId="3" borderId="4" xfId="1" applyNumberFormat="1" applyFill="1" applyBorder="1" applyAlignment="1">
      <alignment horizontal="center"/>
    </xf>
    <xf numFmtId="177" fontId="1" fillId="3" borderId="12" xfId="1" applyNumberFormat="1" applyFill="1" applyBorder="1" applyAlignment="1">
      <alignment horizontal="center"/>
    </xf>
    <xf numFmtId="179" fontId="1" fillId="3" borderId="21" xfId="3" applyNumberFormat="1" applyFont="1" applyFill="1" applyBorder="1" applyAlignment="1">
      <alignment horizontal="right"/>
    </xf>
    <xf numFmtId="179" fontId="1" fillId="3" borderId="20" xfId="3" applyNumberFormat="1" applyFont="1" applyFill="1" applyBorder="1" applyAlignment="1">
      <alignment horizontal="right"/>
    </xf>
    <xf numFmtId="179" fontId="1" fillId="3" borderId="16" xfId="3" applyNumberFormat="1" applyFont="1" applyFill="1" applyBorder="1" applyAlignment="1">
      <alignment horizontal="right"/>
    </xf>
    <xf numFmtId="179" fontId="1" fillId="3" borderId="24" xfId="3" applyNumberFormat="1" applyFont="1" applyFill="1" applyBorder="1" applyAlignment="1">
      <alignment horizontal="right"/>
    </xf>
    <xf numFmtId="0" fontId="9" fillId="0" borderId="11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11" xfId="1" applyFont="1" applyBorder="1" applyAlignment="1">
      <alignment horizontal="centerContinuous"/>
    </xf>
    <xf numFmtId="0" fontId="9" fillId="0" borderId="4" xfId="1" applyFont="1" applyBorder="1" applyAlignment="1">
      <alignment horizontal="centerContinuous"/>
    </xf>
    <xf numFmtId="0" fontId="9" fillId="0" borderId="12" xfId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177" fontId="9" fillId="0" borderId="12" xfId="1" applyNumberFormat="1" applyFont="1" applyBorder="1" applyAlignment="1">
      <alignment horizontal="center"/>
    </xf>
    <xf numFmtId="177" fontId="9" fillId="0" borderId="11" xfId="1" applyNumberFormat="1" applyFont="1" applyBorder="1" applyAlignment="1">
      <alignment horizontal="center"/>
    </xf>
    <xf numFmtId="0" fontId="9" fillId="0" borderId="12" xfId="1" applyFont="1" applyBorder="1" applyAlignment="1">
      <alignment horizontal="left"/>
    </xf>
    <xf numFmtId="0" fontId="1" fillId="3" borderId="0" xfId="1" applyFill="1" applyAlignment="1">
      <alignment horizontal="centerContinuous"/>
    </xf>
    <xf numFmtId="177" fontId="1" fillId="0" borderId="12" xfId="1" applyNumberFormat="1" applyBorder="1" applyAlignment="1">
      <alignment horizontal="center"/>
    </xf>
    <xf numFmtId="177" fontId="1" fillId="0" borderId="4" xfId="1" applyNumberFormat="1" applyBorder="1" applyAlignment="1">
      <alignment horizontal="center"/>
    </xf>
    <xf numFmtId="0" fontId="4" fillId="0" borderId="0" xfId="2" applyBorder="1"/>
    <xf numFmtId="0" fontId="4" fillId="0" borderId="1" xfId="2" quotePrefix="1" applyBorder="1"/>
    <xf numFmtId="0" fontId="4" fillId="0" borderId="2" xfId="2" applyBorder="1"/>
    <xf numFmtId="0" fontId="4" fillId="0" borderId="28" xfId="2" quotePrefix="1" applyBorder="1"/>
    <xf numFmtId="177" fontId="1" fillId="3" borderId="11" xfId="1" applyNumberFormat="1" applyFill="1" applyBorder="1" applyAlignment="1">
      <alignment horizontal="center"/>
    </xf>
    <xf numFmtId="0" fontId="4" fillId="0" borderId="26" xfId="2" quotePrefix="1" applyBorder="1"/>
    <xf numFmtId="0" fontId="4" fillId="0" borderId="2" xfId="2" quotePrefix="1" applyBorder="1"/>
    <xf numFmtId="0" fontId="4" fillId="0" borderId="28" xfId="2" applyBorder="1"/>
    <xf numFmtId="0" fontId="4" fillId="0" borderId="38" xfId="2" quotePrefix="1" applyBorder="1"/>
    <xf numFmtId="0" fontId="4" fillId="0" borderId="36" xfId="2" applyFill="1" applyBorder="1"/>
    <xf numFmtId="0" fontId="4" fillId="0" borderId="35" xfId="2" applyFill="1" applyBorder="1"/>
    <xf numFmtId="0" fontId="4" fillId="0" borderId="34" xfId="2" applyFill="1" applyBorder="1"/>
    <xf numFmtId="0" fontId="4" fillId="0" borderId="0" xfId="2" applyFill="1"/>
    <xf numFmtId="0" fontId="4" fillId="4" borderId="37" xfId="2" applyFill="1" applyBorder="1"/>
    <xf numFmtId="0" fontId="4" fillId="4" borderId="36" xfId="2" applyFill="1" applyBorder="1"/>
    <xf numFmtId="177" fontId="1" fillId="3" borderId="0" xfId="1" applyNumberFormat="1" applyFill="1" applyBorder="1" applyAlignment="1">
      <alignment horizontal="right"/>
    </xf>
    <xf numFmtId="0" fontId="8" fillId="3" borderId="29" xfId="1" applyFont="1" applyFill="1" applyBorder="1" applyAlignment="1">
      <alignment horizontal="left"/>
    </xf>
    <xf numFmtId="0" fontId="8" fillId="3" borderId="14" xfId="1" applyFont="1" applyFill="1" applyBorder="1" applyAlignment="1">
      <alignment horizontal="left"/>
    </xf>
    <xf numFmtId="0" fontId="9" fillId="0" borderId="11" xfId="1" applyFont="1" applyBorder="1" applyAlignment="1">
      <alignment horizontal="left"/>
    </xf>
    <xf numFmtId="0" fontId="9" fillId="0" borderId="0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8" fillId="3" borderId="25" xfId="1" applyFont="1" applyFill="1" applyBorder="1" applyAlignment="1">
      <alignment horizontal="left"/>
    </xf>
    <xf numFmtId="0" fontId="8" fillId="3" borderId="27" xfId="1" applyFont="1" applyFill="1" applyBorder="1" applyAlignment="1">
      <alignment horizontal="left"/>
    </xf>
    <xf numFmtId="0" fontId="1" fillId="3" borderId="39" xfId="1" applyFill="1" applyBorder="1" applyAlignment="1">
      <alignment horizontal="right" vertical="center"/>
    </xf>
    <xf numFmtId="0" fontId="1" fillId="3" borderId="40" xfId="1" applyFill="1" applyBorder="1" applyAlignment="1">
      <alignment horizontal="right" vertical="center"/>
    </xf>
    <xf numFmtId="0" fontId="8" fillId="3" borderId="41" xfId="1" applyFont="1" applyFill="1" applyBorder="1" applyAlignment="1">
      <alignment horizontal="left"/>
    </xf>
    <xf numFmtId="0" fontId="8" fillId="3" borderId="24" xfId="1" applyFont="1" applyFill="1" applyBorder="1" applyAlignment="1">
      <alignment horizontal="left" wrapText="1"/>
    </xf>
  </cellXfs>
  <cellStyles count="4">
    <cellStyle name="桁区切り 2" xfId="3" xr:uid="{00000000-0005-0000-0000-000000000000}"/>
    <cellStyle name="標準" xfId="0" builtinId="0"/>
    <cellStyle name="標準_サンプル原紙" xfId="2" xr:uid="{00000000-0005-0000-0000-000002000000}"/>
    <cellStyle name="標準_記入例" xfId="1" xr:uid="{00000000-0005-0000-0000-000003000000}"/>
  </cellStyles>
  <dxfs count="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9525</xdr:colOff>
      <xdr:row>85</xdr:row>
      <xdr:rowOff>38100</xdr:rowOff>
    </xdr:from>
    <xdr:to>
      <xdr:col>73</xdr:col>
      <xdr:colOff>0</xdr:colOff>
      <xdr:row>85</xdr:row>
      <xdr:rowOff>120650</xdr:rowOff>
    </xdr:to>
    <xdr:sp macro="" textlink="">
      <xdr:nvSpPr>
        <xdr:cNvPr id="127" name="PlanBar 126">
          <a:extLst>
            <a:ext uri="{FF2B5EF4-FFF2-40B4-BE49-F238E27FC236}">
              <a16:creationId xmlns:a16="http://schemas.microsoft.com/office/drawing/2014/main" id="{A0280744-A133-42DA-ABFE-512F13C7F782}"/>
            </a:ext>
          </a:extLst>
        </xdr:cNvPr>
        <xdr:cNvSpPr txBox="1"/>
      </xdr:nvSpPr>
      <xdr:spPr>
        <a:xfrm>
          <a:off x="20697825" y="14906625"/>
          <a:ext cx="190500" cy="82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agon2\&#27425;&#26399;i-star\85_&#25991;&#26360;&#31649;&#29702;\22_CX&#19968;&#33324;&#25391;&#26367;DVP&#23550;&#24540;\20.&#65420;&#65439;&#65435;&#65404;&#65438;&#65386;&#65400;&#65412;&#35336;&#30011;&#25991;&#26360;\10.&#65420;&#65439;&#65435;&#65404;&#65438;&#65386;&#65400;&#65412;&#35336;&#30011;&#26360;\&#19968;&#33324;&#25391;&#26367;DVP&#65420;&#65439;&#65435;&#65404;&#65438;&#65386;&#65400;&#65412;&#35336;&#30011;&#26360;Ver1.0\&#20778;&#20808;&#38918;&#20301;&#20184;&#123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能一覧 (新規)"/>
      <sheetName val="機能一覧 (修正)"/>
      <sheetName val="参考③CX開発規模"/>
      <sheetName val="Sheet2"/>
      <sheetName val="Sheet3"/>
      <sheetName val="優先順位付け"/>
      <sheetName val="参考②スケジュール"/>
      <sheetName val="設定(setting)"/>
      <sheetName val="リスト"/>
      <sheetName val="マスタ"/>
      <sheetName val="master"/>
    </sheetNames>
    <sheetDataSet>
      <sheetData sheetId="0"/>
      <sheetData sheetId="1"/>
      <sheetData sheetId="2">
        <row r="1">
          <cell r="A1" t="str">
            <v>パス名</v>
          </cell>
          <cell r="B1" t="str">
            <v>種類</v>
          </cell>
          <cell r="C1" t="str">
            <v>ファイル名</v>
          </cell>
          <cell r="D1" t="str">
            <v>機能名称：大分類</v>
          </cell>
          <cell r="E1" t="str">
            <v>機能名称：小分類</v>
          </cell>
          <cell r="F1" t="str">
            <v>処理形態</v>
          </cell>
          <cell r="G1" t="str">
            <v>PG数</v>
          </cell>
          <cell r="H1" t="str">
            <v>画面数</v>
          </cell>
          <cell r="I1" t="str">
            <v>実ステップ数</v>
          </cell>
        </row>
        <row r="2">
          <cell r="A2" t="str">
            <v>cx</v>
          </cell>
          <cell r="B2" t="str">
            <v>src</v>
          </cell>
          <cell r="C2" t="str">
            <v>icx_get_bal_inf.c</v>
          </cell>
          <cell r="D2" t="str">
            <v>共通関数</v>
          </cell>
          <cell r="E2" t="str">
            <v>受渡口残高情報取得</v>
          </cell>
          <cell r="F2" t="str">
            <v>SUB</v>
          </cell>
          <cell r="G2">
            <v>1</v>
          </cell>
          <cell r="H2">
            <v>0</v>
          </cell>
          <cell r="I2">
            <v>115</v>
          </cell>
        </row>
        <row r="3">
          <cell r="A3" t="str">
            <v>cx</v>
          </cell>
          <cell r="B3" t="str">
            <v>src</v>
          </cell>
          <cell r="C3" t="str">
            <v>icx_get_input_type.c</v>
          </cell>
          <cell r="E3" t="str">
            <v>保振入力方法取得</v>
          </cell>
          <cell r="F3" t="str">
            <v>SUB</v>
          </cell>
          <cell r="G3">
            <v>1</v>
          </cell>
          <cell r="H3">
            <v>0</v>
          </cell>
          <cell r="I3">
            <v>83</v>
          </cell>
        </row>
        <row r="4">
          <cell r="A4" t="str">
            <v>cx</v>
          </cell>
          <cell r="B4" t="str">
            <v>src</v>
          </cell>
          <cell r="C4" t="str">
            <v>icx_get_inst_code.c</v>
          </cell>
          <cell r="E4" t="str">
            <v>保振指図コード取得</v>
          </cell>
          <cell r="F4" t="str">
            <v>SUB</v>
          </cell>
          <cell r="G4">
            <v>1</v>
          </cell>
          <cell r="H4">
            <v>0</v>
          </cell>
          <cell r="I4">
            <v>346</v>
          </cell>
        </row>
        <row r="5">
          <cell r="A5" t="str">
            <v>cx</v>
          </cell>
          <cell r="B5" t="str">
            <v>src</v>
          </cell>
          <cell r="C5" t="str">
            <v>icx_get_market_inf.c</v>
          </cell>
          <cell r="E5" t="str">
            <v>取引所情報取得</v>
          </cell>
          <cell r="F5" t="str">
            <v>SUB</v>
          </cell>
          <cell r="G5">
            <v>1</v>
          </cell>
          <cell r="H5">
            <v>0</v>
          </cell>
          <cell r="I5">
            <v>33</v>
          </cell>
        </row>
        <row r="6">
          <cell r="A6" t="str">
            <v>cx</v>
          </cell>
          <cell r="B6" t="str">
            <v>src</v>
          </cell>
          <cell r="C6" t="str">
            <v>icx_ins_bal.c</v>
          </cell>
          <cell r="E6" t="str">
            <v>証券残高作成</v>
          </cell>
          <cell r="F6" t="str">
            <v>SUB</v>
          </cell>
          <cell r="G6">
            <v>1</v>
          </cell>
          <cell r="H6">
            <v>0</v>
          </cell>
          <cell r="I6">
            <v>341</v>
          </cell>
        </row>
        <row r="7">
          <cell r="A7" t="str">
            <v>cx</v>
          </cell>
          <cell r="B7" t="str">
            <v>src</v>
          </cell>
          <cell r="C7" t="str">
            <v>icx_jsd_msg_verify.c</v>
          </cell>
          <cell r="E7" t="str">
            <v>JASSDECメッセージベリファイチェック</v>
          </cell>
          <cell r="F7" t="str">
            <v>SUB</v>
          </cell>
          <cell r="G7">
            <v>1</v>
          </cell>
          <cell r="H7">
            <v>0</v>
          </cell>
          <cell r="I7">
            <v>28</v>
          </cell>
        </row>
        <row r="8">
          <cell r="A8" t="str">
            <v>cx</v>
          </cell>
          <cell r="B8" t="str">
            <v>src</v>
          </cell>
          <cell r="C8" t="str">
            <v>icx_regist_proc_status.c</v>
          </cell>
          <cell r="E8" t="str">
            <v>処理ステータス登録</v>
          </cell>
          <cell r="F8" t="str">
            <v>SUB</v>
          </cell>
          <cell r="G8">
            <v>1</v>
          </cell>
          <cell r="H8">
            <v>0</v>
          </cell>
          <cell r="I8">
            <v>223</v>
          </cell>
        </row>
        <row r="9">
          <cell r="A9" t="str">
            <v>cx</v>
          </cell>
          <cell r="B9" t="str">
            <v>src</v>
          </cell>
          <cell r="C9" t="str">
            <v>icx_release_proc_status.c</v>
          </cell>
          <cell r="E9" t="str">
            <v>処理ステータス解除</v>
          </cell>
          <cell r="F9" t="str">
            <v>SUB</v>
          </cell>
          <cell r="G9">
            <v>1</v>
          </cell>
          <cell r="H9">
            <v>0</v>
          </cell>
          <cell r="I9">
            <v>147</v>
          </cell>
        </row>
        <row r="10">
          <cell r="A10" t="str">
            <v>cx</v>
          </cell>
          <cell r="B10" t="str">
            <v>src</v>
          </cell>
          <cell r="C10" t="str">
            <v>icx_set_inst.c</v>
          </cell>
          <cell r="E10" t="str">
            <v>指図明細編集(共通)</v>
          </cell>
          <cell r="F10" t="str">
            <v>SUB</v>
          </cell>
          <cell r="G10">
            <v>1</v>
          </cell>
          <cell r="H10">
            <v>0</v>
          </cell>
          <cell r="I10">
            <v>529</v>
          </cell>
        </row>
        <row r="11">
          <cell r="A11" t="str">
            <v>cx</v>
          </cell>
          <cell r="B11" t="str">
            <v>src</v>
          </cell>
          <cell r="C11" t="str">
            <v>icx_write_if_log.c</v>
          </cell>
          <cell r="E11" t="str">
            <v>インターフェースログ書き込み</v>
          </cell>
          <cell r="F11" t="str">
            <v>SUB</v>
          </cell>
          <cell r="G11">
            <v>1</v>
          </cell>
          <cell r="H11">
            <v>0</v>
          </cell>
          <cell r="I11">
            <v>165</v>
          </cell>
        </row>
        <row r="12">
          <cell r="A12" t="str">
            <v>cx</v>
          </cell>
          <cell r="B12" t="str">
            <v>src</v>
          </cell>
          <cell r="C12" t="str">
            <v>icx_write_md_proc_no.c</v>
          </cell>
          <cell r="E12" t="str">
            <v>ミドル処理通番書き込み</v>
          </cell>
          <cell r="F12" t="str">
            <v>SUB</v>
          </cell>
          <cell r="G12">
            <v>1</v>
          </cell>
          <cell r="H12">
            <v>0</v>
          </cell>
          <cell r="I12">
            <v>94</v>
          </cell>
        </row>
        <row r="13">
          <cell r="A13" t="str">
            <v>cx</v>
          </cell>
          <cell r="B13" t="str">
            <v>src</v>
          </cell>
          <cell r="C13" t="str">
            <v>icx_write_oper_log.c</v>
          </cell>
          <cell r="E13" t="str">
            <v>稼働状況書き込み</v>
          </cell>
          <cell r="F13" t="str">
            <v>SUB</v>
          </cell>
          <cell r="G13">
            <v>1</v>
          </cell>
          <cell r="H13">
            <v>0</v>
          </cell>
          <cell r="I13">
            <v>179</v>
          </cell>
        </row>
        <row r="14">
          <cell r="A14" t="str">
            <v>cx</v>
          </cell>
          <cell r="B14" t="str">
            <v>src</v>
          </cell>
          <cell r="C14" t="str">
            <v>icx_write_oper_log_2.c</v>
          </cell>
          <cell r="E14" t="str">
            <v>稼動状況書き込み２</v>
          </cell>
          <cell r="F14" t="str">
            <v>SUB</v>
          </cell>
          <cell r="G14">
            <v>1</v>
          </cell>
          <cell r="H14">
            <v>0</v>
          </cell>
          <cell r="I14">
            <v>249</v>
          </cell>
        </row>
        <row r="15">
          <cell r="A15" t="str">
            <v>cx</v>
          </cell>
          <cell r="B15" t="str">
            <v>src</v>
          </cell>
          <cell r="C15" t="str">
            <v>icx_write_proc_log.c</v>
          </cell>
          <cell r="E15" t="str">
            <v>処理ログ書き込み</v>
          </cell>
          <cell r="F15" t="str">
            <v>SUB</v>
          </cell>
          <cell r="G15">
            <v>1</v>
          </cell>
          <cell r="H15">
            <v>0</v>
          </cell>
          <cell r="I15">
            <v>134</v>
          </cell>
        </row>
        <row r="16">
          <cell r="A16" t="str">
            <v>cx</v>
          </cell>
          <cell r="B16" t="str">
            <v>src</v>
          </cell>
          <cell r="C16" t="str">
            <v>ICX11120.c</v>
          </cell>
          <cell r="D16" t="str">
            <v>取引入力</v>
          </cell>
          <cell r="E16" t="str">
            <v>取引入力</v>
          </cell>
          <cell r="F16" t="str">
            <v>WEB</v>
          </cell>
          <cell r="G16">
            <v>1</v>
          </cell>
          <cell r="H16">
            <v>2</v>
          </cell>
          <cell r="I16">
            <v>935</v>
          </cell>
        </row>
        <row r="17">
          <cell r="A17" t="str">
            <v>cx</v>
          </cell>
          <cell r="B17" t="str">
            <v>src</v>
          </cell>
          <cell r="C17" t="str">
            <v>ICX11220.c</v>
          </cell>
          <cell r="D17" t="str">
            <v>取引訂正</v>
          </cell>
          <cell r="E17" t="str">
            <v>取引訂正　一覧表示</v>
          </cell>
          <cell r="F17" t="str">
            <v>WEB</v>
          </cell>
          <cell r="G17">
            <v>3</v>
          </cell>
          <cell r="H17">
            <v>4</v>
          </cell>
          <cell r="I17">
            <v>4364</v>
          </cell>
        </row>
        <row r="18">
          <cell r="A18" t="str">
            <v>cx</v>
          </cell>
          <cell r="B18" t="str">
            <v>src</v>
          </cell>
          <cell r="C18" t="str">
            <v>ICX11230.c</v>
          </cell>
          <cell r="E18" t="str">
            <v>取引訂正　詳細</v>
          </cell>
        </row>
        <row r="19">
          <cell r="A19" t="str">
            <v>cx</v>
          </cell>
          <cell r="B19" t="str">
            <v>src</v>
          </cell>
          <cell r="C19" t="str">
            <v>ICX11240.c</v>
          </cell>
          <cell r="E19" t="str">
            <v>取引訂正　</v>
          </cell>
        </row>
        <row r="20">
          <cell r="A20" t="str">
            <v>cx</v>
          </cell>
          <cell r="B20" t="str">
            <v>src</v>
          </cell>
          <cell r="C20" t="str">
            <v>ICX11320.c</v>
          </cell>
          <cell r="D20" t="str">
            <v>取引取消</v>
          </cell>
          <cell r="E20" t="str">
            <v>取引取消　一覧表示</v>
          </cell>
          <cell r="F20" t="str">
            <v>WEB</v>
          </cell>
          <cell r="G20">
            <v>3</v>
          </cell>
          <cell r="H20">
            <v>4</v>
          </cell>
          <cell r="I20">
            <v>878</v>
          </cell>
        </row>
        <row r="21">
          <cell r="A21" t="str">
            <v>cx</v>
          </cell>
          <cell r="B21" t="str">
            <v>src</v>
          </cell>
          <cell r="C21" t="str">
            <v>ICX11330.c</v>
          </cell>
          <cell r="E21" t="str">
            <v>取引取消　詳細</v>
          </cell>
        </row>
        <row r="22">
          <cell r="A22" t="str">
            <v>cx</v>
          </cell>
          <cell r="B22" t="str">
            <v>src</v>
          </cell>
          <cell r="C22" t="str">
            <v>ICX11340.c</v>
          </cell>
          <cell r="E22" t="str">
            <v>取引取消　</v>
          </cell>
        </row>
        <row r="23">
          <cell r="A23" t="str">
            <v>cx</v>
          </cell>
          <cell r="B23" t="str">
            <v>src</v>
          </cell>
          <cell r="C23" t="str">
            <v>ICX11420.c</v>
          </cell>
          <cell r="D23" t="str">
            <v>取引照会</v>
          </cell>
          <cell r="E23" t="str">
            <v>取引照会　一覧表示</v>
          </cell>
          <cell r="F23" t="str">
            <v>WEB</v>
          </cell>
          <cell r="G23">
            <v>2</v>
          </cell>
          <cell r="H23">
            <v>3</v>
          </cell>
          <cell r="I23">
            <v>1825</v>
          </cell>
        </row>
        <row r="24">
          <cell r="A24" t="str">
            <v>cx</v>
          </cell>
          <cell r="B24" t="str">
            <v>src</v>
          </cell>
          <cell r="C24" t="str">
            <v>ICX11430.c</v>
          </cell>
          <cell r="E24" t="str">
            <v>取引照会　詳細</v>
          </cell>
        </row>
        <row r="25">
          <cell r="A25" t="str">
            <v>cx</v>
          </cell>
          <cell r="B25" t="str">
            <v>src</v>
          </cell>
          <cell r="C25" t="str">
            <v>ICX11510.c</v>
          </cell>
          <cell r="D25" t="str">
            <v>取引入力MQ取込　</v>
          </cell>
          <cell r="E25" t="str">
            <v>取引入力MQ取込　</v>
          </cell>
          <cell r="F25" t="str">
            <v>O/L</v>
          </cell>
          <cell r="G25">
            <v>1</v>
          </cell>
          <cell r="H25">
            <v>0</v>
          </cell>
          <cell r="I25">
            <v>832</v>
          </cell>
        </row>
        <row r="26">
          <cell r="A26" t="str">
            <v>cx</v>
          </cell>
          <cell r="B26" t="str">
            <v>src</v>
          </cell>
          <cell r="C26" t="str">
            <v>ICX11610.c</v>
          </cell>
          <cell r="D26" t="str">
            <v>取引入力MQ取込（SI）</v>
          </cell>
          <cell r="E26" t="str">
            <v>取引入力MQ取込（SI）</v>
          </cell>
          <cell r="F26" t="str">
            <v>O/L</v>
          </cell>
          <cell r="G26">
            <v>1</v>
          </cell>
          <cell r="H26">
            <v>0</v>
          </cell>
          <cell r="I26">
            <v>1752</v>
          </cell>
        </row>
        <row r="27">
          <cell r="A27" t="str">
            <v>cx</v>
          </cell>
          <cell r="B27" t="str">
            <v>src</v>
          </cell>
          <cell r="C27" t="str">
            <v>ICX12010.c</v>
          </cell>
          <cell r="D27" t="str">
            <v>取引明細リスト</v>
          </cell>
          <cell r="E27" t="str">
            <v>取引明細リスト　指示</v>
          </cell>
          <cell r="F27" t="str">
            <v>WEB-PR</v>
          </cell>
          <cell r="G27">
            <v>2</v>
          </cell>
          <cell r="H27">
            <v>1</v>
          </cell>
          <cell r="I27">
            <v>3640</v>
          </cell>
        </row>
        <row r="28">
          <cell r="A28" t="str">
            <v>cx</v>
          </cell>
          <cell r="B28" t="str">
            <v>src</v>
          </cell>
          <cell r="C28" t="str">
            <v>ICX1201P.c</v>
          </cell>
          <cell r="E28" t="str">
            <v>取引明細リスト　プリント</v>
          </cell>
        </row>
        <row r="29">
          <cell r="A29" t="str">
            <v>cx</v>
          </cell>
          <cell r="B29" t="str">
            <v>src</v>
          </cell>
          <cell r="C29" t="str">
            <v>ICX13000_COMM.c</v>
          </cell>
          <cell r="D29" t="str">
            <v>検印入力</v>
          </cell>
          <cell r="E29" t="str">
            <v>検印入力　関数</v>
          </cell>
          <cell r="F29" t="str">
            <v>WEB</v>
          </cell>
          <cell r="G29">
            <v>3</v>
          </cell>
          <cell r="H29">
            <v>3</v>
          </cell>
          <cell r="I29">
            <v>8522</v>
          </cell>
        </row>
        <row r="30">
          <cell r="A30" t="str">
            <v>cx</v>
          </cell>
          <cell r="B30" t="str">
            <v>src</v>
          </cell>
          <cell r="C30" t="str">
            <v>ICX13020.c</v>
          </cell>
          <cell r="E30" t="str">
            <v>検印入力　検索条件入力</v>
          </cell>
        </row>
        <row r="31">
          <cell r="A31" t="str">
            <v>cx</v>
          </cell>
          <cell r="B31" t="str">
            <v>src</v>
          </cell>
          <cell r="C31" t="str">
            <v>ICX13030.c</v>
          </cell>
          <cell r="E31" t="str">
            <v>検印入力　</v>
          </cell>
        </row>
        <row r="32">
          <cell r="A32" t="str">
            <v>cx</v>
          </cell>
          <cell r="B32" t="str">
            <v>src</v>
          </cell>
          <cell r="C32" t="str">
            <v>ICX14120.c</v>
          </cell>
          <cell r="D32" t="str">
            <v>決済情報入力</v>
          </cell>
          <cell r="E32" t="str">
            <v>決済情報入力　一覧表示</v>
          </cell>
          <cell r="F32" t="str">
            <v>WEB</v>
          </cell>
          <cell r="G32">
            <v>4</v>
          </cell>
          <cell r="H32">
            <v>5</v>
          </cell>
          <cell r="I32">
            <v>6923</v>
          </cell>
        </row>
        <row r="33">
          <cell r="A33" t="str">
            <v>cx</v>
          </cell>
          <cell r="B33" t="str">
            <v>src</v>
          </cell>
          <cell r="C33" t="str">
            <v>ICX14130.c</v>
          </cell>
          <cell r="E33" t="str">
            <v>決済情報入力　詳細</v>
          </cell>
        </row>
        <row r="34">
          <cell r="A34" t="str">
            <v>cx</v>
          </cell>
          <cell r="B34" t="str">
            <v>src</v>
          </cell>
          <cell r="C34" t="str">
            <v>ICX14140.c</v>
          </cell>
          <cell r="E34" t="str">
            <v>決済情報入力　変更</v>
          </cell>
        </row>
        <row r="35">
          <cell r="A35" t="str">
            <v>cx</v>
          </cell>
          <cell r="B35" t="str">
            <v>src</v>
          </cell>
          <cell r="C35" t="str">
            <v>ICX14150.c</v>
          </cell>
          <cell r="E35" t="str">
            <v>決済情報入力　登録・取消</v>
          </cell>
        </row>
        <row r="36">
          <cell r="A36" t="str">
            <v>cx</v>
          </cell>
          <cell r="B36" t="str">
            <v>src</v>
          </cell>
          <cell r="C36" t="str">
            <v>ICX14210.c</v>
          </cell>
          <cell r="D36" t="str">
            <v>決済照合結果反映</v>
          </cell>
          <cell r="E36" t="str">
            <v>決済照合結果反映</v>
          </cell>
          <cell r="F36" t="str">
            <v>BAT</v>
          </cell>
          <cell r="G36">
            <v>1</v>
          </cell>
          <cell r="H36">
            <v>0</v>
          </cell>
          <cell r="I36">
            <v>1705</v>
          </cell>
        </row>
        <row r="37">
          <cell r="A37" t="str">
            <v>cx</v>
          </cell>
          <cell r="B37" t="str">
            <v>src</v>
          </cell>
          <cell r="C37" t="str">
            <v>ICX21020.c</v>
          </cell>
          <cell r="D37" t="str">
            <v>指図再作成</v>
          </cell>
          <cell r="E37" t="str">
            <v>指図再作成　MAIN</v>
          </cell>
          <cell r="F37" t="str">
            <v>WEB/BAT</v>
          </cell>
          <cell r="G37">
            <v>14</v>
          </cell>
          <cell r="H37">
            <v>2</v>
          </cell>
          <cell r="I37">
            <v>15661</v>
          </cell>
        </row>
        <row r="38">
          <cell r="A38" t="str">
            <v>cx</v>
          </cell>
          <cell r="B38" t="str">
            <v>src</v>
          </cell>
          <cell r="C38" t="str">
            <v>ICX2102A.c</v>
          </cell>
          <cell r="E38" t="str">
            <v>指図再作成　プロセス管理</v>
          </cell>
        </row>
        <row r="39">
          <cell r="A39" t="str">
            <v>cx</v>
          </cell>
          <cell r="B39" t="str">
            <v>src</v>
          </cell>
          <cell r="C39" t="str">
            <v>ICX21030.c</v>
          </cell>
          <cell r="E39" t="str">
            <v>指図再作成　対象データ抽出処理</v>
          </cell>
        </row>
        <row r="40">
          <cell r="A40" t="str">
            <v>cx</v>
          </cell>
          <cell r="B40" t="str">
            <v>src</v>
          </cell>
          <cell r="C40" t="str">
            <v>ICX21040.c</v>
          </cell>
          <cell r="E40" t="str">
            <v>指図再作成　フェイルデータ抽出処理</v>
          </cell>
        </row>
        <row r="41">
          <cell r="A41" t="str">
            <v>cx</v>
          </cell>
          <cell r="B41" t="str">
            <v>src</v>
          </cell>
          <cell r="C41" t="str">
            <v>ICX21050.c</v>
          </cell>
          <cell r="E41" t="str">
            <v>指図再作成　証券時限後受け処理</v>
          </cell>
        </row>
        <row r="42">
          <cell r="A42" t="str">
            <v>cx</v>
          </cell>
          <cell r="B42" t="str">
            <v>src</v>
          </cell>
          <cell r="C42" t="str">
            <v>ICX21060.c</v>
          </cell>
          <cell r="E42" t="str">
            <v>指図再作成　相殺処理</v>
          </cell>
        </row>
        <row r="43">
          <cell r="A43" t="str">
            <v>cx</v>
          </cell>
          <cell r="B43" t="str">
            <v>src</v>
          </cell>
          <cell r="C43" t="str">
            <v>ICX21070.c</v>
          </cell>
          <cell r="E43" t="str">
            <v>指図再作成　差引処理</v>
          </cell>
        </row>
        <row r="44">
          <cell r="A44" t="str">
            <v>cx</v>
          </cell>
          <cell r="B44" t="str">
            <v>src</v>
          </cell>
          <cell r="C44" t="str">
            <v>ICX21080.c</v>
          </cell>
          <cell r="E44" t="str">
            <v>指図再作成　充当準備処理</v>
          </cell>
        </row>
        <row r="45">
          <cell r="A45" t="str">
            <v>cx</v>
          </cell>
          <cell r="B45" t="str">
            <v>src</v>
          </cell>
          <cell r="C45" t="str">
            <v>ICX21090.c</v>
          </cell>
          <cell r="E45" t="str">
            <v>指図再作成　充当処理</v>
          </cell>
        </row>
        <row r="46">
          <cell r="A46" t="str">
            <v>cx</v>
          </cell>
          <cell r="B46" t="str">
            <v>src</v>
          </cell>
          <cell r="C46" t="str">
            <v>ICX21100.c</v>
          </cell>
          <cell r="E46" t="str">
            <v>指図再作成　レコード番号取得</v>
          </cell>
        </row>
        <row r="47">
          <cell r="A47" t="str">
            <v>cx</v>
          </cell>
          <cell r="B47" t="str">
            <v>src</v>
          </cell>
          <cell r="C47" t="str">
            <v>ICX21110.c</v>
          </cell>
          <cell r="E47" t="str">
            <v>指図再作成　指図明細・証券残高ＤＢ更新</v>
          </cell>
        </row>
        <row r="48">
          <cell r="A48" t="str">
            <v>cx</v>
          </cell>
          <cell r="B48" t="str">
            <v>src</v>
          </cell>
          <cell r="C48" t="str">
            <v>ICX21120.c</v>
          </cell>
          <cell r="E48" t="str">
            <v>指図再作成　フェイル明細ＤＢ更新</v>
          </cell>
        </row>
        <row r="49">
          <cell r="A49" t="str">
            <v>cx</v>
          </cell>
          <cell r="B49" t="str">
            <v>src</v>
          </cell>
          <cell r="C49" t="str">
            <v>ICX21130.c</v>
          </cell>
          <cell r="E49" t="str">
            <v>指図再作成　取引明細ＤＢ更新</v>
          </cell>
        </row>
        <row r="50">
          <cell r="A50" t="str">
            <v>cx</v>
          </cell>
          <cell r="B50" t="str">
            <v>src</v>
          </cell>
          <cell r="C50" t="str">
            <v>ICX21900.c</v>
          </cell>
          <cell r="E50" t="str">
            <v>指図再作成　終了処理</v>
          </cell>
        </row>
        <row r="51">
          <cell r="A51" t="str">
            <v>cx</v>
          </cell>
          <cell r="B51" t="str">
            <v>src</v>
          </cell>
          <cell r="C51" t="str">
            <v>ICX22020.c</v>
          </cell>
          <cell r="D51" t="str">
            <v>保振指図リスト</v>
          </cell>
          <cell r="E51" t="str">
            <v>保振指図リストプリント　出力指示</v>
          </cell>
          <cell r="F51" t="str">
            <v>WEB-PR</v>
          </cell>
          <cell r="G51">
            <v>3</v>
          </cell>
          <cell r="H51">
            <v>2</v>
          </cell>
          <cell r="I51">
            <v>4795</v>
          </cell>
        </row>
        <row r="52">
          <cell r="A52" t="str">
            <v>cx</v>
          </cell>
          <cell r="B52" t="str">
            <v>src</v>
          </cell>
          <cell r="C52" t="str">
            <v>ICX22030.c</v>
          </cell>
          <cell r="E52" t="str">
            <v>保振指図リストプリント　指図振分処理</v>
          </cell>
        </row>
        <row r="53">
          <cell r="A53" t="str">
            <v>cx</v>
          </cell>
          <cell r="B53" t="str">
            <v>src</v>
          </cell>
          <cell r="C53" t="str">
            <v>ICX22040.c</v>
          </cell>
          <cell r="E53" t="str">
            <v>保振指図リストプリント　保振指図リスト</v>
          </cell>
        </row>
        <row r="54">
          <cell r="A54" t="str">
            <v>cx</v>
          </cell>
          <cell r="B54" t="str">
            <v>src</v>
          </cell>
          <cell r="C54" t="str">
            <v>ICX23020.c</v>
          </cell>
          <cell r="D54" t="str">
            <v>指図調整</v>
          </cell>
          <cell r="E54" t="str">
            <v>指図調整　検索条件入力</v>
          </cell>
          <cell r="F54" t="str">
            <v>WEB</v>
          </cell>
          <cell r="G54">
            <v>4</v>
          </cell>
          <cell r="H54">
            <v>5</v>
          </cell>
          <cell r="I54">
            <v>5828</v>
          </cell>
        </row>
        <row r="55">
          <cell r="A55" t="str">
            <v>cx</v>
          </cell>
          <cell r="B55" t="str">
            <v>src</v>
          </cell>
          <cell r="C55" t="str">
            <v>ICX23030.c</v>
          </cell>
          <cell r="E55" t="str">
            <v>指図調整　</v>
          </cell>
        </row>
        <row r="56">
          <cell r="A56" t="str">
            <v>cx</v>
          </cell>
          <cell r="B56" t="str">
            <v>src</v>
          </cell>
          <cell r="C56" t="str">
            <v>ICX23040.c</v>
          </cell>
          <cell r="E56" t="str">
            <v>指図調整　決済順序調整</v>
          </cell>
        </row>
        <row r="57">
          <cell r="A57" t="str">
            <v>cx</v>
          </cell>
          <cell r="B57" t="str">
            <v>src</v>
          </cell>
          <cell r="C57" t="str">
            <v>ICX23050.c</v>
          </cell>
          <cell r="E57" t="str">
            <v>指図調整　決済順序調整確認</v>
          </cell>
        </row>
        <row r="58">
          <cell r="A58" t="str">
            <v>cx</v>
          </cell>
          <cell r="B58" t="str">
            <v>src</v>
          </cell>
          <cell r="C58" t="str">
            <v>ICX24120.c</v>
          </cell>
          <cell r="D58" t="str">
            <v>指図入力　</v>
          </cell>
          <cell r="E58" t="str">
            <v>指図入力　</v>
          </cell>
          <cell r="F58" t="str">
            <v>WEB</v>
          </cell>
          <cell r="G58">
            <v>1</v>
          </cell>
          <cell r="H58">
            <v>2</v>
          </cell>
          <cell r="I58">
            <v>3344</v>
          </cell>
        </row>
        <row r="59">
          <cell r="A59" t="str">
            <v>cx</v>
          </cell>
          <cell r="B59" t="str">
            <v>src</v>
          </cell>
          <cell r="C59" t="str">
            <v>ICX24220.c</v>
          </cell>
          <cell r="D59" t="str">
            <v>指図訂正</v>
          </cell>
          <cell r="E59" t="str">
            <v>指図訂正　指図訂正･取消･照会検索条件入力</v>
          </cell>
          <cell r="F59" t="str">
            <v>WEB</v>
          </cell>
          <cell r="G59">
            <v>3</v>
          </cell>
          <cell r="H59">
            <v>4</v>
          </cell>
          <cell r="I59">
            <v>10430</v>
          </cell>
        </row>
        <row r="60">
          <cell r="A60" t="str">
            <v>cx</v>
          </cell>
          <cell r="B60" t="str">
            <v>src</v>
          </cell>
          <cell r="C60" t="str">
            <v>ICX24230.c</v>
          </cell>
          <cell r="E60" t="str">
            <v>指図訂正　指図訂正･取消･照会一覧表示</v>
          </cell>
        </row>
        <row r="61">
          <cell r="A61" t="str">
            <v>cx</v>
          </cell>
          <cell r="B61" t="str">
            <v>src</v>
          </cell>
          <cell r="C61" t="str">
            <v>ICX24240.c</v>
          </cell>
          <cell r="E61" t="str">
            <v>指図訂正　指図訂正･取消</v>
          </cell>
        </row>
        <row r="62">
          <cell r="A62" t="str">
            <v>cx</v>
          </cell>
          <cell r="B62" t="str">
            <v>src</v>
          </cell>
          <cell r="C62" t="str">
            <v>ICX24320.c</v>
          </cell>
          <cell r="D62" t="str">
            <v>指図取消</v>
          </cell>
          <cell r="E62" t="str">
            <v>指図取消　検索条件入力</v>
          </cell>
          <cell r="F62" t="str">
            <v>WEB</v>
          </cell>
          <cell r="G62">
            <v>3</v>
          </cell>
          <cell r="H62">
            <v>4</v>
          </cell>
          <cell r="I62">
            <v>70</v>
          </cell>
        </row>
        <row r="63">
          <cell r="A63" t="str">
            <v>cx</v>
          </cell>
          <cell r="B63" t="str">
            <v>src</v>
          </cell>
          <cell r="C63" t="str">
            <v>ICX24330.c</v>
          </cell>
          <cell r="E63" t="str">
            <v>指図取消　一覧表示</v>
          </cell>
        </row>
        <row r="64">
          <cell r="A64" t="str">
            <v>cx</v>
          </cell>
          <cell r="B64" t="str">
            <v>src</v>
          </cell>
          <cell r="C64" t="str">
            <v>ICX24340.c</v>
          </cell>
          <cell r="E64" t="str">
            <v>指図取消　</v>
          </cell>
        </row>
        <row r="65">
          <cell r="A65" t="str">
            <v>cx</v>
          </cell>
          <cell r="B65" t="str">
            <v>src</v>
          </cell>
          <cell r="C65" t="str">
            <v>ICX24420.c</v>
          </cell>
          <cell r="D65" t="str">
            <v>指図照会</v>
          </cell>
          <cell r="E65" t="str">
            <v>指図照会　検索条件入力</v>
          </cell>
          <cell r="F65" t="str">
            <v>WEB</v>
          </cell>
          <cell r="G65">
            <v>2</v>
          </cell>
          <cell r="H65">
            <v>3</v>
          </cell>
          <cell r="I65">
            <v>44</v>
          </cell>
        </row>
        <row r="66">
          <cell r="A66" t="str">
            <v>cx</v>
          </cell>
          <cell r="B66" t="str">
            <v>src</v>
          </cell>
          <cell r="C66" t="str">
            <v>ICX24430.c</v>
          </cell>
          <cell r="E66" t="str">
            <v>指図照会　一覧表示</v>
          </cell>
        </row>
        <row r="67">
          <cell r="A67" t="str">
            <v>cx</v>
          </cell>
          <cell r="B67" t="str">
            <v>src</v>
          </cell>
          <cell r="C67" t="str">
            <v>ICX24520.c</v>
          </cell>
          <cell r="D67" t="str">
            <v>調達指図入力</v>
          </cell>
          <cell r="E67" t="str">
            <v>調達指図入力</v>
          </cell>
          <cell r="F67" t="str">
            <v>WEB</v>
          </cell>
          <cell r="G67">
            <v>1</v>
          </cell>
          <cell r="H67">
            <v>2</v>
          </cell>
          <cell r="I67">
            <v>3063</v>
          </cell>
        </row>
        <row r="68">
          <cell r="A68" t="str">
            <v>cx</v>
          </cell>
          <cell r="B68" t="str">
            <v>src</v>
          </cell>
          <cell r="C68" t="str">
            <v>ICX25020.c</v>
          </cell>
          <cell r="D68" t="str">
            <v>指図確定　</v>
          </cell>
          <cell r="E68" t="str">
            <v>指図確定　画面起動</v>
          </cell>
          <cell r="F68" t="str">
            <v>WEB</v>
          </cell>
          <cell r="G68">
            <v>2</v>
          </cell>
          <cell r="H68">
            <v>1</v>
          </cell>
          <cell r="I68">
            <v>2779</v>
          </cell>
        </row>
        <row r="69">
          <cell r="A69" t="str">
            <v>cx</v>
          </cell>
          <cell r="B69" t="str">
            <v>src</v>
          </cell>
          <cell r="C69" t="str">
            <v>ICX250B0.c</v>
          </cell>
          <cell r="E69" t="str">
            <v>指図確定　</v>
          </cell>
        </row>
        <row r="70">
          <cell r="A70" t="str">
            <v>cx</v>
          </cell>
          <cell r="B70" t="str">
            <v>src</v>
          </cell>
          <cell r="C70" t="str">
            <v>ICX31110.c</v>
          </cell>
          <cell r="D70" t="str">
            <v>前日請求作成</v>
          </cell>
          <cell r="E70" t="str">
            <v>前日請求作成　前日請求送信</v>
          </cell>
          <cell r="F70" t="str">
            <v>BAT</v>
          </cell>
          <cell r="G70">
            <v>3</v>
          </cell>
          <cell r="H70">
            <v>0</v>
          </cell>
          <cell r="I70">
            <v>3662</v>
          </cell>
        </row>
        <row r="71">
          <cell r="A71" t="str">
            <v>cx</v>
          </cell>
          <cell r="B71" t="str">
            <v>src</v>
          </cell>
          <cell r="C71" t="str">
            <v>ICX31120.c</v>
          </cell>
          <cell r="E71" t="str">
            <v>前日請求作成　前日請求作成（ファイル作成）</v>
          </cell>
        </row>
        <row r="72">
          <cell r="A72" t="str">
            <v>cx</v>
          </cell>
          <cell r="B72" t="str">
            <v>src</v>
          </cell>
          <cell r="C72" t="str">
            <v>ICX31130.c</v>
          </cell>
          <cell r="E72" t="str">
            <v>前日請求作成　前日ステータス更新</v>
          </cell>
        </row>
        <row r="73">
          <cell r="A73" t="str">
            <v>cx</v>
          </cell>
          <cell r="B73" t="str">
            <v>src</v>
          </cell>
          <cell r="C73" t="str">
            <v>ICX31210.c</v>
          </cell>
          <cell r="D73" t="str">
            <v>前日請求結果取込</v>
          </cell>
          <cell r="E73" t="str">
            <v>前日請求結果取込　前日受信ファイル取り込み</v>
          </cell>
          <cell r="F73" t="str">
            <v>BAT</v>
          </cell>
          <cell r="G73">
            <v>8</v>
          </cell>
          <cell r="H73">
            <v>0</v>
          </cell>
          <cell r="I73">
            <v>8835</v>
          </cell>
        </row>
        <row r="74">
          <cell r="A74" t="str">
            <v>cx</v>
          </cell>
          <cell r="B74" t="str">
            <v>src</v>
          </cell>
          <cell r="C74" t="str">
            <v>ICX31211.c</v>
          </cell>
          <cell r="E74" t="str">
            <v>前日請求結果取込　前日受信ファイル取り込み</v>
          </cell>
        </row>
        <row r="75">
          <cell r="A75" t="str">
            <v>cx</v>
          </cell>
          <cell r="B75" t="str">
            <v>src</v>
          </cell>
          <cell r="C75" t="str">
            <v>ICX31220.c</v>
          </cell>
          <cell r="E75" t="str">
            <v>前日請求結果取込　前日請求受信</v>
          </cell>
        </row>
        <row r="76">
          <cell r="A76" t="str">
            <v>cx</v>
          </cell>
          <cell r="B76" t="str">
            <v>src</v>
          </cell>
          <cell r="C76" t="str">
            <v>ICX31221.c</v>
          </cell>
          <cell r="E76" t="str">
            <v>前日請求結果取込　前日請求受信</v>
          </cell>
        </row>
        <row r="77">
          <cell r="A77" t="str">
            <v>cx</v>
          </cell>
          <cell r="B77" t="str">
            <v>src</v>
          </cell>
          <cell r="C77" t="str">
            <v>ICX31230.c</v>
          </cell>
          <cell r="E77" t="str">
            <v>前日請求結果取込　自動マッチング</v>
          </cell>
        </row>
        <row r="78">
          <cell r="A78" t="str">
            <v>cx</v>
          </cell>
          <cell r="B78" t="str">
            <v>src</v>
          </cell>
          <cell r="C78" t="str">
            <v>ICX31231.c</v>
          </cell>
          <cell r="E78" t="str">
            <v>前日請求結果取込　自動マッチング</v>
          </cell>
        </row>
        <row r="79">
          <cell r="A79" t="str">
            <v>cx</v>
          </cell>
          <cell r="B79" t="str">
            <v>src</v>
          </cell>
          <cell r="C79" t="str">
            <v>ICX31232.c</v>
          </cell>
          <cell r="E79" t="str">
            <v>前日請求結果取込　自動マッチング</v>
          </cell>
        </row>
        <row r="80">
          <cell r="A80" t="str">
            <v>cx</v>
          </cell>
          <cell r="B80" t="str">
            <v>src</v>
          </cell>
          <cell r="C80" t="str">
            <v>ICX31233.c</v>
          </cell>
          <cell r="E80" t="str">
            <v>前日請求結果取込　自動マッチング</v>
          </cell>
        </row>
        <row r="81">
          <cell r="A81" t="str">
            <v>cx</v>
          </cell>
          <cell r="B81" t="str">
            <v>src</v>
          </cell>
          <cell r="C81" t="str">
            <v>ICX31310.c</v>
          </cell>
          <cell r="D81" t="str">
            <v>当日請求送信</v>
          </cell>
          <cell r="E81" t="str">
            <v>当日請求送信　</v>
          </cell>
          <cell r="F81" t="str">
            <v>O/L</v>
          </cell>
          <cell r="G81">
            <v>3</v>
          </cell>
          <cell r="H81">
            <v>0</v>
          </cell>
          <cell r="I81">
            <v>3183</v>
          </cell>
        </row>
        <row r="82">
          <cell r="A82" t="str">
            <v>cx</v>
          </cell>
          <cell r="B82" t="str">
            <v>src</v>
          </cell>
          <cell r="C82" t="str">
            <v>ICX31320.c</v>
          </cell>
          <cell r="E82" t="str">
            <v>当日請求送信　当日請求集約</v>
          </cell>
        </row>
        <row r="83">
          <cell r="A83" t="str">
            <v>cx</v>
          </cell>
          <cell r="B83" t="str">
            <v>src</v>
          </cell>
          <cell r="C83" t="str">
            <v>ICX31321.c</v>
          </cell>
          <cell r="E83" t="str">
            <v>当日請求送信　当日請求集約</v>
          </cell>
        </row>
        <row r="84">
          <cell r="A84" t="str">
            <v>cx</v>
          </cell>
          <cell r="B84" t="str">
            <v>src</v>
          </cell>
          <cell r="C84" t="str">
            <v>ICX31410.c</v>
          </cell>
          <cell r="D84" t="str">
            <v>当日請求結果受信</v>
          </cell>
          <cell r="E84" t="str">
            <v>当日請求結果受信　当日電文取込</v>
          </cell>
          <cell r="F84" t="str">
            <v>O/L</v>
          </cell>
          <cell r="G84">
            <v>4</v>
          </cell>
          <cell r="H84">
            <v>0</v>
          </cell>
          <cell r="I84">
            <v>2848</v>
          </cell>
        </row>
        <row r="85">
          <cell r="A85" t="str">
            <v>cx</v>
          </cell>
          <cell r="B85" t="str">
            <v>src</v>
          </cell>
          <cell r="C85" t="str">
            <v>ICX31411.c</v>
          </cell>
          <cell r="E85" t="str">
            <v>当日請求結果受信　当日電文取込</v>
          </cell>
        </row>
        <row r="86">
          <cell r="A86" t="str">
            <v>cx</v>
          </cell>
          <cell r="B86" t="str">
            <v>src</v>
          </cell>
          <cell r="C86" t="str">
            <v>ICX31420.c</v>
          </cell>
          <cell r="E86" t="str">
            <v>当日請求結果受信　当日請求受信</v>
          </cell>
        </row>
        <row r="87">
          <cell r="A87" t="str">
            <v>cx</v>
          </cell>
          <cell r="B87" t="str">
            <v>src</v>
          </cell>
          <cell r="C87" t="str">
            <v>ICX31421.c</v>
          </cell>
          <cell r="E87" t="str">
            <v>当日請求結果受信　当日請求受信</v>
          </cell>
        </row>
        <row r="88">
          <cell r="A88" t="str">
            <v>cx</v>
          </cell>
          <cell r="B88" t="str">
            <v>src</v>
          </cell>
          <cell r="C88" t="str">
            <v>ICX31510.c</v>
          </cell>
          <cell r="D88" t="str">
            <v>前日請求不可時特別処理</v>
          </cell>
          <cell r="E88" t="str">
            <v>場渡強制一時停止ファイル作成</v>
          </cell>
          <cell r="F88" t="str">
            <v>BAT</v>
          </cell>
          <cell r="G88">
            <v>3</v>
          </cell>
          <cell r="H88">
            <v>0</v>
          </cell>
          <cell r="I88">
            <v>1496</v>
          </cell>
        </row>
        <row r="89">
          <cell r="A89" t="str">
            <v>cx</v>
          </cell>
          <cell r="B89" t="str">
            <v>src</v>
          </cell>
          <cell r="C89" t="str">
            <v>ICX31520.c</v>
          </cell>
          <cell r="E89" t="str">
            <v>指図ステータス強制移動</v>
          </cell>
        </row>
        <row r="90">
          <cell r="A90" t="str">
            <v>cx</v>
          </cell>
          <cell r="B90" t="str">
            <v>src</v>
          </cell>
          <cell r="C90" t="str">
            <v>ICX31530.c</v>
          </cell>
          <cell r="E90" t="str">
            <v>強制確定</v>
          </cell>
        </row>
        <row r="91">
          <cell r="A91" t="str">
            <v>cx</v>
          </cell>
          <cell r="B91" t="str">
            <v>src</v>
          </cell>
          <cell r="C91" t="str">
            <v>ICX33010.c</v>
          </cell>
          <cell r="D91" t="str">
            <v>送受信起動・停止　</v>
          </cell>
          <cell r="E91" t="str">
            <v>送受信起動・停止　</v>
          </cell>
          <cell r="F91" t="str">
            <v>WEB</v>
          </cell>
          <cell r="G91">
            <v>1</v>
          </cell>
          <cell r="H91">
            <v>1</v>
          </cell>
          <cell r="I91">
            <v>720</v>
          </cell>
        </row>
        <row r="92">
          <cell r="A92" t="str">
            <v>cx</v>
          </cell>
          <cell r="B92" t="str">
            <v>src</v>
          </cell>
          <cell r="C92" t="str">
            <v>ICX41020.c</v>
          </cell>
          <cell r="D92" t="str">
            <v>決済状況照会</v>
          </cell>
          <cell r="E92" t="str">
            <v>決済状況照会　検索条件入力</v>
          </cell>
          <cell r="F92" t="str">
            <v>WEB</v>
          </cell>
          <cell r="G92">
            <v>2</v>
          </cell>
          <cell r="H92">
            <v>3</v>
          </cell>
          <cell r="I92">
            <v>3837</v>
          </cell>
        </row>
        <row r="93">
          <cell r="A93" t="str">
            <v>cx</v>
          </cell>
          <cell r="B93" t="str">
            <v>src</v>
          </cell>
          <cell r="C93" t="str">
            <v>ICX41030.c</v>
          </cell>
          <cell r="E93" t="str">
            <v>決済状況照会　指図ステータス照会</v>
          </cell>
        </row>
        <row r="94">
          <cell r="A94" t="str">
            <v>cx</v>
          </cell>
          <cell r="B94" t="str">
            <v>src</v>
          </cell>
          <cell r="C94" t="str">
            <v>ICX41120.c</v>
          </cell>
          <cell r="D94" t="str">
            <v>残高口決済状況照会</v>
          </cell>
          <cell r="E94" t="str">
            <v>残高口決済状況照会　検索条件入力</v>
          </cell>
          <cell r="F94" t="str">
            <v>WEB</v>
          </cell>
          <cell r="G94">
            <v>2</v>
          </cell>
          <cell r="H94">
            <v>3</v>
          </cell>
          <cell r="I94">
            <v>3786</v>
          </cell>
        </row>
        <row r="95">
          <cell r="A95" t="str">
            <v>cx</v>
          </cell>
          <cell r="B95" t="str">
            <v>src</v>
          </cell>
          <cell r="C95" t="str">
            <v>ICX41130.c</v>
          </cell>
          <cell r="E95" t="str">
            <v>残高口決済状況照会　指図ステータス照会</v>
          </cell>
        </row>
        <row r="96">
          <cell r="A96" t="str">
            <v>cx</v>
          </cell>
          <cell r="B96" t="str">
            <v>src</v>
          </cell>
          <cell r="C96" t="str">
            <v>ICX42120.c</v>
          </cell>
          <cell r="D96" t="str">
            <v>マッチング処理</v>
          </cell>
          <cell r="E96" t="str">
            <v>マッチング処理　マッチング検索条件入力</v>
          </cell>
          <cell r="F96" t="str">
            <v>WEB</v>
          </cell>
          <cell r="G96">
            <v>4</v>
          </cell>
          <cell r="H96">
            <v>5</v>
          </cell>
          <cell r="I96">
            <v>5259</v>
          </cell>
        </row>
        <row r="97">
          <cell r="A97" t="str">
            <v>cx</v>
          </cell>
          <cell r="B97" t="str">
            <v>src</v>
          </cell>
          <cell r="C97" t="str">
            <v>ICX42130.c</v>
          </cell>
          <cell r="E97" t="str">
            <v>マッチング処理　マッチング一覧表示</v>
          </cell>
        </row>
        <row r="98">
          <cell r="A98" t="str">
            <v>cx</v>
          </cell>
          <cell r="B98" t="str">
            <v>src</v>
          </cell>
          <cell r="C98" t="str">
            <v>ICX42140.c</v>
          </cell>
          <cell r="E98" t="str">
            <v>マッチング処理　マッチング</v>
          </cell>
        </row>
        <row r="99">
          <cell r="A99" t="str">
            <v>cx</v>
          </cell>
          <cell r="B99" t="str">
            <v>src</v>
          </cell>
          <cell r="C99" t="str">
            <v>ICX42150.c</v>
          </cell>
          <cell r="E99" t="str">
            <v>マッチング処理　マッチング登録確認</v>
          </cell>
        </row>
        <row r="100">
          <cell r="A100" t="str">
            <v>cx</v>
          </cell>
          <cell r="B100" t="str">
            <v>src</v>
          </cell>
          <cell r="C100" t="str">
            <v>ICX42220.c</v>
          </cell>
          <cell r="D100" t="str">
            <v>マッチング解除</v>
          </cell>
          <cell r="E100" t="str">
            <v>マッチング解除　検索条件入力</v>
          </cell>
          <cell r="F100" t="str">
            <v>WEB</v>
          </cell>
          <cell r="G100">
            <v>2</v>
          </cell>
          <cell r="H100">
            <v>3</v>
          </cell>
          <cell r="I100">
            <v>3963</v>
          </cell>
        </row>
        <row r="101">
          <cell r="A101" t="str">
            <v>cx</v>
          </cell>
          <cell r="B101" t="str">
            <v>src</v>
          </cell>
          <cell r="C101" t="str">
            <v>ICX42230.c</v>
          </cell>
          <cell r="E101" t="str">
            <v>マッチング解除　</v>
          </cell>
        </row>
        <row r="102">
          <cell r="A102" t="str">
            <v>cx</v>
          </cell>
          <cell r="B102" t="str">
            <v>src</v>
          </cell>
          <cell r="C102" t="str">
            <v>ICX42320.c</v>
          </cell>
          <cell r="D102" t="str">
            <v>再自動マッチング指示</v>
          </cell>
          <cell r="E102" t="str">
            <v>再自動マッチング指示</v>
          </cell>
          <cell r="F102" t="str">
            <v>WEB</v>
          </cell>
          <cell r="G102">
            <v>1</v>
          </cell>
          <cell r="H102">
            <v>2</v>
          </cell>
          <cell r="I102">
            <v>1086</v>
          </cell>
        </row>
        <row r="103">
          <cell r="A103" t="str">
            <v>cx</v>
          </cell>
          <cell r="B103" t="str">
            <v>src</v>
          </cell>
          <cell r="C103" t="str">
            <v>ICX43120.c</v>
          </cell>
          <cell r="D103" t="str">
            <v>フェイル指示</v>
          </cell>
          <cell r="E103" t="str">
            <v>フェイル指示　検索条件入力</v>
          </cell>
          <cell r="F103" t="str">
            <v>WEB</v>
          </cell>
          <cell r="G103">
            <v>2</v>
          </cell>
          <cell r="H103">
            <v>3</v>
          </cell>
          <cell r="I103">
            <v>6273</v>
          </cell>
        </row>
        <row r="104">
          <cell r="A104" t="str">
            <v>cx</v>
          </cell>
          <cell r="B104" t="str">
            <v>src</v>
          </cell>
          <cell r="C104" t="str">
            <v>ICX43130.c</v>
          </cell>
          <cell r="E104" t="str">
            <v>フェイル指示　</v>
          </cell>
        </row>
        <row r="105">
          <cell r="A105" t="str">
            <v>cx</v>
          </cell>
          <cell r="B105" t="str">
            <v>src</v>
          </cell>
          <cell r="C105" t="str">
            <v>ICX43220.c</v>
          </cell>
          <cell r="D105" t="str">
            <v>フェイル解消送信　</v>
          </cell>
          <cell r="E105" t="str">
            <v>フェイル解消送信　</v>
          </cell>
          <cell r="F105" t="str">
            <v>WEB</v>
          </cell>
          <cell r="G105">
            <v>1</v>
          </cell>
          <cell r="H105">
            <v>2</v>
          </cell>
          <cell r="I105">
            <v>973</v>
          </cell>
        </row>
        <row r="106">
          <cell r="A106" t="str">
            <v>cx</v>
          </cell>
          <cell r="B106" t="str">
            <v>src</v>
          </cell>
          <cell r="C106" t="str">
            <v>ICX51120.c</v>
          </cell>
          <cell r="D106" t="str">
            <v>残高照会　</v>
          </cell>
          <cell r="E106" t="str">
            <v>残高照会　</v>
          </cell>
          <cell r="F106" t="str">
            <v>WEB</v>
          </cell>
          <cell r="G106">
            <v>1</v>
          </cell>
          <cell r="H106">
            <v>2</v>
          </cell>
          <cell r="I106">
            <v>2346</v>
          </cell>
        </row>
        <row r="107">
          <cell r="A107" t="str">
            <v>cx</v>
          </cell>
          <cell r="B107" t="str">
            <v>src</v>
          </cell>
          <cell r="C107" t="str">
            <v>ICX51320.c</v>
          </cell>
          <cell r="D107" t="str">
            <v>残高予定照会　</v>
          </cell>
          <cell r="E107" t="str">
            <v>残高予定照会　</v>
          </cell>
          <cell r="F107" t="str">
            <v>WEB</v>
          </cell>
          <cell r="G107">
            <v>1</v>
          </cell>
          <cell r="H107">
            <v>2</v>
          </cell>
          <cell r="I107">
            <v>2492</v>
          </cell>
        </row>
        <row r="108">
          <cell r="A108" t="str">
            <v>cx</v>
          </cell>
          <cell r="B108" t="str">
            <v>src</v>
          </cell>
          <cell r="C108" t="str">
            <v>ICX52110.c</v>
          </cell>
          <cell r="D108" t="str">
            <v>残高照合　</v>
          </cell>
          <cell r="E108" t="str">
            <v>残高照合　</v>
          </cell>
          <cell r="F108" t="str">
            <v>BAT</v>
          </cell>
          <cell r="G108">
            <v>1</v>
          </cell>
          <cell r="H108">
            <v>0</v>
          </cell>
          <cell r="I108">
            <v>1185</v>
          </cell>
        </row>
        <row r="109">
          <cell r="A109" t="str">
            <v>cx</v>
          </cell>
          <cell r="B109" t="str">
            <v>src</v>
          </cell>
          <cell r="C109" t="str">
            <v>ICX52220.c</v>
          </cell>
          <cell r="D109" t="str">
            <v>残高結果照会</v>
          </cell>
          <cell r="E109" t="str">
            <v>残高結果照会　開始残高照合照会</v>
          </cell>
          <cell r="F109" t="str">
            <v>WEB</v>
          </cell>
          <cell r="G109">
            <v>2</v>
          </cell>
          <cell r="H109">
            <v>3</v>
          </cell>
          <cell r="I109">
            <v>2884</v>
          </cell>
        </row>
        <row r="110">
          <cell r="A110" t="str">
            <v>cx</v>
          </cell>
          <cell r="B110" t="str">
            <v>src</v>
          </cell>
          <cell r="C110" t="str">
            <v>ICX52230.c</v>
          </cell>
          <cell r="E110" t="str">
            <v>残高結果照会　終了残高照合照会</v>
          </cell>
        </row>
        <row r="111">
          <cell r="A111" t="str">
            <v>cx</v>
          </cell>
          <cell r="B111" t="str">
            <v>src</v>
          </cell>
          <cell r="C111" t="str">
            <v>ICX52310.c</v>
          </cell>
          <cell r="D111" t="str">
            <v>再照合　</v>
          </cell>
          <cell r="E111" t="str">
            <v>再照合　</v>
          </cell>
          <cell r="F111" t="str">
            <v>O/L</v>
          </cell>
          <cell r="G111">
            <v>1</v>
          </cell>
          <cell r="H111">
            <v>0</v>
          </cell>
          <cell r="I111">
            <v>1473</v>
          </cell>
        </row>
        <row r="112">
          <cell r="A112" t="str">
            <v>cx</v>
          </cell>
          <cell r="B112" t="str">
            <v>src</v>
          </cell>
          <cell r="C112" t="str">
            <v>ICX53120.c</v>
          </cell>
          <cell r="D112" t="str">
            <v>残高修正入力　</v>
          </cell>
          <cell r="E112" t="str">
            <v>残高修正入力　</v>
          </cell>
          <cell r="F112" t="str">
            <v>WEB</v>
          </cell>
          <cell r="G112">
            <v>1</v>
          </cell>
          <cell r="H112">
            <v>2</v>
          </cell>
          <cell r="I112">
            <v>2386</v>
          </cell>
        </row>
        <row r="113">
          <cell r="A113" t="str">
            <v>cx</v>
          </cell>
          <cell r="B113" t="str">
            <v>src</v>
          </cell>
          <cell r="C113" t="str">
            <v>ICX53220.c</v>
          </cell>
          <cell r="D113" t="str">
            <v>残高修正取消</v>
          </cell>
          <cell r="E113" t="str">
            <v>残高修正取消　検索条件入力</v>
          </cell>
          <cell r="F113" t="str">
            <v>WEB</v>
          </cell>
          <cell r="G113">
            <v>3</v>
          </cell>
          <cell r="H113">
            <v>4</v>
          </cell>
          <cell r="I113">
            <v>3958</v>
          </cell>
        </row>
        <row r="114">
          <cell r="A114" t="str">
            <v>cx</v>
          </cell>
          <cell r="B114" t="str">
            <v>src</v>
          </cell>
          <cell r="C114" t="str">
            <v>ICX53230.c</v>
          </cell>
          <cell r="E114" t="str">
            <v>残高修正取消　一覧表示</v>
          </cell>
        </row>
        <row r="115">
          <cell r="A115" t="str">
            <v>cx</v>
          </cell>
          <cell r="B115" t="str">
            <v>src</v>
          </cell>
          <cell r="C115" t="str">
            <v>ICX53240.c</v>
          </cell>
          <cell r="E115" t="str">
            <v>残高修正取消　</v>
          </cell>
        </row>
        <row r="116">
          <cell r="A116" t="str">
            <v>cx</v>
          </cell>
          <cell r="B116" t="str">
            <v>src</v>
          </cell>
          <cell r="C116" t="str">
            <v>ICX53320.c</v>
          </cell>
          <cell r="D116" t="str">
            <v>残高修正入力確認リスト</v>
          </cell>
          <cell r="E116" t="str">
            <v>残高修正入力確認リスト　指示</v>
          </cell>
          <cell r="F116" t="str">
            <v>WEB-PR</v>
          </cell>
          <cell r="G116">
            <v>2</v>
          </cell>
          <cell r="H116">
            <v>2</v>
          </cell>
          <cell r="I116">
            <v>2126</v>
          </cell>
        </row>
        <row r="117">
          <cell r="A117" t="str">
            <v>cx</v>
          </cell>
          <cell r="B117" t="str">
            <v>src</v>
          </cell>
          <cell r="C117" t="str">
            <v>ICX5332P.c</v>
          </cell>
          <cell r="E117" t="str">
            <v>残高修正入力確認リスト　プリント</v>
          </cell>
        </row>
        <row r="118">
          <cell r="A118" t="str">
            <v>cx</v>
          </cell>
          <cell r="B118" t="str">
            <v>src</v>
          </cell>
          <cell r="C118" t="str">
            <v>ICX61010.c</v>
          </cell>
          <cell r="D118" t="str">
            <v>業務ステータス照会　</v>
          </cell>
          <cell r="E118" t="str">
            <v>業務ステータス照会　</v>
          </cell>
          <cell r="F118" t="str">
            <v>WEB</v>
          </cell>
          <cell r="G118">
            <v>1</v>
          </cell>
          <cell r="H118">
            <v>1</v>
          </cell>
          <cell r="I118">
            <v>617</v>
          </cell>
        </row>
        <row r="119">
          <cell r="A119" t="str">
            <v>cx</v>
          </cell>
          <cell r="B119" t="str">
            <v>src</v>
          </cell>
          <cell r="C119" t="str">
            <v>ICX62020.c</v>
          </cell>
          <cell r="D119" t="str">
            <v>稼働状況照会</v>
          </cell>
          <cell r="E119" t="str">
            <v>稼働状況照会　検索条件入力</v>
          </cell>
          <cell r="F119" t="str">
            <v>WEB</v>
          </cell>
          <cell r="G119">
            <v>2</v>
          </cell>
          <cell r="H119">
            <v>2</v>
          </cell>
          <cell r="I119">
            <v>3042</v>
          </cell>
        </row>
        <row r="120">
          <cell r="A120" t="str">
            <v>cx</v>
          </cell>
          <cell r="B120" t="str">
            <v>src</v>
          </cell>
          <cell r="C120" t="str">
            <v>ICX6202A.c</v>
          </cell>
          <cell r="E120" t="str">
            <v>稼働状況照会　詳細</v>
          </cell>
        </row>
        <row r="121">
          <cell r="A121" t="str">
            <v>cx</v>
          </cell>
          <cell r="B121" t="str">
            <v>src</v>
          </cell>
          <cell r="C121" t="str">
            <v>ICX63020.c</v>
          </cell>
          <cell r="D121" t="str">
            <v>処理ログ照会</v>
          </cell>
          <cell r="E121" t="str">
            <v>処理ログ照会　一覧表示</v>
          </cell>
          <cell r="F121" t="str">
            <v>WEB</v>
          </cell>
          <cell r="G121">
            <v>2</v>
          </cell>
          <cell r="H121">
            <v>3</v>
          </cell>
          <cell r="I121">
            <v>2085</v>
          </cell>
        </row>
        <row r="122">
          <cell r="A122" t="str">
            <v>cx</v>
          </cell>
          <cell r="B122" t="str">
            <v>src</v>
          </cell>
          <cell r="C122" t="str">
            <v>ICX63030.c</v>
          </cell>
          <cell r="E122" t="str">
            <v>処理ログ照会　詳細</v>
          </cell>
        </row>
        <row r="123">
          <cell r="A123" t="str">
            <v>cx</v>
          </cell>
          <cell r="B123" t="str">
            <v>src</v>
          </cell>
          <cell r="C123" t="str">
            <v>ICX71120.c</v>
          </cell>
          <cell r="D123" t="str">
            <v>顧客決済属性登録　</v>
          </cell>
          <cell r="E123" t="str">
            <v>顧客決済属性登録　</v>
          </cell>
          <cell r="F123" t="str">
            <v>WEB</v>
          </cell>
          <cell r="G123">
            <v>1</v>
          </cell>
          <cell r="H123">
            <v>2</v>
          </cell>
          <cell r="I123">
            <v>1523</v>
          </cell>
        </row>
        <row r="124">
          <cell r="A124" t="str">
            <v>cx</v>
          </cell>
          <cell r="B124" t="str">
            <v>src</v>
          </cell>
          <cell r="C124" t="str">
            <v>ICX71220.c</v>
          </cell>
          <cell r="D124" t="str">
            <v>顧客決済属性変更</v>
          </cell>
          <cell r="E124" t="str">
            <v>顧客決済属性変更　一覧表示</v>
          </cell>
          <cell r="F124" t="str">
            <v>WEB</v>
          </cell>
          <cell r="G124">
            <v>3</v>
          </cell>
          <cell r="H124">
            <v>4</v>
          </cell>
          <cell r="I124">
            <v>3207</v>
          </cell>
        </row>
        <row r="125">
          <cell r="A125" t="str">
            <v>cx</v>
          </cell>
          <cell r="B125" t="str">
            <v>src</v>
          </cell>
          <cell r="C125" t="str">
            <v>ICX71230.c</v>
          </cell>
          <cell r="E125" t="str">
            <v>顧客決済属性変更　詳細</v>
          </cell>
        </row>
        <row r="126">
          <cell r="A126" t="str">
            <v>cx</v>
          </cell>
          <cell r="B126" t="str">
            <v>src</v>
          </cell>
          <cell r="C126" t="str">
            <v>ICX71240.c</v>
          </cell>
          <cell r="E126" t="str">
            <v>顧客決済属性変更　変更</v>
          </cell>
        </row>
        <row r="127">
          <cell r="A127" t="str">
            <v>cx</v>
          </cell>
          <cell r="B127" t="str">
            <v>src</v>
          </cell>
          <cell r="C127" t="str">
            <v>ICX71320.c</v>
          </cell>
          <cell r="D127" t="str">
            <v>顧客決済属性抹消</v>
          </cell>
          <cell r="E127" t="str">
            <v>顧客決済属性抹消　一覧</v>
          </cell>
          <cell r="F127" t="str">
            <v>WEB</v>
          </cell>
          <cell r="G127">
            <v>3</v>
          </cell>
          <cell r="H127">
            <v>4</v>
          </cell>
          <cell r="I127">
            <v>727</v>
          </cell>
        </row>
        <row r="128">
          <cell r="A128" t="str">
            <v>cx</v>
          </cell>
          <cell r="B128" t="str">
            <v>src</v>
          </cell>
          <cell r="C128" t="str">
            <v>ICX71330.c</v>
          </cell>
          <cell r="E128" t="str">
            <v>顧客決済属性抹消　詳細</v>
          </cell>
        </row>
        <row r="129">
          <cell r="A129" t="str">
            <v>cx</v>
          </cell>
          <cell r="B129" t="str">
            <v>src</v>
          </cell>
          <cell r="C129" t="str">
            <v>ICX71340.c</v>
          </cell>
          <cell r="E129" t="str">
            <v>顧客決済属性抹消　</v>
          </cell>
        </row>
        <row r="130">
          <cell r="A130" t="str">
            <v>cx</v>
          </cell>
          <cell r="B130" t="str">
            <v>src</v>
          </cell>
          <cell r="C130" t="str">
            <v>ICX71420.c</v>
          </cell>
          <cell r="D130" t="str">
            <v>顧客決済属性照会</v>
          </cell>
          <cell r="E130" t="str">
            <v>顧客決済属性照会　一覧</v>
          </cell>
          <cell r="F130" t="str">
            <v>WEB</v>
          </cell>
          <cell r="G130">
            <v>2</v>
          </cell>
          <cell r="H130">
            <v>3</v>
          </cell>
          <cell r="I130">
            <v>44</v>
          </cell>
        </row>
        <row r="131">
          <cell r="A131" t="str">
            <v>cx</v>
          </cell>
          <cell r="B131" t="str">
            <v>src</v>
          </cell>
          <cell r="C131" t="str">
            <v>ICX71430.c</v>
          </cell>
          <cell r="E131" t="str">
            <v>顧客決済属性照会　詳細</v>
          </cell>
        </row>
        <row r="132">
          <cell r="A132" t="str">
            <v>cx</v>
          </cell>
          <cell r="B132" t="str">
            <v>src</v>
          </cell>
          <cell r="C132" t="str">
            <v>ICX72120.c</v>
          </cell>
          <cell r="D132" t="str">
            <v>現地客属性登録　</v>
          </cell>
          <cell r="E132" t="str">
            <v>現地客属性登録　</v>
          </cell>
          <cell r="F132" t="str">
            <v>WEB</v>
          </cell>
          <cell r="G132">
            <v>1</v>
          </cell>
          <cell r="H132">
            <v>2</v>
          </cell>
          <cell r="I132">
            <v>899</v>
          </cell>
        </row>
        <row r="133">
          <cell r="A133" t="str">
            <v>cx</v>
          </cell>
          <cell r="B133" t="str">
            <v>src</v>
          </cell>
          <cell r="C133" t="str">
            <v>ICX72220.c</v>
          </cell>
          <cell r="D133" t="str">
            <v>現地客属性変更</v>
          </cell>
          <cell r="E133" t="str">
            <v>現地客属性変更　一覧表示</v>
          </cell>
          <cell r="F133" t="str">
            <v>WEB</v>
          </cell>
          <cell r="G133">
            <v>3</v>
          </cell>
          <cell r="H133">
            <v>4</v>
          </cell>
          <cell r="I133">
            <v>2517</v>
          </cell>
        </row>
        <row r="134">
          <cell r="A134" t="str">
            <v>cx</v>
          </cell>
          <cell r="B134" t="str">
            <v>src</v>
          </cell>
          <cell r="C134" t="str">
            <v>ICX72230.c</v>
          </cell>
          <cell r="E134" t="str">
            <v>現地客属性変更　詳細</v>
          </cell>
        </row>
        <row r="135">
          <cell r="A135" t="str">
            <v>cx</v>
          </cell>
          <cell r="B135" t="str">
            <v>src</v>
          </cell>
          <cell r="C135" t="str">
            <v>ICX72240.c</v>
          </cell>
          <cell r="E135" t="str">
            <v>現地客属性変更　</v>
          </cell>
        </row>
        <row r="136">
          <cell r="A136" t="str">
            <v>cx</v>
          </cell>
          <cell r="B136" t="str">
            <v>src</v>
          </cell>
          <cell r="C136" t="str">
            <v>ICX72320.c</v>
          </cell>
          <cell r="D136" t="str">
            <v>現地客属性抹消</v>
          </cell>
          <cell r="E136" t="str">
            <v>現地客属性抹消　一覧表示</v>
          </cell>
          <cell r="F136" t="str">
            <v>WEB</v>
          </cell>
          <cell r="G136">
            <v>3</v>
          </cell>
          <cell r="H136">
            <v>4</v>
          </cell>
          <cell r="I136">
            <v>696</v>
          </cell>
        </row>
        <row r="137">
          <cell r="A137" t="str">
            <v>cx</v>
          </cell>
          <cell r="B137" t="str">
            <v>src</v>
          </cell>
          <cell r="C137" t="str">
            <v>ICX72330.c</v>
          </cell>
          <cell r="E137" t="str">
            <v>現地客属性抹消　詳細</v>
          </cell>
        </row>
        <row r="138">
          <cell r="A138" t="str">
            <v>cx</v>
          </cell>
          <cell r="B138" t="str">
            <v>src</v>
          </cell>
          <cell r="C138" t="str">
            <v>ICX72340.c</v>
          </cell>
          <cell r="E138" t="str">
            <v>現地客属性抹消　</v>
          </cell>
        </row>
        <row r="139">
          <cell r="A139" t="str">
            <v>cx</v>
          </cell>
          <cell r="B139" t="str">
            <v>src</v>
          </cell>
          <cell r="C139" t="str">
            <v>ICX72420.c</v>
          </cell>
          <cell r="D139" t="str">
            <v>現地客属性照会</v>
          </cell>
          <cell r="E139" t="str">
            <v>現地客属性照会　一覧表示</v>
          </cell>
          <cell r="F139" t="str">
            <v>WEB</v>
          </cell>
          <cell r="G139">
            <v>2</v>
          </cell>
          <cell r="H139">
            <v>3</v>
          </cell>
          <cell r="I139">
            <v>44</v>
          </cell>
        </row>
        <row r="140">
          <cell r="A140" t="str">
            <v>cx</v>
          </cell>
          <cell r="B140" t="str">
            <v>src</v>
          </cell>
          <cell r="C140" t="str">
            <v>ICX72430.c</v>
          </cell>
          <cell r="E140" t="str">
            <v>現地客属性照会　詳細</v>
          </cell>
        </row>
        <row r="141">
          <cell r="A141" t="str">
            <v>cx</v>
          </cell>
          <cell r="B141" t="str">
            <v>src</v>
          </cell>
          <cell r="C141" t="str">
            <v>ICX73120.c</v>
          </cell>
          <cell r="D141" t="str">
            <v>残高分類属性登録　</v>
          </cell>
          <cell r="E141" t="str">
            <v>残高分類属性登録　</v>
          </cell>
          <cell r="F141" t="str">
            <v>WEB</v>
          </cell>
          <cell r="G141">
            <v>1</v>
          </cell>
          <cell r="H141">
            <v>2</v>
          </cell>
          <cell r="I141">
            <v>734</v>
          </cell>
        </row>
        <row r="142">
          <cell r="A142" t="str">
            <v>cx</v>
          </cell>
          <cell r="B142" t="str">
            <v>src</v>
          </cell>
          <cell r="C142" t="str">
            <v>ICX73220.c</v>
          </cell>
          <cell r="D142" t="str">
            <v>残高分類属性変更</v>
          </cell>
          <cell r="E142" t="str">
            <v>残高分類属性変更　一覧表示</v>
          </cell>
          <cell r="F142" t="str">
            <v>WEB</v>
          </cell>
          <cell r="G142">
            <v>3</v>
          </cell>
          <cell r="H142">
            <v>4</v>
          </cell>
          <cell r="I142">
            <v>2352</v>
          </cell>
        </row>
        <row r="143">
          <cell r="A143" t="str">
            <v>cx</v>
          </cell>
          <cell r="B143" t="str">
            <v>src</v>
          </cell>
          <cell r="C143" t="str">
            <v>ICX73230.c</v>
          </cell>
          <cell r="E143" t="str">
            <v>残高分類属性変更　詳細</v>
          </cell>
        </row>
        <row r="144">
          <cell r="A144" t="str">
            <v>cx</v>
          </cell>
          <cell r="B144" t="str">
            <v>src</v>
          </cell>
          <cell r="C144" t="str">
            <v>ICX73240.c</v>
          </cell>
          <cell r="E144" t="str">
            <v>残高分類属性変更　</v>
          </cell>
        </row>
        <row r="145">
          <cell r="A145" t="str">
            <v>cx</v>
          </cell>
          <cell r="B145" t="str">
            <v>src</v>
          </cell>
          <cell r="C145" t="str">
            <v>ICX73320.c</v>
          </cell>
          <cell r="D145" t="str">
            <v>残高分類属性抹消</v>
          </cell>
          <cell r="E145" t="str">
            <v>残高分類属性抹消　一覧表示</v>
          </cell>
          <cell r="F145" t="str">
            <v>WEB</v>
          </cell>
          <cell r="G145">
            <v>3</v>
          </cell>
          <cell r="H145">
            <v>4</v>
          </cell>
          <cell r="I145">
            <v>771</v>
          </cell>
        </row>
        <row r="146">
          <cell r="A146" t="str">
            <v>cx</v>
          </cell>
          <cell r="B146" t="str">
            <v>src</v>
          </cell>
          <cell r="C146" t="str">
            <v>ICX73330.c</v>
          </cell>
          <cell r="E146" t="str">
            <v>残高分類属性抹消　詳細</v>
          </cell>
        </row>
        <row r="147">
          <cell r="A147" t="str">
            <v>cx</v>
          </cell>
          <cell r="B147" t="str">
            <v>src</v>
          </cell>
          <cell r="C147" t="str">
            <v>ICX73340.c</v>
          </cell>
          <cell r="E147" t="str">
            <v>残高分類属性抹消　</v>
          </cell>
        </row>
        <row r="148">
          <cell r="A148" t="str">
            <v>cx</v>
          </cell>
          <cell r="B148" t="str">
            <v>src</v>
          </cell>
          <cell r="C148" t="str">
            <v>ICX73420.c</v>
          </cell>
          <cell r="D148" t="str">
            <v>残高分類属性照会</v>
          </cell>
          <cell r="E148" t="str">
            <v>残高分類属性照会　一覧表示</v>
          </cell>
          <cell r="F148" t="str">
            <v>WEB</v>
          </cell>
          <cell r="G148">
            <v>1</v>
          </cell>
          <cell r="H148">
            <v>2</v>
          </cell>
          <cell r="I148">
            <v>22</v>
          </cell>
        </row>
        <row r="149">
          <cell r="A149" t="str">
            <v>cx</v>
          </cell>
          <cell r="B149" t="str">
            <v>src</v>
          </cell>
          <cell r="C149" t="str">
            <v>ICX74120.c</v>
          </cell>
          <cell r="D149" t="str">
            <v>保振参加者属性登録　</v>
          </cell>
          <cell r="E149" t="str">
            <v>保振参加者属性登録　</v>
          </cell>
          <cell r="F149" t="str">
            <v>WEB</v>
          </cell>
          <cell r="G149">
            <v>1</v>
          </cell>
          <cell r="H149">
            <v>2</v>
          </cell>
          <cell r="I149">
            <v>594</v>
          </cell>
        </row>
        <row r="150">
          <cell r="A150" t="str">
            <v>cx</v>
          </cell>
          <cell r="B150" t="str">
            <v>src</v>
          </cell>
          <cell r="C150" t="str">
            <v>ICX74220.c</v>
          </cell>
          <cell r="D150" t="str">
            <v>保振参加者属性変更</v>
          </cell>
          <cell r="E150" t="str">
            <v>保振参加者属性変更　一覧表示</v>
          </cell>
          <cell r="F150" t="str">
            <v>WEB</v>
          </cell>
          <cell r="G150">
            <v>3</v>
          </cell>
          <cell r="H150">
            <v>4</v>
          </cell>
          <cell r="I150">
            <v>2193</v>
          </cell>
        </row>
        <row r="151">
          <cell r="A151" t="str">
            <v>cx</v>
          </cell>
          <cell r="B151" t="str">
            <v>src</v>
          </cell>
          <cell r="C151" t="str">
            <v>ICX74230.c</v>
          </cell>
          <cell r="E151" t="str">
            <v>保振参加者属性変更　詳細</v>
          </cell>
        </row>
        <row r="152">
          <cell r="A152" t="str">
            <v>cx</v>
          </cell>
          <cell r="B152" t="str">
            <v>src</v>
          </cell>
          <cell r="C152" t="str">
            <v>ICX74240.c</v>
          </cell>
          <cell r="E152" t="str">
            <v>保振参加者属性変更　</v>
          </cell>
        </row>
        <row r="153">
          <cell r="A153" t="str">
            <v>cx</v>
          </cell>
          <cell r="B153" t="str">
            <v>src</v>
          </cell>
          <cell r="C153" t="str">
            <v>ICX74320.c</v>
          </cell>
          <cell r="D153" t="str">
            <v>保振参加者属性抹消</v>
          </cell>
          <cell r="E153" t="str">
            <v>保振参加者属性抹消　一覧表示</v>
          </cell>
          <cell r="F153" t="str">
            <v>WEB</v>
          </cell>
          <cell r="G153">
            <v>3</v>
          </cell>
          <cell r="H153">
            <v>4</v>
          </cell>
          <cell r="I153">
            <v>813</v>
          </cell>
        </row>
        <row r="154">
          <cell r="A154" t="str">
            <v>cx</v>
          </cell>
          <cell r="B154" t="str">
            <v>src</v>
          </cell>
          <cell r="C154" t="str">
            <v>ICX74330.c</v>
          </cell>
          <cell r="E154" t="str">
            <v>保振参加者属性抹消　詳細</v>
          </cell>
        </row>
        <row r="155">
          <cell r="A155" t="str">
            <v>cx</v>
          </cell>
          <cell r="B155" t="str">
            <v>src</v>
          </cell>
          <cell r="C155" t="str">
            <v>ICX74340.c</v>
          </cell>
          <cell r="E155" t="str">
            <v>保振参加者属性抹消　</v>
          </cell>
        </row>
        <row r="156">
          <cell r="A156" t="str">
            <v>cx</v>
          </cell>
          <cell r="B156" t="str">
            <v>src</v>
          </cell>
          <cell r="C156" t="str">
            <v>ICX74420.c</v>
          </cell>
          <cell r="D156" t="str">
            <v>保振参加者属性照会</v>
          </cell>
          <cell r="E156" t="str">
            <v>保振参加者属性照会　一覧表示</v>
          </cell>
          <cell r="F156" t="str">
            <v>WEB</v>
          </cell>
          <cell r="G156">
            <v>1</v>
          </cell>
          <cell r="H156">
            <v>2</v>
          </cell>
          <cell r="I156">
            <v>22</v>
          </cell>
        </row>
        <row r="157">
          <cell r="A157" t="str">
            <v>cx</v>
          </cell>
          <cell r="B157" t="str">
            <v>src</v>
          </cell>
          <cell r="C157" t="str">
            <v>ICX81220.c</v>
          </cell>
          <cell r="D157" t="str">
            <v>I/Fデータ取込結果照会</v>
          </cell>
          <cell r="E157" t="str">
            <v>I/Fデータ取込結果照会　一覧表示(取引入力)</v>
          </cell>
          <cell r="F157" t="str">
            <v>WEB</v>
          </cell>
          <cell r="G157">
            <v>8</v>
          </cell>
          <cell r="H157">
            <v>7</v>
          </cell>
          <cell r="I157">
            <v>8466</v>
          </cell>
        </row>
        <row r="158">
          <cell r="A158" t="str">
            <v>cx</v>
          </cell>
          <cell r="B158" t="str">
            <v>src</v>
          </cell>
          <cell r="C158" t="str">
            <v>ICX81221.c</v>
          </cell>
          <cell r="E158" t="str">
            <v>I/Fデータ取込結果照会　詳細（取引入力）</v>
          </cell>
        </row>
        <row r="159">
          <cell r="A159" t="str">
            <v>cx</v>
          </cell>
          <cell r="B159" t="str">
            <v>src</v>
          </cell>
          <cell r="C159" t="str">
            <v>ICX8122A.c</v>
          </cell>
          <cell r="E159" t="str">
            <v>I/Fデータ取込結果照会　再取込(取引入力)</v>
          </cell>
        </row>
        <row r="160">
          <cell r="A160" t="str">
            <v>cx</v>
          </cell>
          <cell r="B160" t="str">
            <v>src</v>
          </cell>
          <cell r="C160" t="str">
            <v>ICX81230.c</v>
          </cell>
          <cell r="E160" t="str">
            <v>I/Fデータ取込結果照会　一覧表示(残高修正)</v>
          </cell>
        </row>
        <row r="161">
          <cell r="A161" t="str">
            <v>cx</v>
          </cell>
          <cell r="B161" t="str">
            <v>src</v>
          </cell>
          <cell r="C161" t="str">
            <v>ICX81231.c</v>
          </cell>
          <cell r="E161" t="str">
            <v>I/Fデータ取込結果照会　詳細（残高修正）</v>
          </cell>
        </row>
        <row r="162">
          <cell r="A162" t="str">
            <v>cx</v>
          </cell>
          <cell r="B162" t="str">
            <v>src</v>
          </cell>
          <cell r="C162" t="str">
            <v>ICX8123A.c</v>
          </cell>
          <cell r="E162" t="str">
            <v>I/Fデータ取込結果照会　再取込(残高修正)</v>
          </cell>
        </row>
        <row r="163">
          <cell r="A163" t="str">
            <v>cx</v>
          </cell>
          <cell r="B163" t="str">
            <v>src</v>
          </cell>
          <cell r="C163" t="str">
            <v>ICX81240.c</v>
          </cell>
          <cell r="E163" t="str">
            <v>I/Fデータ取込結果照会　一覧表示(顧客決済属性)</v>
          </cell>
        </row>
        <row r="164">
          <cell r="A164" t="str">
            <v>cx</v>
          </cell>
          <cell r="B164" t="str">
            <v>src</v>
          </cell>
          <cell r="C164" t="str">
            <v>ICX81241.c</v>
          </cell>
          <cell r="E164" t="str">
            <v>I/Fデータ取込結果照会　詳細（顧客決済）</v>
          </cell>
        </row>
        <row r="165">
          <cell r="A165" t="str">
            <v>cx</v>
          </cell>
          <cell r="B165" t="str">
            <v>src</v>
          </cell>
          <cell r="C165" t="str">
            <v>ICX82110.c</v>
          </cell>
          <cell r="D165" t="str">
            <v>夜間バッチ処理</v>
          </cell>
          <cell r="E165" t="str">
            <v>夜間バッチ処理（銘柄属性取込)　</v>
          </cell>
          <cell r="F165" t="str">
            <v>BAT</v>
          </cell>
          <cell r="G165">
            <v>8</v>
          </cell>
          <cell r="H165">
            <v>0</v>
          </cell>
          <cell r="I165">
            <v>12241</v>
          </cell>
        </row>
        <row r="166">
          <cell r="A166" t="str">
            <v>cx</v>
          </cell>
          <cell r="B166" t="str">
            <v>src</v>
          </cell>
          <cell r="C166" t="str">
            <v>ICX82210.c</v>
          </cell>
          <cell r="E166" t="str">
            <v>夜間バッチ処理(取引取込)　取引明細登録管理処理</v>
          </cell>
        </row>
        <row r="167">
          <cell r="A167" t="str">
            <v>cx</v>
          </cell>
          <cell r="B167" t="str">
            <v>src</v>
          </cell>
          <cell r="C167" t="str">
            <v>ICX82220.c</v>
          </cell>
          <cell r="E167" t="str">
            <v>夜間バッチ処理(取引取込)　取引明細登録処理</v>
          </cell>
        </row>
        <row r="168">
          <cell r="A168" t="str">
            <v>cx</v>
          </cell>
          <cell r="B168" t="str">
            <v>src</v>
          </cell>
          <cell r="C168" t="str">
            <v>ICX82310.c</v>
          </cell>
          <cell r="E168" t="str">
            <v>夜間バッチ処理(決済照会結果反映)　</v>
          </cell>
        </row>
        <row r="169">
          <cell r="A169" t="str">
            <v>cx</v>
          </cell>
          <cell r="B169" t="str">
            <v>src</v>
          </cell>
          <cell r="C169" t="str">
            <v>ICX82610.c</v>
          </cell>
          <cell r="E169" t="str">
            <v>夜間バッチ処理(翌日残高繰越)　</v>
          </cell>
        </row>
        <row r="170">
          <cell r="A170" t="str">
            <v>cx</v>
          </cell>
          <cell r="B170" t="str">
            <v>src</v>
          </cell>
          <cell r="C170" t="str">
            <v>ICX82710.c</v>
          </cell>
          <cell r="E170" t="str">
            <v>夜間バッチ処理(テーブル初期化)　</v>
          </cell>
        </row>
        <row r="171">
          <cell r="A171" t="str">
            <v>cx</v>
          </cell>
          <cell r="B171" t="str">
            <v>src</v>
          </cell>
          <cell r="C171" t="str">
            <v>ICX82810.c</v>
          </cell>
          <cell r="E171" t="str">
            <v>夜間バッチ処理(レコード再編成)　</v>
          </cell>
        </row>
        <row r="172">
          <cell r="A172" t="str">
            <v>cx</v>
          </cell>
          <cell r="B172" t="str">
            <v>src</v>
          </cell>
          <cell r="C172" t="str">
            <v>ICX82910.c</v>
          </cell>
          <cell r="E172" t="str">
            <v>夜間バッチ処理(顧客決済属性取込)　</v>
          </cell>
        </row>
        <row r="173">
          <cell r="A173" t="str">
            <v>cx</v>
          </cell>
          <cell r="B173" t="str">
            <v>src</v>
          </cell>
          <cell r="C173" t="str">
            <v>ICX83020.c</v>
          </cell>
          <cell r="D173" t="str">
            <v>アクセス権限割当</v>
          </cell>
          <cell r="E173" t="str">
            <v>アクセス権限割当　業務グループ一覧情報取得</v>
          </cell>
          <cell r="F173" t="str">
            <v>WEB</v>
          </cell>
          <cell r="G173">
            <v>3</v>
          </cell>
          <cell r="H173">
            <v>4</v>
          </cell>
          <cell r="I173">
            <v>45</v>
          </cell>
        </row>
        <row r="174">
          <cell r="A174" t="str">
            <v>cx</v>
          </cell>
          <cell r="B174" t="str">
            <v>src</v>
          </cell>
          <cell r="C174" t="str">
            <v>ICX83030.c</v>
          </cell>
          <cell r="E174" t="str">
            <v>アクセス権限割当　アクセス権限情報一覧情報取得</v>
          </cell>
        </row>
        <row r="175">
          <cell r="A175" t="str">
            <v>cx</v>
          </cell>
          <cell r="B175" t="str">
            <v>src</v>
          </cell>
          <cell r="C175" t="str">
            <v>ICX83040.c</v>
          </cell>
          <cell r="E175" t="str">
            <v>アクセス権限割当　</v>
          </cell>
        </row>
        <row r="176">
          <cell r="A176" t="str">
            <v>cx</v>
          </cell>
          <cell r="B176" t="str">
            <v>src</v>
          </cell>
          <cell r="C176" t="str">
            <v>ICXAP_MAIN.c</v>
          </cell>
          <cell r="D176" t="str">
            <v>メイン関数</v>
          </cell>
          <cell r="E176" t="str">
            <v>ICXAP</v>
          </cell>
          <cell r="F176" t="str">
            <v>－</v>
          </cell>
          <cell r="G176">
            <v>1</v>
          </cell>
          <cell r="H176">
            <v>0</v>
          </cell>
          <cell r="I176">
            <v>242</v>
          </cell>
        </row>
        <row r="177">
          <cell r="A177" t="str">
            <v>cx</v>
          </cell>
          <cell r="B177" t="str">
            <v>src</v>
          </cell>
          <cell r="C177" t="str">
            <v>ICXPR_MAIN.c</v>
          </cell>
          <cell r="E177" t="str">
            <v>ICXPR</v>
          </cell>
          <cell r="F177" t="str">
            <v>－</v>
          </cell>
          <cell r="G177">
            <v>1</v>
          </cell>
          <cell r="H177">
            <v>0</v>
          </cell>
          <cell r="I177">
            <v>21</v>
          </cell>
        </row>
        <row r="178">
          <cell r="A178" t="str">
            <v>cx</v>
          </cell>
          <cell r="B178" t="str">
            <v>src</v>
          </cell>
          <cell r="C178" t="str">
            <v>PRICX21000_COMM.c</v>
          </cell>
          <cell r="D178" t="str">
            <v>共通関数</v>
          </cell>
          <cell r="E178" t="str">
            <v>決済情報変更共通処理  　</v>
          </cell>
          <cell r="F178" t="str">
            <v>SUB</v>
          </cell>
          <cell r="G178">
            <v>7</v>
          </cell>
          <cell r="H178">
            <v>0</v>
          </cell>
          <cell r="I178">
            <v>9016</v>
          </cell>
        </row>
        <row r="179">
          <cell r="A179" t="str">
            <v>cx</v>
          </cell>
          <cell r="B179" t="str">
            <v>src</v>
          </cell>
          <cell r="C179" t="str">
            <v>PRICX21000_COMM.c</v>
          </cell>
          <cell r="E179" t="str">
            <v>指図再作成　共通</v>
          </cell>
        </row>
        <row r="180">
          <cell r="A180" t="str">
            <v>cx</v>
          </cell>
          <cell r="B180" t="str">
            <v>src</v>
          </cell>
          <cell r="C180" t="str">
            <v>PRICX31000_COMM.c</v>
          </cell>
          <cell r="E180" t="str">
            <v>保振接続共通関数　</v>
          </cell>
        </row>
        <row r="181">
          <cell r="A181" t="str">
            <v>cx</v>
          </cell>
          <cell r="B181" t="str">
            <v>src</v>
          </cell>
          <cell r="C181" t="str">
            <v>PRICX31001_COMM.c</v>
          </cell>
          <cell r="E181" t="str">
            <v>保振接続共通関数　</v>
          </cell>
        </row>
        <row r="182">
          <cell r="A182" t="str">
            <v>cx</v>
          </cell>
          <cell r="B182" t="str">
            <v>src</v>
          </cell>
          <cell r="C182" t="str">
            <v>PRICX31002_COMM.c</v>
          </cell>
          <cell r="E182" t="str">
            <v>保振接続共通関数　</v>
          </cell>
        </row>
        <row r="183">
          <cell r="A183" t="str">
            <v>cx</v>
          </cell>
          <cell r="B183" t="str">
            <v>src</v>
          </cell>
          <cell r="C183" t="str">
            <v>PRICX31003_COMM.c</v>
          </cell>
          <cell r="E183" t="str">
            <v>保振接続共通関数　</v>
          </cell>
        </row>
        <row r="184">
          <cell r="A184" t="str">
            <v>cx</v>
          </cell>
          <cell r="B184" t="str">
            <v>src</v>
          </cell>
          <cell r="C184" t="str">
            <v>PRICX42000_COMM.c</v>
          </cell>
          <cell r="E184" t="str">
            <v>マッチング共通関数　</v>
          </cell>
        </row>
        <row r="185">
          <cell r="A185" t="str">
            <v>cx</v>
          </cell>
          <cell r="B185" t="str">
            <v>src</v>
          </cell>
          <cell r="C185" t="str">
            <v>PRICX43000_COMM.c</v>
          </cell>
          <cell r="E185" t="str">
            <v>フェイル情報作成　</v>
          </cell>
        </row>
        <row r="186">
          <cell r="A186" t="str">
            <v>sum</v>
          </cell>
          <cell r="G186">
            <v>183</v>
          </cell>
          <cell r="H186">
            <v>151</v>
          </cell>
          <cell r="I186">
            <v>197760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E95"/>
  <sheetViews>
    <sheetView tabSelected="1" zoomScale="43" zoomScaleNormal="70" zoomScaleSheetLayoutView="70" workbookViewId="0">
      <pane xSplit="23" ySplit="8" topLeftCell="X9" activePane="bottomRight" state="frozen"/>
      <selection pane="topRight" activeCell="X1" sqref="X1"/>
      <selection pane="bottomLeft" activeCell="A9" sqref="A9"/>
      <selection pane="bottomRight" activeCell="AC31" sqref="AC31"/>
    </sheetView>
  </sheetViews>
  <sheetFormatPr defaultColWidth="9" defaultRowHeight="13.5" outlineLevelRow="2" outlineLevelCol="2" x14ac:dyDescent="0.15"/>
  <cols>
    <col min="1" max="1" width="1.375" style="1" customWidth="1"/>
    <col min="2" max="2" width="3.625" style="31" customWidth="1"/>
    <col min="3" max="11" width="2.125" style="31" customWidth="1"/>
    <col min="12" max="12" width="24" style="31" customWidth="1"/>
    <col min="13" max="14" width="8" style="31" customWidth="1"/>
    <col min="15" max="15" width="8.125" style="31" customWidth="1"/>
    <col min="16" max="17" width="8.125" style="32" customWidth="1"/>
    <col min="18" max="18" width="8.125" style="2" hidden="1" customWidth="1" outlineLevel="2"/>
    <col min="19" max="23" width="8.5" style="2" hidden="1" customWidth="1" outlineLevel="2"/>
    <col min="24" max="24" width="16.375" style="63" customWidth="1" collapsed="1"/>
    <col min="25" max="25" width="26.875" style="63" customWidth="1"/>
    <col min="26" max="28" width="5.625" style="3" customWidth="1" outlineLevel="1"/>
    <col min="29" max="30" width="8.5" style="2" customWidth="1" outlineLevel="1"/>
    <col min="31" max="106" width="2.625" style="103" customWidth="1"/>
    <col min="107" max="107" width="2.625" style="103" customWidth="1" collapsed="1"/>
    <col min="108" max="129" width="2.625" style="103" customWidth="1"/>
    <col min="130" max="135" width="2.75" style="103" customWidth="1"/>
    <col min="136" max="343" width="9" style="103"/>
    <col min="344" max="344" width="1.375" style="103" customWidth="1"/>
    <col min="345" max="345" width="3.625" style="103" customWidth="1"/>
    <col min="346" max="349" width="2.125" style="103" customWidth="1"/>
    <col min="350" max="354" width="8.625" style="103" customWidth="1"/>
    <col min="355" max="355" width="24" style="103" customWidth="1"/>
    <col min="356" max="357" width="8" style="103" customWidth="1"/>
    <col min="358" max="360" width="8.125" style="103" customWidth="1"/>
    <col min="361" max="366" width="8.625" style="103" customWidth="1"/>
    <col min="367" max="367" width="11.375" style="103" customWidth="1"/>
    <col min="368" max="368" width="10.125" style="103" customWidth="1"/>
    <col min="369" max="371" width="5.625" style="103" customWidth="1"/>
    <col min="372" max="373" width="8.625" style="103" customWidth="1"/>
    <col min="374" max="374" width="14.375" style="103" customWidth="1"/>
    <col min="375" max="599" width="9" style="103"/>
    <col min="600" max="600" width="1.375" style="103" customWidth="1"/>
    <col min="601" max="601" width="3.625" style="103" customWidth="1"/>
    <col min="602" max="605" width="2.125" style="103" customWidth="1"/>
    <col min="606" max="610" width="8.625" style="103" customWidth="1"/>
    <col min="611" max="611" width="24" style="103" customWidth="1"/>
    <col min="612" max="613" width="8" style="103" customWidth="1"/>
    <col min="614" max="616" width="8.125" style="103" customWidth="1"/>
    <col min="617" max="622" width="8.625" style="103" customWidth="1"/>
    <col min="623" max="623" width="11.375" style="103" customWidth="1"/>
    <col min="624" max="624" width="10.125" style="103" customWidth="1"/>
    <col min="625" max="627" width="5.625" style="103" customWidth="1"/>
    <col min="628" max="629" width="8.625" style="103" customWidth="1"/>
    <col min="630" max="630" width="14.375" style="103" customWidth="1"/>
    <col min="631" max="855" width="9" style="103"/>
    <col min="856" max="856" width="1.375" style="103" customWidth="1"/>
    <col min="857" max="857" width="3.625" style="103" customWidth="1"/>
    <col min="858" max="861" width="2.125" style="103" customWidth="1"/>
    <col min="862" max="866" width="8.625" style="103" customWidth="1"/>
    <col min="867" max="867" width="24" style="103" customWidth="1"/>
    <col min="868" max="869" width="8" style="103" customWidth="1"/>
    <col min="870" max="872" width="8.125" style="103" customWidth="1"/>
    <col min="873" max="878" width="8.625" style="103" customWidth="1"/>
    <col min="879" max="879" width="11.375" style="103" customWidth="1"/>
    <col min="880" max="880" width="10.125" style="103" customWidth="1"/>
    <col min="881" max="883" width="5.625" style="103" customWidth="1"/>
    <col min="884" max="885" width="8.625" style="103" customWidth="1"/>
    <col min="886" max="886" width="14.375" style="103" customWidth="1"/>
    <col min="887" max="1111" width="9" style="103"/>
    <col min="1112" max="1112" width="1.375" style="103" customWidth="1"/>
    <col min="1113" max="1113" width="3.625" style="103" customWidth="1"/>
    <col min="1114" max="1117" width="2.125" style="103" customWidth="1"/>
    <col min="1118" max="1122" width="8.625" style="103" customWidth="1"/>
    <col min="1123" max="1123" width="24" style="103" customWidth="1"/>
    <col min="1124" max="1125" width="8" style="103" customWidth="1"/>
    <col min="1126" max="1128" width="8.125" style="103" customWidth="1"/>
    <col min="1129" max="1134" width="8.625" style="103" customWidth="1"/>
    <col min="1135" max="1135" width="11.375" style="103" customWidth="1"/>
    <col min="1136" max="1136" width="10.125" style="103" customWidth="1"/>
    <col min="1137" max="1139" width="5.625" style="103" customWidth="1"/>
    <col min="1140" max="1141" width="8.625" style="103" customWidth="1"/>
    <col min="1142" max="1142" width="14.375" style="103" customWidth="1"/>
    <col min="1143" max="1367" width="9" style="103"/>
    <col min="1368" max="1368" width="1.375" style="103" customWidth="1"/>
    <col min="1369" max="1369" width="3.625" style="103" customWidth="1"/>
    <col min="1370" max="1373" width="2.125" style="103" customWidth="1"/>
    <col min="1374" max="1378" width="8.625" style="103" customWidth="1"/>
    <col min="1379" max="1379" width="24" style="103" customWidth="1"/>
    <col min="1380" max="1381" width="8" style="103" customWidth="1"/>
    <col min="1382" max="1384" width="8.125" style="103" customWidth="1"/>
    <col min="1385" max="1390" width="8.625" style="103" customWidth="1"/>
    <col min="1391" max="1391" width="11.375" style="103" customWidth="1"/>
    <col min="1392" max="1392" width="10.125" style="103" customWidth="1"/>
    <col min="1393" max="1395" width="5.625" style="103" customWidth="1"/>
    <col min="1396" max="1397" width="8.625" style="103" customWidth="1"/>
    <col min="1398" max="1398" width="14.375" style="103" customWidth="1"/>
    <col min="1399" max="1623" width="9" style="103"/>
    <col min="1624" max="1624" width="1.375" style="103" customWidth="1"/>
    <col min="1625" max="1625" width="3.625" style="103" customWidth="1"/>
    <col min="1626" max="1629" width="2.125" style="103" customWidth="1"/>
    <col min="1630" max="1634" width="8.625" style="103" customWidth="1"/>
    <col min="1635" max="1635" width="24" style="103" customWidth="1"/>
    <col min="1636" max="1637" width="8" style="103" customWidth="1"/>
    <col min="1638" max="1640" width="8.125" style="103" customWidth="1"/>
    <col min="1641" max="1646" width="8.625" style="103" customWidth="1"/>
    <col min="1647" max="1647" width="11.375" style="103" customWidth="1"/>
    <col min="1648" max="1648" width="10.125" style="103" customWidth="1"/>
    <col min="1649" max="1651" width="5.625" style="103" customWidth="1"/>
    <col min="1652" max="1653" width="8.625" style="103" customWidth="1"/>
    <col min="1654" max="1654" width="14.375" style="103" customWidth="1"/>
    <col min="1655" max="1879" width="9" style="103"/>
    <col min="1880" max="1880" width="1.375" style="103" customWidth="1"/>
    <col min="1881" max="1881" width="3.625" style="103" customWidth="1"/>
    <col min="1882" max="1885" width="2.125" style="103" customWidth="1"/>
    <col min="1886" max="1890" width="8.625" style="103" customWidth="1"/>
    <col min="1891" max="1891" width="24" style="103" customWidth="1"/>
    <col min="1892" max="1893" width="8" style="103" customWidth="1"/>
    <col min="1894" max="1896" width="8.125" style="103" customWidth="1"/>
    <col min="1897" max="1902" width="8.625" style="103" customWidth="1"/>
    <col min="1903" max="1903" width="11.375" style="103" customWidth="1"/>
    <col min="1904" max="1904" width="10.125" style="103" customWidth="1"/>
    <col min="1905" max="1907" width="5.625" style="103" customWidth="1"/>
    <col min="1908" max="1909" width="8.625" style="103" customWidth="1"/>
    <col min="1910" max="1910" width="14.375" style="103" customWidth="1"/>
    <col min="1911" max="2135" width="9" style="103"/>
    <col min="2136" max="2136" width="1.375" style="103" customWidth="1"/>
    <col min="2137" max="2137" width="3.625" style="103" customWidth="1"/>
    <col min="2138" max="2141" width="2.125" style="103" customWidth="1"/>
    <col min="2142" max="2146" width="8.625" style="103" customWidth="1"/>
    <col min="2147" max="2147" width="24" style="103" customWidth="1"/>
    <col min="2148" max="2149" width="8" style="103" customWidth="1"/>
    <col min="2150" max="2152" width="8.125" style="103" customWidth="1"/>
    <col min="2153" max="2158" width="8.625" style="103" customWidth="1"/>
    <col min="2159" max="2159" width="11.375" style="103" customWidth="1"/>
    <col min="2160" max="2160" width="10.125" style="103" customWidth="1"/>
    <col min="2161" max="2163" width="5.625" style="103" customWidth="1"/>
    <col min="2164" max="2165" width="8.625" style="103" customWidth="1"/>
    <col min="2166" max="2166" width="14.375" style="103" customWidth="1"/>
    <col min="2167" max="2391" width="9" style="103"/>
    <col min="2392" max="2392" width="1.375" style="103" customWidth="1"/>
    <col min="2393" max="2393" width="3.625" style="103" customWidth="1"/>
    <col min="2394" max="2397" width="2.125" style="103" customWidth="1"/>
    <col min="2398" max="2402" width="8.625" style="103" customWidth="1"/>
    <col min="2403" max="2403" width="24" style="103" customWidth="1"/>
    <col min="2404" max="2405" width="8" style="103" customWidth="1"/>
    <col min="2406" max="2408" width="8.125" style="103" customWidth="1"/>
    <col min="2409" max="2414" width="8.625" style="103" customWidth="1"/>
    <col min="2415" max="2415" width="11.375" style="103" customWidth="1"/>
    <col min="2416" max="2416" width="10.125" style="103" customWidth="1"/>
    <col min="2417" max="2419" width="5.625" style="103" customWidth="1"/>
    <col min="2420" max="2421" width="8.625" style="103" customWidth="1"/>
    <col min="2422" max="2422" width="14.375" style="103" customWidth="1"/>
    <col min="2423" max="2647" width="9" style="103"/>
    <col min="2648" max="2648" width="1.375" style="103" customWidth="1"/>
    <col min="2649" max="2649" width="3.625" style="103" customWidth="1"/>
    <col min="2650" max="2653" width="2.125" style="103" customWidth="1"/>
    <col min="2654" max="2658" width="8.625" style="103" customWidth="1"/>
    <col min="2659" max="2659" width="24" style="103" customWidth="1"/>
    <col min="2660" max="2661" width="8" style="103" customWidth="1"/>
    <col min="2662" max="2664" width="8.125" style="103" customWidth="1"/>
    <col min="2665" max="2670" width="8.625" style="103" customWidth="1"/>
    <col min="2671" max="2671" width="11.375" style="103" customWidth="1"/>
    <col min="2672" max="2672" width="10.125" style="103" customWidth="1"/>
    <col min="2673" max="2675" width="5.625" style="103" customWidth="1"/>
    <col min="2676" max="2677" width="8.625" style="103" customWidth="1"/>
    <col min="2678" max="2678" width="14.375" style="103" customWidth="1"/>
    <col min="2679" max="2903" width="9" style="103"/>
    <col min="2904" max="2904" width="1.375" style="103" customWidth="1"/>
    <col min="2905" max="2905" width="3.625" style="103" customWidth="1"/>
    <col min="2906" max="2909" width="2.125" style="103" customWidth="1"/>
    <col min="2910" max="2914" width="8.625" style="103" customWidth="1"/>
    <col min="2915" max="2915" width="24" style="103" customWidth="1"/>
    <col min="2916" max="2917" width="8" style="103" customWidth="1"/>
    <col min="2918" max="2920" width="8.125" style="103" customWidth="1"/>
    <col min="2921" max="2926" width="8.625" style="103" customWidth="1"/>
    <col min="2927" max="2927" width="11.375" style="103" customWidth="1"/>
    <col min="2928" max="2928" width="10.125" style="103" customWidth="1"/>
    <col min="2929" max="2931" width="5.625" style="103" customWidth="1"/>
    <col min="2932" max="2933" width="8.625" style="103" customWidth="1"/>
    <col min="2934" max="2934" width="14.375" style="103" customWidth="1"/>
    <col min="2935" max="3159" width="9" style="103"/>
    <col min="3160" max="3160" width="1.375" style="103" customWidth="1"/>
    <col min="3161" max="3161" width="3.625" style="103" customWidth="1"/>
    <col min="3162" max="3165" width="2.125" style="103" customWidth="1"/>
    <col min="3166" max="3170" width="8.625" style="103" customWidth="1"/>
    <col min="3171" max="3171" width="24" style="103" customWidth="1"/>
    <col min="3172" max="3173" width="8" style="103" customWidth="1"/>
    <col min="3174" max="3176" width="8.125" style="103" customWidth="1"/>
    <col min="3177" max="3182" width="8.625" style="103" customWidth="1"/>
    <col min="3183" max="3183" width="11.375" style="103" customWidth="1"/>
    <col min="3184" max="3184" width="10.125" style="103" customWidth="1"/>
    <col min="3185" max="3187" width="5.625" style="103" customWidth="1"/>
    <col min="3188" max="3189" width="8.625" style="103" customWidth="1"/>
    <col min="3190" max="3190" width="14.375" style="103" customWidth="1"/>
    <col min="3191" max="3415" width="9" style="103"/>
    <col min="3416" max="3416" width="1.375" style="103" customWidth="1"/>
    <col min="3417" max="3417" width="3.625" style="103" customWidth="1"/>
    <col min="3418" max="3421" width="2.125" style="103" customWidth="1"/>
    <col min="3422" max="3426" width="8.625" style="103" customWidth="1"/>
    <col min="3427" max="3427" width="24" style="103" customWidth="1"/>
    <col min="3428" max="3429" width="8" style="103" customWidth="1"/>
    <col min="3430" max="3432" width="8.125" style="103" customWidth="1"/>
    <col min="3433" max="3438" width="8.625" style="103" customWidth="1"/>
    <col min="3439" max="3439" width="11.375" style="103" customWidth="1"/>
    <col min="3440" max="3440" width="10.125" style="103" customWidth="1"/>
    <col min="3441" max="3443" width="5.625" style="103" customWidth="1"/>
    <col min="3444" max="3445" width="8.625" style="103" customWidth="1"/>
    <col min="3446" max="3446" width="14.375" style="103" customWidth="1"/>
    <col min="3447" max="3671" width="9" style="103"/>
    <col min="3672" max="3672" width="1.375" style="103" customWidth="1"/>
    <col min="3673" max="3673" width="3.625" style="103" customWidth="1"/>
    <col min="3674" max="3677" width="2.125" style="103" customWidth="1"/>
    <col min="3678" max="3682" width="8.625" style="103" customWidth="1"/>
    <col min="3683" max="3683" width="24" style="103" customWidth="1"/>
    <col min="3684" max="3685" width="8" style="103" customWidth="1"/>
    <col min="3686" max="3688" width="8.125" style="103" customWidth="1"/>
    <col min="3689" max="3694" width="8.625" style="103" customWidth="1"/>
    <col min="3695" max="3695" width="11.375" style="103" customWidth="1"/>
    <col min="3696" max="3696" width="10.125" style="103" customWidth="1"/>
    <col min="3697" max="3699" width="5.625" style="103" customWidth="1"/>
    <col min="3700" max="3701" width="8.625" style="103" customWidth="1"/>
    <col min="3702" max="3702" width="14.375" style="103" customWidth="1"/>
    <col min="3703" max="3927" width="9" style="103"/>
    <col min="3928" max="3928" width="1.375" style="103" customWidth="1"/>
    <col min="3929" max="3929" width="3.625" style="103" customWidth="1"/>
    <col min="3930" max="3933" width="2.125" style="103" customWidth="1"/>
    <col min="3934" max="3938" width="8.625" style="103" customWidth="1"/>
    <col min="3939" max="3939" width="24" style="103" customWidth="1"/>
    <col min="3940" max="3941" width="8" style="103" customWidth="1"/>
    <col min="3942" max="3944" width="8.125" style="103" customWidth="1"/>
    <col min="3945" max="3950" width="8.625" style="103" customWidth="1"/>
    <col min="3951" max="3951" width="11.375" style="103" customWidth="1"/>
    <col min="3952" max="3952" width="10.125" style="103" customWidth="1"/>
    <col min="3953" max="3955" width="5.625" style="103" customWidth="1"/>
    <col min="3956" max="3957" width="8.625" style="103" customWidth="1"/>
    <col min="3958" max="3958" width="14.375" style="103" customWidth="1"/>
    <col min="3959" max="4183" width="9" style="103"/>
    <col min="4184" max="4184" width="1.375" style="103" customWidth="1"/>
    <col min="4185" max="4185" width="3.625" style="103" customWidth="1"/>
    <col min="4186" max="4189" width="2.125" style="103" customWidth="1"/>
    <col min="4190" max="4194" width="8.625" style="103" customWidth="1"/>
    <col min="4195" max="4195" width="24" style="103" customWidth="1"/>
    <col min="4196" max="4197" width="8" style="103" customWidth="1"/>
    <col min="4198" max="4200" width="8.125" style="103" customWidth="1"/>
    <col min="4201" max="4206" width="8.625" style="103" customWidth="1"/>
    <col min="4207" max="4207" width="11.375" style="103" customWidth="1"/>
    <col min="4208" max="4208" width="10.125" style="103" customWidth="1"/>
    <col min="4209" max="4211" width="5.625" style="103" customWidth="1"/>
    <col min="4212" max="4213" width="8.625" style="103" customWidth="1"/>
    <col min="4214" max="4214" width="14.375" style="103" customWidth="1"/>
    <col min="4215" max="4439" width="9" style="103"/>
    <col min="4440" max="4440" width="1.375" style="103" customWidth="1"/>
    <col min="4441" max="4441" width="3.625" style="103" customWidth="1"/>
    <col min="4442" max="4445" width="2.125" style="103" customWidth="1"/>
    <col min="4446" max="4450" width="8.625" style="103" customWidth="1"/>
    <col min="4451" max="4451" width="24" style="103" customWidth="1"/>
    <col min="4452" max="4453" width="8" style="103" customWidth="1"/>
    <col min="4454" max="4456" width="8.125" style="103" customWidth="1"/>
    <col min="4457" max="4462" width="8.625" style="103" customWidth="1"/>
    <col min="4463" max="4463" width="11.375" style="103" customWidth="1"/>
    <col min="4464" max="4464" width="10.125" style="103" customWidth="1"/>
    <col min="4465" max="4467" width="5.625" style="103" customWidth="1"/>
    <col min="4468" max="4469" width="8.625" style="103" customWidth="1"/>
    <col min="4470" max="4470" width="14.375" style="103" customWidth="1"/>
    <col min="4471" max="4695" width="9" style="103"/>
    <col min="4696" max="4696" width="1.375" style="103" customWidth="1"/>
    <col min="4697" max="4697" width="3.625" style="103" customWidth="1"/>
    <col min="4698" max="4701" width="2.125" style="103" customWidth="1"/>
    <col min="4702" max="4706" width="8.625" style="103" customWidth="1"/>
    <col min="4707" max="4707" width="24" style="103" customWidth="1"/>
    <col min="4708" max="4709" width="8" style="103" customWidth="1"/>
    <col min="4710" max="4712" width="8.125" style="103" customWidth="1"/>
    <col min="4713" max="4718" width="8.625" style="103" customWidth="1"/>
    <col min="4719" max="4719" width="11.375" style="103" customWidth="1"/>
    <col min="4720" max="4720" width="10.125" style="103" customWidth="1"/>
    <col min="4721" max="4723" width="5.625" style="103" customWidth="1"/>
    <col min="4724" max="4725" width="8.625" style="103" customWidth="1"/>
    <col min="4726" max="4726" width="14.375" style="103" customWidth="1"/>
    <col min="4727" max="4951" width="9" style="103"/>
    <col min="4952" max="4952" width="1.375" style="103" customWidth="1"/>
    <col min="4953" max="4953" width="3.625" style="103" customWidth="1"/>
    <col min="4954" max="4957" width="2.125" style="103" customWidth="1"/>
    <col min="4958" max="4962" width="8.625" style="103" customWidth="1"/>
    <col min="4963" max="4963" width="24" style="103" customWidth="1"/>
    <col min="4964" max="4965" width="8" style="103" customWidth="1"/>
    <col min="4966" max="4968" width="8.125" style="103" customWidth="1"/>
    <col min="4969" max="4974" width="8.625" style="103" customWidth="1"/>
    <col min="4975" max="4975" width="11.375" style="103" customWidth="1"/>
    <col min="4976" max="4976" width="10.125" style="103" customWidth="1"/>
    <col min="4977" max="4979" width="5.625" style="103" customWidth="1"/>
    <col min="4980" max="4981" width="8.625" style="103" customWidth="1"/>
    <col min="4982" max="4982" width="14.375" style="103" customWidth="1"/>
    <col min="4983" max="5207" width="9" style="103"/>
    <col min="5208" max="5208" width="1.375" style="103" customWidth="1"/>
    <col min="5209" max="5209" width="3.625" style="103" customWidth="1"/>
    <col min="5210" max="5213" width="2.125" style="103" customWidth="1"/>
    <col min="5214" max="5218" width="8.625" style="103" customWidth="1"/>
    <col min="5219" max="5219" width="24" style="103" customWidth="1"/>
    <col min="5220" max="5221" width="8" style="103" customWidth="1"/>
    <col min="5222" max="5224" width="8.125" style="103" customWidth="1"/>
    <col min="5225" max="5230" width="8.625" style="103" customWidth="1"/>
    <col min="5231" max="5231" width="11.375" style="103" customWidth="1"/>
    <col min="5232" max="5232" width="10.125" style="103" customWidth="1"/>
    <col min="5233" max="5235" width="5.625" style="103" customWidth="1"/>
    <col min="5236" max="5237" width="8.625" style="103" customWidth="1"/>
    <col min="5238" max="5238" width="14.375" style="103" customWidth="1"/>
    <col min="5239" max="5463" width="9" style="103"/>
    <col min="5464" max="5464" width="1.375" style="103" customWidth="1"/>
    <col min="5465" max="5465" width="3.625" style="103" customWidth="1"/>
    <col min="5466" max="5469" width="2.125" style="103" customWidth="1"/>
    <col min="5470" max="5474" width="8.625" style="103" customWidth="1"/>
    <col min="5475" max="5475" width="24" style="103" customWidth="1"/>
    <col min="5476" max="5477" width="8" style="103" customWidth="1"/>
    <col min="5478" max="5480" width="8.125" style="103" customWidth="1"/>
    <col min="5481" max="5486" width="8.625" style="103" customWidth="1"/>
    <col min="5487" max="5487" width="11.375" style="103" customWidth="1"/>
    <col min="5488" max="5488" width="10.125" style="103" customWidth="1"/>
    <col min="5489" max="5491" width="5.625" style="103" customWidth="1"/>
    <col min="5492" max="5493" width="8.625" style="103" customWidth="1"/>
    <col min="5494" max="5494" width="14.375" style="103" customWidth="1"/>
    <col min="5495" max="5719" width="9" style="103"/>
    <col min="5720" max="5720" width="1.375" style="103" customWidth="1"/>
    <col min="5721" max="5721" width="3.625" style="103" customWidth="1"/>
    <col min="5722" max="5725" width="2.125" style="103" customWidth="1"/>
    <col min="5726" max="5730" width="8.625" style="103" customWidth="1"/>
    <col min="5731" max="5731" width="24" style="103" customWidth="1"/>
    <col min="5732" max="5733" width="8" style="103" customWidth="1"/>
    <col min="5734" max="5736" width="8.125" style="103" customWidth="1"/>
    <col min="5737" max="5742" width="8.625" style="103" customWidth="1"/>
    <col min="5743" max="5743" width="11.375" style="103" customWidth="1"/>
    <col min="5744" max="5744" width="10.125" style="103" customWidth="1"/>
    <col min="5745" max="5747" width="5.625" style="103" customWidth="1"/>
    <col min="5748" max="5749" width="8.625" style="103" customWidth="1"/>
    <col min="5750" max="5750" width="14.375" style="103" customWidth="1"/>
    <col min="5751" max="5975" width="9" style="103"/>
    <col min="5976" max="5976" width="1.375" style="103" customWidth="1"/>
    <col min="5977" max="5977" width="3.625" style="103" customWidth="1"/>
    <col min="5978" max="5981" width="2.125" style="103" customWidth="1"/>
    <col min="5982" max="5986" width="8.625" style="103" customWidth="1"/>
    <col min="5987" max="5987" width="24" style="103" customWidth="1"/>
    <col min="5988" max="5989" width="8" style="103" customWidth="1"/>
    <col min="5990" max="5992" width="8.125" style="103" customWidth="1"/>
    <col min="5993" max="5998" width="8.625" style="103" customWidth="1"/>
    <col min="5999" max="5999" width="11.375" style="103" customWidth="1"/>
    <col min="6000" max="6000" width="10.125" style="103" customWidth="1"/>
    <col min="6001" max="6003" width="5.625" style="103" customWidth="1"/>
    <col min="6004" max="6005" width="8.625" style="103" customWidth="1"/>
    <col min="6006" max="6006" width="14.375" style="103" customWidth="1"/>
    <col min="6007" max="6231" width="9" style="103"/>
    <col min="6232" max="6232" width="1.375" style="103" customWidth="1"/>
    <col min="6233" max="6233" width="3.625" style="103" customWidth="1"/>
    <col min="6234" max="6237" width="2.125" style="103" customWidth="1"/>
    <col min="6238" max="6242" width="8.625" style="103" customWidth="1"/>
    <col min="6243" max="6243" width="24" style="103" customWidth="1"/>
    <col min="6244" max="6245" width="8" style="103" customWidth="1"/>
    <col min="6246" max="6248" width="8.125" style="103" customWidth="1"/>
    <col min="6249" max="6254" width="8.625" style="103" customWidth="1"/>
    <col min="6255" max="6255" width="11.375" style="103" customWidth="1"/>
    <col min="6256" max="6256" width="10.125" style="103" customWidth="1"/>
    <col min="6257" max="6259" width="5.625" style="103" customWidth="1"/>
    <col min="6260" max="6261" width="8.625" style="103" customWidth="1"/>
    <col min="6262" max="6262" width="14.375" style="103" customWidth="1"/>
    <col min="6263" max="6487" width="9" style="103"/>
    <col min="6488" max="6488" width="1.375" style="103" customWidth="1"/>
    <col min="6489" max="6489" width="3.625" style="103" customWidth="1"/>
    <col min="6490" max="6493" width="2.125" style="103" customWidth="1"/>
    <col min="6494" max="6498" width="8.625" style="103" customWidth="1"/>
    <col min="6499" max="6499" width="24" style="103" customWidth="1"/>
    <col min="6500" max="6501" width="8" style="103" customWidth="1"/>
    <col min="6502" max="6504" width="8.125" style="103" customWidth="1"/>
    <col min="6505" max="6510" width="8.625" style="103" customWidth="1"/>
    <col min="6511" max="6511" width="11.375" style="103" customWidth="1"/>
    <col min="6512" max="6512" width="10.125" style="103" customWidth="1"/>
    <col min="6513" max="6515" width="5.625" style="103" customWidth="1"/>
    <col min="6516" max="6517" width="8.625" style="103" customWidth="1"/>
    <col min="6518" max="6518" width="14.375" style="103" customWidth="1"/>
    <col min="6519" max="6743" width="9" style="103"/>
    <col min="6744" max="6744" width="1.375" style="103" customWidth="1"/>
    <col min="6745" max="6745" width="3.625" style="103" customWidth="1"/>
    <col min="6746" max="6749" width="2.125" style="103" customWidth="1"/>
    <col min="6750" max="6754" width="8.625" style="103" customWidth="1"/>
    <col min="6755" max="6755" width="24" style="103" customWidth="1"/>
    <col min="6756" max="6757" width="8" style="103" customWidth="1"/>
    <col min="6758" max="6760" width="8.125" style="103" customWidth="1"/>
    <col min="6761" max="6766" width="8.625" style="103" customWidth="1"/>
    <col min="6767" max="6767" width="11.375" style="103" customWidth="1"/>
    <col min="6768" max="6768" width="10.125" style="103" customWidth="1"/>
    <col min="6769" max="6771" width="5.625" style="103" customWidth="1"/>
    <col min="6772" max="6773" width="8.625" style="103" customWidth="1"/>
    <col min="6774" max="6774" width="14.375" style="103" customWidth="1"/>
    <col min="6775" max="6999" width="9" style="103"/>
    <col min="7000" max="7000" width="1.375" style="103" customWidth="1"/>
    <col min="7001" max="7001" width="3.625" style="103" customWidth="1"/>
    <col min="7002" max="7005" width="2.125" style="103" customWidth="1"/>
    <col min="7006" max="7010" width="8.625" style="103" customWidth="1"/>
    <col min="7011" max="7011" width="24" style="103" customWidth="1"/>
    <col min="7012" max="7013" width="8" style="103" customWidth="1"/>
    <col min="7014" max="7016" width="8.125" style="103" customWidth="1"/>
    <col min="7017" max="7022" width="8.625" style="103" customWidth="1"/>
    <col min="7023" max="7023" width="11.375" style="103" customWidth="1"/>
    <col min="7024" max="7024" width="10.125" style="103" customWidth="1"/>
    <col min="7025" max="7027" width="5.625" style="103" customWidth="1"/>
    <col min="7028" max="7029" width="8.625" style="103" customWidth="1"/>
    <col min="7030" max="7030" width="14.375" style="103" customWidth="1"/>
    <col min="7031" max="7255" width="9" style="103"/>
    <col min="7256" max="7256" width="1.375" style="103" customWidth="1"/>
    <col min="7257" max="7257" width="3.625" style="103" customWidth="1"/>
    <col min="7258" max="7261" width="2.125" style="103" customWidth="1"/>
    <col min="7262" max="7266" width="8.625" style="103" customWidth="1"/>
    <col min="7267" max="7267" width="24" style="103" customWidth="1"/>
    <col min="7268" max="7269" width="8" style="103" customWidth="1"/>
    <col min="7270" max="7272" width="8.125" style="103" customWidth="1"/>
    <col min="7273" max="7278" width="8.625" style="103" customWidth="1"/>
    <col min="7279" max="7279" width="11.375" style="103" customWidth="1"/>
    <col min="7280" max="7280" width="10.125" style="103" customWidth="1"/>
    <col min="7281" max="7283" width="5.625" style="103" customWidth="1"/>
    <col min="7284" max="7285" width="8.625" style="103" customWidth="1"/>
    <col min="7286" max="7286" width="14.375" style="103" customWidth="1"/>
    <col min="7287" max="7511" width="9" style="103"/>
    <col min="7512" max="7512" width="1.375" style="103" customWidth="1"/>
    <col min="7513" max="7513" width="3.625" style="103" customWidth="1"/>
    <col min="7514" max="7517" width="2.125" style="103" customWidth="1"/>
    <col min="7518" max="7522" width="8.625" style="103" customWidth="1"/>
    <col min="7523" max="7523" width="24" style="103" customWidth="1"/>
    <col min="7524" max="7525" width="8" style="103" customWidth="1"/>
    <col min="7526" max="7528" width="8.125" style="103" customWidth="1"/>
    <col min="7529" max="7534" width="8.625" style="103" customWidth="1"/>
    <col min="7535" max="7535" width="11.375" style="103" customWidth="1"/>
    <col min="7536" max="7536" width="10.125" style="103" customWidth="1"/>
    <col min="7537" max="7539" width="5.625" style="103" customWidth="1"/>
    <col min="7540" max="7541" width="8.625" style="103" customWidth="1"/>
    <col min="7542" max="7542" width="14.375" style="103" customWidth="1"/>
    <col min="7543" max="7767" width="9" style="103"/>
    <col min="7768" max="7768" width="1.375" style="103" customWidth="1"/>
    <col min="7769" max="7769" width="3.625" style="103" customWidth="1"/>
    <col min="7770" max="7773" width="2.125" style="103" customWidth="1"/>
    <col min="7774" max="7778" width="8.625" style="103" customWidth="1"/>
    <col min="7779" max="7779" width="24" style="103" customWidth="1"/>
    <col min="7780" max="7781" width="8" style="103" customWidth="1"/>
    <col min="7782" max="7784" width="8.125" style="103" customWidth="1"/>
    <col min="7785" max="7790" width="8.625" style="103" customWidth="1"/>
    <col min="7791" max="7791" width="11.375" style="103" customWidth="1"/>
    <col min="7792" max="7792" width="10.125" style="103" customWidth="1"/>
    <col min="7793" max="7795" width="5.625" style="103" customWidth="1"/>
    <col min="7796" max="7797" width="8.625" style="103" customWidth="1"/>
    <col min="7798" max="7798" width="14.375" style="103" customWidth="1"/>
    <col min="7799" max="8023" width="9" style="103"/>
    <col min="8024" max="8024" width="1.375" style="103" customWidth="1"/>
    <col min="8025" max="8025" width="3.625" style="103" customWidth="1"/>
    <col min="8026" max="8029" width="2.125" style="103" customWidth="1"/>
    <col min="8030" max="8034" width="8.625" style="103" customWidth="1"/>
    <col min="8035" max="8035" width="24" style="103" customWidth="1"/>
    <col min="8036" max="8037" width="8" style="103" customWidth="1"/>
    <col min="8038" max="8040" width="8.125" style="103" customWidth="1"/>
    <col min="8041" max="8046" width="8.625" style="103" customWidth="1"/>
    <col min="8047" max="8047" width="11.375" style="103" customWidth="1"/>
    <col min="8048" max="8048" width="10.125" style="103" customWidth="1"/>
    <col min="8049" max="8051" width="5.625" style="103" customWidth="1"/>
    <col min="8052" max="8053" width="8.625" style="103" customWidth="1"/>
    <col min="8054" max="8054" width="14.375" style="103" customWidth="1"/>
    <col min="8055" max="8279" width="9" style="103"/>
    <col min="8280" max="8280" width="1.375" style="103" customWidth="1"/>
    <col min="8281" max="8281" width="3.625" style="103" customWidth="1"/>
    <col min="8282" max="8285" width="2.125" style="103" customWidth="1"/>
    <col min="8286" max="8290" width="8.625" style="103" customWidth="1"/>
    <col min="8291" max="8291" width="24" style="103" customWidth="1"/>
    <col min="8292" max="8293" width="8" style="103" customWidth="1"/>
    <col min="8294" max="8296" width="8.125" style="103" customWidth="1"/>
    <col min="8297" max="8302" width="8.625" style="103" customWidth="1"/>
    <col min="8303" max="8303" width="11.375" style="103" customWidth="1"/>
    <col min="8304" max="8304" width="10.125" style="103" customWidth="1"/>
    <col min="8305" max="8307" width="5.625" style="103" customWidth="1"/>
    <col min="8308" max="8309" width="8.625" style="103" customWidth="1"/>
    <col min="8310" max="8310" width="14.375" style="103" customWidth="1"/>
    <col min="8311" max="8535" width="9" style="103"/>
    <col min="8536" max="8536" width="1.375" style="103" customWidth="1"/>
    <col min="8537" max="8537" width="3.625" style="103" customWidth="1"/>
    <col min="8538" max="8541" width="2.125" style="103" customWidth="1"/>
    <col min="8542" max="8546" width="8.625" style="103" customWidth="1"/>
    <col min="8547" max="8547" width="24" style="103" customWidth="1"/>
    <col min="8548" max="8549" width="8" style="103" customWidth="1"/>
    <col min="8550" max="8552" width="8.125" style="103" customWidth="1"/>
    <col min="8553" max="8558" width="8.625" style="103" customWidth="1"/>
    <col min="8559" max="8559" width="11.375" style="103" customWidth="1"/>
    <col min="8560" max="8560" width="10.125" style="103" customWidth="1"/>
    <col min="8561" max="8563" width="5.625" style="103" customWidth="1"/>
    <col min="8564" max="8565" width="8.625" style="103" customWidth="1"/>
    <col min="8566" max="8566" width="14.375" style="103" customWidth="1"/>
    <col min="8567" max="8791" width="9" style="103"/>
    <col min="8792" max="8792" width="1.375" style="103" customWidth="1"/>
    <col min="8793" max="8793" width="3.625" style="103" customWidth="1"/>
    <col min="8794" max="8797" width="2.125" style="103" customWidth="1"/>
    <col min="8798" max="8802" width="8.625" style="103" customWidth="1"/>
    <col min="8803" max="8803" width="24" style="103" customWidth="1"/>
    <col min="8804" max="8805" width="8" style="103" customWidth="1"/>
    <col min="8806" max="8808" width="8.125" style="103" customWidth="1"/>
    <col min="8809" max="8814" width="8.625" style="103" customWidth="1"/>
    <col min="8815" max="8815" width="11.375" style="103" customWidth="1"/>
    <col min="8816" max="8816" width="10.125" style="103" customWidth="1"/>
    <col min="8817" max="8819" width="5.625" style="103" customWidth="1"/>
    <col min="8820" max="8821" width="8.625" style="103" customWidth="1"/>
    <col min="8822" max="8822" width="14.375" style="103" customWidth="1"/>
    <col min="8823" max="9047" width="9" style="103"/>
    <col min="9048" max="9048" width="1.375" style="103" customWidth="1"/>
    <col min="9049" max="9049" width="3.625" style="103" customWidth="1"/>
    <col min="9050" max="9053" width="2.125" style="103" customWidth="1"/>
    <col min="9054" max="9058" width="8.625" style="103" customWidth="1"/>
    <col min="9059" max="9059" width="24" style="103" customWidth="1"/>
    <col min="9060" max="9061" width="8" style="103" customWidth="1"/>
    <col min="9062" max="9064" width="8.125" style="103" customWidth="1"/>
    <col min="9065" max="9070" width="8.625" style="103" customWidth="1"/>
    <col min="9071" max="9071" width="11.375" style="103" customWidth="1"/>
    <col min="9072" max="9072" width="10.125" style="103" customWidth="1"/>
    <col min="9073" max="9075" width="5.625" style="103" customWidth="1"/>
    <col min="9076" max="9077" width="8.625" style="103" customWidth="1"/>
    <col min="9078" max="9078" width="14.375" style="103" customWidth="1"/>
    <col min="9079" max="9303" width="9" style="103"/>
    <col min="9304" max="9304" width="1.375" style="103" customWidth="1"/>
    <col min="9305" max="9305" width="3.625" style="103" customWidth="1"/>
    <col min="9306" max="9309" width="2.125" style="103" customWidth="1"/>
    <col min="9310" max="9314" width="8.625" style="103" customWidth="1"/>
    <col min="9315" max="9315" width="24" style="103" customWidth="1"/>
    <col min="9316" max="9317" width="8" style="103" customWidth="1"/>
    <col min="9318" max="9320" width="8.125" style="103" customWidth="1"/>
    <col min="9321" max="9326" width="8.625" style="103" customWidth="1"/>
    <col min="9327" max="9327" width="11.375" style="103" customWidth="1"/>
    <col min="9328" max="9328" width="10.125" style="103" customWidth="1"/>
    <col min="9329" max="9331" width="5.625" style="103" customWidth="1"/>
    <col min="9332" max="9333" width="8.625" style="103" customWidth="1"/>
    <col min="9334" max="9334" width="14.375" style="103" customWidth="1"/>
    <col min="9335" max="9559" width="9" style="103"/>
    <col min="9560" max="9560" width="1.375" style="103" customWidth="1"/>
    <col min="9561" max="9561" width="3.625" style="103" customWidth="1"/>
    <col min="9562" max="9565" width="2.125" style="103" customWidth="1"/>
    <col min="9566" max="9570" width="8.625" style="103" customWidth="1"/>
    <col min="9571" max="9571" width="24" style="103" customWidth="1"/>
    <col min="9572" max="9573" width="8" style="103" customWidth="1"/>
    <col min="9574" max="9576" width="8.125" style="103" customWidth="1"/>
    <col min="9577" max="9582" width="8.625" style="103" customWidth="1"/>
    <col min="9583" max="9583" width="11.375" style="103" customWidth="1"/>
    <col min="9584" max="9584" width="10.125" style="103" customWidth="1"/>
    <col min="9585" max="9587" width="5.625" style="103" customWidth="1"/>
    <col min="9588" max="9589" width="8.625" style="103" customWidth="1"/>
    <col min="9590" max="9590" width="14.375" style="103" customWidth="1"/>
    <col min="9591" max="9815" width="9" style="103"/>
    <col min="9816" max="9816" width="1.375" style="103" customWidth="1"/>
    <col min="9817" max="9817" width="3.625" style="103" customWidth="1"/>
    <col min="9818" max="9821" width="2.125" style="103" customWidth="1"/>
    <col min="9822" max="9826" width="8.625" style="103" customWidth="1"/>
    <col min="9827" max="9827" width="24" style="103" customWidth="1"/>
    <col min="9828" max="9829" width="8" style="103" customWidth="1"/>
    <col min="9830" max="9832" width="8.125" style="103" customWidth="1"/>
    <col min="9833" max="9838" width="8.625" style="103" customWidth="1"/>
    <col min="9839" max="9839" width="11.375" style="103" customWidth="1"/>
    <col min="9840" max="9840" width="10.125" style="103" customWidth="1"/>
    <col min="9841" max="9843" width="5.625" style="103" customWidth="1"/>
    <col min="9844" max="9845" width="8.625" style="103" customWidth="1"/>
    <col min="9846" max="9846" width="14.375" style="103" customWidth="1"/>
    <col min="9847" max="10071" width="9" style="103"/>
    <col min="10072" max="10072" width="1.375" style="103" customWidth="1"/>
    <col min="10073" max="10073" width="3.625" style="103" customWidth="1"/>
    <col min="10074" max="10077" width="2.125" style="103" customWidth="1"/>
    <col min="10078" max="10082" width="8.625" style="103" customWidth="1"/>
    <col min="10083" max="10083" width="24" style="103" customWidth="1"/>
    <col min="10084" max="10085" width="8" style="103" customWidth="1"/>
    <col min="10086" max="10088" width="8.125" style="103" customWidth="1"/>
    <col min="10089" max="10094" width="8.625" style="103" customWidth="1"/>
    <col min="10095" max="10095" width="11.375" style="103" customWidth="1"/>
    <col min="10096" max="10096" width="10.125" style="103" customWidth="1"/>
    <col min="10097" max="10099" width="5.625" style="103" customWidth="1"/>
    <col min="10100" max="10101" width="8.625" style="103" customWidth="1"/>
    <col min="10102" max="10102" width="14.375" style="103" customWidth="1"/>
    <col min="10103" max="10327" width="9" style="103"/>
    <col min="10328" max="10328" width="1.375" style="103" customWidth="1"/>
    <col min="10329" max="10329" width="3.625" style="103" customWidth="1"/>
    <col min="10330" max="10333" width="2.125" style="103" customWidth="1"/>
    <col min="10334" max="10338" width="8.625" style="103" customWidth="1"/>
    <col min="10339" max="10339" width="24" style="103" customWidth="1"/>
    <col min="10340" max="10341" width="8" style="103" customWidth="1"/>
    <col min="10342" max="10344" width="8.125" style="103" customWidth="1"/>
    <col min="10345" max="10350" width="8.625" style="103" customWidth="1"/>
    <col min="10351" max="10351" width="11.375" style="103" customWidth="1"/>
    <col min="10352" max="10352" width="10.125" style="103" customWidth="1"/>
    <col min="10353" max="10355" width="5.625" style="103" customWidth="1"/>
    <col min="10356" max="10357" width="8.625" style="103" customWidth="1"/>
    <col min="10358" max="10358" width="14.375" style="103" customWidth="1"/>
    <col min="10359" max="10583" width="9" style="103"/>
    <col min="10584" max="10584" width="1.375" style="103" customWidth="1"/>
    <col min="10585" max="10585" width="3.625" style="103" customWidth="1"/>
    <col min="10586" max="10589" width="2.125" style="103" customWidth="1"/>
    <col min="10590" max="10594" width="8.625" style="103" customWidth="1"/>
    <col min="10595" max="10595" width="24" style="103" customWidth="1"/>
    <col min="10596" max="10597" width="8" style="103" customWidth="1"/>
    <col min="10598" max="10600" width="8.125" style="103" customWidth="1"/>
    <col min="10601" max="10606" width="8.625" style="103" customWidth="1"/>
    <col min="10607" max="10607" width="11.375" style="103" customWidth="1"/>
    <col min="10608" max="10608" width="10.125" style="103" customWidth="1"/>
    <col min="10609" max="10611" width="5.625" style="103" customWidth="1"/>
    <col min="10612" max="10613" width="8.625" style="103" customWidth="1"/>
    <col min="10614" max="10614" width="14.375" style="103" customWidth="1"/>
    <col min="10615" max="10839" width="9" style="103"/>
    <col min="10840" max="10840" width="1.375" style="103" customWidth="1"/>
    <col min="10841" max="10841" width="3.625" style="103" customWidth="1"/>
    <col min="10842" max="10845" width="2.125" style="103" customWidth="1"/>
    <col min="10846" max="10850" width="8.625" style="103" customWidth="1"/>
    <col min="10851" max="10851" width="24" style="103" customWidth="1"/>
    <col min="10852" max="10853" width="8" style="103" customWidth="1"/>
    <col min="10854" max="10856" width="8.125" style="103" customWidth="1"/>
    <col min="10857" max="10862" width="8.625" style="103" customWidth="1"/>
    <col min="10863" max="10863" width="11.375" style="103" customWidth="1"/>
    <col min="10864" max="10864" width="10.125" style="103" customWidth="1"/>
    <col min="10865" max="10867" width="5.625" style="103" customWidth="1"/>
    <col min="10868" max="10869" width="8.625" style="103" customWidth="1"/>
    <col min="10870" max="10870" width="14.375" style="103" customWidth="1"/>
    <col min="10871" max="11095" width="9" style="103"/>
    <col min="11096" max="11096" width="1.375" style="103" customWidth="1"/>
    <col min="11097" max="11097" width="3.625" style="103" customWidth="1"/>
    <col min="11098" max="11101" width="2.125" style="103" customWidth="1"/>
    <col min="11102" max="11106" width="8.625" style="103" customWidth="1"/>
    <col min="11107" max="11107" width="24" style="103" customWidth="1"/>
    <col min="11108" max="11109" width="8" style="103" customWidth="1"/>
    <col min="11110" max="11112" width="8.125" style="103" customWidth="1"/>
    <col min="11113" max="11118" width="8.625" style="103" customWidth="1"/>
    <col min="11119" max="11119" width="11.375" style="103" customWidth="1"/>
    <col min="11120" max="11120" width="10.125" style="103" customWidth="1"/>
    <col min="11121" max="11123" width="5.625" style="103" customWidth="1"/>
    <col min="11124" max="11125" width="8.625" style="103" customWidth="1"/>
    <col min="11126" max="11126" width="14.375" style="103" customWidth="1"/>
    <col min="11127" max="11351" width="9" style="103"/>
    <col min="11352" max="11352" width="1.375" style="103" customWidth="1"/>
    <col min="11353" max="11353" width="3.625" style="103" customWidth="1"/>
    <col min="11354" max="11357" width="2.125" style="103" customWidth="1"/>
    <col min="11358" max="11362" width="8.625" style="103" customWidth="1"/>
    <col min="11363" max="11363" width="24" style="103" customWidth="1"/>
    <col min="11364" max="11365" width="8" style="103" customWidth="1"/>
    <col min="11366" max="11368" width="8.125" style="103" customWidth="1"/>
    <col min="11369" max="11374" width="8.625" style="103" customWidth="1"/>
    <col min="11375" max="11375" width="11.375" style="103" customWidth="1"/>
    <col min="11376" max="11376" width="10.125" style="103" customWidth="1"/>
    <col min="11377" max="11379" width="5.625" style="103" customWidth="1"/>
    <col min="11380" max="11381" width="8.625" style="103" customWidth="1"/>
    <col min="11382" max="11382" width="14.375" style="103" customWidth="1"/>
    <col min="11383" max="11607" width="9" style="103"/>
    <col min="11608" max="11608" width="1.375" style="103" customWidth="1"/>
    <col min="11609" max="11609" width="3.625" style="103" customWidth="1"/>
    <col min="11610" max="11613" width="2.125" style="103" customWidth="1"/>
    <col min="11614" max="11618" width="8.625" style="103" customWidth="1"/>
    <col min="11619" max="11619" width="24" style="103" customWidth="1"/>
    <col min="11620" max="11621" width="8" style="103" customWidth="1"/>
    <col min="11622" max="11624" width="8.125" style="103" customWidth="1"/>
    <col min="11625" max="11630" width="8.625" style="103" customWidth="1"/>
    <col min="11631" max="11631" width="11.375" style="103" customWidth="1"/>
    <col min="11632" max="11632" width="10.125" style="103" customWidth="1"/>
    <col min="11633" max="11635" width="5.625" style="103" customWidth="1"/>
    <col min="11636" max="11637" width="8.625" style="103" customWidth="1"/>
    <col min="11638" max="11638" width="14.375" style="103" customWidth="1"/>
    <col min="11639" max="11863" width="9" style="103"/>
    <col min="11864" max="11864" width="1.375" style="103" customWidth="1"/>
    <col min="11865" max="11865" width="3.625" style="103" customWidth="1"/>
    <col min="11866" max="11869" width="2.125" style="103" customWidth="1"/>
    <col min="11870" max="11874" width="8.625" style="103" customWidth="1"/>
    <col min="11875" max="11875" width="24" style="103" customWidth="1"/>
    <col min="11876" max="11877" width="8" style="103" customWidth="1"/>
    <col min="11878" max="11880" width="8.125" style="103" customWidth="1"/>
    <col min="11881" max="11886" width="8.625" style="103" customWidth="1"/>
    <col min="11887" max="11887" width="11.375" style="103" customWidth="1"/>
    <col min="11888" max="11888" width="10.125" style="103" customWidth="1"/>
    <col min="11889" max="11891" width="5.625" style="103" customWidth="1"/>
    <col min="11892" max="11893" width="8.625" style="103" customWidth="1"/>
    <col min="11894" max="11894" width="14.375" style="103" customWidth="1"/>
    <col min="11895" max="12119" width="9" style="103"/>
    <col min="12120" max="12120" width="1.375" style="103" customWidth="1"/>
    <col min="12121" max="12121" width="3.625" style="103" customWidth="1"/>
    <col min="12122" max="12125" width="2.125" style="103" customWidth="1"/>
    <col min="12126" max="12130" width="8.625" style="103" customWidth="1"/>
    <col min="12131" max="12131" width="24" style="103" customWidth="1"/>
    <col min="12132" max="12133" width="8" style="103" customWidth="1"/>
    <col min="12134" max="12136" width="8.125" style="103" customWidth="1"/>
    <col min="12137" max="12142" width="8.625" style="103" customWidth="1"/>
    <col min="12143" max="12143" width="11.375" style="103" customWidth="1"/>
    <col min="12144" max="12144" width="10.125" style="103" customWidth="1"/>
    <col min="12145" max="12147" width="5.625" style="103" customWidth="1"/>
    <col min="12148" max="12149" width="8.625" style="103" customWidth="1"/>
    <col min="12150" max="12150" width="14.375" style="103" customWidth="1"/>
    <col min="12151" max="12375" width="9" style="103"/>
    <col min="12376" max="12376" width="1.375" style="103" customWidth="1"/>
    <col min="12377" max="12377" width="3.625" style="103" customWidth="1"/>
    <col min="12378" max="12381" width="2.125" style="103" customWidth="1"/>
    <col min="12382" max="12386" width="8.625" style="103" customWidth="1"/>
    <col min="12387" max="12387" width="24" style="103" customWidth="1"/>
    <col min="12388" max="12389" width="8" style="103" customWidth="1"/>
    <col min="12390" max="12392" width="8.125" style="103" customWidth="1"/>
    <col min="12393" max="12398" width="8.625" style="103" customWidth="1"/>
    <col min="12399" max="12399" width="11.375" style="103" customWidth="1"/>
    <col min="12400" max="12400" width="10.125" style="103" customWidth="1"/>
    <col min="12401" max="12403" width="5.625" style="103" customWidth="1"/>
    <col min="12404" max="12405" width="8.625" style="103" customWidth="1"/>
    <col min="12406" max="12406" width="14.375" style="103" customWidth="1"/>
    <col min="12407" max="12631" width="9" style="103"/>
    <col min="12632" max="12632" width="1.375" style="103" customWidth="1"/>
    <col min="12633" max="12633" width="3.625" style="103" customWidth="1"/>
    <col min="12634" max="12637" width="2.125" style="103" customWidth="1"/>
    <col min="12638" max="12642" width="8.625" style="103" customWidth="1"/>
    <col min="12643" max="12643" width="24" style="103" customWidth="1"/>
    <col min="12644" max="12645" width="8" style="103" customWidth="1"/>
    <col min="12646" max="12648" width="8.125" style="103" customWidth="1"/>
    <col min="12649" max="12654" width="8.625" style="103" customWidth="1"/>
    <col min="12655" max="12655" width="11.375" style="103" customWidth="1"/>
    <col min="12656" max="12656" width="10.125" style="103" customWidth="1"/>
    <col min="12657" max="12659" width="5.625" style="103" customWidth="1"/>
    <col min="12660" max="12661" width="8.625" style="103" customWidth="1"/>
    <col min="12662" max="12662" width="14.375" style="103" customWidth="1"/>
    <col min="12663" max="12887" width="9" style="103"/>
    <col min="12888" max="12888" width="1.375" style="103" customWidth="1"/>
    <col min="12889" max="12889" width="3.625" style="103" customWidth="1"/>
    <col min="12890" max="12893" width="2.125" style="103" customWidth="1"/>
    <col min="12894" max="12898" width="8.625" style="103" customWidth="1"/>
    <col min="12899" max="12899" width="24" style="103" customWidth="1"/>
    <col min="12900" max="12901" width="8" style="103" customWidth="1"/>
    <col min="12902" max="12904" width="8.125" style="103" customWidth="1"/>
    <col min="12905" max="12910" width="8.625" style="103" customWidth="1"/>
    <col min="12911" max="12911" width="11.375" style="103" customWidth="1"/>
    <col min="12912" max="12912" width="10.125" style="103" customWidth="1"/>
    <col min="12913" max="12915" width="5.625" style="103" customWidth="1"/>
    <col min="12916" max="12917" width="8.625" style="103" customWidth="1"/>
    <col min="12918" max="12918" width="14.375" style="103" customWidth="1"/>
    <col min="12919" max="13143" width="9" style="103"/>
    <col min="13144" max="13144" width="1.375" style="103" customWidth="1"/>
    <col min="13145" max="13145" width="3.625" style="103" customWidth="1"/>
    <col min="13146" max="13149" width="2.125" style="103" customWidth="1"/>
    <col min="13150" max="13154" width="8.625" style="103" customWidth="1"/>
    <col min="13155" max="13155" width="24" style="103" customWidth="1"/>
    <col min="13156" max="13157" width="8" style="103" customWidth="1"/>
    <col min="13158" max="13160" width="8.125" style="103" customWidth="1"/>
    <col min="13161" max="13166" width="8.625" style="103" customWidth="1"/>
    <col min="13167" max="13167" width="11.375" style="103" customWidth="1"/>
    <col min="13168" max="13168" width="10.125" style="103" customWidth="1"/>
    <col min="13169" max="13171" width="5.625" style="103" customWidth="1"/>
    <col min="13172" max="13173" width="8.625" style="103" customWidth="1"/>
    <col min="13174" max="13174" width="14.375" style="103" customWidth="1"/>
    <col min="13175" max="13399" width="9" style="103"/>
    <col min="13400" max="13400" width="1.375" style="103" customWidth="1"/>
    <col min="13401" max="13401" width="3.625" style="103" customWidth="1"/>
    <col min="13402" max="13405" width="2.125" style="103" customWidth="1"/>
    <col min="13406" max="13410" width="8.625" style="103" customWidth="1"/>
    <col min="13411" max="13411" width="24" style="103" customWidth="1"/>
    <col min="13412" max="13413" width="8" style="103" customWidth="1"/>
    <col min="13414" max="13416" width="8.125" style="103" customWidth="1"/>
    <col min="13417" max="13422" width="8.625" style="103" customWidth="1"/>
    <col min="13423" max="13423" width="11.375" style="103" customWidth="1"/>
    <col min="13424" max="13424" width="10.125" style="103" customWidth="1"/>
    <col min="13425" max="13427" width="5.625" style="103" customWidth="1"/>
    <col min="13428" max="13429" width="8.625" style="103" customWidth="1"/>
    <col min="13430" max="13430" width="14.375" style="103" customWidth="1"/>
    <col min="13431" max="13655" width="9" style="103"/>
    <col min="13656" max="13656" width="1.375" style="103" customWidth="1"/>
    <col min="13657" max="13657" width="3.625" style="103" customWidth="1"/>
    <col min="13658" max="13661" width="2.125" style="103" customWidth="1"/>
    <col min="13662" max="13666" width="8.625" style="103" customWidth="1"/>
    <col min="13667" max="13667" width="24" style="103" customWidth="1"/>
    <col min="13668" max="13669" width="8" style="103" customWidth="1"/>
    <col min="13670" max="13672" width="8.125" style="103" customWidth="1"/>
    <col min="13673" max="13678" width="8.625" style="103" customWidth="1"/>
    <col min="13679" max="13679" width="11.375" style="103" customWidth="1"/>
    <col min="13680" max="13680" width="10.125" style="103" customWidth="1"/>
    <col min="13681" max="13683" width="5.625" style="103" customWidth="1"/>
    <col min="13684" max="13685" width="8.625" style="103" customWidth="1"/>
    <col min="13686" max="13686" width="14.375" style="103" customWidth="1"/>
    <col min="13687" max="13911" width="9" style="103"/>
    <col min="13912" max="13912" width="1.375" style="103" customWidth="1"/>
    <col min="13913" max="13913" width="3.625" style="103" customWidth="1"/>
    <col min="13914" max="13917" width="2.125" style="103" customWidth="1"/>
    <col min="13918" max="13922" width="8.625" style="103" customWidth="1"/>
    <col min="13923" max="13923" width="24" style="103" customWidth="1"/>
    <col min="13924" max="13925" width="8" style="103" customWidth="1"/>
    <col min="13926" max="13928" width="8.125" style="103" customWidth="1"/>
    <col min="13929" max="13934" width="8.625" style="103" customWidth="1"/>
    <col min="13935" max="13935" width="11.375" style="103" customWidth="1"/>
    <col min="13936" max="13936" width="10.125" style="103" customWidth="1"/>
    <col min="13937" max="13939" width="5.625" style="103" customWidth="1"/>
    <col min="13940" max="13941" width="8.625" style="103" customWidth="1"/>
    <col min="13942" max="13942" width="14.375" style="103" customWidth="1"/>
    <col min="13943" max="14167" width="9" style="103"/>
    <col min="14168" max="14168" width="1.375" style="103" customWidth="1"/>
    <col min="14169" max="14169" width="3.625" style="103" customWidth="1"/>
    <col min="14170" max="14173" width="2.125" style="103" customWidth="1"/>
    <col min="14174" max="14178" width="8.625" style="103" customWidth="1"/>
    <col min="14179" max="14179" width="24" style="103" customWidth="1"/>
    <col min="14180" max="14181" width="8" style="103" customWidth="1"/>
    <col min="14182" max="14184" width="8.125" style="103" customWidth="1"/>
    <col min="14185" max="14190" width="8.625" style="103" customWidth="1"/>
    <col min="14191" max="14191" width="11.375" style="103" customWidth="1"/>
    <col min="14192" max="14192" width="10.125" style="103" customWidth="1"/>
    <col min="14193" max="14195" width="5.625" style="103" customWidth="1"/>
    <col min="14196" max="14197" width="8.625" style="103" customWidth="1"/>
    <col min="14198" max="14198" width="14.375" style="103" customWidth="1"/>
    <col min="14199" max="14423" width="9" style="103"/>
    <col min="14424" max="14424" width="1.375" style="103" customWidth="1"/>
    <col min="14425" max="14425" width="3.625" style="103" customWidth="1"/>
    <col min="14426" max="14429" width="2.125" style="103" customWidth="1"/>
    <col min="14430" max="14434" width="8.625" style="103" customWidth="1"/>
    <col min="14435" max="14435" width="24" style="103" customWidth="1"/>
    <col min="14436" max="14437" width="8" style="103" customWidth="1"/>
    <col min="14438" max="14440" width="8.125" style="103" customWidth="1"/>
    <col min="14441" max="14446" width="8.625" style="103" customWidth="1"/>
    <col min="14447" max="14447" width="11.375" style="103" customWidth="1"/>
    <col min="14448" max="14448" width="10.125" style="103" customWidth="1"/>
    <col min="14449" max="14451" width="5.625" style="103" customWidth="1"/>
    <col min="14452" max="14453" width="8.625" style="103" customWidth="1"/>
    <col min="14454" max="14454" width="14.375" style="103" customWidth="1"/>
    <col min="14455" max="14679" width="9" style="103"/>
    <col min="14680" max="14680" width="1.375" style="103" customWidth="1"/>
    <col min="14681" max="14681" width="3.625" style="103" customWidth="1"/>
    <col min="14682" max="14685" width="2.125" style="103" customWidth="1"/>
    <col min="14686" max="14690" width="8.625" style="103" customWidth="1"/>
    <col min="14691" max="14691" width="24" style="103" customWidth="1"/>
    <col min="14692" max="14693" width="8" style="103" customWidth="1"/>
    <col min="14694" max="14696" width="8.125" style="103" customWidth="1"/>
    <col min="14697" max="14702" width="8.625" style="103" customWidth="1"/>
    <col min="14703" max="14703" width="11.375" style="103" customWidth="1"/>
    <col min="14704" max="14704" width="10.125" style="103" customWidth="1"/>
    <col min="14705" max="14707" width="5.625" style="103" customWidth="1"/>
    <col min="14708" max="14709" width="8.625" style="103" customWidth="1"/>
    <col min="14710" max="14710" width="14.375" style="103" customWidth="1"/>
    <col min="14711" max="14935" width="9" style="103"/>
    <col min="14936" max="14936" width="1.375" style="103" customWidth="1"/>
    <col min="14937" max="14937" width="3.625" style="103" customWidth="1"/>
    <col min="14938" max="14941" width="2.125" style="103" customWidth="1"/>
    <col min="14942" max="14946" width="8.625" style="103" customWidth="1"/>
    <col min="14947" max="14947" width="24" style="103" customWidth="1"/>
    <col min="14948" max="14949" width="8" style="103" customWidth="1"/>
    <col min="14950" max="14952" width="8.125" style="103" customWidth="1"/>
    <col min="14953" max="14958" width="8.625" style="103" customWidth="1"/>
    <col min="14959" max="14959" width="11.375" style="103" customWidth="1"/>
    <col min="14960" max="14960" width="10.125" style="103" customWidth="1"/>
    <col min="14961" max="14963" width="5.625" style="103" customWidth="1"/>
    <col min="14964" max="14965" width="8.625" style="103" customWidth="1"/>
    <col min="14966" max="14966" width="14.375" style="103" customWidth="1"/>
    <col min="14967" max="15191" width="9" style="103"/>
    <col min="15192" max="15192" width="1.375" style="103" customWidth="1"/>
    <col min="15193" max="15193" width="3.625" style="103" customWidth="1"/>
    <col min="15194" max="15197" width="2.125" style="103" customWidth="1"/>
    <col min="15198" max="15202" width="8.625" style="103" customWidth="1"/>
    <col min="15203" max="15203" width="24" style="103" customWidth="1"/>
    <col min="15204" max="15205" width="8" style="103" customWidth="1"/>
    <col min="15206" max="15208" width="8.125" style="103" customWidth="1"/>
    <col min="15209" max="15214" width="8.625" style="103" customWidth="1"/>
    <col min="15215" max="15215" width="11.375" style="103" customWidth="1"/>
    <col min="15216" max="15216" width="10.125" style="103" customWidth="1"/>
    <col min="15217" max="15219" width="5.625" style="103" customWidth="1"/>
    <col min="15220" max="15221" width="8.625" style="103" customWidth="1"/>
    <col min="15222" max="15222" width="14.375" style="103" customWidth="1"/>
    <col min="15223" max="15447" width="9" style="103"/>
    <col min="15448" max="15448" width="1.375" style="103" customWidth="1"/>
    <col min="15449" max="15449" width="3.625" style="103" customWidth="1"/>
    <col min="15450" max="15453" width="2.125" style="103" customWidth="1"/>
    <col min="15454" max="15458" width="8.625" style="103" customWidth="1"/>
    <col min="15459" max="15459" width="24" style="103" customWidth="1"/>
    <col min="15460" max="15461" width="8" style="103" customWidth="1"/>
    <col min="15462" max="15464" width="8.125" style="103" customWidth="1"/>
    <col min="15465" max="15470" width="8.625" style="103" customWidth="1"/>
    <col min="15471" max="15471" width="11.375" style="103" customWidth="1"/>
    <col min="15472" max="15472" width="10.125" style="103" customWidth="1"/>
    <col min="15473" max="15475" width="5.625" style="103" customWidth="1"/>
    <col min="15476" max="15477" width="8.625" style="103" customWidth="1"/>
    <col min="15478" max="15478" width="14.375" style="103" customWidth="1"/>
    <col min="15479" max="15703" width="9" style="103"/>
    <col min="15704" max="15704" width="1.375" style="103" customWidth="1"/>
    <col min="15705" max="15705" width="3.625" style="103" customWidth="1"/>
    <col min="15706" max="15709" width="2.125" style="103" customWidth="1"/>
    <col min="15710" max="15714" width="8.625" style="103" customWidth="1"/>
    <col min="15715" max="15715" width="24" style="103" customWidth="1"/>
    <col min="15716" max="15717" width="8" style="103" customWidth="1"/>
    <col min="15718" max="15720" width="8.125" style="103" customWidth="1"/>
    <col min="15721" max="15726" width="8.625" style="103" customWidth="1"/>
    <col min="15727" max="15727" width="11.375" style="103" customWidth="1"/>
    <col min="15728" max="15728" width="10.125" style="103" customWidth="1"/>
    <col min="15729" max="15731" width="5.625" style="103" customWidth="1"/>
    <col min="15732" max="15733" width="8.625" style="103" customWidth="1"/>
    <col min="15734" max="15734" width="14.375" style="103" customWidth="1"/>
    <col min="15735" max="15959" width="9" style="103"/>
    <col min="15960" max="15960" width="1.375" style="103" customWidth="1"/>
    <col min="15961" max="15961" width="3.625" style="103" customWidth="1"/>
    <col min="15962" max="15965" width="2.125" style="103" customWidth="1"/>
    <col min="15966" max="15970" width="8.625" style="103" customWidth="1"/>
    <col min="15971" max="15971" width="24" style="103" customWidth="1"/>
    <col min="15972" max="15973" width="8" style="103" customWidth="1"/>
    <col min="15974" max="15976" width="8.125" style="103" customWidth="1"/>
    <col min="15977" max="15982" width="8.625" style="103" customWidth="1"/>
    <col min="15983" max="15983" width="11.375" style="103" customWidth="1"/>
    <col min="15984" max="15984" width="10.125" style="103" customWidth="1"/>
    <col min="15985" max="15987" width="5.625" style="103" customWidth="1"/>
    <col min="15988" max="15989" width="8.625" style="103" customWidth="1"/>
    <col min="15990" max="15990" width="14.375" style="103" customWidth="1"/>
    <col min="15991" max="16384" width="9" style="103"/>
  </cols>
  <sheetData>
    <row r="1" spans="1:135" s="4" customFormat="1" x14ac:dyDescent="0.15">
      <c r="A1" s="1"/>
      <c r="B1" s="28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30"/>
      <c r="M1" s="31"/>
      <c r="N1" s="31"/>
      <c r="O1" s="31"/>
      <c r="P1" s="32"/>
      <c r="Q1" s="32"/>
      <c r="R1" s="2"/>
      <c r="S1" s="2"/>
      <c r="T1" s="2"/>
      <c r="U1" s="2"/>
      <c r="V1" s="2"/>
      <c r="W1" s="2"/>
      <c r="X1" s="63"/>
      <c r="Y1" s="63"/>
      <c r="Z1" s="63"/>
      <c r="AA1" s="63"/>
      <c r="AB1" s="63"/>
      <c r="AC1" s="32"/>
      <c r="AD1" s="32"/>
    </row>
    <row r="2" spans="1:135" s="4" customFormat="1" x14ac:dyDescent="0.15">
      <c r="A2" s="1"/>
      <c r="B2" s="28" t="s">
        <v>1</v>
      </c>
      <c r="C2" s="29"/>
      <c r="D2" s="29"/>
      <c r="E2" s="29"/>
      <c r="F2" s="29"/>
      <c r="G2" s="29"/>
      <c r="H2" s="29"/>
      <c r="I2" s="29"/>
      <c r="J2" s="29"/>
      <c r="K2" s="29"/>
      <c r="L2" s="33" t="s">
        <v>44</v>
      </c>
      <c r="M2" s="31"/>
      <c r="N2" s="31"/>
      <c r="O2" s="31"/>
      <c r="P2" s="31"/>
      <c r="Q2" s="31"/>
      <c r="R2" s="2"/>
      <c r="S2" s="2"/>
      <c r="T2" s="2"/>
      <c r="U2" s="2"/>
      <c r="V2" s="2"/>
      <c r="W2" s="2"/>
      <c r="X2" s="63"/>
      <c r="Y2" s="63"/>
      <c r="Z2" s="63"/>
      <c r="AA2" s="63"/>
      <c r="AB2" s="63"/>
      <c r="AC2" s="32"/>
      <c r="AD2" s="32"/>
    </row>
    <row r="3" spans="1:135" s="4" customFormat="1" x14ac:dyDescent="0.15">
      <c r="A3" s="1"/>
      <c r="B3" s="28" t="s">
        <v>2</v>
      </c>
      <c r="C3" s="29"/>
      <c r="D3" s="29"/>
      <c r="E3" s="29"/>
      <c r="F3" s="29"/>
      <c r="G3" s="29"/>
      <c r="H3" s="29"/>
      <c r="I3" s="29"/>
      <c r="J3" s="29"/>
      <c r="K3" s="29"/>
      <c r="L3" s="30"/>
      <c r="M3" s="31"/>
      <c r="N3" s="31"/>
      <c r="O3" s="31"/>
      <c r="P3" s="32"/>
      <c r="Q3" s="32"/>
      <c r="R3" s="2"/>
      <c r="S3" s="2"/>
      <c r="T3" s="2"/>
      <c r="U3" s="2"/>
      <c r="V3" s="2"/>
      <c r="W3" s="2"/>
      <c r="X3" s="63"/>
      <c r="Y3" s="63"/>
      <c r="Z3" s="63"/>
      <c r="AA3" s="63"/>
      <c r="AB3" s="63"/>
      <c r="AC3" s="32"/>
      <c r="AD3" s="32"/>
    </row>
    <row r="4" spans="1:135" s="4" customFormat="1" ht="14.25" thickBot="1" x14ac:dyDescent="0.2">
      <c r="A4" s="1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5"/>
      <c r="P4" s="36"/>
      <c r="Q4" s="36"/>
      <c r="R4" s="27"/>
      <c r="S4" s="27"/>
      <c r="T4" s="27"/>
      <c r="U4" s="27"/>
      <c r="V4" s="27"/>
      <c r="W4" s="27"/>
      <c r="X4" s="34"/>
      <c r="Y4" s="34"/>
      <c r="Z4" s="34"/>
      <c r="AA4" s="34"/>
      <c r="AB4" s="34"/>
      <c r="AC4" s="70"/>
      <c r="AD4" s="70"/>
    </row>
    <row r="5" spans="1:135" s="91" customFormat="1" ht="13.5" customHeight="1" x14ac:dyDescent="0.15">
      <c r="A5" s="5"/>
      <c r="B5" s="37"/>
      <c r="C5" s="38"/>
      <c r="D5" s="39"/>
      <c r="E5" s="39"/>
      <c r="F5" s="39"/>
      <c r="G5" s="39"/>
      <c r="H5" s="39"/>
      <c r="I5" s="39"/>
      <c r="J5" s="39"/>
      <c r="K5" s="39"/>
      <c r="L5" s="40"/>
      <c r="M5" s="41"/>
      <c r="N5" s="42"/>
      <c r="O5" s="43"/>
      <c r="P5" s="44"/>
      <c r="Q5" s="45"/>
      <c r="R5" s="7"/>
      <c r="S5" s="8"/>
      <c r="T5" s="9"/>
      <c r="U5" s="6"/>
      <c r="V5" s="9"/>
      <c r="W5" s="6"/>
      <c r="X5" s="64"/>
      <c r="Y5" s="64"/>
      <c r="Z5" s="64"/>
      <c r="AA5" s="64"/>
      <c r="AB5" s="64"/>
      <c r="AC5" s="45"/>
      <c r="AD5" s="45"/>
      <c r="AE5" s="92" t="s">
        <v>121</v>
      </c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4"/>
      <c r="BY5" s="92" t="s">
        <v>122</v>
      </c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8"/>
      <c r="DA5" s="92" t="s">
        <v>123</v>
      </c>
      <c r="DB5" s="93"/>
      <c r="DC5" s="97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8"/>
    </row>
    <row r="6" spans="1:135" s="91" customFormat="1" ht="13.5" customHeight="1" x14ac:dyDescent="0.25">
      <c r="A6" s="5"/>
      <c r="B6" s="46"/>
      <c r="C6" s="78"/>
      <c r="D6" s="79"/>
      <c r="E6" s="79"/>
      <c r="F6" s="79"/>
      <c r="G6" s="79"/>
      <c r="H6" s="79"/>
      <c r="I6" s="79"/>
      <c r="J6" s="79"/>
      <c r="K6" s="79"/>
      <c r="L6" s="79"/>
      <c r="M6" s="80" t="s">
        <v>42</v>
      </c>
      <c r="N6" s="81"/>
      <c r="O6" s="82" t="s">
        <v>3</v>
      </c>
      <c r="P6" s="78" t="s">
        <v>4</v>
      </c>
      <c r="Q6" s="78" t="s">
        <v>5</v>
      </c>
      <c r="R6" s="78" t="s">
        <v>45</v>
      </c>
      <c r="S6" s="78" t="s">
        <v>6</v>
      </c>
      <c r="T6" s="78" t="s">
        <v>46</v>
      </c>
      <c r="U6" s="78" t="s">
        <v>46</v>
      </c>
      <c r="V6" s="78" t="s">
        <v>47</v>
      </c>
      <c r="W6" s="78" t="s">
        <v>47</v>
      </c>
      <c r="X6" s="82" t="s">
        <v>48</v>
      </c>
      <c r="Y6" s="82" t="s">
        <v>49</v>
      </c>
      <c r="Z6" s="82" t="s">
        <v>50</v>
      </c>
      <c r="AA6" s="82" t="s">
        <v>50</v>
      </c>
      <c r="AB6" s="82" t="s">
        <v>50</v>
      </c>
      <c r="AC6" s="71" t="s">
        <v>7</v>
      </c>
      <c r="AD6" s="71" t="s">
        <v>7</v>
      </c>
      <c r="AE6" s="92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3"/>
      <c r="AV6" s="97"/>
      <c r="AW6" s="93"/>
      <c r="AX6" s="93"/>
      <c r="AY6" s="93"/>
      <c r="AZ6" s="93"/>
      <c r="BA6" s="93"/>
      <c r="BB6" s="93"/>
      <c r="BC6" s="97"/>
      <c r="BD6" s="93"/>
      <c r="BE6" s="93"/>
      <c r="BF6" s="93"/>
      <c r="BG6" s="93"/>
      <c r="BH6" s="93"/>
      <c r="BI6" s="93"/>
      <c r="BJ6" s="97"/>
      <c r="BK6" s="93"/>
      <c r="BL6" s="93"/>
      <c r="BM6" s="93"/>
      <c r="BN6" s="93"/>
      <c r="BO6" s="93"/>
      <c r="BP6" s="93"/>
      <c r="BQ6" s="97"/>
      <c r="BR6" s="93"/>
      <c r="BS6" s="93"/>
      <c r="BT6" s="93"/>
      <c r="BU6" s="93"/>
      <c r="BV6" s="93"/>
      <c r="BW6" s="93"/>
      <c r="BX6" s="94"/>
      <c r="BY6" s="20"/>
      <c r="BZ6" s="21"/>
      <c r="CA6" s="21"/>
      <c r="CB6" s="21"/>
      <c r="CC6" s="21"/>
      <c r="CD6" s="21"/>
      <c r="CE6" s="24"/>
      <c r="CF6" s="21"/>
      <c r="CG6" s="21"/>
      <c r="CH6" s="21"/>
      <c r="CI6" s="21"/>
      <c r="CJ6" s="21"/>
      <c r="CK6" s="21"/>
      <c r="CL6" s="24"/>
      <c r="CM6" s="21"/>
      <c r="CN6" s="21"/>
      <c r="CO6" s="21"/>
      <c r="CP6" s="21"/>
      <c r="CQ6" s="21"/>
      <c r="CR6" s="21"/>
      <c r="CS6" s="24"/>
      <c r="CT6" s="21"/>
      <c r="CU6" s="21"/>
      <c r="CV6" s="21"/>
      <c r="CW6" s="21"/>
      <c r="CX6" s="21"/>
      <c r="CY6" s="21"/>
      <c r="CZ6" s="17"/>
      <c r="DA6" s="20"/>
      <c r="DB6" s="21"/>
      <c r="DC6" s="21"/>
      <c r="DD6" s="21"/>
      <c r="DE6" s="21"/>
      <c r="DF6" s="21"/>
      <c r="DG6" s="24"/>
      <c r="DH6" s="21"/>
      <c r="DI6" s="21"/>
      <c r="DJ6" s="21"/>
      <c r="DK6" s="21"/>
      <c r="DL6" s="21"/>
      <c r="DM6" s="21"/>
      <c r="DN6" s="24"/>
      <c r="DO6" s="21"/>
      <c r="DP6" s="21"/>
      <c r="DQ6" s="21"/>
      <c r="DR6" s="21"/>
      <c r="DS6" s="21"/>
      <c r="DT6" s="21"/>
      <c r="DU6" s="24"/>
      <c r="DV6" s="21"/>
      <c r="DW6" s="21"/>
      <c r="DX6" s="21"/>
      <c r="DY6" s="21"/>
      <c r="DZ6" s="21"/>
      <c r="EA6" s="21"/>
      <c r="EB6" s="21"/>
      <c r="EC6" s="21"/>
      <c r="ED6" s="21"/>
      <c r="EE6" s="16"/>
    </row>
    <row r="7" spans="1:135" s="4" customFormat="1" ht="13.5" customHeight="1" x14ac:dyDescent="0.25">
      <c r="A7" s="5"/>
      <c r="B7" s="46"/>
      <c r="C7" s="47"/>
      <c r="D7" s="48"/>
      <c r="E7" s="48"/>
      <c r="F7" s="48"/>
      <c r="G7" s="48"/>
      <c r="H7" s="48"/>
      <c r="I7" s="48"/>
      <c r="J7" s="48"/>
      <c r="K7" s="48"/>
      <c r="L7" s="48"/>
      <c r="M7" s="49"/>
      <c r="N7" s="88"/>
      <c r="O7" s="73">
        <f>SUM(O9:O95)</f>
        <v>92.899999999999977</v>
      </c>
      <c r="P7" s="73">
        <f>SUM(P9:P95)</f>
        <v>0</v>
      </c>
      <c r="Q7" s="73"/>
      <c r="R7" s="89">
        <f>SUM(R9:R95)</f>
        <v>0</v>
      </c>
      <c r="S7" s="90">
        <f>SUM(S9:S95)</f>
        <v>0</v>
      </c>
      <c r="T7" s="90">
        <f>SUM(T9:T95)</f>
        <v>0</v>
      </c>
      <c r="U7" s="90">
        <f>SUM(U9:U95)</f>
        <v>0</v>
      </c>
      <c r="V7" s="90" t="str">
        <f>IF(S7&gt;0,R7/S7,"-")</f>
        <v>-</v>
      </c>
      <c r="W7" s="90" t="str">
        <f>IF(P7&gt;0,R7/P7,"-")</f>
        <v>-</v>
      </c>
      <c r="X7" s="66"/>
      <c r="Y7" s="67"/>
      <c r="Z7" s="82" t="s">
        <v>41</v>
      </c>
      <c r="AA7" s="82" t="s">
        <v>41</v>
      </c>
      <c r="AB7" s="82" t="s">
        <v>41</v>
      </c>
      <c r="AC7" s="72" t="s">
        <v>8</v>
      </c>
      <c r="AD7" s="95" t="s">
        <v>9</v>
      </c>
      <c r="AE7" s="24">
        <v>17</v>
      </c>
      <c r="AF7" s="24">
        <v>18</v>
      </c>
      <c r="AG7" s="24">
        <v>19</v>
      </c>
      <c r="AH7" s="24">
        <v>20</v>
      </c>
      <c r="AI7" s="24">
        <v>21</v>
      </c>
      <c r="AJ7" s="24">
        <v>22</v>
      </c>
      <c r="AK7" s="24">
        <v>23</v>
      </c>
      <c r="AL7" s="24">
        <v>24</v>
      </c>
      <c r="AM7" s="24">
        <v>25</v>
      </c>
      <c r="AN7" s="24">
        <v>26</v>
      </c>
      <c r="AO7" s="24">
        <v>27</v>
      </c>
      <c r="AP7" s="24">
        <v>28</v>
      </c>
      <c r="AQ7" s="24">
        <v>29</v>
      </c>
      <c r="AR7" s="24">
        <v>30</v>
      </c>
      <c r="AS7" s="24">
        <v>31</v>
      </c>
      <c r="AT7" s="23" t="s">
        <v>10</v>
      </c>
      <c r="AU7" s="24" t="s">
        <v>11</v>
      </c>
      <c r="AV7" s="25" t="s">
        <v>12</v>
      </c>
      <c r="AW7" s="22" t="s">
        <v>13</v>
      </c>
      <c r="AX7" s="23" t="s">
        <v>14</v>
      </c>
      <c r="AY7" s="22" t="s">
        <v>15</v>
      </c>
      <c r="AZ7" s="22" t="s">
        <v>16</v>
      </c>
      <c r="BA7" s="22" t="s">
        <v>17</v>
      </c>
      <c r="BB7" s="24" t="s">
        <v>18</v>
      </c>
      <c r="BC7" s="25" t="s">
        <v>19</v>
      </c>
      <c r="BD7" s="22" t="s">
        <v>20</v>
      </c>
      <c r="BE7" s="23" t="s">
        <v>21</v>
      </c>
      <c r="BF7" s="22" t="s">
        <v>22</v>
      </c>
      <c r="BG7" s="22" t="s">
        <v>23</v>
      </c>
      <c r="BH7" s="22" t="s">
        <v>24</v>
      </c>
      <c r="BI7" s="24" t="s">
        <v>25</v>
      </c>
      <c r="BJ7" s="25" t="s">
        <v>26</v>
      </c>
      <c r="BK7" s="22" t="s">
        <v>27</v>
      </c>
      <c r="BL7" s="23" t="s">
        <v>28</v>
      </c>
      <c r="BM7" s="22" t="s">
        <v>29</v>
      </c>
      <c r="BN7" s="22" t="s">
        <v>30</v>
      </c>
      <c r="BO7" s="22" t="s">
        <v>31</v>
      </c>
      <c r="BP7" s="24" t="s">
        <v>32</v>
      </c>
      <c r="BQ7" s="25" t="s">
        <v>33</v>
      </c>
      <c r="BR7" s="22" t="s">
        <v>34</v>
      </c>
      <c r="BS7" s="23" t="s">
        <v>35</v>
      </c>
      <c r="BT7" s="22" t="s">
        <v>36</v>
      </c>
      <c r="BU7" s="22" t="s">
        <v>37</v>
      </c>
      <c r="BV7" s="22" t="s">
        <v>38</v>
      </c>
      <c r="BW7" s="24" t="s">
        <v>39</v>
      </c>
      <c r="BX7" s="96">
        <v>31</v>
      </c>
      <c r="BY7" s="23">
        <v>1</v>
      </c>
      <c r="BZ7" s="23">
        <v>2</v>
      </c>
      <c r="CA7" s="22">
        <v>3</v>
      </c>
      <c r="CB7" s="23">
        <v>4</v>
      </c>
      <c r="CC7" s="22">
        <v>5</v>
      </c>
      <c r="CD7" s="23">
        <v>6</v>
      </c>
      <c r="CE7" s="22">
        <v>7</v>
      </c>
      <c r="CF7" s="23">
        <v>8</v>
      </c>
      <c r="CG7" s="22">
        <v>9</v>
      </c>
      <c r="CH7" s="23">
        <v>10</v>
      </c>
      <c r="CI7" s="22">
        <v>11</v>
      </c>
      <c r="CJ7" s="23">
        <v>12</v>
      </c>
      <c r="CK7" s="22">
        <v>13</v>
      </c>
      <c r="CL7" s="23">
        <v>14</v>
      </c>
      <c r="CM7" s="22">
        <v>15</v>
      </c>
      <c r="CN7" s="23">
        <v>16</v>
      </c>
      <c r="CO7" s="22">
        <v>17</v>
      </c>
      <c r="CP7" s="23">
        <v>18</v>
      </c>
      <c r="CQ7" s="22">
        <v>19</v>
      </c>
      <c r="CR7" s="23">
        <v>20</v>
      </c>
      <c r="CS7" s="22">
        <v>21</v>
      </c>
      <c r="CT7" s="23">
        <v>22</v>
      </c>
      <c r="CU7" s="22">
        <v>23</v>
      </c>
      <c r="CV7" s="23">
        <v>24</v>
      </c>
      <c r="CW7" s="22">
        <v>25</v>
      </c>
      <c r="CX7" s="23">
        <v>26</v>
      </c>
      <c r="CY7" s="22">
        <v>27</v>
      </c>
      <c r="CZ7" s="96">
        <v>28</v>
      </c>
      <c r="DA7" s="99">
        <v>1</v>
      </c>
      <c r="DB7" s="99">
        <v>2</v>
      </c>
      <c r="DC7" s="99">
        <v>3</v>
      </c>
      <c r="DD7" s="99">
        <v>4</v>
      </c>
      <c r="DE7" s="99">
        <v>5</v>
      </c>
      <c r="DF7" s="99">
        <v>6</v>
      </c>
      <c r="DG7" s="99">
        <v>7</v>
      </c>
      <c r="DH7" s="99">
        <v>8</v>
      </c>
      <c r="DI7" s="99">
        <v>9</v>
      </c>
      <c r="DJ7" s="99">
        <v>10</v>
      </c>
      <c r="DK7" s="99">
        <v>11</v>
      </c>
      <c r="DL7" s="99">
        <v>12</v>
      </c>
      <c r="DM7" s="99">
        <v>13</v>
      </c>
      <c r="DN7" s="99">
        <v>14</v>
      </c>
      <c r="DO7" s="99">
        <v>15</v>
      </c>
      <c r="DP7" s="99">
        <v>16</v>
      </c>
      <c r="DQ7" s="99">
        <v>17</v>
      </c>
      <c r="DR7" s="99">
        <v>18</v>
      </c>
      <c r="DS7" s="99">
        <v>19</v>
      </c>
      <c r="DT7" s="99">
        <v>20</v>
      </c>
      <c r="DU7" s="99">
        <v>21</v>
      </c>
      <c r="DV7" s="99">
        <v>22</v>
      </c>
      <c r="DW7" s="99">
        <v>23</v>
      </c>
      <c r="DX7" s="99">
        <v>24</v>
      </c>
      <c r="DY7" s="99">
        <v>25</v>
      </c>
      <c r="DZ7" s="99">
        <v>26</v>
      </c>
      <c r="EA7" s="99">
        <v>27</v>
      </c>
      <c r="EB7" s="99">
        <v>28</v>
      </c>
      <c r="EC7" s="99">
        <v>29</v>
      </c>
      <c r="ED7" s="99">
        <v>30</v>
      </c>
      <c r="EE7" s="99">
        <v>31</v>
      </c>
    </row>
    <row r="8" spans="1:135" s="4" customFormat="1" ht="13.5" customHeight="1" x14ac:dyDescent="0.25">
      <c r="A8" s="5"/>
      <c r="B8" s="50" t="s">
        <v>40</v>
      </c>
      <c r="C8" s="109" t="s">
        <v>51</v>
      </c>
      <c r="D8" s="110"/>
      <c r="E8" s="110"/>
      <c r="F8" s="110"/>
      <c r="G8" s="110"/>
      <c r="H8" s="110"/>
      <c r="I8" s="110"/>
      <c r="J8" s="110"/>
      <c r="K8" s="110"/>
      <c r="L8" s="111"/>
      <c r="M8" s="83" t="s">
        <v>52</v>
      </c>
      <c r="N8" s="84" t="s">
        <v>53</v>
      </c>
      <c r="O8" s="85" t="s">
        <v>54</v>
      </c>
      <c r="P8" s="86" t="s">
        <v>54</v>
      </c>
      <c r="Q8" s="78" t="s">
        <v>55</v>
      </c>
      <c r="R8" s="86" t="s">
        <v>54</v>
      </c>
      <c r="S8" s="85" t="s">
        <v>54</v>
      </c>
      <c r="T8" s="85" t="s">
        <v>54</v>
      </c>
      <c r="U8" s="85" t="s">
        <v>54</v>
      </c>
      <c r="V8" s="78" t="s">
        <v>56</v>
      </c>
      <c r="W8" s="78" t="s">
        <v>55</v>
      </c>
      <c r="X8" s="87"/>
      <c r="Y8" s="87"/>
      <c r="Z8" s="82">
        <v>1</v>
      </c>
      <c r="AA8" s="82">
        <v>2</v>
      </c>
      <c r="AB8" s="82">
        <v>3</v>
      </c>
      <c r="AC8" s="47" t="s">
        <v>43</v>
      </c>
      <c r="AD8" s="65" t="s">
        <v>43</v>
      </c>
      <c r="AE8" s="26">
        <v>46008</v>
      </c>
      <c r="AF8" s="26">
        <v>46009</v>
      </c>
      <c r="AG8" s="26">
        <v>46010</v>
      </c>
      <c r="AH8" s="26">
        <v>46011</v>
      </c>
      <c r="AI8" s="26">
        <v>46012</v>
      </c>
      <c r="AJ8" s="26">
        <v>46013</v>
      </c>
      <c r="AK8" s="26">
        <v>46014</v>
      </c>
      <c r="AL8" s="26">
        <v>46015</v>
      </c>
      <c r="AM8" s="26">
        <v>46016</v>
      </c>
      <c r="AN8" s="26">
        <v>46017</v>
      </c>
      <c r="AO8" s="26">
        <v>46018</v>
      </c>
      <c r="AP8" s="26">
        <v>46019</v>
      </c>
      <c r="AQ8" s="26">
        <v>46020</v>
      </c>
      <c r="AR8" s="26">
        <v>46021</v>
      </c>
      <c r="AS8" s="26">
        <v>46022</v>
      </c>
      <c r="AT8" s="26">
        <v>46023</v>
      </c>
      <c r="AU8" s="26">
        <v>46024</v>
      </c>
      <c r="AV8" s="26">
        <v>46025</v>
      </c>
      <c r="AW8" s="26">
        <v>46026</v>
      </c>
      <c r="AX8" s="26">
        <v>46027</v>
      </c>
      <c r="AY8" s="26">
        <v>46028</v>
      </c>
      <c r="AZ8" s="26">
        <v>46029</v>
      </c>
      <c r="BA8" s="26">
        <v>46030</v>
      </c>
      <c r="BB8" s="26">
        <v>46031</v>
      </c>
      <c r="BC8" s="26">
        <v>46032</v>
      </c>
      <c r="BD8" s="26">
        <v>46033</v>
      </c>
      <c r="BE8" s="26">
        <v>46034</v>
      </c>
      <c r="BF8" s="26">
        <v>46035</v>
      </c>
      <c r="BG8" s="26">
        <v>46036</v>
      </c>
      <c r="BH8" s="26">
        <v>46037</v>
      </c>
      <c r="BI8" s="26">
        <v>46038</v>
      </c>
      <c r="BJ8" s="26">
        <v>46039</v>
      </c>
      <c r="BK8" s="26">
        <v>46040</v>
      </c>
      <c r="BL8" s="26">
        <v>46041</v>
      </c>
      <c r="BM8" s="26">
        <v>46042</v>
      </c>
      <c r="BN8" s="26">
        <v>46043</v>
      </c>
      <c r="BO8" s="26">
        <v>46044</v>
      </c>
      <c r="BP8" s="26">
        <v>46045</v>
      </c>
      <c r="BQ8" s="26">
        <v>46046</v>
      </c>
      <c r="BR8" s="26">
        <v>46047</v>
      </c>
      <c r="BS8" s="26">
        <v>46048</v>
      </c>
      <c r="BT8" s="26">
        <v>46049</v>
      </c>
      <c r="BU8" s="26">
        <v>46050</v>
      </c>
      <c r="BV8" s="26">
        <v>46051</v>
      </c>
      <c r="BW8" s="26">
        <v>46052</v>
      </c>
      <c r="BX8" s="26">
        <v>46053</v>
      </c>
      <c r="BY8" s="26">
        <v>46054</v>
      </c>
      <c r="BZ8" s="26">
        <v>46055</v>
      </c>
      <c r="CA8" s="26">
        <v>46056</v>
      </c>
      <c r="CB8" s="26">
        <v>46057</v>
      </c>
      <c r="CC8" s="26">
        <v>46058</v>
      </c>
      <c r="CD8" s="26">
        <v>46059</v>
      </c>
      <c r="CE8" s="26">
        <v>46060</v>
      </c>
      <c r="CF8" s="26">
        <v>46061</v>
      </c>
      <c r="CG8" s="26">
        <v>46062</v>
      </c>
      <c r="CH8" s="26">
        <v>46063</v>
      </c>
      <c r="CI8" s="26">
        <v>46064</v>
      </c>
      <c r="CJ8" s="26">
        <v>46065</v>
      </c>
      <c r="CK8" s="26">
        <v>46066</v>
      </c>
      <c r="CL8" s="26">
        <v>46067</v>
      </c>
      <c r="CM8" s="26">
        <v>46068</v>
      </c>
      <c r="CN8" s="26">
        <v>46069</v>
      </c>
      <c r="CO8" s="26">
        <v>46070</v>
      </c>
      <c r="CP8" s="26">
        <v>46071</v>
      </c>
      <c r="CQ8" s="26">
        <v>46072</v>
      </c>
      <c r="CR8" s="26">
        <v>46073</v>
      </c>
      <c r="CS8" s="26">
        <v>46074</v>
      </c>
      <c r="CT8" s="26">
        <v>46075</v>
      </c>
      <c r="CU8" s="26">
        <v>46076</v>
      </c>
      <c r="CV8" s="26">
        <v>46077</v>
      </c>
      <c r="CW8" s="26">
        <v>46078</v>
      </c>
      <c r="CX8" s="26">
        <v>46079</v>
      </c>
      <c r="CY8" s="26">
        <v>46080</v>
      </c>
      <c r="CZ8" s="26">
        <v>46081</v>
      </c>
      <c r="DA8" s="26">
        <v>46082</v>
      </c>
      <c r="DB8" s="26">
        <v>46083</v>
      </c>
      <c r="DC8" s="26">
        <v>46084</v>
      </c>
      <c r="DD8" s="26">
        <v>46085</v>
      </c>
      <c r="DE8" s="26">
        <v>46086</v>
      </c>
      <c r="DF8" s="26">
        <v>46087</v>
      </c>
      <c r="DG8" s="26">
        <v>46088</v>
      </c>
      <c r="DH8" s="26">
        <v>46089</v>
      </c>
      <c r="DI8" s="26">
        <v>46090</v>
      </c>
      <c r="DJ8" s="26">
        <v>46091</v>
      </c>
      <c r="DK8" s="26">
        <v>46092</v>
      </c>
      <c r="DL8" s="26">
        <v>46093</v>
      </c>
      <c r="DM8" s="26">
        <v>46094</v>
      </c>
      <c r="DN8" s="26">
        <v>46095</v>
      </c>
      <c r="DO8" s="26">
        <v>46096</v>
      </c>
      <c r="DP8" s="26">
        <v>46097</v>
      </c>
      <c r="DQ8" s="26">
        <v>46098</v>
      </c>
      <c r="DR8" s="26">
        <v>46099</v>
      </c>
      <c r="DS8" s="26">
        <v>46100</v>
      </c>
      <c r="DT8" s="26">
        <v>46101</v>
      </c>
      <c r="DU8" s="26">
        <v>46102</v>
      </c>
      <c r="DV8" s="26">
        <v>46103</v>
      </c>
      <c r="DW8" s="26">
        <v>46104</v>
      </c>
      <c r="DX8" s="26">
        <v>46105</v>
      </c>
      <c r="DY8" s="26">
        <v>46106</v>
      </c>
      <c r="DZ8" s="26">
        <v>46107</v>
      </c>
      <c r="EA8" s="26">
        <v>46108</v>
      </c>
      <c r="EB8" s="26">
        <v>46109</v>
      </c>
      <c r="EC8" s="26">
        <v>46110</v>
      </c>
      <c r="ED8" s="26">
        <v>46111</v>
      </c>
      <c r="EE8" s="26">
        <v>46112</v>
      </c>
    </row>
    <row r="9" spans="1:135" ht="18" customHeight="1" x14ac:dyDescent="0.15">
      <c r="B9" s="114">
        <f t="shared" ref="B9:B93" si="0">ROW()-8</f>
        <v>1</v>
      </c>
      <c r="C9" s="116" t="s">
        <v>57</v>
      </c>
      <c r="D9" s="112"/>
      <c r="E9" s="112"/>
      <c r="F9" s="112"/>
      <c r="G9" s="112"/>
      <c r="H9" s="112"/>
      <c r="I9" s="112"/>
      <c r="J9" s="112"/>
      <c r="K9" s="112"/>
      <c r="L9" s="113"/>
      <c r="M9" s="53"/>
      <c r="N9" s="54"/>
      <c r="O9" s="55"/>
      <c r="P9" s="56"/>
      <c r="Q9" s="57"/>
      <c r="R9" s="10">
        <f>O9*Q9</f>
        <v>0</v>
      </c>
      <c r="S9" s="18"/>
      <c r="T9" s="11">
        <f>R9-S9</f>
        <v>0</v>
      </c>
      <c r="U9" s="11">
        <f>R9-P9</f>
        <v>0</v>
      </c>
      <c r="V9" s="12" t="str">
        <f>IF(S9&gt;0,R9/S9,"-")</f>
        <v>-</v>
      </c>
      <c r="W9" s="12" t="str">
        <f>IF(R9&gt;0,R9/P9,"-")</f>
        <v>-</v>
      </c>
      <c r="X9" s="68"/>
      <c r="Y9" s="68"/>
      <c r="Z9" s="68"/>
      <c r="AA9" s="68"/>
      <c r="AB9" s="68"/>
      <c r="AC9" s="74">
        <v>46035</v>
      </c>
      <c r="AD9" s="75">
        <v>46100</v>
      </c>
      <c r="AE9" s="101"/>
      <c r="AF9" s="102"/>
      <c r="AG9" s="102"/>
      <c r="AH9" s="104"/>
      <c r="AI9" s="105"/>
      <c r="AJ9" s="102"/>
      <c r="AK9" s="102"/>
      <c r="AL9" s="102"/>
      <c r="AM9" s="102"/>
      <c r="AN9" s="102"/>
      <c r="AO9" s="104"/>
      <c r="AP9" s="105"/>
      <c r="AQ9" s="102"/>
      <c r="AR9" s="102"/>
      <c r="AS9" s="102"/>
      <c r="AT9" s="102"/>
      <c r="AU9" s="102"/>
      <c r="AV9" s="104"/>
      <c r="AW9" s="105"/>
      <c r="AX9" s="101"/>
      <c r="AY9" s="100"/>
      <c r="AZ9" s="100"/>
      <c r="BA9" s="100"/>
      <c r="BB9" s="102"/>
      <c r="BC9" s="104"/>
      <c r="BD9" s="105"/>
      <c r="BE9" s="105"/>
      <c r="BF9" s="100"/>
      <c r="BG9" s="100"/>
      <c r="BH9" s="100"/>
      <c r="BI9" s="102"/>
      <c r="BJ9" s="104"/>
      <c r="BK9" s="105"/>
      <c r="BL9" s="100"/>
      <c r="BM9" s="100"/>
      <c r="BN9" s="100"/>
      <c r="BO9" s="100"/>
      <c r="BP9" s="101"/>
      <c r="BQ9" s="104"/>
      <c r="BR9" s="105"/>
      <c r="BS9" s="101"/>
      <c r="BT9" s="100"/>
      <c r="BU9" s="100"/>
      <c r="BV9" s="100"/>
      <c r="BW9" s="102"/>
      <c r="BX9" s="104"/>
      <c r="BY9" s="105"/>
      <c r="BZ9" s="101"/>
      <c r="CA9" s="100"/>
      <c r="CB9" s="100"/>
      <c r="CC9" s="100"/>
      <c r="CD9" s="102"/>
      <c r="CE9" s="104"/>
      <c r="CF9" s="105"/>
      <c r="CG9" s="101"/>
      <c r="CH9" s="100"/>
      <c r="CI9" s="105"/>
      <c r="CJ9" s="100"/>
      <c r="CK9" s="102"/>
      <c r="CL9" s="104"/>
      <c r="CM9" s="105"/>
      <c r="CN9" s="101"/>
      <c r="CO9" s="100"/>
      <c r="CP9" s="100"/>
      <c r="CQ9" s="100"/>
      <c r="CR9" s="102"/>
      <c r="CS9" s="104"/>
      <c r="CT9" s="105"/>
      <c r="CU9" s="105"/>
      <c r="CV9" s="100"/>
      <c r="CW9" s="100"/>
      <c r="CX9" s="100"/>
      <c r="CY9" s="102"/>
      <c r="CZ9" s="104"/>
      <c r="DA9" s="105"/>
      <c r="DB9" s="101"/>
      <c r="DC9" s="101"/>
      <c r="DD9" s="100"/>
      <c r="DE9" s="100"/>
      <c r="DF9" s="102"/>
      <c r="DG9" s="104"/>
      <c r="DH9" s="105"/>
      <c r="DI9" s="101"/>
      <c r="DJ9" s="100"/>
      <c r="DK9" s="100"/>
      <c r="DL9" s="100"/>
      <c r="DM9" s="102"/>
      <c r="DN9" s="104"/>
      <c r="DO9" s="105"/>
      <c r="DP9" s="101"/>
      <c r="DQ9" s="100"/>
      <c r="DR9" s="100"/>
      <c r="DS9" s="100"/>
      <c r="DT9" s="105"/>
      <c r="DU9" s="104"/>
      <c r="DV9" s="105"/>
      <c r="DW9" s="101"/>
      <c r="DX9" s="100"/>
      <c r="DY9" s="100"/>
      <c r="DZ9" s="100"/>
      <c r="EA9" s="100"/>
      <c r="EB9" s="105"/>
      <c r="EC9" s="105"/>
      <c r="ED9" s="100"/>
      <c r="EE9" s="100"/>
    </row>
    <row r="10" spans="1:135" ht="18" customHeight="1" x14ac:dyDescent="0.15">
      <c r="B10" s="115">
        <f t="shared" si="0"/>
        <v>2</v>
      </c>
      <c r="C10" s="116"/>
      <c r="D10" s="112" t="s">
        <v>58</v>
      </c>
      <c r="E10" s="112"/>
      <c r="F10" s="112"/>
      <c r="G10" s="112"/>
      <c r="H10" s="112"/>
      <c r="I10" s="112"/>
      <c r="J10" s="112"/>
      <c r="K10" s="51"/>
      <c r="L10" s="59"/>
      <c r="M10" s="58" t="s">
        <v>117</v>
      </c>
      <c r="N10" s="59" t="s">
        <v>118</v>
      </c>
      <c r="O10" s="60">
        <v>8.6999999999999993</v>
      </c>
      <c r="P10" s="61"/>
      <c r="Q10" s="62"/>
      <c r="R10" s="10">
        <f t="shared" ref="R10:R88" si="1">O10*Q10</f>
        <v>0</v>
      </c>
      <c r="S10" s="19"/>
      <c r="T10" s="15">
        <f t="shared" ref="T10" si="2">R10-S10</f>
        <v>0</v>
      </c>
      <c r="U10" s="15">
        <f t="shared" ref="U10" si="3">R10-P10</f>
        <v>0</v>
      </c>
      <c r="V10" s="14" t="str">
        <f t="shared" ref="V10" si="4">IF(S10&gt;0,R10/S10,"-")</f>
        <v>-</v>
      </c>
      <c r="W10" s="14" t="str">
        <f t="shared" ref="W10" si="5">IF(R10&gt;0,R10/P10,"-")</f>
        <v>-</v>
      </c>
      <c r="X10" s="69"/>
      <c r="Y10" s="69" t="s">
        <v>124</v>
      </c>
      <c r="Z10" s="69"/>
      <c r="AA10" s="69"/>
      <c r="AB10" s="69"/>
      <c r="AC10" s="76">
        <v>46035</v>
      </c>
      <c r="AD10" s="77">
        <v>46100</v>
      </c>
      <c r="AE10" s="101"/>
      <c r="AF10" s="102"/>
      <c r="AG10" s="102"/>
      <c r="AH10" s="104"/>
      <c r="AI10" s="105"/>
      <c r="AJ10" s="102"/>
      <c r="AK10" s="102"/>
      <c r="AL10" s="102"/>
      <c r="AM10" s="102"/>
      <c r="AN10" s="102"/>
      <c r="AO10" s="104"/>
      <c r="AP10" s="105"/>
      <c r="AQ10" s="102"/>
      <c r="AR10" s="102"/>
      <c r="AS10" s="102"/>
      <c r="AT10" s="102"/>
      <c r="AU10" s="102"/>
      <c r="AV10" s="104"/>
      <c r="AW10" s="105"/>
      <c r="AX10" s="101"/>
      <c r="AY10" s="100"/>
      <c r="AZ10" s="100"/>
      <c r="BA10" s="100"/>
      <c r="BB10" s="102"/>
      <c r="BC10" s="104"/>
      <c r="BD10" s="105"/>
      <c r="BE10" s="105"/>
      <c r="BF10" s="100"/>
      <c r="BG10" s="100"/>
      <c r="BH10" s="100"/>
      <c r="BI10" s="102"/>
      <c r="BJ10" s="104"/>
      <c r="BK10" s="105"/>
      <c r="BL10" s="100"/>
      <c r="BM10" s="100"/>
      <c r="BN10" s="100"/>
      <c r="BO10" s="100"/>
      <c r="BP10" s="101"/>
      <c r="BQ10" s="104"/>
      <c r="BR10" s="105"/>
      <c r="BS10" s="101"/>
      <c r="BT10" s="100"/>
      <c r="BU10" s="100"/>
      <c r="BV10" s="100"/>
      <c r="BW10" s="102"/>
      <c r="BX10" s="104"/>
      <c r="BY10" s="105"/>
      <c r="BZ10" s="101"/>
      <c r="CA10" s="100"/>
      <c r="CB10" s="100"/>
      <c r="CC10" s="100"/>
      <c r="CD10" s="102"/>
      <c r="CE10" s="104"/>
      <c r="CF10" s="105"/>
      <c r="CG10" s="101"/>
      <c r="CH10" s="100"/>
      <c r="CI10" s="105"/>
      <c r="CJ10" s="100"/>
      <c r="CK10" s="102"/>
      <c r="CL10" s="104"/>
      <c r="CM10" s="105"/>
      <c r="CN10" s="101"/>
      <c r="CO10" s="100"/>
      <c r="CP10" s="100"/>
      <c r="CQ10" s="100"/>
      <c r="CR10" s="102"/>
      <c r="CS10" s="104"/>
      <c r="CT10" s="105"/>
      <c r="CU10" s="105"/>
      <c r="CV10" s="100"/>
      <c r="CW10" s="100"/>
      <c r="CX10" s="100"/>
      <c r="CY10" s="102"/>
      <c r="CZ10" s="104"/>
      <c r="DA10" s="105"/>
      <c r="DB10" s="101"/>
      <c r="DC10" s="101"/>
      <c r="DD10" s="100"/>
      <c r="DE10" s="100"/>
      <c r="DF10" s="102"/>
      <c r="DG10" s="104"/>
      <c r="DH10" s="105"/>
      <c r="DI10" s="101"/>
      <c r="DJ10" s="100"/>
      <c r="DK10" s="100"/>
      <c r="DL10" s="100"/>
      <c r="DM10" s="102"/>
      <c r="DN10" s="104"/>
      <c r="DO10" s="105"/>
      <c r="DP10" s="101"/>
      <c r="DQ10" s="100"/>
      <c r="DR10" s="100"/>
      <c r="DS10" s="100"/>
      <c r="DT10" s="105"/>
      <c r="DU10" s="104"/>
      <c r="DV10" s="105"/>
      <c r="DW10" s="101"/>
      <c r="DX10" s="100"/>
      <c r="DY10" s="100"/>
      <c r="DZ10" s="100"/>
      <c r="EA10" s="100"/>
      <c r="EB10" s="105"/>
      <c r="EC10" s="105"/>
      <c r="ED10" s="100"/>
      <c r="EE10" s="100"/>
    </row>
    <row r="11" spans="1:135" ht="18" customHeight="1" x14ac:dyDescent="0.15">
      <c r="B11" s="115">
        <f t="shared" si="0"/>
        <v>3</v>
      </c>
      <c r="C11" s="116"/>
      <c r="D11" s="112" t="s">
        <v>59</v>
      </c>
      <c r="E11" s="112"/>
      <c r="F11" s="112"/>
      <c r="G11" s="112"/>
      <c r="H11" s="112"/>
      <c r="I11" s="112"/>
      <c r="J11" s="112"/>
      <c r="K11" s="51"/>
      <c r="L11" s="59"/>
      <c r="M11" s="58" t="s">
        <v>117</v>
      </c>
      <c r="N11" s="59" t="s">
        <v>119</v>
      </c>
      <c r="O11" s="60">
        <v>3.2</v>
      </c>
      <c r="P11" s="61"/>
      <c r="Q11" s="62"/>
      <c r="R11" s="10">
        <f t="shared" si="1"/>
        <v>0</v>
      </c>
      <c r="S11" s="19"/>
      <c r="T11" s="15">
        <f t="shared" ref="T11:T93" si="6">R11-S11</f>
        <v>0</v>
      </c>
      <c r="U11" s="15">
        <f t="shared" ref="U11:U93" si="7">R11-P11</f>
        <v>0</v>
      </c>
      <c r="V11" s="14" t="str">
        <f t="shared" ref="V11:V93" si="8">IF(S11&gt;0,R11/S11,"-")</f>
        <v>-</v>
      </c>
      <c r="W11" s="14" t="str">
        <f t="shared" ref="W11:W93" si="9">IF(R11&gt;0,R11/P11,"-")</f>
        <v>-</v>
      </c>
      <c r="X11" s="69"/>
      <c r="Y11" s="117" t="s">
        <v>161</v>
      </c>
      <c r="Z11" s="69"/>
      <c r="AA11" s="69"/>
      <c r="AB11" s="69"/>
      <c r="AC11" s="76">
        <v>46052</v>
      </c>
      <c r="AD11" s="77">
        <v>46094</v>
      </c>
      <c r="AE11" s="101"/>
      <c r="AF11" s="102"/>
      <c r="AG11" s="102"/>
      <c r="AH11" s="104"/>
      <c r="AI11" s="105"/>
      <c r="AJ11" s="102"/>
      <c r="AK11" s="102"/>
      <c r="AL11" s="102"/>
      <c r="AM11" s="102"/>
      <c r="AN11" s="102"/>
      <c r="AO11" s="104"/>
      <c r="AP11" s="105"/>
      <c r="AQ11" s="102"/>
      <c r="AR11" s="102"/>
      <c r="AS11" s="102"/>
      <c r="AT11" s="102"/>
      <c r="AU11" s="102"/>
      <c r="AV11" s="104"/>
      <c r="AW11" s="105"/>
      <c r="AX11" s="101"/>
      <c r="AY11" s="100"/>
      <c r="AZ11" s="100"/>
      <c r="BA11" s="100"/>
      <c r="BB11" s="102"/>
      <c r="BC11" s="104"/>
      <c r="BD11" s="105"/>
      <c r="BE11" s="105"/>
      <c r="BF11" s="100"/>
      <c r="BG11" s="100"/>
      <c r="BH11" s="100"/>
      <c r="BI11" s="102"/>
      <c r="BJ11" s="104"/>
      <c r="BK11" s="105"/>
      <c r="BL11" s="100"/>
      <c r="BM11" s="100"/>
      <c r="BN11" s="100"/>
      <c r="BO11" s="100"/>
      <c r="BP11" s="101"/>
      <c r="BQ11" s="104"/>
      <c r="BR11" s="105"/>
      <c r="BS11" s="101"/>
      <c r="BT11" s="100"/>
      <c r="BU11" s="100"/>
      <c r="BV11" s="100"/>
      <c r="BW11" s="102"/>
      <c r="BX11" s="104"/>
      <c r="BY11" s="105"/>
      <c r="BZ11" s="101"/>
      <c r="CA11" s="100"/>
      <c r="CB11" s="100"/>
      <c r="CC11" s="100"/>
      <c r="CD11" s="102"/>
      <c r="CE11" s="104"/>
      <c r="CF11" s="105"/>
      <c r="CG11" s="101"/>
      <c r="CH11" s="100"/>
      <c r="CI11" s="105"/>
      <c r="CJ11" s="100"/>
      <c r="CK11" s="102"/>
      <c r="CL11" s="104"/>
      <c r="CM11" s="105"/>
      <c r="CN11" s="101"/>
      <c r="CO11" s="100"/>
      <c r="CP11" s="100"/>
      <c r="CQ11" s="100"/>
      <c r="CR11" s="102"/>
      <c r="CS11" s="104"/>
      <c r="CT11" s="105"/>
      <c r="CU11" s="105"/>
      <c r="CV11" s="100"/>
      <c r="CW11" s="100"/>
      <c r="CX11" s="100"/>
      <c r="CY11" s="102"/>
      <c r="CZ11" s="104"/>
      <c r="DA11" s="105"/>
      <c r="DB11" s="101"/>
      <c r="DC11" s="101"/>
      <c r="DD11" s="100"/>
      <c r="DE11" s="100"/>
      <c r="DF11" s="102"/>
      <c r="DG11" s="104"/>
      <c r="DH11" s="105"/>
      <c r="DI11" s="101"/>
      <c r="DJ11" s="100"/>
      <c r="DK11" s="100"/>
      <c r="DL11" s="100"/>
      <c r="DM11" s="102"/>
      <c r="DN11" s="104"/>
      <c r="DO11" s="105"/>
      <c r="DP11" s="101"/>
      <c r="DQ11" s="100"/>
      <c r="DR11" s="100"/>
      <c r="DS11" s="100"/>
      <c r="DT11" s="105"/>
      <c r="DU11" s="104"/>
      <c r="DV11" s="105"/>
      <c r="DW11" s="101"/>
      <c r="DX11" s="100"/>
      <c r="DY11" s="100"/>
      <c r="DZ11" s="100"/>
      <c r="EA11" s="100"/>
      <c r="EB11" s="105"/>
      <c r="EC11" s="105"/>
      <c r="ED11" s="100"/>
      <c r="EE11" s="100"/>
    </row>
    <row r="12" spans="1:135" ht="18" customHeight="1" x14ac:dyDescent="0.15">
      <c r="B12" s="115">
        <f t="shared" si="0"/>
        <v>4</v>
      </c>
      <c r="C12" s="116" t="s">
        <v>60</v>
      </c>
      <c r="D12" s="112"/>
      <c r="E12" s="112"/>
      <c r="F12" s="112"/>
      <c r="G12" s="112"/>
      <c r="H12" s="112"/>
      <c r="I12" s="112"/>
      <c r="J12" s="112"/>
      <c r="K12" s="51"/>
      <c r="L12" s="59"/>
      <c r="M12" s="58"/>
      <c r="N12" s="59"/>
      <c r="O12" s="60"/>
      <c r="P12" s="61"/>
      <c r="Q12" s="62"/>
      <c r="R12" s="10">
        <f t="shared" si="1"/>
        <v>0</v>
      </c>
      <c r="S12" s="19"/>
      <c r="T12" s="15">
        <f t="shared" si="6"/>
        <v>0</v>
      </c>
      <c r="U12" s="15">
        <f t="shared" si="7"/>
        <v>0</v>
      </c>
      <c r="V12" s="14" t="str">
        <f t="shared" si="8"/>
        <v>-</v>
      </c>
      <c r="W12" s="14" t="str">
        <f t="shared" si="9"/>
        <v>-</v>
      </c>
      <c r="X12" s="69"/>
      <c r="Y12" s="69"/>
      <c r="Z12" s="69"/>
      <c r="AA12" s="69"/>
      <c r="AB12" s="69"/>
      <c r="AC12" s="76"/>
      <c r="AD12" s="77"/>
      <c r="AE12" s="101"/>
      <c r="AF12" s="102"/>
      <c r="AG12" s="102"/>
      <c r="AH12" s="104"/>
      <c r="AI12" s="105"/>
      <c r="AJ12" s="102"/>
      <c r="AK12" s="102"/>
      <c r="AL12" s="102"/>
      <c r="AM12" s="102"/>
      <c r="AN12" s="102"/>
      <c r="AO12" s="104"/>
      <c r="AP12" s="105"/>
      <c r="AQ12" s="102"/>
      <c r="AR12" s="102"/>
      <c r="AS12" s="102"/>
      <c r="AT12" s="102"/>
      <c r="AU12" s="102"/>
      <c r="AV12" s="104"/>
      <c r="AW12" s="105"/>
      <c r="AX12" s="101"/>
      <c r="AY12" s="100"/>
      <c r="AZ12" s="100"/>
      <c r="BA12" s="100"/>
      <c r="BB12" s="102"/>
      <c r="BC12" s="104"/>
      <c r="BD12" s="105"/>
      <c r="BE12" s="105"/>
      <c r="BF12" s="100"/>
      <c r="BG12" s="100"/>
      <c r="BH12" s="100"/>
      <c r="BI12" s="102"/>
      <c r="BJ12" s="104"/>
      <c r="BK12" s="105"/>
      <c r="BL12" s="100"/>
      <c r="BM12" s="100"/>
      <c r="BN12" s="100"/>
      <c r="BO12" s="100"/>
      <c r="BP12" s="101"/>
      <c r="BQ12" s="104"/>
      <c r="BR12" s="105"/>
      <c r="BS12" s="101"/>
      <c r="BT12" s="100"/>
      <c r="BU12" s="100"/>
      <c r="BV12" s="100"/>
      <c r="BW12" s="102"/>
      <c r="BX12" s="104"/>
      <c r="BY12" s="105"/>
      <c r="BZ12" s="101"/>
      <c r="CA12" s="100"/>
      <c r="CB12" s="100"/>
      <c r="CC12" s="100"/>
      <c r="CD12" s="102"/>
      <c r="CE12" s="104"/>
      <c r="CF12" s="105"/>
      <c r="CG12" s="101"/>
      <c r="CH12" s="100"/>
      <c r="CI12" s="105"/>
      <c r="CJ12" s="100"/>
      <c r="CK12" s="102"/>
      <c r="CL12" s="104"/>
      <c r="CM12" s="105"/>
      <c r="CN12" s="101"/>
      <c r="CO12" s="100"/>
      <c r="CP12" s="100"/>
      <c r="CQ12" s="100"/>
      <c r="CR12" s="102"/>
      <c r="CS12" s="104"/>
      <c r="CT12" s="105"/>
      <c r="CU12" s="105"/>
      <c r="CV12" s="100"/>
      <c r="CW12" s="100"/>
      <c r="CX12" s="100"/>
      <c r="CY12" s="102"/>
      <c r="CZ12" s="104"/>
      <c r="DA12" s="105"/>
      <c r="DB12" s="101"/>
      <c r="DC12" s="101"/>
      <c r="DD12" s="100"/>
      <c r="DE12" s="100"/>
      <c r="DF12" s="102"/>
      <c r="DG12" s="104"/>
      <c r="DH12" s="105"/>
      <c r="DI12" s="101"/>
      <c r="DJ12" s="100"/>
      <c r="DK12" s="100"/>
      <c r="DL12" s="100"/>
      <c r="DM12" s="102"/>
      <c r="DN12" s="104"/>
      <c r="DO12" s="105"/>
      <c r="DP12" s="101"/>
      <c r="DQ12" s="100"/>
      <c r="DR12" s="100"/>
      <c r="DS12" s="100"/>
      <c r="DT12" s="105"/>
      <c r="DU12" s="104"/>
      <c r="DV12" s="105"/>
      <c r="DW12" s="101"/>
      <c r="DX12" s="100"/>
      <c r="DY12" s="100"/>
      <c r="DZ12" s="100"/>
      <c r="EA12" s="100"/>
      <c r="EB12" s="105"/>
      <c r="EC12" s="105"/>
      <c r="ED12" s="100"/>
      <c r="EE12" s="100"/>
    </row>
    <row r="13" spans="1:135" ht="18" customHeight="1" x14ac:dyDescent="0.15">
      <c r="B13" s="115"/>
      <c r="C13" s="116"/>
      <c r="D13" s="112" t="s">
        <v>128</v>
      </c>
      <c r="E13" s="112"/>
      <c r="F13" s="112"/>
      <c r="G13" s="112"/>
      <c r="H13" s="112"/>
      <c r="I13" s="112"/>
      <c r="J13" s="112"/>
      <c r="K13" s="51"/>
      <c r="L13" s="59"/>
      <c r="M13" s="58"/>
      <c r="N13" s="59"/>
      <c r="O13" s="60"/>
      <c r="P13" s="61"/>
      <c r="Q13" s="62"/>
      <c r="R13" s="10"/>
      <c r="S13" s="19"/>
      <c r="T13" s="15"/>
      <c r="U13" s="15"/>
      <c r="V13" s="14"/>
      <c r="W13" s="14"/>
      <c r="X13" s="69"/>
      <c r="Y13" s="69"/>
      <c r="Z13" s="69"/>
      <c r="AA13" s="69"/>
      <c r="AB13" s="69"/>
      <c r="AC13" s="76"/>
      <c r="AD13" s="77"/>
      <c r="AE13" s="101"/>
      <c r="AF13" s="102"/>
      <c r="AG13" s="102"/>
      <c r="AH13" s="104"/>
      <c r="AI13" s="105"/>
      <c r="AJ13" s="102"/>
      <c r="AK13" s="102"/>
      <c r="AL13" s="102"/>
      <c r="AM13" s="102"/>
      <c r="AN13" s="102"/>
      <c r="AO13" s="104"/>
      <c r="AP13" s="105"/>
      <c r="AQ13" s="102"/>
      <c r="AR13" s="102"/>
      <c r="AS13" s="102"/>
      <c r="AT13" s="102"/>
      <c r="AU13" s="102"/>
      <c r="AV13" s="104"/>
      <c r="AW13" s="105"/>
      <c r="AX13" s="101"/>
      <c r="AY13" s="100"/>
      <c r="AZ13" s="100"/>
      <c r="BA13" s="100"/>
      <c r="BB13" s="102"/>
      <c r="BC13" s="104"/>
      <c r="BD13" s="105"/>
      <c r="BE13" s="105"/>
      <c r="BF13" s="100"/>
      <c r="BG13" s="100"/>
      <c r="BH13" s="100"/>
      <c r="BI13" s="102"/>
      <c r="BJ13" s="104"/>
      <c r="BK13" s="105"/>
      <c r="BL13" s="100"/>
      <c r="BM13" s="100"/>
      <c r="BN13" s="100"/>
      <c r="BO13" s="100"/>
      <c r="BP13" s="101"/>
      <c r="BQ13" s="104"/>
      <c r="BR13" s="105"/>
      <c r="BS13" s="101"/>
      <c r="BT13" s="100"/>
      <c r="BU13" s="100"/>
      <c r="BV13" s="100"/>
      <c r="BW13" s="102"/>
      <c r="BX13" s="104"/>
      <c r="BY13" s="105"/>
      <c r="BZ13" s="101"/>
      <c r="CA13" s="100"/>
      <c r="CB13" s="100"/>
      <c r="CC13" s="100"/>
      <c r="CD13" s="102"/>
      <c r="CE13" s="104"/>
      <c r="CF13" s="105"/>
      <c r="CG13" s="101"/>
      <c r="CH13" s="100"/>
      <c r="CI13" s="105"/>
      <c r="CJ13" s="100"/>
      <c r="CK13" s="102"/>
      <c r="CL13" s="104"/>
      <c r="CM13" s="105"/>
      <c r="CN13" s="101"/>
      <c r="CO13" s="100"/>
      <c r="CP13" s="100"/>
      <c r="CQ13" s="100"/>
      <c r="CR13" s="102"/>
      <c r="CS13" s="104"/>
      <c r="CT13" s="105"/>
      <c r="CU13" s="105"/>
      <c r="CV13" s="100"/>
      <c r="CW13" s="100"/>
      <c r="CX13" s="100"/>
      <c r="CY13" s="102"/>
      <c r="CZ13" s="104"/>
      <c r="DA13" s="105"/>
      <c r="DB13" s="101"/>
      <c r="DC13" s="101"/>
      <c r="DD13" s="100"/>
      <c r="DE13" s="100"/>
      <c r="DF13" s="102"/>
      <c r="DG13" s="104"/>
      <c r="DH13" s="105"/>
      <c r="DI13" s="101"/>
      <c r="DJ13" s="100"/>
      <c r="DK13" s="100"/>
      <c r="DL13" s="100"/>
      <c r="DM13" s="102"/>
      <c r="DN13" s="104"/>
      <c r="DO13" s="105"/>
      <c r="DP13" s="101"/>
      <c r="DQ13" s="100"/>
      <c r="DR13" s="100"/>
      <c r="DS13" s="100"/>
      <c r="DT13" s="105"/>
      <c r="DU13" s="104"/>
      <c r="DV13" s="105"/>
      <c r="DW13" s="101"/>
      <c r="DX13" s="100"/>
      <c r="DY13" s="100"/>
      <c r="DZ13" s="100"/>
      <c r="EA13" s="100"/>
      <c r="EB13" s="105"/>
      <c r="EC13" s="105"/>
      <c r="ED13" s="100"/>
      <c r="EE13" s="100"/>
    </row>
    <row r="14" spans="1:135" ht="18" customHeight="1" x14ac:dyDescent="0.15">
      <c r="B14" s="115">
        <f t="shared" si="0"/>
        <v>6</v>
      </c>
      <c r="C14" s="116"/>
      <c r="D14" s="112"/>
      <c r="E14" s="112" t="s">
        <v>61</v>
      </c>
      <c r="F14" s="112"/>
      <c r="G14" s="112"/>
      <c r="H14" s="112"/>
      <c r="I14" s="112"/>
      <c r="J14" s="112"/>
      <c r="K14" s="51"/>
      <c r="L14" s="59"/>
      <c r="M14" s="58" t="s">
        <v>117</v>
      </c>
      <c r="N14" s="59" t="s">
        <v>120</v>
      </c>
      <c r="O14" s="60">
        <v>0.5</v>
      </c>
      <c r="P14" s="61"/>
      <c r="Q14" s="62"/>
      <c r="R14" s="10">
        <f t="shared" si="1"/>
        <v>0</v>
      </c>
      <c r="S14" s="19"/>
      <c r="T14" s="15">
        <f t="shared" si="6"/>
        <v>0</v>
      </c>
      <c r="U14" s="15">
        <f t="shared" si="7"/>
        <v>0</v>
      </c>
      <c r="V14" s="14" t="str">
        <f t="shared" si="8"/>
        <v>-</v>
      </c>
      <c r="W14" s="14" t="str">
        <f t="shared" si="9"/>
        <v>-</v>
      </c>
      <c r="X14" s="69"/>
      <c r="Y14" s="69" t="s">
        <v>150</v>
      </c>
      <c r="Z14" s="69"/>
      <c r="AA14" s="69"/>
      <c r="AB14" s="69"/>
      <c r="AC14" s="76">
        <v>46035</v>
      </c>
      <c r="AD14" s="77">
        <v>46035</v>
      </c>
      <c r="AE14" s="101"/>
      <c r="AF14" s="102"/>
      <c r="AG14" s="102"/>
      <c r="AH14" s="104"/>
      <c r="AI14" s="105"/>
      <c r="AJ14" s="102"/>
      <c r="AK14" s="102"/>
      <c r="AL14" s="102"/>
      <c r="AM14" s="102"/>
      <c r="AN14" s="102"/>
      <c r="AO14" s="104"/>
      <c r="AP14" s="105"/>
      <c r="AQ14" s="102"/>
      <c r="AR14" s="102"/>
      <c r="AS14" s="102"/>
      <c r="AT14" s="102"/>
      <c r="AU14" s="102"/>
      <c r="AV14" s="104"/>
      <c r="AW14" s="105"/>
      <c r="AX14" s="101"/>
      <c r="AY14" s="100"/>
      <c r="AZ14" s="100"/>
      <c r="BA14" s="100"/>
      <c r="BB14" s="102"/>
      <c r="BC14" s="104"/>
      <c r="BD14" s="105"/>
      <c r="BE14" s="105"/>
      <c r="BF14" s="100"/>
      <c r="BG14" s="100"/>
      <c r="BH14" s="100"/>
      <c r="BI14" s="102"/>
      <c r="BJ14" s="104"/>
      <c r="BK14" s="105"/>
      <c r="BL14" s="100"/>
      <c r="BM14" s="100"/>
      <c r="BN14" s="100"/>
      <c r="BO14" s="100"/>
      <c r="BP14" s="101"/>
      <c r="BQ14" s="104"/>
      <c r="BR14" s="105"/>
      <c r="BS14" s="101"/>
      <c r="BT14" s="100"/>
      <c r="BU14" s="100"/>
      <c r="BV14" s="100"/>
      <c r="BW14" s="102"/>
      <c r="BX14" s="104"/>
      <c r="BY14" s="105"/>
      <c r="BZ14" s="101"/>
      <c r="CA14" s="100"/>
      <c r="CB14" s="100"/>
      <c r="CC14" s="100"/>
      <c r="CD14" s="102"/>
      <c r="CE14" s="104"/>
      <c r="CF14" s="105"/>
      <c r="CG14" s="101"/>
      <c r="CH14" s="100"/>
      <c r="CI14" s="105"/>
      <c r="CJ14" s="100"/>
      <c r="CK14" s="102"/>
      <c r="CL14" s="104"/>
      <c r="CM14" s="105"/>
      <c r="CN14" s="101"/>
      <c r="CO14" s="100"/>
      <c r="CP14" s="100"/>
      <c r="CQ14" s="100"/>
      <c r="CR14" s="102"/>
      <c r="CS14" s="104"/>
      <c r="CT14" s="105"/>
      <c r="CU14" s="105"/>
      <c r="CV14" s="100"/>
      <c r="CW14" s="100"/>
      <c r="CX14" s="100"/>
      <c r="CY14" s="102"/>
      <c r="CZ14" s="104"/>
      <c r="DA14" s="105"/>
      <c r="DB14" s="101"/>
      <c r="DC14" s="101"/>
      <c r="DD14" s="100"/>
      <c r="DE14" s="100"/>
      <c r="DF14" s="102"/>
      <c r="DG14" s="104"/>
      <c r="DH14" s="105"/>
      <c r="DI14" s="101"/>
      <c r="DJ14" s="100"/>
      <c r="DK14" s="100"/>
      <c r="DL14" s="100"/>
      <c r="DM14" s="102"/>
      <c r="DN14" s="104"/>
      <c r="DO14" s="105"/>
      <c r="DP14" s="101"/>
      <c r="DQ14" s="100"/>
      <c r="DR14" s="100"/>
      <c r="DS14" s="100"/>
      <c r="DT14" s="105"/>
      <c r="DU14" s="104"/>
      <c r="DV14" s="105"/>
      <c r="DW14" s="101"/>
      <c r="DX14" s="100"/>
      <c r="DY14" s="100"/>
      <c r="DZ14" s="100"/>
      <c r="EA14" s="100"/>
      <c r="EB14" s="105"/>
      <c r="EC14" s="105"/>
      <c r="ED14" s="100"/>
      <c r="EE14" s="100"/>
    </row>
    <row r="15" spans="1:135" ht="18" customHeight="1" outlineLevel="1" x14ac:dyDescent="0.15">
      <c r="B15" s="115">
        <f t="shared" si="0"/>
        <v>7</v>
      </c>
      <c r="C15" s="116"/>
      <c r="D15" s="112"/>
      <c r="E15" s="112" t="s">
        <v>62</v>
      </c>
      <c r="F15" s="112"/>
      <c r="G15" s="112"/>
      <c r="H15" s="112"/>
      <c r="I15" s="112"/>
      <c r="J15" s="112"/>
      <c r="K15" s="51"/>
      <c r="L15" s="59"/>
      <c r="M15" s="58" t="s">
        <v>117</v>
      </c>
      <c r="N15" s="59" t="s">
        <v>119</v>
      </c>
      <c r="O15" s="60">
        <v>0.8</v>
      </c>
      <c r="P15" s="61"/>
      <c r="Q15" s="62"/>
      <c r="R15" s="10">
        <f t="shared" si="1"/>
        <v>0</v>
      </c>
      <c r="S15" s="19"/>
      <c r="T15" s="15">
        <f t="shared" si="6"/>
        <v>0</v>
      </c>
      <c r="U15" s="15">
        <f t="shared" si="7"/>
        <v>0</v>
      </c>
      <c r="V15" s="14" t="str">
        <f t="shared" si="8"/>
        <v>-</v>
      </c>
      <c r="W15" s="14" t="str">
        <f t="shared" si="9"/>
        <v>-</v>
      </c>
      <c r="X15" s="69"/>
      <c r="Y15" s="69"/>
      <c r="Z15" s="69"/>
      <c r="AA15" s="69"/>
      <c r="AB15" s="69"/>
      <c r="AC15" s="76">
        <v>46035</v>
      </c>
      <c r="AD15" s="76">
        <v>46035</v>
      </c>
      <c r="AE15" s="101"/>
      <c r="AF15" s="102"/>
      <c r="AG15" s="102"/>
      <c r="AH15" s="104"/>
      <c r="AI15" s="105"/>
      <c r="AJ15" s="102"/>
      <c r="AK15" s="102"/>
      <c r="AL15" s="102"/>
      <c r="AM15" s="102"/>
      <c r="AN15" s="102"/>
      <c r="AO15" s="104"/>
      <c r="AP15" s="105"/>
      <c r="AQ15" s="102"/>
      <c r="AR15" s="102"/>
      <c r="AS15" s="102"/>
      <c r="AT15" s="102"/>
      <c r="AU15" s="102"/>
      <c r="AV15" s="104"/>
      <c r="AW15" s="105"/>
      <c r="AX15" s="101"/>
      <c r="AY15" s="100"/>
      <c r="AZ15" s="100"/>
      <c r="BA15" s="100"/>
      <c r="BB15" s="102"/>
      <c r="BC15" s="104"/>
      <c r="BD15" s="105"/>
      <c r="BE15" s="105"/>
      <c r="BF15" s="100"/>
      <c r="BG15" s="100"/>
      <c r="BH15" s="100"/>
      <c r="BI15" s="102"/>
      <c r="BJ15" s="104"/>
      <c r="BK15" s="105"/>
      <c r="BL15" s="100"/>
      <c r="BM15" s="100"/>
      <c r="BN15" s="100"/>
      <c r="BO15" s="100"/>
      <c r="BP15" s="101"/>
      <c r="BQ15" s="104"/>
      <c r="BR15" s="105"/>
      <c r="BS15" s="101"/>
      <c r="BT15" s="100"/>
      <c r="BU15" s="100"/>
      <c r="BV15" s="100"/>
      <c r="BW15" s="102"/>
      <c r="BX15" s="104"/>
      <c r="BY15" s="105"/>
      <c r="BZ15" s="101"/>
      <c r="CA15" s="100"/>
      <c r="CB15" s="100"/>
      <c r="CC15" s="100"/>
      <c r="CD15" s="102"/>
      <c r="CE15" s="104"/>
      <c r="CF15" s="105"/>
      <c r="CG15" s="101"/>
      <c r="CH15" s="100"/>
      <c r="CI15" s="105"/>
      <c r="CJ15" s="100"/>
      <c r="CK15" s="102"/>
      <c r="CL15" s="104"/>
      <c r="CM15" s="105"/>
      <c r="CN15" s="101"/>
      <c r="CO15" s="100"/>
      <c r="CP15" s="100"/>
      <c r="CQ15" s="100"/>
      <c r="CR15" s="100"/>
      <c r="CS15" s="104"/>
      <c r="CT15" s="105"/>
      <c r="CU15" s="105"/>
      <c r="CV15" s="100"/>
      <c r="CW15" s="100"/>
      <c r="CX15" s="100"/>
      <c r="CY15" s="100"/>
      <c r="CZ15" s="104"/>
      <c r="DA15" s="105"/>
      <c r="DB15" s="101"/>
      <c r="DC15" s="101"/>
      <c r="DD15" s="100"/>
      <c r="DE15" s="100"/>
      <c r="DF15" s="102"/>
      <c r="DG15" s="104"/>
      <c r="DH15" s="105"/>
      <c r="DI15" s="101"/>
      <c r="DJ15" s="100"/>
      <c r="DK15" s="100"/>
      <c r="DL15" s="100"/>
      <c r="DM15" s="102"/>
      <c r="DN15" s="104"/>
      <c r="DO15" s="105"/>
      <c r="DP15" s="101"/>
      <c r="DQ15" s="100"/>
      <c r="DR15" s="100"/>
      <c r="DS15" s="100"/>
      <c r="DT15" s="105"/>
      <c r="DU15" s="104"/>
      <c r="DV15" s="105"/>
      <c r="DW15" s="101"/>
      <c r="DX15" s="100"/>
      <c r="DY15" s="100"/>
      <c r="DZ15" s="100"/>
      <c r="EA15" s="100"/>
      <c r="EB15" s="105"/>
      <c r="EC15" s="105"/>
      <c r="ED15" s="100"/>
      <c r="EE15" s="100"/>
    </row>
    <row r="16" spans="1:135" ht="18" customHeight="1" outlineLevel="1" x14ac:dyDescent="0.15">
      <c r="B16" s="115">
        <f t="shared" si="0"/>
        <v>8</v>
      </c>
      <c r="C16" s="116"/>
      <c r="D16" s="112"/>
      <c r="E16" s="112" t="s">
        <v>63</v>
      </c>
      <c r="F16" s="112"/>
      <c r="G16" s="112"/>
      <c r="H16" s="112"/>
      <c r="I16" s="112"/>
      <c r="J16" s="112"/>
      <c r="K16" s="51"/>
      <c r="L16" s="59"/>
      <c r="M16" s="58" t="s">
        <v>117</v>
      </c>
      <c r="N16" s="59" t="s">
        <v>119</v>
      </c>
      <c r="O16" s="60">
        <v>0.4</v>
      </c>
      <c r="P16" s="61"/>
      <c r="Q16" s="62"/>
      <c r="R16" s="10">
        <f t="shared" si="1"/>
        <v>0</v>
      </c>
      <c r="S16" s="13"/>
      <c r="T16" s="15"/>
      <c r="U16" s="15"/>
      <c r="V16" s="14"/>
      <c r="W16" s="14"/>
      <c r="X16" s="69"/>
      <c r="Y16" s="69" t="s">
        <v>158</v>
      </c>
      <c r="Z16" s="69"/>
      <c r="AA16" s="69"/>
      <c r="AB16" s="69"/>
      <c r="AC16" s="76">
        <v>46035</v>
      </c>
      <c r="AD16" s="76">
        <v>46035</v>
      </c>
      <c r="AE16" s="101"/>
      <c r="AF16" s="102"/>
      <c r="AG16" s="102"/>
      <c r="AH16" s="104"/>
      <c r="AI16" s="105"/>
      <c r="AJ16" s="102"/>
      <c r="AK16" s="102"/>
      <c r="AL16" s="102"/>
      <c r="AM16" s="102"/>
      <c r="AN16" s="102"/>
      <c r="AO16" s="104"/>
      <c r="AP16" s="105"/>
      <c r="AQ16" s="102"/>
      <c r="AR16" s="102"/>
      <c r="AS16" s="102"/>
      <c r="AT16" s="102"/>
      <c r="AU16" s="102"/>
      <c r="AV16" s="104"/>
      <c r="AW16" s="105"/>
      <c r="AX16" s="101"/>
      <c r="AY16" s="100"/>
      <c r="AZ16" s="100"/>
      <c r="BA16" s="100"/>
      <c r="BB16" s="102"/>
      <c r="BC16" s="104"/>
      <c r="BD16" s="105"/>
      <c r="BE16" s="105"/>
      <c r="BF16" s="100"/>
      <c r="BG16" s="100"/>
      <c r="BH16" s="100"/>
      <c r="BI16" s="102"/>
      <c r="BJ16" s="104"/>
      <c r="BK16" s="105"/>
      <c r="BL16" s="100"/>
      <c r="BM16" s="100"/>
      <c r="BN16" s="100"/>
      <c r="BO16" s="100"/>
      <c r="BP16" s="101"/>
      <c r="BQ16" s="104"/>
      <c r="BR16" s="105"/>
      <c r="BS16" s="101"/>
      <c r="BT16" s="100"/>
      <c r="BU16" s="100"/>
      <c r="BV16" s="100"/>
      <c r="BW16" s="102"/>
      <c r="BX16" s="104"/>
      <c r="BY16" s="105"/>
      <c r="BZ16" s="101"/>
      <c r="CA16" s="100"/>
      <c r="CB16" s="100"/>
      <c r="CC16" s="100"/>
      <c r="CD16" s="102"/>
      <c r="CE16" s="104"/>
      <c r="CF16" s="105"/>
      <c r="CG16" s="101"/>
      <c r="CH16" s="100"/>
      <c r="CI16" s="105"/>
      <c r="CJ16" s="100"/>
      <c r="CK16" s="102"/>
      <c r="CL16" s="104"/>
      <c r="CM16" s="105"/>
      <c r="CN16" s="101"/>
      <c r="CO16" s="100"/>
      <c r="CP16" s="100"/>
      <c r="CQ16" s="100"/>
      <c r="CR16" s="102"/>
      <c r="CS16" s="104"/>
      <c r="CT16" s="105"/>
      <c r="CU16" s="105"/>
      <c r="CV16" s="100"/>
      <c r="CW16" s="100"/>
      <c r="CX16" s="100"/>
      <c r="CY16" s="102"/>
      <c r="CZ16" s="104"/>
      <c r="DA16" s="105"/>
      <c r="DB16" s="101"/>
      <c r="DC16" s="101"/>
      <c r="DD16" s="100"/>
      <c r="DE16" s="100"/>
      <c r="DF16" s="102"/>
      <c r="DG16" s="104"/>
      <c r="DH16" s="105"/>
      <c r="DI16" s="101"/>
      <c r="DJ16" s="100"/>
      <c r="DK16" s="100"/>
      <c r="DL16" s="100"/>
      <c r="DM16" s="102"/>
      <c r="DN16" s="104"/>
      <c r="DO16" s="105"/>
      <c r="DP16" s="101"/>
      <c r="DQ16" s="100"/>
      <c r="DR16" s="100"/>
      <c r="DS16" s="100"/>
      <c r="DT16" s="105"/>
      <c r="DU16" s="104"/>
      <c r="DV16" s="105"/>
      <c r="DW16" s="101"/>
      <c r="DX16" s="100"/>
      <c r="DY16" s="100"/>
      <c r="DZ16" s="100"/>
      <c r="EA16" s="100"/>
      <c r="EB16" s="105"/>
      <c r="EC16" s="105"/>
      <c r="ED16" s="100"/>
      <c r="EE16" s="100"/>
    </row>
    <row r="17" spans="2:135" ht="18" customHeight="1" outlineLevel="1" x14ac:dyDescent="0.15">
      <c r="B17" s="115">
        <f t="shared" si="0"/>
        <v>9</v>
      </c>
      <c r="C17" s="116"/>
      <c r="D17" s="112"/>
      <c r="E17" s="112" t="s">
        <v>64</v>
      </c>
      <c r="F17" s="112"/>
      <c r="G17" s="112"/>
      <c r="H17" s="112"/>
      <c r="I17" s="112"/>
      <c r="J17" s="112"/>
      <c r="K17" s="51"/>
      <c r="L17" s="59"/>
      <c r="M17" s="58" t="s">
        <v>117</v>
      </c>
      <c r="N17" s="59" t="s">
        <v>120</v>
      </c>
      <c r="O17" s="60">
        <v>0.3</v>
      </c>
      <c r="P17" s="61"/>
      <c r="Q17" s="62"/>
      <c r="R17" s="10">
        <f t="shared" si="1"/>
        <v>0</v>
      </c>
      <c r="S17" s="19"/>
      <c r="T17" s="15"/>
      <c r="U17" s="15"/>
      <c r="V17" s="14"/>
      <c r="W17" s="14"/>
      <c r="X17" s="69"/>
      <c r="Y17" s="69"/>
      <c r="Z17" s="69"/>
      <c r="AA17" s="69"/>
      <c r="AB17" s="69"/>
      <c r="AC17" s="76">
        <v>46035</v>
      </c>
      <c r="AD17" s="76">
        <v>46036</v>
      </c>
      <c r="AE17" s="101"/>
      <c r="AF17" s="102"/>
      <c r="AG17" s="102"/>
      <c r="AH17" s="104"/>
      <c r="AI17" s="105"/>
      <c r="AJ17" s="102"/>
      <c r="AK17" s="102"/>
      <c r="AL17" s="102"/>
      <c r="AM17" s="102"/>
      <c r="AN17" s="102"/>
      <c r="AO17" s="104"/>
      <c r="AP17" s="105"/>
      <c r="AQ17" s="102"/>
      <c r="AR17" s="102"/>
      <c r="AS17" s="102"/>
      <c r="AT17" s="102"/>
      <c r="AU17" s="102"/>
      <c r="AV17" s="104"/>
      <c r="AW17" s="105"/>
      <c r="AX17" s="101"/>
      <c r="AY17" s="100"/>
      <c r="AZ17" s="100"/>
      <c r="BA17" s="100"/>
      <c r="BB17" s="102"/>
      <c r="BC17" s="104"/>
      <c r="BD17" s="105"/>
      <c r="BE17" s="105"/>
      <c r="BF17" s="100"/>
      <c r="BG17" s="100"/>
      <c r="BH17" s="100"/>
      <c r="BI17" s="102"/>
      <c r="BJ17" s="104"/>
      <c r="BK17" s="105"/>
      <c r="BL17" s="100"/>
      <c r="BM17" s="100"/>
      <c r="BN17" s="100"/>
      <c r="BO17" s="100"/>
      <c r="BP17" s="101"/>
      <c r="BQ17" s="104"/>
      <c r="BR17" s="105"/>
      <c r="BS17" s="101"/>
      <c r="BT17" s="100"/>
      <c r="BU17" s="100"/>
      <c r="BV17" s="100"/>
      <c r="BW17" s="102"/>
      <c r="BX17" s="104"/>
      <c r="BY17" s="105"/>
      <c r="BZ17" s="101"/>
      <c r="CA17" s="100"/>
      <c r="CB17" s="100"/>
      <c r="CC17" s="100"/>
      <c r="CD17" s="102"/>
      <c r="CE17" s="104"/>
      <c r="CF17" s="105"/>
      <c r="CG17" s="101"/>
      <c r="CH17" s="100"/>
      <c r="CI17" s="105"/>
      <c r="CJ17" s="100"/>
      <c r="CK17" s="102"/>
      <c r="CL17" s="104"/>
      <c r="CM17" s="105"/>
      <c r="CN17" s="101"/>
      <c r="CO17" s="100"/>
      <c r="CP17" s="100"/>
      <c r="CQ17" s="100"/>
      <c r="CR17" s="102"/>
      <c r="CS17" s="104"/>
      <c r="CT17" s="105"/>
      <c r="CU17" s="105"/>
      <c r="CV17" s="100"/>
      <c r="CW17" s="100"/>
      <c r="CX17" s="100"/>
      <c r="CY17" s="102"/>
      <c r="CZ17" s="104"/>
      <c r="DA17" s="105"/>
      <c r="DB17" s="101"/>
      <c r="DC17" s="101"/>
      <c r="DD17" s="100"/>
      <c r="DE17" s="100"/>
      <c r="DF17" s="102"/>
      <c r="DG17" s="104"/>
      <c r="DH17" s="105"/>
      <c r="DI17" s="101"/>
      <c r="DJ17" s="100"/>
      <c r="DK17" s="100"/>
      <c r="DL17" s="100"/>
      <c r="DM17" s="102"/>
      <c r="DN17" s="104"/>
      <c r="DO17" s="105"/>
      <c r="DP17" s="101"/>
      <c r="DQ17" s="100"/>
      <c r="DR17" s="100"/>
      <c r="DS17" s="100"/>
      <c r="DT17" s="105"/>
      <c r="DU17" s="104"/>
      <c r="DV17" s="105"/>
      <c r="DW17" s="101"/>
      <c r="DX17" s="100"/>
      <c r="DY17" s="100"/>
      <c r="DZ17" s="100"/>
      <c r="EA17" s="100"/>
      <c r="EB17" s="105"/>
      <c r="EC17" s="105"/>
      <c r="ED17" s="100"/>
      <c r="EE17" s="100"/>
    </row>
    <row r="18" spans="2:135" ht="18" customHeight="1" outlineLevel="1" x14ac:dyDescent="0.15">
      <c r="B18" s="115"/>
      <c r="C18" s="116"/>
      <c r="D18" s="112" t="s">
        <v>127</v>
      </c>
      <c r="E18" s="112"/>
      <c r="F18" s="112"/>
      <c r="G18" s="112"/>
      <c r="H18" s="112"/>
      <c r="I18" s="112"/>
      <c r="J18" s="112"/>
      <c r="K18" s="51"/>
      <c r="L18" s="59"/>
      <c r="M18" s="58"/>
      <c r="N18" s="59"/>
      <c r="O18" s="60"/>
      <c r="P18" s="61"/>
      <c r="Q18" s="62"/>
      <c r="R18" s="10"/>
      <c r="S18" s="19"/>
      <c r="T18" s="15"/>
      <c r="U18" s="15"/>
      <c r="V18" s="14"/>
      <c r="W18" s="14"/>
      <c r="X18" s="69"/>
      <c r="Y18" s="69"/>
      <c r="Z18" s="69"/>
      <c r="AA18" s="69"/>
      <c r="AB18" s="69"/>
      <c r="AC18" s="76"/>
      <c r="AD18" s="76"/>
      <c r="AE18" s="101"/>
      <c r="AF18" s="102"/>
      <c r="AG18" s="102"/>
      <c r="AH18" s="104"/>
      <c r="AI18" s="105"/>
      <c r="AJ18" s="102"/>
      <c r="AK18" s="102"/>
      <c r="AL18" s="102"/>
      <c r="AM18" s="102"/>
      <c r="AN18" s="102"/>
      <c r="AO18" s="104"/>
      <c r="AP18" s="105"/>
      <c r="AQ18" s="102"/>
      <c r="AR18" s="102"/>
      <c r="AS18" s="102"/>
      <c r="AT18" s="102"/>
      <c r="AU18" s="102"/>
      <c r="AV18" s="104"/>
      <c r="AW18" s="105"/>
      <c r="AX18" s="101"/>
      <c r="AY18" s="100"/>
      <c r="AZ18" s="100"/>
      <c r="BA18" s="100"/>
      <c r="BB18" s="102"/>
      <c r="BC18" s="104"/>
      <c r="BD18" s="105"/>
      <c r="BE18" s="105"/>
      <c r="BF18" s="100"/>
      <c r="BG18" s="100"/>
      <c r="BH18" s="100"/>
      <c r="BI18" s="102"/>
      <c r="BJ18" s="104"/>
      <c r="BK18" s="105"/>
      <c r="BL18" s="100"/>
      <c r="BM18" s="100"/>
      <c r="BN18" s="100"/>
      <c r="BO18" s="100"/>
      <c r="BP18" s="101"/>
      <c r="BQ18" s="104"/>
      <c r="BR18" s="105"/>
      <c r="BS18" s="101"/>
      <c r="BT18" s="100"/>
      <c r="BU18" s="100"/>
      <c r="BV18" s="100"/>
      <c r="BW18" s="102"/>
      <c r="BX18" s="104"/>
      <c r="BY18" s="105"/>
      <c r="BZ18" s="101"/>
      <c r="CA18" s="100"/>
      <c r="CB18" s="100"/>
      <c r="CC18" s="100"/>
      <c r="CD18" s="102"/>
      <c r="CE18" s="104"/>
      <c r="CF18" s="105"/>
      <c r="CG18" s="101"/>
      <c r="CH18" s="100"/>
      <c r="CI18" s="105"/>
      <c r="CJ18" s="100"/>
      <c r="CK18" s="102"/>
      <c r="CL18" s="104"/>
      <c r="CM18" s="105"/>
      <c r="CN18" s="101"/>
      <c r="CO18" s="100"/>
      <c r="CP18" s="100"/>
      <c r="CQ18" s="100"/>
      <c r="CR18" s="102"/>
      <c r="CS18" s="104"/>
      <c r="CT18" s="105"/>
      <c r="CU18" s="105"/>
      <c r="CV18" s="100"/>
      <c r="CW18" s="100"/>
      <c r="CX18" s="100"/>
      <c r="CY18" s="102"/>
      <c r="CZ18" s="104"/>
      <c r="DA18" s="105"/>
      <c r="DB18" s="101"/>
      <c r="DC18" s="101"/>
      <c r="DD18" s="100"/>
      <c r="DE18" s="100"/>
      <c r="DF18" s="102"/>
      <c r="DG18" s="104"/>
      <c r="DH18" s="105"/>
      <c r="DI18" s="101"/>
      <c r="DJ18" s="100"/>
      <c r="DK18" s="100"/>
      <c r="DL18" s="100"/>
      <c r="DM18" s="102"/>
      <c r="DN18" s="104"/>
      <c r="DO18" s="105"/>
      <c r="DP18" s="101"/>
      <c r="DQ18" s="100"/>
      <c r="DR18" s="100"/>
      <c r="DS18" s="100"/>
      <c r="DT18" s="105"/>
      <c r="DU18" s="104"/>
      <c r="DV18" s="105"/>
      <c r="DW18" s="101"/>
      <c r="DX18" s="100"/>
      <c r="DY18" s="100"/>
      <c r="DZ18" s="100"/>
      <c r="EA18" s="100"/>
      <c r="EB18" s="105"/>
      <c r="EC18" s="105"/>
      <c r="ED18" s="100"/>
      <c r="EE18" s="100"/>
    </row>
    <row r="19" spans="2:135" ht="18" customHeight="1" outlineLevel="1" x14ac:dyDescent="0.15">
      <c r="B19" s="115">
        <f t="shared" si="0"/>
        <v>11</v>
      </c>
      <c r="C19" s="116"/>
      <c r="D19" s="112"/>
      <c r="E19" s="112" t="s">
        <v>65</v>
      </c>
      <c r="F19" s="112"/>
      <c r="G19" s="112"/>
      <c r="H19" s="112"/>
      <c r="I19" s="112"/>
      <c r="J19" s="112"/>
      <c r="K19" s="51"/>
      <c r="L19" s="59"/>
      <c r="M19" s="58" t="s">
        <v>117</v>
      </c>
      <c r="N19" s="59" t="s">
        <v>120</v>
      </c>
      <c r="O19" s="60">
        <v>0.7</v>
      </c>
      <c r="P19" s="61"/>
      <c r="Q19" s="62"/>
      <c r="R19" s="10">
        <f t="shared" si="1"/>
        <v>0</v>
      </c>
      <c r="S19" s="19"/>
      <c r="T19" s="15"/>
      <c r="U19" s="15"/>
      <c r="V19" s="14"/>
      <c r="W19" s="14"/>
      <c r="X19" s="69"/>
      <c r="Y19" s="69" t="s">
        <v>125</v>
      </c>
      <c r="Z19" s="69"/>
      <c r="AA19" s="69"/>
      <c r="AB19" s="69"/>
      <c r="AC19" s="76">
        <v>46035</v>
      </c>
      <c r="AD19" s="76">
        <v>46050</v>
      </c>
      <c r="AE19" s="101"/>
      <c r="AF19" s="102"/>
      <c r="AG19" s="102"/>
      <c r="AH19" s="104"/>
      <c r="AI19" s="105"/>
      <c r="AJ19" s="102"/>
      <c r="AK19" s="102"/>
      <c r="AL19" s="102"/>
      <c r="AM19" s="102"/>
      <c r="AN19" s="102"/>
      <c r="AO19" s="104"/>
      <c r="AP19" s="105"/>
      <c r="AQ19" s="102"/>
      <c r="AR19" s="102"/>
      <c r="AS19" s="102"/>
      <c r="AT19" s="102"/>
      <c r="AU19" s="102"/>
      <c r="AV19" s="104"/>
      <c r="AW19" s="105"/>
      <c r="AX19" s="101"/>
      <c r="AY19" s="100"/>
      <c r="AZ19" s="100"/>
      <c r="BA19" s="100"/>
      <c r="BB19" s="102"/>
      <c r="BC19" s="104"/>
      <c r="BD19" s="105"/>
      <c r="BE19" s="105"/>
      <c r="BF19" s="100"/>
      <c r="BG19" s="100"/>
      <c r="BH19" s="100"/>
      <c r="BI19" s="102"/>
      <c r="BJ19" s="104"/>
      <c r="BK19" s="105"/>
      <c r="BL19" s="100"/>
      <c r="BM19" s="100"/>
      <c r="BN19" s="100"/>
      <c r="BO19" s="100"/>
      <c r="BP19" s="101"/>
      <c r="BQ19" s="104"/>
      <c r="BR19" s="105"/>
      <c r="BS19" s="101"/>
      <c r="BT19" s="100"/>
      <c r="BU19" s="100"/>
      <c r="BV19" s="100"/>
      <c r="BW19" s="102"/>
      <c r="BX19" s="104"/>
      <c r="BY19" s="105"/>
      <c r="BZ19" s="101"/>
      <c r="CA19" s="100"/>
      <c r="CB19" s="100"/>
      <c r="CC19" s="100"/>
      <c r="CD19" s="102"/>
      <c r="CE19" s="104"/>
      <c r="CF19" s="105"/>
      <c r="CG19" s="101"/>
      <c r="CH19" s="100"/>
      <c r="CI19" s="105"/>
      <c r="CJ19" s="100"/>
      <c r="CK19" s="102"/>
      <c r="CL19" s="104"/>
      <c r="CM19" s="105"/>
      <c r="CN19" s="101"/>
      <c r="CO19" s="100"/>
      <c r="CP19" s="100"/>
      <c r="CQ19" s="100"/>
      <c r="CR19" s="102"/>
      <c r="CS19" s="104"/>
      <c r="CT19" s="105"/>
      <c r="CU19" s="105"/>
      <c r="CV19" s="100"/>
      <c r="CW19" s="100"/>
      <c r="CX19" s="100"/>
      <c r="CY19" s="102"/>
      <c r="CZ19" s="104"/>
      <c r="DA19" s="105"/>
      <c r="DB19" s="101"/>
      <c r="DC19" s="101"/>
      <c r="DD19" s="100"/>
      <c r="DE19" s="100"/>
      <c r="DF19" s="102"/>
      <c r="DG19" s="104"/>
      <c r="DH19" s="105"/>
      <c r="DI19" s="101"/>
      <c r="DJ19" s="100"/>
      <c r="DK19" s="100"/>
      <c r="DL19" s="100"/>
      <c r="DM19" s="102"/>
      <c r="DN19" s="104"/>
      <c r="DO19" s="105"/>
      <c r="DP19" s="101"/>
      <c r="DQ19" s="100"/>
      <c r="DR19" s="100"/>
      <c r="DS19" s="100"/>
      <c r="DT19" s="105"/>
      <c r="DU19" s="104"/>
      <c r="DV19" s="105"/>
      <c r="DW19" s="101"/>
      <c r="DX19" s="100"/>
      <c r="DY19" s="100"/>
      <c r="DZ19" s="100"/>
      <c r="EA19" s="100"/>
      <c r="EB19" s="105"/>
      <c r="EC19" s="105"/>
      <c r="ED19" s="100"/>
      <c r="EE19" s="100"/>
    </row>
    <row r="20" spans="2:135" ht="18" customHeight="1" x14ac:dyDescent="0.15">
      <c r="B20" s="115">
        <f t="shared" si="0"/>
        <v>12</v>
      </c>
      <c r="C20" s="116" t="s">
        <v>66</v>
      </c>
      <c r="D20" s="112"/>
      <c r="E20" s="112"/>
      <c r="F20" s="112"/>
      <c r="G20" s="112"/>
      <c r="H20" s="112"/>
      <c r="I20" s="112"/>
      <c r="J20" s="112"/>
      <c r="K20" s="51"/>
      <c r="L20" s="59"/>
      <c r="M20" s="58"/>
      <c r="N20" s="59"/>
      <c r="O20" s="60"/>
      <c r="P20" s="61"/>
      <c r="Q20" s="62"/>
      <c r="R20" s="10">
        <f t="shared" si="1"/>
        <v>0</v>
      </c>
      <c r="S20" s="19"/>
      <c r="T20" s="15">
        <f t="shared" si="6"/>
        <v>0</v>
      </c>
      <c r="U20" s="15">
        <f t="shared" si="7"/>
        <v>0</v>
      </c>
      <c r="V20" s="14" t="str">
        <f t="shared" si="8"/>
        <v>-</v>
      </c>
      <c r="W20" s="14" t="str">
        <f t="shared" si="9"/>
        <v>-</v>
      </c>
      <c r="X20" s="69"/>
      <c r="Y20" s="69"/>
      <c r="Z20" s="69"/>
      <c r="AA20" s="69"/>
      <c r="AB20" s="69"/>
      <c r="AC20" s="76"/>
      <c r="AD20" s="77"/>
      <c r="AE20" s="101"/>
      <c r="AF20" s="102"/>
      <c r="AG20" s="102"/>
      <c r="AH20" s="104"/>
      <c r="AI20" s="105"/>
      <c r="AJ20" s="102"/>
      <c r="AK20" s="102"/>
      <c r="AL20" s="102"/>
      <c r="AM20" s="102"/>
      <c r="AN20" s="102"/>
      <c r="AO20" s="104"/>
      <c r="AP20" s="105"/>
      <c r="AQ20" s="102"/>
      <c r="AR20" s="102"/>
      <c r="AS20" s="102"/>
      <c r="AT20" s="102"/>
      <c r="AU20" s="102"/>
      <c r="AV20" s="104"/>
      <c r="AW20" s="105"/>
      <c r="AX20" s="101"/>
      <c r="AY20" s="100"/>
      <c r="AZ20" s="100"/>
      <c r="BA20" s="100"/>
      <c r="BB20" s="102"/>
      <c r="BC20" s="104"/>
      <c r="BD20" s="105"/>
      <c r="BE20" s="105"/>
      <c r="BF20" s="100"/>
      <c r="BG20" s="100"/>
      <c r="BH20" s="100"/>
      <c r="BI20" s="102"/>
      <c r="BJ20" s="104"/>
      <c r="BK20" s="105"/>
      <c r="BL20" s="100"/>
      <c r="BM20" s="100"/>
      <c r="BN20" s="100"/>
      <c r="BO20" s="100"/>
      <c r="BP20" s="101"/>
      <c r="BQ20" s="104"/>
      <c r="BR20" s="105"/>
      <c r="BS20" s="101"/>
      <c r="BT20" s="100"/>
      <c r="BU20" s="100"/>
      <c r="BV20" s="100"/>
      <c r="BW20" s="102"/>
      <c r="BX20" s="104"/>
      <c r="BY20" s="105"/>
      <c r="BZ20" s="101"/>
      <c r="CA20" s="100"/>
      <c r="CB20" s="100"/>
      <c r="CC20" s="100"/>
      <c r="CD20" s="102"/>
      <c r="CE20" s="104"/>
      <c r="CF20" s="105"/>
      <c r="CG20" s="101"/>
      <c r="CH20" s="100"/>
      <c r="CI20" s="105"/>
      <c r="CJ20" s="100"/>
      <c r="CK20" s="102"/>
      <c r="CL20" s="104"/>
      <c r="CM20" s="105"/>
      <c r="CN20" s="101"/>
      <c r="CO20" s="100"/>
      <c r="CP20" s="100"/>
      <c r="CQ20" s="100"/>
      <c r="CR20" s="102"/>
      <c r="CS20" s="104"/>
      <c r="CT20" s="105"/>
      <c r="CU20" s="105"/>
      <c r="CV20" s="100"/>
      <c r="CW20" s="100"/>
      <c r="CX20" s="100"/>
      <c r="CY20" s="102"/>
      <c r="CZ20" s="104"/>
      <c r="DA20" s="105"/>
      <c r="DB20" s="101"/>
      <c r="DC20" s="101"/>
      <c r="DD20" s="100"/>
      <c r="DE20" s="100"/>
      <c r="DF20" s="102"/>
      <c r="DG20" s="104"/>
      <c r="DH20" s="105"/>
      <c r="DI20" s="101"/>
      <c r="DJ20" s="100"/>
      <c r="DK20" s="100"/>
      <c r="DL20" s="100"/>
      <c r="DM20" s="102"/>
      <c r="DN20" s="104"/>
      <c r="DO20" s="105"/>
      <c r="DP20" s="101"/>
      <c r="DQ20" s="100"/>
      <c r="DR20" s="100"/>
      <c r="DS20" s="100"/>
      <c r="DT20" s="105"/>
      <c r="DU20" s="104"/>
      <c r="DV20" s="105"/>
      <c r="DW20" s="101"/>
      <c r="DX20" s="100"/>
      <c r="DY20" s="100"/>
      <c r="DZ20" s="100"/>
      <c r="EA20" s="100"/>
      <c r="EB20" s="105"/>
      <c r="EC20" s="105"/>
      <c r="ED20" s="100"/>
      <c r="EE20" s="100"/>
    </row>
    <row r="21" spans="2:135" ht="18" customHeight="1" x14ac:dyDescent="0.15">
      <c r="B21" s="115"/>
      <c r="C21" s="116"/>
      <c r="D21" s="112" t="s">
        <v>129</v>
      </c>
      <c r="E21" s="112"/>
      <c r="F21" s="112"/>
      <c r="G21" s="112"/>
      <c r="H21" s="112"/>
      <c r="I21" s="112"/>
      <c r="J21" s="112"/>
      <c r="K21" s="51"/>
      <c r="L21" s="59"/>
      <c r="M21" s="58"/>
      <c r="N21" s="59"/>
      <c r="O21" s="60"/>
      <c r="P21" s="61"/>
      <c r="Q21" s="62"/>
      <c r="R21" s="10"/>
      <c r="S21" s="19"/>
      <c r="T21" s="15"/>
      <c r="U21" s="15"/>
      <c r="V21" s="14"/>
      <c r="W21" s="14"/>
      <c r="X21" s="69"/>
      <c r="Y21" s="69"/>
      <c r="Z21" s="69"/>
      <c r="AA21" s="69"/>
      <c r="AB21" s="69"/>
      <c r="AC21" s="76"/>
      <c r="AD21" s="77"/>
      <c r="AE21" s="101"/>
      <c r="AF21" s="102"/>
      <c r="AG21" s="102"/>
      <c r="AH21" s="104"/>
      <c r="AI21" s="105"/>
      <c r="AJ21" s="102"/>
      <c r="AK21" s="102"/>
      <c r="AL21" s="102"/>
      <c r="AM21" s="102"/>
      <c r="AN21" s="102"/>
      <c r="AO21" s="104"/>
      <c r="AP21" s="105"/>
      <c r="AQ21" s="102"/>
      <c r="AR21" s="102"/>
      <c r="AS21" s="102"/>
      <c r="AT21" s="102"/>
      <c r="AU21" s="102"/>
      <c r="AV21" s="104"/>
      <c r="AW21" s="105"/>
      <c r="AX21" s="101"/>
      <c r="AY21" s="100"/>
      <c r="AZ21" s="100"/>
      <c r="BA21" s="100"/>
      <c r="BB21" s="102"/>
      <c r="BC21" s="104"/>
      <c r="BD21" s="105"/>
      <c r="BE21" s="105"/>
      <c r="BF21" s="100"/>
      <c r="BG21" s="100"/>
      <c r="BH21" s="100"/>
      <c r="BI21" s="102"/>
      <c r="BJ21" s="104"/>
      <c r="BK21" s="105"/>
      <c r="BL21" s="100"/>
      <c r="BM21" s="100"/>
      <c r="BN21" s="100"/>
      <c r="BO21" s="100"/>
      <c r="BP21" s="101"/>
      <c r="BQ21" s="104"/>
      <c r="BR21" s="105"/>
      <c r="BS21" s="101"/>
      <c r="BT21" s="100"/>
      <c r="BU21" s="100"/>
      <c r="BV21" s="100"/>
      <c r="BW21" s="102"/>
      <c r="BX21" s="104"/>
      <c r="BY21" s="105"/>
      <c r="BZ21" s="101"/>
      <c r="CA21" s="100"/>
      <c r="CB21" s="100"/>
      <c r="CC21" s="100"/>
      <c r="CD21" s="102"/>
      <c r="CE21" s="104"/>
      <c r="CF21" s="105"/>
      <c r="CG21" s="101"/>
      <c r="CH21" s="100"/>
      <c r="CI21" s="105"/>
      <c r="CJ21" s="100"/>
      <c r="CK21" s="102"/>
      <c r="CL21" s="104"/>
      <c r="CM21" s="105"/>
      <c r="CN21" s="101"/>
      <c r="CO21" s="100"/>
      <c r="CP21" s="100"/>
      <c r="CQ21" s="100"/>
      <c r="CR21" s="102"/>
      <c r="CS21" s="104"/>
      <c r="CT21" s="105"/>
      <c r="CU21" s="105"/>
      <c r="CV21" s="100"/>
      <c r="CW21" s="100"/>
      <c r="CX21" s="100"/>
      <c r="CY21" s="102"/>
      <c r="CZ21" s="104"/>
      <c r="DA21" s="105"/>
      <c r="DB21" s="101"/>
      <c r="DC21" s="101"/>
      <c r="DD21" s="100"/>
      <c r="DE21" s="100"/>
      <c r="DF21" s="102"/>
      <c r="DG21" s="104"/>
      <c r="DH21" s="105"/>
      <c r="DI21" s="101"/>
      <c r="DJ21" s="100"/>
      <c r="DK21" s="100"/>
      <c r="DL21" s="100"/>
      <c r="DM21" s="102"/>
      <c r="DN21" s="104"/>
      <c r="DO21" s="105"/>
      <c r="DP21" s="101"/>
      <c r="DQ21" s="100"/>
      <c r="DR21" s="100"/>
      <c r="DS21" s="100"/>
      <c r="DT21" s="105"/>
      <c r="DU21" s="104"/>
      <c r="DV21" s="105"/>
      <c r="DW21" s="101"/>
      <c r="DX21" s="100"/>
      <c r="DY21" s="100"/>
      <c r="DZ21" s="100"/>
      <c r="EA21" s="100"/>
      <c r="EB21" s="105"/>
      <c r="EC21" s="105"/>
      <c r="ED21" s="100"/>
      <c r="EE21" s="100"/>
    </row>
    <row r="22" spans="2:135" ht="18" customHeight="1" x14ac:dyDescent="0.15">
      <c r="B22" s="115">
        <f t="shared" si="0"/>
        <v>14</v>
      </c>
      <c r="C22" s="116"/>
      <c r="D22" s="112"/>
      <c r="E22" s="112" t="s">
        <v>67</v>
      </c>
      <c r="F22" s="112"/>
      <c r="G22" s="112"/>
      <c r="H22" s="112"/>
      <c r="I22" s="112"/>
      <c r="J22" s="112"/>
      <c r="K22" s="51"/>
      <c r="L22" s="59"/>
      <c r="M22" s="58" t="s">
        <v>117</v>
      </c>
      <c r="N22" s="59" t="s">
        <v>120</v>
      </c>
      <c r="O22" s="60">
        <v>2.4</v>
      </c>
      <c r="P22" s="61"/>
      <c r="Q22" s="62"/>
      <c r="R22" s="10">
        <f t="shared" si="1"/>
        <v>0</v>
      </c>
      <c r="S22" s="19"/>
      <c r="T22" s="15">
        <f t="shared" si="6"/>
        <v>0</v>
      </c>
      <c r="U22" s="15">
        <f t="shared" si="7"/>
        <v>0</v>
      </c>
      <c r="V22" s="14" t="str">
        <f t="shared" si="8"/>
        <v>-</v>
      </c>
      <c r="W22" s="14" t="str">
        <f t="shared" si="9"/>
        <v>-</v>
      </c>
      <c r="X22" s="69"/>
      <c r="Y22" s="69" t="s">
        <v>151</v>
      </c>
      <c r="Z22" s="69"/>
      <c r="AA22" s="69"/>
      <c r="AB22" s="69"/>
      <c r="AC22" s="76">
        <v>46035</v>
      </c>
      <c r="AD22" s="77">
        <v>46045</v>
      </c>
      <c r="AE22" s="101"/>
      <c r="AF22" s="102"/>
      <c r="AG22" s="102"/>
      <c r="AH22" s="104"/>
      <c r="AI22" s="105"/>
      <c r="AJ22" s="102"/>
      <c r="AK22" s="102"/>
      <c r="AL22" s="102"/>
      <c r="AM22" s="102"/>
      <c r="AN22" s="102"/>
      <c r="AO22" s="104"/>
      <c r="AP22" s="105"/>
      <c r="AQ22" s="102"/>
      <c r="AR22" s="102"/>
      <c r="AS22" s="102"/>
      <c r="AT22" s="102"/>
      <c r="AU22" s="102"/>
      <c r="AV22" s="104"/>
      <c r="AW22" s="105"/>
      <c r="AX22" s="101"/>
      <c r="AY22" s="100"/>
      <c r="AZ22" s="100"/>
      <c r="BA22" s="100"/>
      <c r="BB22" s="102"/>
      <c r="BC22" s="104"/>
      <c r="BD22" s="105"/>
      <c r="BE22" s="105"/>
      <c r="BF22" s="100"/>
      <c r="BG22" s="100"/>
      <c r="BH22" s="100"/>
      <c r="BI22" s="102"/>
      <c r="BJ22" s="104"/>
      <c r="BK22" s="105"/>
      <c r="BL22" s="100"/>
      <c r="BM22" s="100"/>
      <c r="BN22" s="100"/>
      <c r="BO22" s="100"/>
      <c r="BP22" s="101"/>
      <c r="BQ22" s="104"/>
      <c r="BR22" s="105"/>
      <c r="BS22" s="101"/>
      <c r="BT22" s="100"/>
      <c r="BU22" s="100"/>
      <c r="BV22" s="100"/>
      <c r="BW22" s="102"/>
      <c r="BX22" s="104"/>
      <c r="BY22" s="105"/>
      <c r="BZ22" s="101"/>
      <c r="CA22" s="100"/>
      <c r="CB22" s="100"/>
      <c r="CC22" s="100"/>
      <c r="CD22" s="102"/>
      <c r="CE22" s="104"/>
      <c r="CF22" s="105"/>
      <c r="CG22" s="101"/>
      <c r="CH22" s="100"/>
      <c r="CI22" s="105"/>
      <c r="CJ22" s="100"/>
      <c r="CK22" s="102"/>
      <c r="CL22" s="104"/>
      <c r="CM22" s="105"/>
      <c r="CN22" s="101"/>
      <c r="CO22" s="100"/>
      <c r="CP22" s="100"/>
      <c r="CQ22" s="100"/>
      <c r="CR22" s="102"/>
      <c r="CS22" s="104"/>
      <c r="CT22" s="105"/>
      <c r="CU22" s="105"/>
      <c r="CV22" s="100"/>
      <c r="CW22" s="100"/>
      <c r="CX22" s="100"/>
      <c r="CY22" s="102"/>
      <c r="CZ22" s="104"/>
      <c r="DA22" s="105"/>
      <c r="DB22" s="101"/>
      <c r="DC22" s="101"/>
      <c r="DD22" s="100"/>
      <c r="DE22" s="100"/>
      <c r="DF22" s="102"/>
      <c r="DG22" s="104"/>
      <c r="DH22" s="105"/>
      <c r="DI22" s="101"/>
      <c r="DJ22" s="100"/>
      <c r="DK22" s="100"/>
      <c r="DL22" s="100"/>
      <c r="DM22" s="102"/>
      <c r="DN22" s="104"/>
      <c r="DO22" s="105"/>
      <c r="DP22" s="101"/>
      <c r="DQ22" s="100"/>
      <c r="DR22" s="100"/>
      <c r="DS22" s="100"/>
      <c r="DT22" s="105"/>
      <c r="DU22" s="104"/>
      <c r="DV22" s="105"/>
      <c r="DW22" s="101"/>
      <c r="DX22" s="100"/>
      <c r="DY22" s="100"/>
      <c r="DZ22" s="100"/>
      <c r="EA22" s="100"/>
      <c r="EB22" s="105"/>
      <c r="EC22" s="105"/>
      <c r="ED22" s="100"/>
      <c r="EE22" s="100"/>
    </row>
    <row r="23" spans="2:135" ht="18" customHeight="1" x14ac:dyDescent="0.15">
      <c r="B23" s="115"/>
      <c r="C23" s="116"/>
      <c r="D23" s="112" t="s">
        <v>130</v>
      </c>
      <c r="E23" s="112"/>
      <c r="F23" s="112"/>
      <c r="G23" s="112"/>
      <c r="H23" s="112"/>
      <c r="I23" s="112"/>
      <c r="J23" s="112"/>
      <c r="K23" s="51"/>
      <c r="L23" s="59"/>
      <c r="M23" s="58"/>
      <c r="N23" s="59"/>
      <c r="O23" s="60"/>
      <c r="P23" s="61"/>
      <c r="Q23" s="62"/>
      <c r="R23" s="10"/>
      <c r="S23" s="19"/>
      <c r="T23" s="15"/>
      <c r="U23" s="15"/>
      <c r="V23" s="14"/>
      <c r="W23" s="14"/>
      <c r="X23" s="69"/>
      <c r="Y23" s="69"/>
      <c r="Z23" s="69"/>
      <c r="AA23" s="69"/>
      <c r="AB23" s="69"/>
      <c r="AC23" s="76"/>
      <c r="AD23" s="77"/>
      <c r="AE23" s="101"/>
      <c r="AF23" s="102"/>
      <c r="AG23" s="102"/>
      <c r="AH23" s="104"/>
      <c r="AI23" s="105"/>
      <c r="AJ23" s="102"/>
      <c r="AK23" s="102"/>
      <c r="AL23" s="102"/>
      <c r="AM23" s="102"/>
      <c r="AN23" s="102"/>
      <c r="AO23" s="104"/>
      <c r="AP23" s="105"/>
      <c r="AQ23" s="102"/>
      <c r="AR23" s="102"/>
      <c r="AS23" s="102"/>
      <c r="AT23" s="102"/>
      <c r="AU23" s="102"/>
      <c r="AV23" s="104"/>
      <c r="AW23" s="105"/>
      <c r="AX23" s="101"/>
      <c r="AY23" s="100"/>
      <c r="AZ23" s="100"/>
      <c r="BA23" s="100"/>
      <c r="BB23" s="102"/>
      <c r="BC23" s="104"/>
      <c r="BD23" s="105"/>
      <c r="BE23" s="105"/>
      <c r="BF23" s="100"/>
      <c r="BG23" s="100"/>
      <c r="BH23" s="100"/>
      <c r="BI23" s="102"/>
      <c r="BJ23" s="104"/>
      <c r="BK23" s="105"/>
      <c r="BL23" s="100"/>
      <c r="BM23" s="100"/>
      <c r="BN23" s="100"/>
      <c r="BO23" s="100"/>
      <c r="BP23" s="101"/>
      <c r="BQ23" s="104"/>
      <c r="BR23" s="105"/>
      <c r="BS23" s="101"/>
      <c r="BT23" s="100"/>
      <c r="BU23" s="100"/>
      <c r="BV23" s="100"/>
      <c r="BW23" s="102"/>
      <c r="BX23" s="104"/>
      <c r="BY23" s="105"/>
      <c r="BZ23" s="101"/>
      <c r="CA23" s="100"/>
      <c r="CB23" s="100"/>
      <c r="CC23" s="100"/>
      <c r="CD23" s="102"/>
      <c r="CE23" s="104"/>
      <c r="CF23" s="105"/>
      <c r="CG23" s="101"/>
      <c r="CH23" s="100"/>
      <c r="CI23" s="105"/>
      <c r="CJ23" s="100"/>
      <c r="CK23" s="102"/>
      <c r="CL23" s="104"/>
      <c r="CM23" s="105"/>
      <c r="CN23" s="101"/>
      <c r="CO23" s="100"/>
      <c r="CP23" s="100"/>
      <c r="CQ23" s="100"/>
      <c r="CR23" s="102"/>
      <c r="CS23" s="104"/>
      <c r="CT23" s="105"/>
      <c r="CU23" s="105"/>
      <c r="CV23" s="100"/>
      <c r="CW23" s="100"/>
      <c r="CX23" s="100"/>
      <c r="CY23" s="102"/>
      <c r="CZ23" s="104"/>
      <c r="DA23" s="105"/>
      <c r="DB23" s="101"/>
      <c r="DC23" s="101"/>
      <c r="DD23" s="100"/>
      <c r="DE23" s="100"/>
      <c r="DF23" s="102"/>
      <c r="DG23" s="104"/>
      <c r="DH23" s="105"/>
      <c r="DI23" s="101"/>
      <c r="DJ23" s="100"/>
      <c r="DK23" s="100"/>
      <c r="DL23" s="100"/>
      <c r="DM23" s="102"/>
      <c r="DN23" s="104"/>
      <c r="DO23" s="105"/>
      <c r="DP23" s="101"/>
      <c r="DQ23" s="100"/>
      <c r="DR23" s="100"/>
      <c r="DS23" s="100"/>
      <c r="DT23" s="105"/>
      <c r="DU23" s="104"/>
      <c r="DV23" s="105"/>
      <c r="DW23" s="101"/>
      <c r="DX23" s="100"/>
      <c r="DY23" s="100"/>
      <c r="DZ23" s="100"/>
      <c r="EA23" s="100"/>
      <c r="EB23" s="105"/>
      <c r="EC23" s="105"/>
      <c r="ED23" s="100"/>
      <c r="EE23" s="100"/>
    </row>
    <row r="24" spans="2:135" ht="18" customHeight="1" outlineLevel="1" x14ac:dyDescent="0.15">
      <c r="B24" s="115">
        <f t="shared" si="0"/>
        <v>16</v>
      </c>
      <c r="C24" s="116"/>
      <c r="D24" s="112"/>
      <c r="E24" s="112" t="s">
        <v>68</v>
      </c>
      <c r="F24" s="112"/>
      <c r="G24" s="112"/>
      <c r="H24" s="112"/>
      <c r="I24" s="112"/>
      <c r="J24" s="112"/>
      <c r="K24" s="51"/>
      <c r="L24" s="59"/>
      <c r="M24" s="58" t="s">
        <v>117</v>
      </c>
      <c r="N24" s="59" t="s">
        <v>120</v>
      </c>
      <c r="O24" s="60">
        <v>0.4</v>
      </c>
      <c r="P24" s="61"/>
      <c r="Q24" s="62"/>
      <c r="R24" s="10">
        <f t="shared" si="1"/>
        <v>0</v>
      </c>
      <c r="S24" s="19"/>
      <c r="T24" s="15">
        <f t="shared" si="6"/>
        <v>0</v>
      </c>
      <c r="U24" s="15">
        <f t="shared" si="7"/>
        <v>0</v>
      </c>
      <c r="V24" s="14" t="str">
        <f t="shared" si="8"/>
        <v>-</v>
      </c>
      <c r="W24" s="14" t="str">
        <f t="shared" si="9"/>
        <v>-</v>
      </c>
      <c r="X24" s="69"/>
      <c r="Y24" s="69" t="s">
        <v>159</v>
      </c>
      <c r="Z24" s="69"/>
      <c r="AA24" s="69"/>
      <c r="AB24" s="69"/>
      <c r="AC24" s="76">
        <v>46050</v>
      </c>
      <c r="AD24" s="77">
        <v>46050</v>
      </c>
      <c r="AE24" s="101"/>
      <c r="AF24" s="102"/>
      <c r="AG24" s="102"/>
      <c r="AH24" s="104"/>
      <c r="AI24" s="105"/>
      <c r="AJ24" s="102"/>
      <c r="AK24" s="102"/>
      <c r="AL24" s="102"/>
      <c r="AM24" s="102"/>
      <c r="AN24" s="102"/>
      <c r="AO24" s="104"/>
      <c r="AP24" s="105"/>
      <c r="AQ24" s="102"/>
      <c r="AR24" s="102"/>
      <c r="AS24" s="102"/>
      <c r="AT24" s="102"/>
      <c r="AU24" s="102"/>
      <c r="AV24" s="104"/>
      <c r="AW24" s="105"/>
      <c r="AX24" s="101"/>
      <c r="AY24" s="100"/>
      <c r="AZ24" s="100"/>
      <c r="BA24" s="100"/>
      <c r="BB24" s="102"/>
      <c r="BC24" s="104"/>
      <c r="BD24" s="105"/>
      <c r="BE24" s="105"/>
      <c r="BF24" s="100"/>
      <c r="BG24" s="100"/>
      <c r="BH24" s="100"/>
      <c r="BI24" s="102"/>
      <c r="BJ24" s="104"/>
      <c r="BK24" s="105"/>
      <c r="BL24" s="100"/>
      <c r="BM24" s="100"/>
      <c r="BN24" s="100"/>
      <c r="BO24" s="100"/>
      <c r="BP24" s="101"/>
      <c r="BQ24" s="104"/>
      <c r="BR24" s="105"/>
      <c r="BS24" s="101"/>
      <c r="BT24" s="100"/>
      <c r="BU24" s="100"/>
      <c r="BV24" s="100"/>
      <c r="BW24" s="102"/>
      <c r="BX24" s="104"/>
      <c r="BY24" s="105"/>
      <c r="BZ24" s="101"/>
      <c r="CA24" s="100"/>
      <c r="CB24" s="100"/>
      <c r="CC24" s="100"/>
      <c r="CD24" s="102"/>
      <c r="CE24" s="104"/>
      <c r="CF24" s="105"/>
      <c r="CG24" s="101"/>
      <c r="CH24" s="100"/>
      <c r="CI24" s="105"/>
      <c r="CJ24" s="100"/>
      <c r="CK24" s="102"/>
      <c r="CL24" s="104"/>
      <c r="CM24" s="105"/>
      <c r="CN24" s="101"/>
      <c r="CO24" s="100"/>
      <c r="CP24" s="100"/>
      <c r="CQ24" s="100"/>
      <c r="CR24" s="102"/>
      <c r="CS24" s="104"/>
      <c r="CT24" s="105"/>
      <c r="CU24" s="105"/>
      <c r="CV24" s="100"/>
      <c r="CW24" s="100"/>
      <c r="CX24" s="100"/>
      <c r="CY24" s="102"/>
      <c r="CZ24" s="104"/>
      <c r="DA24" s="105"/>
      <c r="DB24" s="101"/>
      <c r="DC24" s="101"/>
      <c r="DD24" s="100"/>
      <c r="DE24" s="100"/>
      <c r="DF24" s="102"/>
      <c r="DG24" s="104"/>
      <c r="DH24" s="105"/>
      <c r="DI24" s="101"/>
      <c r="DJ24" s="100"/>
      <c r="DK24" s="100"/>
      <c r="DL24" s="100"/>
      <c r="DM24" s="102"/>
      <c r="DN24" s="104"/>
      <c r="DO24" s="105"/>
      <c r="DP24" s="101"/>
      <c r="DQ24" s="100"/>
      <c r="DR24" s="100"/>
      <c r="DS24" s="100"/>
      <c r="DT24" s="105"/>
      <c r="DU24" s="104"/>
      <c r="DV24" s="105"/>
      <c r="DW24" s="101"/>
      <c r="DX24" s="100"/>
      <c r="DY24" s="100"/>
      <c r="DZ24" s="100"/>
      <c r="EA24" s="100"/>
      <c r="EB24" s="105"/>
      <c r="EC24" s="105"/>
      <c r="ED24" s="100"/>
      <c r="EE24" s="100"/>
    </row>
    <row r="25" spans="2:135" ht="18" customHeight="1" outlineLevel="1" x14ac:dyDescent="0.15">
      <c r="B25" s="115">
        <f t="shared" si="0"/>
        <v>17</v>
      </c>
      <c r="C25" s="116"/>
      <c r="D25" s="112"/>
      <c r="E25" s="112" t="s">
        <v>69</v>
      </c>
      <c r="F25" s="112"/>
      <c r="G25" s="112"/>
      <c r="H25" s="112"/>
      <c r="I25" s="112"/>
      <c r="J25" s="112"/>
      <c r="K25" s="51"/>
      <c r="L25" s="59"/>
      <c r="M25" s="58" t="s">
        <v>117</v>
      </c>
      <c r="N25" s="59" t="s">
        <v>119</v>
      </c>
      <c r="O25" s="60">
        <v>1.6</v>
      </c>
      <c r="P25" s="61"/>
      <c r="Q25" s="62"/>
      <c r="R25" s="10">
        <f t="shared" si="1"/>
        <v>0</v>
      </c>
      <c r="S25" s="19"/>
      <c r="T25" s="15">
        <f t="shared" si="6"/>
        <v>0</v>
      </c>
      <c r="U25" s="15">
        <f t="shared" si="7"/>
        <v>0</v>
      </c>
      <c r="V25" s="14" t="str">
        <f t="shared" si="8"/>
        <v>-</v>
      </c>
      <c r="W25" s="14" t="str">
        <f t="shared" si="9"/>
        <v>-</v>
      </c>
      <c r="X25" s="69"/>
      <c r="Y25" s="69"/>
      <c r="Z25" s="69"/>
      <c r="AA25" s="69"/>
      <c r="AB25" s="69"/>
      <c r="AC25" s="76">
        <v>46051</v>
      </c>
      <c r="AD25" s="76">
        <v>46052</v>
      </c>
      <c r="AE25" s="101"/>
      <c r="AF25" s="102"/>
      <c r="AG25" s="102"/>
      <c r="AH25" s="104"/>
      <c r="AI25" s="105"/>
      <c r="AJ25" s="102"/>
      <c r="AK25" s="102"/>
      <c r="AL25" s="102"/>
      <c r="AM25" s="102"/>
      <c r="AN25" s="102"/>
      <c r="AO25" s="104"/>
      <c r="AP25" s="105"/>
      <c r="AQ25" s="102"/>
      <c r="AR25" s="102"/>
      <c r="AS25" s="102"/>
      <c r="AT25" s="102"/>
      <c r="AU25" s="102"/>
      <c r="AV25" s="104"/>
      <c r="AW25" s="105"/>
      <c r="AX25" s="101"/>
      <c r="AY25" s="100"/>
      <c r="AZ25" s="100"/>
      <c r="BA25" s="100"/>
      <c r="BB25" s="102"/>
      <c r="BC25" s="104"/>
      <c r="BD25" s="105"/>
      <c r="BE25" s="105"/>
      <c r="BF25" s="100"/>
      <c r="BG25" s="100"/>
      <c r="BH25" s="100"/>
      <c r="BI25" s="102"/>
      <c r="BJ25" s="104"/>
      <c r="BK25" s="105"/>
      <c r="BL25" s="100"/>
      <c r="BM25" s="100"/>
      <c r="BN25" s="100"/>
      <c r="BO25" s="100"/>
      <c r="BP25" s="101"/>
      <c r="BQ25" s="104"/>
      <c r="BR25" s="105"/>
      <c r="BS25" s="101"/>
      <c r="BT25" s="100"/>
      <c r="BU25" s="100"/>
      <c r="BV25" s="100"/>
      <c r="BW25" s="102"/>
      <c r="BX25" s="104"/>
      <c r="BY25" s="105"/>
      <c r="BZ25" s="101"/>
      <c r="CA25" s="100"/>
      <c r="CB25" s="100"/>
      <c r="CC25" s="100"/>
      <c r="CD25" s="102"/>
      <c r="CE25" s="104"/>
      <c r="CF25" s="105"/>
      <c r="CG25" s="101"/>
      <c r="CH25" s="100"/>
      <c r="CI25" s="105"/>
      <c r="CJ25" s="100"/>
      <c r="CK25" s="102"/>
      <c r="CL25" s="104"/>
      <c r="CM25" s="105"/>
      <c r="CN25" s="101"/>
      <c r="CO25" s="100"/>
      <c r="CP25" s="100"/>
      <c r="CQ25" s="100"/>
      <c r="CR25" s="102"/>
      <c r="CS25" s="104"/>
      <c r="CT25" s="105"/>
      <c r="CU25" s="105"/>
      <c r="CV25" s="100"/>
      <c r="CW25" s="100"/>
      <c r="CX25" s="100"/>
      <c r="CY25" s="102"/>
      <c r="CZ25" s="104"/>
      <c r="DA25" s="105"/>
      <c r="DB25" s="101"/>
      <c r="DC25" s="101"/>
      <c r="DD25" s="100"/>
      <c r="DE25" s="100"/>
      <c r="DF25" s="102"/>
      <c r="DG25" s="104"/>
      <c r="DH25" s="105"/>
      <c r="DI25" s="101"/>
      <c r="DJ25" s="100"/>
      <c r="DK25" s="100"/>
      <c r="DL25" s="100"/>
      <c r="DM25" s="102"/>
      <c r="DN25" s="104"/>
      <c r="DP25" s="101"/>
      <c r="DQ25" s="105"/>
      <c r="DR25" s="100"/>
      <c r="DS25" s="100"/>
      <c r="DT25" s="105"/>
      <c r="DU25" s="104"/>
      <c r="DV25" s="105"/>
      <c r="DW25" s="101"/>
      <c r="DX25" s="100"/>
      <c r="DY25" s="100"/>
      <c r="DZ25" s="100"/>
      <c r="EA25" s="100"/>
      <c r="EB25" s="105"/>
      <c r="EC25" s="105"/>
      <c r="ED25" s="100"/>
      <c r="EE25" s="100"/>
    </row>
    <row r="26" spans="2:135" ht="18" customHeight="1" outlineLevel="1" x14ac:dyDescent="0.15">
      <c r="B26" s="115">
        <f t="shared" si="0"/>
        <v>18</v>
      </c>
      <c r="C26" s="116"/>
      <c r="D26" s="112"/>
      <c r="E26" s="112" t="s">
        <v>70</v>
      </c>
      <c r="F26" s="112"/>
      <c r="G26" s="112"/>
      <c r="H26" s="112"/>
      <c r="I26" s="112"/>
      <c r="J26" s="112"/>
      <c r="K26" s="51"/>
      <c r="L26" s="59"/>
      <c r="M26" s="58" t="s">
        <v>117</v>
      </c>
      <c r="N26" s="59" t="s">
        <v>119</v>
      </c>
      <c r="O26" s="60">
        <v>2</v>
      </c>
      <c r="P26" s="61"/>
      <c r="Q26" s="62"/>
      <c r="R26" s="10">
        <f t="shared" si="1"/>
        <v>0</v>
      </c>
      <c r="S26" s="19"/>
      <c r="T26" s="15">
        <f t="shared" si="6"/>
        <v>0</v>
      </c>
      <c r="U26" s="15">
        <f t="shared" si="7"/>
        <v>0</v>
      </c>
      <c r="V26" s="14" t="str">
        <f t="shared" si="8"/>
        <v>-</v>
      </c>
      <c r="W26" s="14" t="str">
        <f t="shared" si="9"/>
        <v>-</v>
      </c>
      <c r="X26" s="69"/>
      <c r="Y26" s="69" t="s">
        <v>160</v>
      </c>
      <c r="Z26" s="69"/>
      <c r="AA26" s="69"/>
      <c r="AB26" s="69"/>
      <c r="AC26" s="76">
        <v>46048</v>
      </c>
      <c r="AD26" s="77">
        <v>46059</v>
      </c>
      <c r="AE26" s="101"/>
      <c r="AF26" s="102"/>
      <c r="AG26" s="102"/>
      <c r="AH26" s="104"/>
      <c r="AI26" s="105"/>
      <c r="AJ26" s="102"/>
      <c r="AK26" s="102"/>
      <c r="AL26" s="102"/>
      <c r="AM26" s="102"/>
      <c r="AN26" s="102"/>
      <c r="AO26" s="104"/>
      <c r="AP26" s="105"/>
      <c r="AQ26" s="102"/>
      <c r="AR26" s="102"/>
      <c r="AS26" s="102"/>
      <c r="AT26" s="102"/>
      <c r="AU26" s="102"/>
      <c r="AV26" s="104"/>
      <c r="AW26" s="105"/>
      <c r="AX26" s="101"/>
      <c r="AY26" s="100"/>
      <c r="AZ26" s="100"/>
      <c r="BA26" s="100"/>
      <c r="BB26" s="102"/>
      <c r="BC26" s="104"/>
      <c r="BD26" s="105"/>
      <c r="BE26" s="105"/>
      <c r="BF26" s="100"/>
      <c r="BG26" s="100"/>
      <c r="BH26" s="100"/>
      <c r="BI26" s="102"/>
      <c r="BJ26" s="104"/>
      <c r="BK26" s="105"/>
      <c r="BL26" s="100"/>
      <c r="BM26" s="100"/>
      <c r="BN26" s="100"/>
      <c r="BO26" s="100"/>
      <c r="BP26" s="101"/>
      <c r="BQ26" s="104"/>
      <c r="BR26" s="105"/>
      <c r="BS26" s="101"/>
      <c r="BT26" s="100"/>
      <c r="BU26" s="100"/>
      <c r="BV26" s="100"/>
      <c r="BW26" s="102"/>
      <c r="BX26" s="104"/>
      <c r="BY26" s="105"/>
      <c r="BZ26" s="101"/>
      <c r="CA26" s="100"/>
      <c r="CB26" s="100"/>
      <c r="CC26" s="100"/>
      <c r="CD26" s="102"/>
      <c r="CE26" s="104"/>
      <c r="CF26" s="105"/>
      <c r="CG26" s="101"/>
      <c r="CH26" s="100"/>
      <c r="CI26" s="105"/>
      <c r="CJ26" s="100"/>
      <c r="CK26" s="102"/>
      <c r="CL26" s="104"/>
      <c r="CM26" s="105"/>
      <c r="CN26" s="101"/>
      <c r="CO26" s="100"/>
      <c r="CP26" s="100"/>
      <c r="CQ26" s="100"/>
      <c r="CR26" s="102"/>
      <c r="CS26" s="104"/>
      <c r="CT26" s="105"/>
      <c r="CU26" s="105"/>
      <c r="CV26" s="100"/>
      <c r="CW26" s="100"/>
      <c r="CX26" s="100"/>
      <c r="CY26" s="102"/>
      <c r="CZ26" s="104"/>
      <c r="DA26" s="105"/>
      <c r="DB26" s="101"/>
      <c r="DC26" s="101"/>
      <c r="DD26" s="100"/>
      <c r="DE26" s="100"/>
      <c r="DF26" s="102"/>
      <c r="DG26" s="104"/>
      <c r="DH26" s="105"/>
      <c r="DI26" s="101"/>
      <c r="DJ26" s="100"/>
      <c r="DK26" s="100"/>
      <c r="DL26" s="100"/>
      <c r="DM26" s="102"/>
      <c r="DN26" s="104"/>
      <c r="DO26" s="105"/>
      <c r="DP26" s="101"/>
      <c r="DQ26" s="100"/>
      <c r="DR26" s="100"/>
      <c r="DS26" s="100"/>
      <c r="DT26" s="105"/>
      <c r="DU26" s="104"/>
      <c r="DV26" s="105"/>
      <c r="DW26" s="101"/>
      <c r="DX26" s="100"/>
      <c r="DY26" s="100"/>
      <c r="DZ26" s="100"/>
      <c r="EA26" s="100"/>
      <c r="EB26" s="105"/>
      <c r="EC26" s="105"/>
      <c r="ED26" s="100"/>
      <c r="EE26" s="100"/>
    </row>
    <row r="27" spans="2:135" ht="18" customHeight="1" outlineLevel="1" x14ac:dyDescent="0.15">
      <c r="B27" s="115">
        <f t="shared" si="0"/>
        <v>19</v>
      </c>
      <c r="C27" s="116"/>
      <c r="D27" s="112"/>
      <c r="E27" s="112" t="s">
        <v>71</v>
      </c>
      <c r="F27" s="112"/>
      <c r="G27" s="112"/>
      <c r="H27" s="112"/>
      <c r="I27" s="112"/>
      <c r="J27" s="112"/>
      <c r="K27" s="51"/>
      <c r="L27" s="59"/>
      <c r="M27" s="58" t="s">
        <v>117</v>
      </c>
      <c r="N27" s="59" t="s">
        <v>120</v>
      </c>
      <c r="O27" s="60">
        <v>1.3</v>
      </c>
      <c r="P27" s="61"/>
      <c r="Q27" s="62"/>
      <c r="R27" s="10">
        <f t="shared" si="1"/>
        <v>0</v>
      </c>
      <c r="S27" s="19"/>
      <c r="T27" s="15">
        <f t="shared" si="6"/>
        <v>0</v>
      </c>
      <c r="U27" s="15">
        <f t="shared" si="7"/>
        <v>0</v>
      </c>
      <c r="V27" s="14" t="str">
        <f t="shared" si="8"/>
        <v>-</v>
      </c>
      <c r="W27" s="14" t="str">
        <f t="shared" si="9"/>
        <v>-</v>
      </c>
      <c r="X27" s="69"/>
      <c r="Y27" s="69" t="s">
        <v>145</v>
      </c>
      <c r="Z27" s="69"/>
      <c r="AA27" s="69"/>
      <c r="AB27" s="69"/>
      <c r="AC27" s="76">
        <v>46043</v>
      </c>
      <c r="AD27" s="76">
        <v>46055</v>
      </c>
      <c r="AE27" s="101"/>
      <c r="AF27" s="102"/>
      <c r="AG27" s="102"/>
      <c r="AH27" s="104"/>
      <c r="AI27" s="105"/>
      <c r="AJ27" s="102"/>
      <c r="AK27" s="102"/>
      <c r="AL27" s="102"/>
      <c r="AM27" s="102"/>
      <c r="AN27" s="102"/>
      <c r="AO27" s="104"/>
      <c r="AP27" s="105"/>
      <c r="AQ27" s="102"/>
      <c r="AR27" s="102"/>
      <c r="AS27" s="102"/>
      <c r="AT27" s="102"/>
      <c r="AU27" s="102"/>
      <c r="AV27" s="104"/>
      <c r="AW27" s="105"/>
      <c r="AX27" s="101"/>
      <c r="AY27" s="100"/>
      <c r="AZ27" s="100"/>
      <c r="BA27" s="100"/>
      <c r="BB27" s="102"/>
      <c r="BC27" s="104"/>
      <c r="BD27" s="105"/>
      <c r="BE27" s="105"/>
      <c r="BF27" s="100"/>
      <c r="BG27" s="100"/>
      <c r="BH27" s="100"/>
      <c r="BI27" s="102"/>
      <c r="BJ27" s="104"/>
      <c r="BK27" s="105"/>
      <c r="BL27" s="100"/>
      <c r="BM27" s="100"/>
      <c r="BN27" s="100"/>
      <c r="BO27" s="100"/>
      <c r="BP27" s="101"/>
      <c r="BQ27" s="104"/>
      <c r="BR27" s="105"/>
      <c r="BS27" s="101"/>
      <c r="BT27" s="100"/>
      <c r="BU27" s="100"/>
      <c r="BV27" s="100"/>
      <c r="BW27" s="102"/>
      <c r="BX27" s="104"/>
      <c r="BY27" s="105"/>
      <c r="BZ27" s="101"/>
      <c r="CA27" s="100"/>
      <c r="CB27" s="100"/>
      <c r="CC27" s="100"/>
      <c r="CD27" s="102"/>
      <c r="CE27" s="104"/>
      <c r="CF27" s="105"/>
      <c r="CG27" s="101"/>
      <c r="CH27" s="100"/>
      <c r="CI27" s="105"/>
      <c r="CJ27" s="100"/>
      <c r="CK27" s="102"/>
      <c r="CL27" s="104"/>
      <c r="CM27" s="105"/>
      <c r="CN27" s="101"/>
      <c r="CO27" s="100"/>
      <c r="CP27" s="100"/>
      <c r="CQ27" s="100"/>
      <c r="CR27" s="102"/>
      <c r="CS27" s="104"/>
      <c r="CT27" s="105"/>
      <c r="CU27" s="105"/>
      <c r="CV27" s="100"/>
      <c r="CW27" s="100"/>
      <c r="CX27" s="100"/>
      <c r="CY27" s="102"/>
      <c r="CZ27" s="104"/>
      <c r="DA27" s="105"/>
      <c r="DB27" s="101"/>
      <c r="DC27" s="101"/>
      <c r="DD27" s="100"/>
      <c r="DE27" s="100"/>
      <c r="DF27" s="102"/>
      <c r="DG27" s="104"/>
      <c r="DH27" s="105"/>
      <c r="DI27" s="101"/>
      <c r="DJ27" s="100"/>
      <c r="DK27" s="100"/>
      <c r="DL27" s="100"/>
      <c r="DM27" s="102"/>
      <c r="DN27" s="104"/>
      <c r="DO27" s="105"/>
      <c r="DP27" s="101"/>
      <c r="DQ27" s="100"/>
      <c r="DR27" s="100"/>
      <c r="DS27" s="100"/>
      <c r="DT27" s="105"/>
      <c r="DU27" s="104"/>
      <c r="DV27" s="105"/>
      <c r="DW27" s="101"/>
      <c r="DX27" s="100"/>
      <c r="DY27" s="100"/>
      <c r="DZ27" s="100"/>
      <c r="EA27" s="100"/>
      <c r="EB27" s="105"/>
      <c r="EC27" s="105"/>
      <c r="ED27" s="100"/>
      <c r="EE27" s="100"/>
    </row>
    <row r="28" spans="2:135" ht="18" customHeight="1" outlineLevel="1" x14ac:dyDescent="0.15">
      <c r="B28" s="115">
        <f t="shared" si="0"/>
        <v>20</v>
      </c>
      <c r="C28" s="116"/>
      <c r="D28" s="112"/>
      <c r="E28" s="112" t="s">
        <v>72</v>
      </c>
      <c r="F28" s="112"/>
      <c r="G28" s="112"/>
      <c r="H28" s="112"/>
      <c r="I28" s="112"/>
      <c r="J28" s="112"/>
      <c r="K28" s="51"/>
      <c r="L28" s="59"/>
      <c r="M28" s="58" t="s">
        <v>117</v>
      </c>
      <c r="N28" s="59" t="s">
        <v>120</v>
      </c>
      <c r="O28" s="60">
        <v>0.5</v>
      </c>
      <c r="P28" s="61"/>
      <c r="Q28" s="62"/>
      <c r="R28" s="10">
        <f t="shared" si="1"/>
        <v>0</v>
      </c>
      <c r="S28" s="19"/>
      <c r="T28" s="15">
        <f t="shared" si="6"/>
        <v>0</v>
      </c>
      <c r="U28" s="15">
        <f t="shared" si="7"/>
        <v>0</v>
      </c>
      <c r="V28" s="14" t="str">
        <f t="shared" si="8"/>
        <v>-</v>
      </c>
      <c r="W28" s="14" t="str">
        <f t="shared" si="9"/>
        <v>-</v>
      </c>
      <c r="X28" s="69"/>
      <c r="Y28" s="69"/>
      <c r="Z28" s="69"/>
      <c r="AA28" s="69"/>
      <c r="AB28" s="69"/>
      <c r="AC28" s="76">
        <v>46057</v>
      </c>
      <c r="AD28" s="76">
        <v>46059</v>
      </c>
      <c r="AE28" s="101"/>
      <c r="AF28" s="102"/>
      <c r="AG28" s="102"/>
      <c r="AH28" s="104"/>
      <c r="AI28" s="105"/>
      <c r="AJ28" s="102"/>
      <c r="AK28" s="102"/>
      <c r="AL28" s="102"/>
      <c r="AM28" s="102"/>
      <c r="AN28" s="102"/>
      <c r="AO28" s="104"/>
      <c r="AP28" s="105"/>
      <c r="AQ28" s="102"/>
      <c r="AR28" s="102"/>
      <c r="AS28" s="102"/>
      <c r="AT28" s="102"/>
      <c r="AU28" s="102"/>
      <c r="AV28" s="104"/>
      <c r="AW28" s="105"/>
      <c r="AX28" s="101"/>
      <c r="AY28" s="100"/>
      <c r="AZ28" s="100"/>
      <c r="BA28" s="100"/>
      <c r="BB28" s="102"/>
      <c r="BC28" s="104"/>
      <c r="BD28" s="105"/>
      <c r="BE28" s="105"/>
      <c r="BF28" s="100"/>
      <c r="BG28" s="100"/>
      <c r="BH28" s="100"/>
      <c r="BI28" s="102"/>
      <c r="BJ28" s="104"/>
      <c r="BK28" s="105"/>
      <c r="BL28" s="100"/>
      <c r="BM28" s="100"/>
      <c r="BN28" s="100"/>
      <c r="BO28" s="100"/>
      <c r="BP28" s="101"/>
      <c r="BQ28" s="104"/>
      <c r="BR28" s="105"/>
      <c r="BS28" s="101"/>
      <c r="BT28" s="100"/>
      <c r="BU28" s="100"/>
      <c r="BV28" s="100"/>
      <c r="BW28" s="102"/>
      <c r="BX28" s="104"/>
      <c r="BY28" s="105"/>
      <c r="BZ28" s="101"/>
      <c r="CA28" s="100"/>
      <c r="CB28" s="100"/>
      <c r="CC28" s="100"/>
      <c r="CD28" s="102"/>
      <c r="CE28" s="104"/>
      <c r="CF28" s="105"/>
      <c r="CG28" s="101"/>
      <c r="CH28" s="100"/>
      <c r="CI28" s="105"/>
      <c r="CJ28" s="100"/>
      <c r="CK28" s="102"/>
      <c r="CL28" s="104"/>
      <c r="CM28" s="105"/>
      <c r="CN28" s="101"/>
      <c r="CO28" s="100"/>
      <c r="CP28" s="100"/>
      <c r="CQ28" s="100"/>
      <c r="CR28" s="102"/>
      <c r="CS28" s="104"/>
      <c r="CT28" s="105"/>
      <c r="CU28" s="105"/>
      <c r="CV28" s="100"/>
      <c r="CW28" s="100"/>
      <c r="CX28" s="100"/>
      <c r="CY28" s="102"/>
      <c r="CZ28" s="104"/>
      <c r="DA28" s="105"/>
      <c r="DB28" s="101"/>
      <c r="DC28" s="101"/>
      <c r="DD28" s="100"/>
      <c r="DE28" s="100"/>
      <c r="DF28" s="102"/>
      <c r="DG28" s="104"/>
      <c r="DH28" s="105"/>
      <c r="DI28" s="101"/>
      <c r="DJ28" s="100"/>
      <c r="DK28" s="100"/>
      <c r="DL28" s="100"/>
      <c r="DM28" s="102"/>
      <c r="DN28" s="104"/>
      <c r="DO28" s="105"/>
      <c r="DP28" s="101"/>
      <c r="DQ28" s="100"/>
      <c r="DR28" s="100"/>
      <c r="DS28" s="100"/>
      <c r="DT28" s="105"/>
      <c r="DU28" s="104"/>
      <c r="DV28" s="105"/>
      <c r="DW28" s="101"/>
      <c r="DX28" s="100"/>
      <c r="DY28" s="100"/>
      <c r="DZ28" s="100"/>
      <c r="EA28" s="100"/>
      <c r="EB28" s="105"/>
      <c r="EC28" s="105"/>
      <c r="ED28" s="100"/>
      <c r="EE28" s="100"/>
    </row>
    <row r="29" spans="2:135" ht="18" customHeight="1" outlineLevel="1" x14ac:dyDescent="0.15">
      <c r="B29" s="115">
        <f t="shared" si="0"/>
        <v>21</v>
      </c>
      <c r="C29" s="116"/>
      <c r="D29" s="112"/>
      <c r="E29" s="112" t="s">
        <v>73</v>
      </c>
      <c r="F29" s="112"/>
      <c r="G29" s="112"/>
      <c r="H29" s="112"/>
      <c r="I29" s="112"/>
      <c r="J29" s="112"/>
      <c r="K29" s="51"/>
      <c r="L29" s="59"/>
      <c r="M29" s="58" t="s">
        <v>117</v>
      </c>
      <c r="N29" s="59" t="s">
        <v>119</v>
      </c>
      <c r="O29" s="60">
        <v>1</v>
      </c>
      <c r="P29" s="61"/>
      <c r="Q29" s="62"/>
      <c r="R29" s="10">
        <f t="shared" si="1"/>
        <v>0</v>
      </c>
      <c r="S29" s="19"/>
      <c r="T29" s="15">
        <f t="shared" si="6"/>
        <v>0</v>
      </c>
      <c r="U29" s="15">
        <f t="shared" si="7"/>
        <v>0</v>
      </c>
      <c r="V29" s="14" t="str">
        <f t="shared" si="8"/>
        <v>-</v>
      </c>
      <c r="W29" s="14" t="str">
        <f t="shared" si="9"/>
        <v>-</v>
      </c>
      <c r="X29" s="69"/>
      <c r="Y29" s="69" t="s">
        <v>146</v>
      </c>
      <c r="Z29" s="69"/>
      <c r="AA29" s="69"/>
      <c r="AB29" s="69"/>
      <c r="AC29" s="76">
        <v>46055</v>
      </c>
      <c r="AD29" s="77">
        <v>46059</v>
      </c>
      <c r="AE29" s="101"/>
      <c r="AF29" s="102"/>
      <c r="AG29" s="102"/>
      <c r="AH29" s="104"/>
      <c r="AI29" s="105"/>
      <c r="AJ29" s="102"/>
      <c r="AK29" s="102"/>
      <c r="AL29" s="102"/>
      <c r="AM29" s="102"/>
      <c r="AN29" s="102"/>
      <c r="AO29" s="104"/>
      <c r="AP29" s="105"/>
      <c r="AQ29" s="102"/>
      <c r="AR29" s="102"/>
      <c r="AS29" s="102"/>
      <c r="AT29" s="102"/>
      <c r="AU29" s="102"/>
      <c r="AV29" s="104"/>
      <c r="AW29" s="105"/>
      <c r="AX29" s="101"/>
      <c r="AY29" s="100"/>
      <c r="AZ29" s="100"/>
      <c r="BA29" s="100"/>
      <c r="BB29" s="102"/>
      <c r="BC29" s="104"/>
      <c r="BD29" s="105"/>
      <c r="BE29" s="105"/>
      <c r="BF29" s="100"/>
      <c r="BG29" s="100"/>
      <c r="BH29" s="100"/>
      <c r="BI29" s="102"/>
      <c r="BJ29" s="104"/>
      <c r="BK29" s="105"/>
      <c r="BL29" s="100"/>
      <c r="BM29" s="100"/>
      <c r="BN29" s="100"/>
      <c r="BO29" s="100"/>
      <c r="BP29" s="101"/>
      <c r="BQ29" s="104"/>
      <c r="BR29" s="105"/>
      <c r="BS29" s="101"/>
      <c r="BT29" s="100"/>
      <c r="BU29" s="100"/>
      <c r="BV29" s="100"/>
      <c r="BW29" s="102"/>
      <c r="BX29" s="104"/>
      <c r="BY29" s="105"/>
      <c r="BZ29" s="101"/>
      <c r="CA29" s="100"/>
      <c r="CB29" s="100"/>
      <c r="CC29" s="100"/>
      <c r="CD29" s="102"/>
      <c r="CE29" s="104"/>
      <c r="CF29" s="105"/>
      <c r="CG29" s="101"/>
      <c r="CH29" s="100"/>
      <c r="CI29" s="105"/>
      <c r="CJ29" s="100"/>
      <c r="CK29" s="102"/>
      <c r="CL29" s="104"/>
      <c r="CM29" s="105"/>
      <c r="CN29" s="101"/>
      <c r="CO29" s="100"/>
      <c r="CP29" s="100"/>
      <c r="CQ29" s="100"/>
      <c r="CR29" s="102"/>
      <c r="CS29" s="104"/>
      <c r="CT29" s="105"/>
      <c r="CU29" s="105"/>
      <c r="CV29" s="100"/>
      <c r="CW29" s="100"/>
      <c r="CX29" s="100"/>
      <c r="CY29" s="102"/>
      <c r="CZ29" s="104"/>
      <c r="DA29" s="105"/>
      <c r="DB29" s="101"/>
      <c r="DC29" s="101"/>
      <c r="DD29" s="100"/>
      <c r="DE29" s="100"/>
      <c r="DF29" s="102"/>
      <c r="DG29" s="104"/>
      <c r="DH29" s="105"/>
      <c r="DI29" s="101"/>
      <c r="DJ29" s="100"/>
      <c r="DK29" s="100"/>
      <c r="DL29" s="100"/>
      <c r="DM29" s="102"/>
      <c r="DN29" s="104"/>
      <c r="DO29" s="105"/>
      <c r="DP29" s="101"/>
      <c r="DQ29" s="100"/>
      <c r="DR29" s="100"/>
      <c r="DS29" s="100"/>
      <c r="DT29" s="105"/>
      <c r="DU29" s="104"/>
      <c r="DV29" s="105"/>
      <c r="DW29" s="101"/>
      <c r="DX29" s="100"/>
      <c r="DY29" s="100"/>
      <c r="DZ29" s="100"/>
      <c r="EA29" s="100"/>
      <c r="EB29" s="105"/>
      <c r="EC29" s="105"/>
      <c r="ED29" s="100"/>
      <c r="EE29" s="100"/>
    </row>
    <row r="30" spans="2:135" ht="18" customHeight="1" outlineLevel="1" x14ac:dyDescent="0.15">
      <c r="B30" s="115"/>
      <c r="C30" s="116"/>
      <c r="D30" s="112" t="s">
        <v>131</v>
      </c>
      <c r="E30" s="112"/>
      <c r="F30" s="112"/>
      <c r="G30" s="112"/>
      <c r="H30" s="112"/>
      <c r="I30" s="112"/>
      <c r="J30" s="112"/>
      <c r="K30" s="51"/>
      <c r="L30" s="59"/>
      <c r="M30" s="58"/>
      <c r="N30" s="59"/>
      <c r="O30" s="106"/>
      <c r="P30" s="61"/>
      <c r="Q30" s="62"/>
      <c r="R30" s="10"/>
      <c r="S30" s="19"/>
      <c r="T30" s="15"/>
      <c r="U30" s="15"/>
      <c r="V30" s="14"/>
      <c r="W30" s="14"/>
      <c r="X30" s="69"/>
      <c r="Y30" s="69"/>
      <c r="Z30" s="69"/>
      <c r="AA30" s="69"/>
      <c r="AB30" s="69"/>
      <c r="AC30" s="76"/>
      <c r="AD30" s="77"/>
      <c r="AE30" s="101"/>
      <c r="AF30" s="102"/>
      <c r="AG30" s="102"/>
      <c r="AH30" s="104"/>
      <c r="AI30" s="105"/>
      <c r="AJ30" s="102"/>
      <c r="AK30" s="102"/>
      <c r="AL30" s="102"/>
      <c r="AM30" s="102"/>
      <c r="AN30" s="102"/>
      <c r="AO30" s="104"/>
      <c r="AP30" s="105"/>
      <c r="AQ30" s="102"/>
      <c r="AR30" s="102"/>
      <c r="AS30" s="102"/>
      <c r="AT30" s="102"/>
      <c r="AU30" s="102"/>
      <c r="AV30" s="104"/>
      <c r="AW30" s="105"/>
      <c r="AX30" s="101"/>
      <c r="AY30" s="100"/>
      <c r="AZ30" s="100"/>
      <c r="BA30" s="100"/>
      <c r="BB30" s="102"/>
      <c r="BC30" s="104"/>
      <c r="BD30" s="105"/>
      <c r="BE30" s="105"/>
      <c r="BF30" s="100"/>
      <c r="BG30" s="100"/>
      <c r="BH30" s="100"/>
      <c r="BI30" s="102"/>
      <c r="BJ30" s="104"/>
      <c r="BK30" s="105"/>
      <c r="BL30" s="100"/>
      <c r="BM30" s="100"/>
      <c r="BN30" s="100"/>
      <c r="BO30" s="100"/>
      <c r="BP30" s="101"/>
      <c r="BQ30" s="104"/>
      <c r="BR30" s="105"/>
      <c r="BS30" s="101"/>
      <c r="BT30" s="100"/>
      <c r="BU30" s="100"/>
      <c r="BV30" s="100"/>
      <c r="BW30" s="102"/>
      <c r="BX30" s="104"/>
      <c r="BY30" s="105"/>
      <c r="BZ30" s="101"/>
      <c r="CA30" s="100"/>
      <c r="CB30" s="100"/>
      <c r="CC30" s="100"/>
      <c r="CD30" s="102"/>
      <c r="CE30" s="104"/>
      <c r="CF30" s="105"/>
      <c r="CG30" s="101"/>
      <c r="CH30" s="100"/>
      <c r="CI30" s="105"/>
      <c r="CJ30" s="100"/>
      <c r="CK30" s="102"/>
      <c r="CL30" s="104"/>
      <c r="CM30" s="105"/>
      <c r="CN30" s="101"/>
      <c r="CO30" s="100"/>
      <c r="CP30" s="100"/>
      <c r="CQ30" s="100"/>
      <c r="CR30" s="102"/>
      <c r="CS30" s="104"/>
      <c r="CT30" s="105"/>
      <c r="CU30" s="105"/>
      <c r="CV30" s="100"/>
      <c r="CW30" s="100"/>
      <c r="CX30" s="100"/>
      <c r="CY30" s="102"/>
      <c r="CZ30" s="104"/>
      <c r="DA30" s="105"/>
      <c r="DB30" s="101"/>
      <c r="DC30" s="101"/>
      <c r="DD30" s="100"/>
      <c r="DE30" s="100"/>
      <c r="DF30" s="102"/>
      <c r="DG30" s="104"/>
      <c r="DH30" s="105"/>
      <c r="DI30" s="101"/>
      <c r="DJ30" s="100"/>
      <c r="DK30" s="100"/>
      <c r="DL30" s="100"/>
      <c r="DM30" s="102"/>
      <c r="DN30" s="104"/>
      <c r="DO30" s="105"/>
      <c r="DP30" s="101"/>
      <c r="DQ30" s="100"/>
      <c r="DR30" s="100"/>
      <c r="DS30" s="100"/>
      <c r="DT30" s="105"/>
      <c r="DU30" s="104"/>
      <c r="DV30" s="105"/>
      <c r="DW30" s="101"/>
      <c r="DX30" s="100"/>
      <c r="DY30" s="100"/>
      <c r="DZ30" s="100"/>
      <c r="EA30" s="100"/>
      <c r="EB30" s="105"/>
      <c r="EC30" s="105"/>
      <c r="ED30" s="100"/>
      <c r="EE30" s="100"/>
    </row>
    <row r="31" spans="2:135" ht="18" customHeight="1" x14ac:dyDescent="0.15">
      <c r="B31" s="115">
        <f t="shared" si="0"/>
        <v>23</v>
      </c>
      <c r="C31" s="116"/>
      <c r="D31" s="112"/>
      <c r="E31" s="112" t="s">
        <v>74</v>
      </c>
      <c r="F31" s="112"/>
      <c r="G31" s="112"/>
      <c r="H31" s="112"/>
      <c r="I31" s="112"/>
      <c r="J31" s="112"/>
      <c r="K31" s="51"/>
      <c r="L31" s="59"/>
      <c r="M31" s="58" t="s">
        <v>117</v>
      </c>
      <c r="N31" s="59" t="s">
        <v>120</v>
      </c>
      <c r="O31" s="31">
        <v>3.2</v>
      </c>
      <c r="P31" s="61"/>
      <c r="Q31" s="62"/>
      <c r="R31" s="10">
        <f t="shared" si="1"/>
        <v>0</v>
      </c>
      <c r="S31" s="19"/>
      <c r="T31" s="15">
        <f t="shared" si="6"/>
        <v>0</v>
      </c>
      <c r="U31" s="15">
        <f t="shared" si="7"/>
        <v>0</v>
      </c>
      <c r="V31" s="14" t="str">
        <f t="shared" si="8"/>
        <v>-</v>
      </c>
      <c r="W31" s="14" t="str">
        <f t="shared" si="9"/>
        <v>-</v>
      </c>
      <c r="X31" s="69"/>
      <c r="Y31" s="69" t="s">
        <v>152</v>
      </c>
      <c r="Z31" s="69"/>
      <c r="AA31" s="69"/>
      <c r="AB31" s="69"/>
      <c r="AC31" s="76">
        <v>46062</v>
      </c>
      <c r="AD31" s="77">
        <v>46066</v>
      </c>
      <c r="AE31" s="101"/>
      <c r="AF31" s="102"/>
      <c r="AG31" s="102"/>
      <c r="AH31" s="104"/>
      <c r="AI31" s="105"/>
      <c r="AJ31" s="102"/>
      <c r="AK31" s="102"/>
      <c r="AL31" s="102"/>
      <c r="AM31" s="102"/>
      <c r="AN31" s="102"/>
      <c r="AO31" s="104"/>
      <c r="AP31" s="105"/>
      <c r="AQ31" s="102"/>
      <c r="AR31" s="102"/>
      <c r="AS31" s="102"/>
      <c r="AT31" s="102"/>
      <c r="AU31" s="102"/>
      <c r="AV31" s="104"/>
      <c r="AW31" s="105"/>
      <c r="AX31" s="101"/>
      <c r="AY31" s="100"/>
      <c r="AZ31" s="100"/>
      <c r="BA31" s="100"/>
      <c r="BB31" s="102"/>
      <c r="BC31" s="104"/>
      <c r="BD31" s="105"/>
      <c r="BE31" s="105"/>
      <c r="BF31" s="100"/>
      <c r="BG31" s="100"/>
      <c r="BH31" s="100"/>
      <c r="BI31" s="102"/>
      <c r="BJ31" s="104"/>
      <c r="BK31" s="105"/>
      <c r="BL31" s="100"/>
      <c r="BM31" s="100"/>
      <c r="BN31" s="100"/>
      <c r="BO31" s="100"/>
      <c r="BP31" s="101"/>
      <c r="BQ31" s="104"/>
      <c r="BR31" s="105"/>
      <c r="BS31" s="101"/>
      <c r="BT31" s="100"/>
      <c r="BU31" s="100"/>
      <c r="BV31" s="100"/>
      <c r="BW31" s="102"/>
      <c r="BX31" s="104"/>
      <c r="BY31" s="105"/>
      <c r="BZ31" s="101"/>
      <c r="CA31" s="100"/>
      <c r="CB31" s="100"/>
      <c r="CC31" s="100"/>
      <c r="CD31" s="102"/>
      <c r="CE31" s="104"/>
      <c r="CF31" s="105"/>
      <c r="CG31" s="101"/>
      <c r="CH31" s="100"/>
      <c r="CI31" s="105"/>
      <c r="CJ31" s="100"/>
      <c r="CK31" s="102"/>
      <c r="CL31" s="104"/>
      <c r="CM31" s="105"/>
      <c r="CN31" s="101"/>
      <c r="CO31" s="100"/>
      <c r="CP31" s="100"/>
      <c r="CQ31" s="100"/>
      <c r="CR31" s="102"/>
      <c r="CS31" s="104"/>
      <c r="CT31" s="105"/>
      <c r="CU31" s="105"/>
      <c r="CV31" s="100"/>
      <c r="CW31" s="100"/>
      <c r="CX31" s="100"/>
      <c r="CY31" s="102"/>
      <c r="CZ31" s="104"/>
      <c r="DA31" s="105"/>
      <c r="DB31" s="101"/>
      <c r="DC31" s="101"/>
      <c r="DD31" s="100"/>
      <c r="DE31" s="100"/>
      <c r="DF31" s="102"/>
      <c r="DG31" s="104"/>
      <c r="DH31" s="105"/>
      <c r="DI31" s="101"/>
      <c r="DJ31" s="100"/>
      <c r="DK31" s="100"/>
      <c r="DL31" s="100"/>
      <c r="DM31" s="102"/>
      <c r="DN31" s="104"/>
      <c r="DO31" s="105"/>
      <c r="DP31" s="101"/>
      <c r="DQ31" s="100"/>
      <c r="DR31" s="100"/>
      <c r="DS31" s="100"/>
      <c r="DT31" s="105"/>
      <c r="DU31" s="104"/>
      <c r="DV31" s="105"/>
      <c r="DW31" s="101"/>
      <c r="DX31" s="100"/>
      <c r="DY31" s="100"/>
      <c r="DZ31" s="100"/>
      <c r="EA31" s="100"/>
      <c r="EB31" s="105"/>
      <c r="EC31" s="105"/>
      <c r="ED31" s="100"/>
      <c r="EE31" s="100"/>
    </row>
    <row r="32" spans="2:135" ht="18" customHeight="1" x14ac:dyDescent="0.15">
      <c r="B32" s="115">
        <f t="shared" si="0"/>
        <v>24</v>
      </c>
      <c r="C32" s="116"/>
      <c r="D32" s="112"/>
      <c r="E32" s="112" t="s">
        <v>75</v>
      </c>
      <c r="F32" s="112"/>
      <c r="G32" s="112"/>
      <c r="H32" s="112"/>
      <c r="I32" s="112"/>
      <c r="J32" s="112"/>
      <c r="K32" s="51"/>
      <c r="L32" s="59"/>
      <c r="M32" s="58" t="s">
        <v>117</v>
      </c>
      <c r="N32" s="59" t="s">
        <v>120</v>
      </c>
      <c r="O32" s="60">
        <v>1.1000000000000001</v>
      </c>
      <c r="P32" s="61"/>
      <c r="Q32" s="62"/>
      <c r="R32" s="10">
        <f t="shared" si="1"/>
        <v>0</v>
      </c>
      <c r="S32" s="19"/>
      <c r="T32" s="15">
        <f t="shared" si="6"/>
        <v>0</v>
      </c>
      <c r="U32" s="15">
        <f t="shared" si="7"/>
        <v>0</v>
      </c>
      <c r="V32" s="14" t="str">
        <f t="shared" si="8"/>
        <v>-</v>
      </c>
      <c r="W32" s="14" t="str">
        <f t="shared" si="9"/>
        <v>-</v>
      </c>
      <c r="X32" s="69"/>
      <c r="Y32" s="69"/>
      <c r="Z32" s="69"/>
      <c r="AA32" s="69"/>
      <c r="AB32" s="69"/>
      <c r="AC32" s="76">
        <v>46062</v>
      </c>
      <c r="AD32" s="77">
        <v>46063</v>
      </c>
      <c r="AE32" s="101"/>
      <c r="AF32" s="102"/>
      <c r="AG32" s="102"/>
      <c r="AH32" s="104"/>
      <c r="AI32" s="105"/>
      <c r="AJ32" s="102"/>
      <c r="AK32" s="102"/>
      <c r="AL32" s="102"/>
      <c r="AM32" s="102"/>
      <c r="AN32" s="102"/>
      <c r="AO32" s="104"/>
      <c r="AP32" s="105"/>
      <c r="AQ32" s="102"/>
      <c r="AR32" s="102"/>
      <c r="AS32" s="102"/>
      <c r="AT32" s="102"/>
      <c r="AU32" s="102"/>
      <c r="AV32" s="104"/>
      <c r="AW32" s="105"/>
      <c r="AX32" s="101"/>
      <c r="AY32" s="100"/>
      <c r="AZ32" s="100"/>
      <c r="BA32" s="100"/>
      <c r="BB32" s="102"/>
      <c r="BC32" s="104"/>
      <c r="BD32" s="105"/>
      <c r="BE32" s="105"/>
      <c r="BF32" s="100"/>
      <c r="BG32" s="100"/>
      <c r="BH32" s="100"/>
      <c r="BI32" s="102"/>
      <c r="BJ32" s="104"/>
      <c r="BK32" s="105"/>
      <c r="BL32" s="100"/>
      <c r="BM32" s="100"/>
      <c r="BN32" s="100"/>
      <c r="BO32" s="100"/>
      <c r="BP32" s="101"/>
      <c r="BQ32" s="104"/>
      <c r="BR32" s="105"/>
      <c r="BS32" s="101"/>
      <c r="BT32" s="100"/>
      <c r="BU32" s="100"/>
      <c r="BV32" s="100"/>
      <c r="BW32" s="102"/>
      <c r="BX32" s="104"/>
      <c r="BY32" s="105"/>
      <c r="BZ32" s="101"/>
      <c r="CA32" s="100"/>
      <c r="CB32" s="100"/>
      <c r="CC32" s="100"/>
      <c r="CD32" s="102"/>
      <c r="CE32" s="104"/>
      <c r="CF32" s="105"/>
      <c r="CG32" s="101"/>
      <c r="CH32" s="100"/>
      <c r="CI32" s="105"/>
      <c r="CJ32" s="100"/>
      <c r="CK32" s="102"/>
      <c r="CL32" s="104"/>
      <c r="CM32" s="105"/>
      <c r="CN32" s="101"/>
      <c r="CO32" s="100"/>
      <c r="CP32" s="100"/>
      <c r="CQ32" s="100"/>
      <c r="CR32" s="102"/>
      <c r="CS32" s="104"/>
      <c r="CT32" s="105"/>
      <c r="CU32" s="105"/>
      <c r="CV32" s="100"/>
      <c r="CW32" s="100"/>
      <c r="CX32" s="100"/>
      <c r="CY32" s="102"/>
      <c r="CZ32" s="104"/>
      <c r="DA32" s="105"/>
      <c r="DB32" s="101"/>
      <c r="DC32" s="101"/>
      <c r="DD32" s="100"/>
      <c r="DE32" s="100"/>
      <c r="DF32" s="102"/>
      <c r="DG32" s="104"/>
      <c r="DH32" s="105"/>
      <c r="DI32" s="101"/>
      <c r="DJ32" s="100"/>
      <c r="DK32" s="100"/>
      <c r="DL32" s="100"/>
      <c r="DM32" s="102"/>
      <c r="DN32" s="104"/>
      <c r="DO32" s="105"/>
      <c r="DP32" s="101"/>
      <c r="DQ32" s="100"/>
      <c r="DR32" s="100"/>
      <c r="DS32" s="100"/>
      <c r="DT32" s="105"/>
      <c r="DU32" s="104"/>
      <c r="DV32" s="105"/>
      <c r="DW32" s="101"/>
      <c r="DX32" s="100"/>
      <c r="DY32" s="100"/>
      <c r="DZ32" s="100"/>
      <c r="EA32" s="100"/>
      <c r="EB32" s="105"/>
      <c r="EC32" s="105"/>
      <c r="ED32" s="100"/>
      <c r="EE32" s="100"/>
    </row>
    <row r="33" spans="2:135" ht="18" customHeight="1" outlineLevel="1" x14ac:dyDescent="0.15">
      <c r="B33" s="115">
        <f t="shared" si="0"/>
        <v>25</v>
      </c>
      <c r="C33" s="116"/>
      <c r="D33" s="112"/>
      <c r="E33" s="112" t="s">
        <v>76</v>
      </c>
      <c r="F33" s="112"/>
      <c r="G33" s="112"/>
      <c r="H33" s="112"/>
      <c r="I33" s="112"/>
      <c r="J33" s="112"/>
      <c r="K33" s="51"/>
      <c r="L33" s="59"/>
      <c r="M33" s="58" t="s">
        <v>117</v>
      </c>
      <c r="N33" s="59" t="s">
        <v>119</v>
      </c>
      <c r="O33" s="60">
        <v>1.6</v>
      </c>
      <c r="P33" s="61"/>
      <c r="Q33" s="62"/>
      <c r="R33" s="10">
        <f t="shared" si="1"/>
        <v>0</v>
      </c>
      <c r="S33" s="19"/>
      <c r="T33" s="15">
        <f t="shared" si="6"/>
        <v>0</v>
      </c>
      <c r="U33" s="15">
        <f t="shared" si="7"/>
        <v>0</v>
      </c>
      <c r="V33" s="14" t="str">
        <f t="shared" si="8"/>
        <v>-</v>
      </c>
      <c r="W33" s="14" t="str">
        <f t="shared" si="9"/>
        <v>-</v>
      </c>
      <c r="X33" s="69"/>
      <c r="Y33" s="69" t="s">
        <v>147</v>
      </c>
      <c r="Z33" s="69"/>
      <c r="AA33" s="69"/>
      <c r="AB33" s="69"/>
      <c r="AC33" s="76">
        <v>46065</v>
      </c>
      <c r="AD33" s="77">
        <v>46066</v>
      </c>
      <c r="AE33" s="101"/>
      <c r="AF33" s="102"/>
      <c r="AG33" s="102"/>
      <c r="AH33" s="104"/>
      <c r="AI33" s="105"/>
      <c r="AJ33" s="102"/>
      <c r="AK33" s="102"/>
      <c r="AL33" s="102"/>
      <c r="AM33" s="102"/>
      <c r="AN33" s="102"/>
      <c r="AO33" s="104"/>
      <c r="AP33" s="105"/>
      <c r="AQ33" s="102"/>
      <c r="AR33" s="102"/>
      <c r="AS33" s="102"/>
      <c r="AT33" s="102"/>
      <c r="AU33" s="102"/>
      <c r="AV33" s="104"/>
      <c r="AW33" s="105"/>
      <c r="AX33" s="101"/>
      <c r="AY33" s="100"/>
      <c r="AZ33" s="100"/>
      <c r="BA33" s="100"/>
      <c r="BB33" s="102"/>
      <c r="BC33" s="104"/>
      <c r="BD33" s="105"/>
      <c r="BE33" s="105"/>
      <c r="BF33" s="100"/>
      <c r="BG33" s="100"/>
      <c r="BH33" s="100"/>
      <c r="BI33" s="102"/>
      <c r="BJ33" s="104"/>
      <c r="BK33" s="105"/>
      <c r="BL33" s="100"/>
      <c r="BM33" s="100"/>
      <c r="BN33" s="100"/>
      <c r="BO33" s="100"/>
      <c r="BP33" s="101"/>
      <c r="BQ33" s="104"/>
      <c r="BR33" s="105"/>
      <c r="BS33" s="101"/>
      <c r="BT33" s="100"/>
      <c r="BU33" s="100"/>
      <c r="BV33" s="100"/>
      <c r="BW33" s="102"/>
      <c r="BX33" s="104"/>
      <c r="BY33" s="105"/>
      <c r="BZ33" s="101"/>
      <c r="CA33" s="100"/>
      <c r="CB33" s="100"/>
      <c r="CC33" s="100"/>
      <c r="CD33" s="102"/>
      <c r="CE33" s="104"/>
      <c r="CF33" s="105"/>
      <c r="CG33" s="101"/>
      <c r="CH33" s="100"/>
      <c r="CI33" s="105"/>
      <c r="CJ33" s="100"/>
      <c r="CK33" s="102"/>
      <c r="CL33" s="104"/>
      <c r="CM33" s="105"/>
      <c r="CN33" s="101"/>
      <c r="CO33" s="100"/>
      <c r="CP33" s="100"/>
      <c r="CQ33" s="100"/>
      <c r="CR33" s="102"/>
      <c r="CS33" s="104"/>
      <c r="CT33" s="105"/>
      <c r="CU33" s="105"/>
      <c r="CV33" s="100"/>
      <c r="CW33" s="100"/>
      <c r="CX33" s="100"/>
      <c r="CY33" s="102"/>
      <c r="CZ33" s="104"/>
      <c r="DA33" s="105"/>
      <c r="DB33" s="101"/>
      <c r="DC33" s="101"/>
      <c r="DD33" s="100"/>
      <c r="DE33" s="100"/>
      <c r="DF33" s="102"/>
      <c r="DG33" s="104"/>
      <c r="DH33" s="105"/>
      <c r="DI33" s="101"/>
      <c r="DJ33" s="100"/>
      <c r="DK33" s="100"/>
      <c r="DL33" s="100"/>
      <c r="DM33" s="102"/>
      <c r="DN33" s="104"/>
      <c r="DO33" s="105"/>
      <c r="DP33" s="101"/>
      <c r="DQ33" s="100"/>
      <c r="DR33" s="100"/>
      <c r="DS33" s="100"/>
      <c r="DT33" s="105"/>
      <c r="DU33" s="104"/>
      <c r="DV33" s="105"/>
      <c r="DW33" s="101"/>
      <c r="DX33" s="100"/>
      <c r="DY33" s="100"/>
      <c r="DZ33" s="100"/>
      <c r="EA33" s="100"/>
      <c r="EB33" s="105"/>
      <c r="EC33" s="105"/>
      <c r="ED33" s="100"/>
      <c r="EE33" s="100"/>
    </row>
    <row r="34" spans="2:135" ht="18" customHeight="1" outlineLevel="2" x14ac:dyDescent="0.15">
      <c r="B34" s="115">
        <f t="shared" si="0"/>
        <v>26</v>
      </c>
      <c r="C34" s="116"/>
      <c r="D34" s="112"/>
      <c r="E34" s="112" t="s">
        <v>77</v>
      </c>
      <c r="F34" s="112"/>
      <c r="G34" s="112"/>
      <c r="H34" s="112"/>
      <c r="I34" s="112"/>
      <c r="J34" s="112"/>
      <c r="K34" s="51"/>
      <c r="L34" s="59"/>
      <c r="M34" s="58" t="s">
        <v>117</v>
      </c>
      <c r="N34" s="59" t="s">
        <v>119</v>
      </c>
      <c r="O34" s="60">
        <v>0.3</v>
      </c>
      <c r="P34" s="61"/>
      <c r="Q34" s="62"/>
      <c r="R34" s="10">
        <f t="shared" si="1"/>
        <v>0</v>
      </c>
      <c r="S34" s="19"/>
      <c r="T34" s="15">
        <f t="shared" si="6"/>
        <v>0</v>
      </c>
      <c r="U34" s="15">
        <f t="shared" si="7"/>
        <v>0</v>
      </c>
      <c r="V34" s="14" t="str">
        <f t="shared" si="8"/>
        <v>-</v>
      </c>
      <c r="W34" s="14" t="str">
        <f t="shared" si="9"/>
        <v>-</v>
      </c>
      <c r="X34" s="69"/>
      <c r="Y34" s="69" t="s">
        <v>153</v>
      </c>
      <c r="Z34" s="69"/>
      <c r="AA34" s="69"/>
      <c r="AB34" s="69"/>
      <c r="AC34" s="76">
        <v>46069</v>
      </c>
      <c r="AD34" s="77">
        <v>46072</v>
      </c>
      <c r="AE34" s="101"/>
      <c r="AF34" s="102"/>
      <c r="AG34" s="102"/>
      <c r="AH34" s="104"/>
      <c r="AI34" s="105"/>
      <c r="AJ34" s="102"/>
      <c r="AK34" s="102"/>
      <c r="AL34" s="102"/>
      <c r="AM34" s="102"/>
      <c r="AN34" s="102"/>
      <c r="AO34" s="104"/>
      <c r="AP34" s="105"/>
      <c r="AQ34" s="102"/>
      <c r="AR34" s="102"/>
      <c r="AS34" s="102"/>
      <c r="AT34" s="102"/>
      <c r="AU34" s="102"/>
      <c r="AV34" s="104"/>
      <c r="AW34" s="105"/>
      <c r="AX34" s="101"/>
      <c r="AY34" s="100"/>
      <c r="AZ34" s="100"/>
      <c r="BA34" s="100"/>
      <c r="BB34" s="102"/>
      <c r="BC34" s="104"/>
      <c r="BD34" s="105"/>
      <c r="BE34" s="105"/>
      <c r="BF34" s="100"/>
      <c r="BG34" s="100"/>
      <c r="BH34" s="100"/>
      <c r="BI34" s="102"/>
      <c r="BJ34" s="104"/>
      <c r="BK34" s="105"/>
      <c r="BL34" s="100"/>
      <c r="BM34" s="100"/>
      <c r="BN34" s="100"/>
      <c r="BO34" s="100"/>
      <c r="BP34" s="101"/>
      <c r="BQ34" s="104"/>
      <c r="BR34" s="105"/>
      <c r="BS34" s="101"/>
      <c r="BT34" s="100"/>
      <c r="BU34" s="100"/>
      <c r="BV34" s="100"/>
      <c r="BW34" s="102"/>
      <c r="BX34" s="104"/>
      <c r="BY34" s="105"/>
      <c r="BZ34" s="101"/>
      <c r="CA34" s="100"/>
      <c r="CB34" s="100"/>
      <c r="CC34" s="100"/>
      <c r="CD34" s="102"/>
      <c r="CE34" s="104"/>
      <c r="CF34" s="105"/>
      <c r="CG34" s="101"/>
      <c r="CH34" s="100"/>
      <c r="CI34" s="105"/>
      <c r="CJ34" s="100"/>
      <c r="CK34" s="102"/>
      <c r="CL34" s="104"/>
      <c r="CM34" s="105"/>
      <c r="CN34" s="101"/>
      <c r="CO34" s="100"/>
      <c r="CP34" s="100"/>
      <c r="CQ34" s="100"/>
      <c r="CR34" s="102"/>
      <c r="CS34" s="104"/>
      <c r="CT34" s="105"/>
      <c r="CU34" s="105"/>
      <c r="CV34" s="100"/>
      <c r="CW34" s="100"/>
      <c r="CX34" s="100"/>
      <c r="CY34" s="102"/>
      <c r="CZ34" s="104"/>
      <c r="DA34" s="105"/>
      <c r="DB34" s="101"/>
      <c r="DC34" s="101"/>
      <c r="DD34" s="100"/>
      <c r="DE34" s="100"/>
      <c r="DF34" s="102"/>
      <c r="DG34" s="104"/>
      <c r="DH34" s="105"/>
      <c r="DI34" s="101"/>
      <c r="DJ34" s="100"/>
      <c r="DK34" s="100"/>
      <c r="DL34" s="100"/>
      <c r="DM34" s="102"/>
      <c r="DN34" s="104"/>
      <c r="DO34" s="105"/>
      <c r="DP34" s="101"/>
      <c r="DQ34" s="100"/>
      <c r="DR34" s="100"/>
      <c r="DS34" s="100"/>
      <c r="DT34" s="105"/>
      <c r="DU34" s="104"/>
      <c r="DV34" s="105"/>
      <c r="DW34" s="101"/>
      <c r="DX34" s="100"/>
      <c r="DY34" s="100"/>
      <c r="DZ34" s="100"/>
      <c r="EA34" s="100"/>
      <c r="EB34" s="105"/>
      <c r="EC34" s="105"/>
      <c r="ED34" s="100"/>
      <c r="EE34" s="100"/>
    </row>
    <row r="35" spans="2:135" ht="18" customHeight="1" outlineLevel="2" x14ac:dyDescent="0.15">
      <c r="B35" s="115">
        <f t="shared" si="0"/>
        <v>27</v>
      </c>
      <c r="C35" s="116"/>
      <c r="D35" s="112"/>
      <c r="E35" s="112" t="s">
        <v>78</v>
      </c>
      <c r="F35" s="112"/>
      <c r="G35" s="112"/>
      <c r="H35" s="112"/>
      <c r="I35" s="112"/>
      <c r="J35" s="112"/>
      <c r="K35" s="51"/>
      <c r="L35" s="59"/>
      <c r="M35" s="58" t="s">
        <v>117</v>
      </c>
      <c r="N35" s="59" t="s">
        <v>120</v>
      </c>
      <c r="O35" s="60">
        <v>0.5</v>
      </c>
      <c r="P35" s="61"/>
      <c r="Q35" s="62"/>
      <c r="R35" s="10">
        <f t="shared" si="1"/>
        <v>0</v>
      </c>
      <c r="S35" s="19"/>
      <c r="T35" s="15">
        <f t="shared" si="6"/>
        <v>0</v>
      </c>
      <c r="U35" s="15">
        <f t="shared" si="7"/>
        <v>0</v>
      </c>
      <c r="V35" s="14" t="str">
        <f t="shared" si="8"/>
        <v>-</v>
      </c>
      <c r="W35" s="14" t="str">
        <f t="shared" si="9"/>
        <v>-</v>
      </c>
      <c r="X35" s="69"/>
      <c r="Y35" s="69"/>
      <c r="Z35" s="69"/>
      <c r="AA35" s="69"/>
      <c r="AB35" s="69"/>
      <c r="AC35" s="76">
        <v>46073</v>
      </c>
      <c r="AD35" s="76">
        <v>46076</v>
      </c>
      <c r="AE35" s="101"/>
      <c r="AF35" s="102"/>
      <c r="AG35" s="102"/>
      <c r="AH35" s="104"/>
      <c r="AI35" s="105"/>
      <c r="AJ35" s="102"/>
      <c r="AK35" s="102"/>
      <c r="AL35" s="102"/>
      <c r="AM35" s="102"/>
      <c r="AN35" s="102"/>
      <c r="AO35" s="104"/>
      <c r="AP35" s="105"/>
      <c r="AQ35" s="102"/>
      <c r="AR35" s="102"/>
      <c r="AS35" s="102"/>
      <c r="AT35" s="102"/>
      <c r="AU35" s="102"/>
      <c r="AV35" s="104"/>
      <c r="AW35" s="105"/>
      <c r="AX35" s="101"/>
      <c r="AY35" s="100"/>
      <c r="AZ35" s="100"/>
      <c r="BA35" s="100"/>
      <c r="BB35" s="102"/>
      <c r="BC35" s="104"/>
      <c r="BD35" s="105"/>
      <c r="BE35" s="105"/>
      <c r="BF35" s="100"/>
      <c r="BG35" s="100"/>
      <c r="BH35" s="100"/>
      <c r="BI35" s="102"/>
      <c r="BJ35" s="104"/>
      <c r="BK35" s="105"/>
      <c r="BL35" s="100"/>
      <c r="BM35" s="100"/>
      <c r="BN35" s="100"/>
      <c r="BO35" s="100"/>
      <c r="BP35" s="101"/>
      <c r="BQ35" s="104"/>
      <c r="BR35" s="105"/>
      <c r="BS35" s="101"/>
      <c r="BT35" s="100"/>
      <c r="BU35" s="100"/>
      <c r="BV35" s="100"/>
      <c r="BW35" s="102"/>
      <c r="BX35" s="104"/>
      <c r="BY35" s="105"/>
      <c r="BZ35" s="101"/>
      <c r="CA35" s="100"/>
      <c r="CB35" s="100"/>
      <c r="CC35" s="100"/>
      <c r="CD35" s="102"/>
      <c r="CE35" s="104"/>
      <c r="CF35" s="105"/>
      <c r="CG35" s="101"/>
      <c r="CH35" s="100"/>
      <c r="CI35" s="105"/>
      <c r="CJ35" s="100"/>
      <c r="CK35" s="102"/>
      <c r="CL35" s="104"/>
      <c r="CM35" s="105"/>
      <c r="CN35" s="101"/>
      <c r="CO35" s="100"/>
      <c r="CP35" s="100"/>
      <c r="CQ35" s="100"/>
      <c r="CR35" s="102"/>
      <c r="CS35" s="104"/>
      <c r="CT35" s="105"/>
      <c r="CU35" s="105"/>
      <c r="CV35" s="100"/>
      <c r="CW35" s="100"/>
      <c r="CX35" s="100"/>
      <c r="CY35" s="102"/>
      <c r="CZ35" s="104"/>
      <c r="DA35" s="105"/>
      <c r="DB35" s="101"/>
      <c r="DC35" s="101"/>
      <c r="DD35" s="100"/>
      <c r="DE35" s="100"/>
      <c r="DF35" s="102"/>
      <c r="DG35" s="104"/>
      <c r="DH35" s="105"/>
      <c r="DI35" s="101"/>
      <c r="DJ35" s="100"/>
      <c r="DK35" s="100"/>
      <c r="DL35" s="100"/>
      <c r="DM35" s="102"/>
      <c r="DN35" s="104"/>
      <c r="DO35" s="105"/>
      <c r="DP35" s="101"/>
      <c r="DQ35" s="100"/>
      <c r="DR35" s="100"/>
      <c r="DS35" s="100"/>
      <c r="DT35" s="105"/>
      <c r="DU35" s="104"/>
      <c r="DV35" s="105"/>
      <c r="DW35" s="101"/>
      <c r="DX35" s="100"/>
      <c r="DY35" s="100"/>
      <c r="DZ35" s="100"/>
      <c r="EA35" s="100"/>
      <c r="EB35" s="105"/>
      <c r="EC35" s="105"/>
      <c r="ED35" s="100"/>
      <c r="EE35" s="100"/>
    </row>
    <row r="36" spans="2:135" ht="18" customHeight="1" outlineLevel="2" x14ac:dyDescent="0.15">
      <c r="B36" s="115"/>
      <c r="C36" s="116"/>
      <c r="D36" s="112" t="s">
        <v>132</v>
      </c>
      <c r="E36" s="112"/>
      <c r="F36" s="112"/>
      <c r="G36" s="112"/>
      <c r="H36" s="112"/>
      <c r="I36" s="112"/>
      <c r="J36" s="112"/>
      <c r="K36" s="51"/>
      <c r="L36" s="59"/>
      <c r="M36" s="58"/>
      <c r="N36" s="59"/>
      <c r="O36" s="60"/>
      <c r="P36" s="61"/>
      <c r="Q36" s="62"/>
      <c r="R36" s="10"/>
      <c r="S36" s="19"/>
      <c r="T36" s="15"/>
      <c r="U36" s="15"/>
      <c r="V36" s="14"/>
      <c r="W36" s="14"/>
      <c r="X36" s="69"/>
      <c r="Y36" s="69"/>
      <c r="Z36" s="69"/>
      <c r="AA36" s="69"/>
      <c r="AB36" s="69"/>
      <c r="AC36" s="76"/>
      <c r="AD36" s="76"/>
      <c r="AE36" s="101"/>
      <c r="AF36" s="102"/>
      <c r="AG36" s="102"/>
      <c r="AH36" s="104"/>
      <c r="AI36" s="105"/>
      <c r="AJ36" s="102"/>
      <c r="AK36" s="102"/>
      <c r="AL36" s="102"/>
      <c r="AM36" s="102"/>
      <c r="AN36" s="102"/>
      <c r="AO36" s="104"/>
      <c r="AP36" s="105"/>
      <c r="AQ36" s="102"/>
      <c r="AR36" s="102"/>
      <c r="AS36" s="102"/>
      <c r="AT36" s="102"/>
      <c r="AU36" s="102"/>
      <c r="AV36" s="104"/>
      <c r="AW36" s="105"/>
      <c r="AX36" s="101"/>
      <c r="AY36" s="100"/>
      <c r="AZ36" s="100"/>
      <c r="BA36" s="100"/>
      <c r="BB36" s="102"/>
      <c r="BC36" s="104"/>
      <c r="BD36" s="105"/>
      <c r="BE36" s="105"/>
      <c r="BF36" s="100"/>
      <c r="BG36" s="100"/>
      <c r="BH36" s="100"/>
      <c r="BI36" s="102"/>
      <c r="BJ36" s="104"/>
      <c r="BK36" s="105"/>
      <c r="BL36" s="100"/>
      <c r="BM36" s="100"/>
      <c r="BN36" s="100"/>
      <c r="BO36" s="100"/>
      <c r="BP36" s="101"/>
      <c r="BQ36" s="104"/>
      <c r="BR36" s="105"/>
      <c r="BS36" s="101"/>
      <c r="BT36" s="100"/>
      <c r="BU36" s="100"/>
      <c r="BV36" s="100"/>
      <c r="BW36" s="102"/>
      <c r="BX36" s="104"/>
      <c r="BY36" s="105"/>
      <c r="BZ36" s="101"/>
      <c r="CA36" s="100"/>
      <c r="CB36" s="100"/>
      <c r="CC36" s="100"/>
      <c r="CD36" s="102"/>
      <c r="CE36" s="104"/>
      <c r="CF36" s="105"/>
      <c r="CG36" s="101"/>
      <c r="CH36" s="100"/>
      <c r="CI36" s="105"/>
      <c r="CJ36" s="100"/>
      <c r="CK36" s="102"/>
      <c r="CL36" s="104"/>
      <c r="CM36" s="105"/>
      <c r="CN36" s="101"/>
      <c r="CO36" s="100"/>
      <c r="CP36" s="100"/>
      <c r="CQ36" s="100"/>
      <c r="CR36" s="102"/>
      <c r="CS36" s="104"/>
      <c r="CT36" s="105"/>
      <c r="CU36" s="105"/>
      <c r="CV36" s="100"/>
      <c r="CW36" s="100"/>
      <c r="CX36" s="100"/>
      <c r="CY36" s="102"/>
      <c r="CZ36" s="104"/>
      <c r="DA36" s="105"/>
      <c r="DB36" s="101"/>
      <c r="DC36" s="101"/>
      <c r="DD36" s="100"/>
      <c r="DE36" s="100"/>
      <c r="DF36" s="102"/>
      <c r="DG36" s="104"/>
      <c r="DH36" s="105"/>
      <c r="DI36" s="101"/>
      <c r="DJ36" s="100"/>
      <c r="DK36" s="100"/>
      <c r="DL36" s="100"/>
      <c r="DM36" s="102"/>
      <c r="DN36" s="104"/>
      <c r="DO36" s="105"/>
      <c r="DP36" s="101"/>
      <c r="DQ36" s="100"/>
      <c r="DR36" s="100"/>
      <c r="DS36" s="100"/>
      <c r="DT36" s="105"/>
      <c r="DU36" s="104"/>
      <c r="DV36" s="105"/>
      <c r="DW36" s="101"/>
      <c r="DX36" s="100"/>
      <c r="DY36" s="100"/>
      <c r="DZ36" s="100"/>
      <c r="EA36" s="100"/>
      <c r="EB36" s="105"/>
      <c r="EC36" s="105"/>
      <c r="ED36" s="100"/>
      <c r="EE36" s="100"/>
    </row>
    <row r="37" spans="2:135" ht="18" customHeight="1" outlineLevel="2" x14ac:dyDescent="0.15">
      <c r="B37" s="115">
        <f t="shared" si="0"/>
        <v>29</v>
      </c>
      <c r="C37" s="116"/>
      <c r="D37" s="112"/>
      <c r="E37" s="112" t="s">
        <v>79</v>
      </c>
      <c r="F37" s="112"/>
      <c r="G37" s="112"/>
      <c r="H37" s="112"/>
      <c r="I37" s="112"/>
      <c r="J37" s="112"/>
      <c r="K37" s="51"/>
      <c r="L37" s="59"/>
      <c r="M37" s="58" t="s">
        <v>117</v>
      </c>
      <c r="N37" s="59" t="s">
        <v>120</v>
      </c>
      <c r="O37" s="60">
        <v>2.1</v>
      </c>
      <c r="P37" s="61"/>
      <c r="Q37" s="62"/>
      <c r="R37" s="10">
        <f t="shared" si="1"/>
        <v>0</v>
      </c>
      <c r="S37" s="19"/>
      <c r="T37" s="15">
        <f t="shared" si="6"/>
        <v>0</v>
      </c>
      <c r="U37" s="15">
        <f t="shared" si="7"/>
        <v>0</v>
      </c>
      <c r="V37" s="14" t="str">
        <f t="shared" si="8"/>
        <v>-</v>
      </c>
      <c r="W37" s="14" t="str">
        <f t="shared" si="9"/>
        <v>-</v>
      </c>
      <c r="X37" s="69"/>
      <c r="Y37" s="69" t="s">
        <v>148</v>
      </c>
      <c r="Z37" s="69"/>
      <c r="AA37" s="69"/>
      <c r="AB37" s="69"/>
      <c r="AC37" s="76">
        <v>46055</v>
      </c>
      <c r="AD37" s="76">
        <v>46062</v>
      </c>
      <c r="AE37" s="101"/>
      <c r="AF37" s="102"/>
      <c r="AG37" s="102"/>
      <c r="AH37" s="104"/>
      <c r="AI37" s="105"/>
      <c r="AJ37" s="102"/>
      <c r="AK37" s="102"/>
      <c r="AL37" s="102"/>
      <c r="AM37" s="102"/>
      <c r="AN37" s="102"/>
      <c r="AO37" s="104"/>
      <c r="AP37" s="105"/>
      <c r="AQ37" s="102"/>
      <c r="AR37" s="102"/>
      <c r="AS37" s="102"/>
      <c r="AT37" s="102"/>
      <c r="AU37" s="102"/>
      <c r="AV37" s="104"/>
      <c r="AW37" s="105"/>
      <c r="AX37" s="101"/>
      <c r="AY37" s="100"/>
      <c r="AZ37" s="100"/>
      <c r="BA37" s="100"/>
      <c r="BB37" s="102"/>
      <c r="BC37" s="104"/>
      <c r="BD37" s="105"/>
      <c r="BE37" s="105"/>
      <c r="BF37" s="100"/>
      <c r="BG37" s="100"/>
      <c r="BH37" s="100"/>
      <c r="BI37" s="102"/>
      <c r="BJ37" s="104"/>
      <c r="BK37" s="105"/>
      <c r="BL37" s="100"/>
      <c r="BM37" s="100"/>
      <c r="BN37" s="100"/>
      <c r="BO37" s="100"/>
      <c r="BP37" s="101"/>
      <c r="BQ37" s="104"/>
      <c r="BR37" s="105"/>
      <c r="BS37" s="101"/>
      <c r="BT37" s="100"/>
      <c r="BU37" s="100"/>
      <c r="BV37" s="100"/>
      <c r="BW37" s="102"/>
      <c r="BX37" s="104"/>
      <c r="BY37" s="105"/>
      <c r="BZ37" s="101"/>
      <c r="CA37" s="100"/>
      <c r="CB37" s="100"/>
      <c r="CC37" s="100"/>
      <c r="CD37" s="102"/>
      <c r="CE37" s="104"/>
      <c r="CF37" s="105"/>
      <c r="CG37" s="101"/>
      <c r="CH37" s="100"/>
      <c r="CI37" s="105"/>
      <c r="CJ37" s="100"/>
      <c r="CK37" s="102"/>
      <c r="CL37" s="104"/>
      <c r="CM37" s="105"/>
      <c r="CN37" s="101"/>
      <c r="CO37" s="100"/>
      <c r="CP37" s="100"/>
      <c r="CQ37" s="100"/>
      <c r="CR37" s="102"/>
      <c r="CS37" s="104"/>
      <c r="CT37" s="105"/>
      <c r="CU37" s="105"/>
      <c r="CV37" s="100"/>
      <c r="CW37" s="100"/>
      <c r="CX37" s="100"/>
      <c r="CY37" s="102"/>
      <c r="CZ37" s="104"/>
      <c r="DA37" s="105"/>
      <c r="DB37" s="101"/>
      <c r="DC37" s="101"/>
      <c r="DD37" s="100"/>
      <c r="DE37" s="100"/>
      <c r="DF37" s="102"/>
      <c r="DG37" s="104"/>
      <c r="DH37" s="105"/>
      <c r="DI37" s="101"/>
      <c r="DJ37" s="100"/>
      <c r="DK37" s="100"/>
      <c r="DL37" s="100"/>
      <c r="DM37" s="102"/>
      <c r="DN37" s="104"/>
      <c r="DO37" s="105"/>
      <c r="DP37" s="101"/>
      <c r="DQ37" s="100"/>
      <c r="DR37" s="100"/>
      <c r="DS37" s="100"/>
      <c r="DT37" s="105"/>
      <c r="DU37" s="104"/>
      <c r="DV37" s="105"/>
      <c r="DW37" s="101"/>
      <c r="DX37" s="100"/>
      <c r="DY37" s="100"/>
      <c r="DZ37" s="100"/>
      <c r="EA37" s="100"/>
      <c r="EB37" s="105"/>
      <c r="EC37" s="105"/>
      <c r="ED37" s="100"/>
      <c r="EE37" s="100"/>
    </row>
    <row r="38" spans="2:135" ht="18" customHeight="1" outlineLevel="2" x14ac:dyDescent="0.15">
      <c r="B38" s="115">
        <f t="shared" si="0"/>
        <v>30</v>
      </c>
      <c r="C38" s="116"/>
      <c r="D38" s="112"/>
      <c r="E38" s="112" t="s">
        <v>80</v>
      </c>
      <c r="F38" s="112"/>
      <c r="G38" s="112"/>
      <c r="H38" s="112"/>
      <c r="I38" s="112"/>
      <c r="J38" s="112"/>
      <c r="K38" s="51"/>
      <c r="L38" s="59"/>
      <c r="M38" s="58" t="s">
        <v>117</v>
      </c>
      <c r="N38" s="59" t="s">
        <v>120</v>
      </c>
      <c r="O38" s="60">
        <v>1.1000000000000001</v>
      </c>
      <c r="P38" s="61"/>
      <c r="Q38" s="62"/>
      <c r="R38" s="10">
        <f t="shared" si="1"/>
        <v>0</v>
      </c>
      <c r="S38" s="19"/>
      <c r="T38" s="15">
        <f t="shared" si="6"/>
        <v>0</v>
      </c>
      <c r="U38" s="15">
        <f t="shared" si="7"/>
        <v>0</v>
      </c>
      <c r="V38" s="14" t="str">
        <f t="shared" si="8"/>
        <v>-</v>
      </c>
      <c r="W38" s="14" t="str">
        <f t="shared" si="9"/>
        <v>-</v>
      </c>
      <c r="X38" s="69"/>
      <c r="Y38" s="69"/>
      <c r="Z38" s="69"/>
      <c r="AA38" s="69"/>
      <c r="AB38" s="69"/>
      <c r="AC38" s="76">
        <v>46063</v>
      </c>
      <c r="AD38" s="77">
        <v>46063</v>
      </c>
      <c r="AE38" s="101"/>
      <c r="AF38" s="102"/>
      <c r="AG38" s="102"/>
      <c r="AH38" s="104"/>
      <c r="AI38" s="105"/>
      <c r="AJ38" s="102"/>
      <c r="AK38" s="102"/>
      <c r="AL38" s="102"/>
      <c r="AM38" s="102"/>
      <c r="AN38" s="102"/>
      <c r="AO38" s="104"/>
      <c r="AP38" s="105"/>
      <c r="AQ38" s="102"/>
      <c r="AR38" s="102"/>
      <c r="AS38" s="102"/>
      <c r="AT38" s="102"/>
      <c r="AU38" s="102"/>
      <c r="AV38" s="104"/>
      <c r="AW38" s="105"/>
      <c r="AX38" s="101"/>
      <c r="AY38" s="100"/>
      <c r="AZ38" s="100"/>
      <c r="BA38" s="100"/>
      <c r="BB38" s="102"/>
      <c r="BC38" s="104"/>
      <c r="BD38" s="105"/>
      <c r="BE38" s="105"/>
      <c r="BF38" s="100"/>
      <c r="BG38" s="100"/>
      <c r="BH38" s="100"/>
      <c r="BI38" s="102"/>
      <c r="BJ38" s="104"/>
      <c r="BK38" s="105"/>
      <c r="BL38" s="100"/>
      <c r="BM38" s="100"/>
      <c r="BN38" s="100"/>
      <c r="BO38" s="100"/>
      <c r="BP38" s="101"/>
      <c r="BQ38" s="104"/>
      <c r="BR38" s="105"/>
      <c r="BS38" s="101"/>
      <c r="BT38" s="100"/>
      <c r="BU38" s="100"/>
      <c r="BV38" s="100"/>
      <c r="BW38" s="102"/>
      <c r="BX38" s="104"/>
      <c r="BY38" s="105"/>
      <c r="BZ38" s="101"/>
      <c r="CA38" s="100"/>
      <c r="CB38" s="100"/>
      <c r="CC38" s="100"/>
      <c r="CD38" s="102"/>
      <c r="CE38" s="104"/>
      <c r="CF38" s="105"/>
      <c r="CG38" s="101"/>
      <c r="CH38" s="100"/>
      <c r="CI38" s="105"/>
      <c r="CJ38" s="100"/>
      <c r="CK38" s="102"/>
      <c r="CL38" s="104"/>
      <c r="CM38" s="105"/>
      <c r="CN38" s="101"/>
      <c r="CO38" s="100"/>
      <c r="CP38" s="100"/>
      <c r="CQ38" s="100"/>
      <c r="CR38" s="102"/>
      <c r="CS38" s="104"/>
      <c r="CT38" s="105"/>
      <c r="CU38" s="105"/>
      <c r="CV38" s="100"/>
      <c r="CW38" s="100"/>
      <c r="CX38" s="100"/>
      <c r="CY38" s="102"/>
      <c r="CZ38" s="104"/>
      <c r="DA38" s="105"/>
      <c r="DB38" s="101"/>
      <c r="DC38" s="101"/>
      <c r="DD38" s="100"/>
      <c r="DE38" s="100"/>
      <c r="DF38" s="102"/>
      <c r="DG38" s="104"/>
      <c r="DH38" s="105"/>
      <c r="DI38" s="101"/>
      <c r="DJ38" s="100"/>
      <c r="DK38" s="100"/>
      <c r="DL38" s="100"/>
      <c r="DM38" s="102"/>
      <c r="DN38" s="104"/>
      <c r="DO38" s="105"/>
      <c r="DP38" s="101"/>
      <c r="DQ38" s="100"/>
      <c r="DR38" s="100"/>
      <c r="DS38" s="100"/>
      <c r="DT38" s="105"/>
      <c r="DU38" s="104"/>
      <c r="DV38" s="105"/>
      <c r="DW38" s="101"/>
      <c r="DX38" s="100"/>
      <c r="DY38" s="100"/>
      <c r="DZ38" s="100"/>
      <c r="EA38" s="100"/>
      <c r="EB38" s="105"/>
      <c r="EC38" s="105"/>
      <c r="ED38" s="100"/>
      <c r="EE38" s="100"/>
    </row>
    <row r="39" spans="2:135" ht="18" customHeight="1" outlineLevel="2" x14ac:dyDescent="0.15">
      <c r="B39" s="115">
        <f t="shared" si="0"/>
        <v>31</v>
      </c>
      <c r="C39" s="116"/>
      <c r="D39" s="112"/>
      <c r="E39" s="112" t="s">
        <v>81</v>
      </c>
      <c r="F39" s="112"/>
      <c r="G39" s="112"/>
      <c r="H39" s="112"/>
      <c r="I39" s="112"/>
      <c r="J39" s="112"/>
      <c r="K39" s="51"/>
      <c r="L39" s="59"/>
      <c r="M39" s="58" t="s">
        <v>117</v>
      </c>
      <c r="N39" s="59" t="s">
        <v>119</v>
      </c>
      <c r="O39" s="60">
        <v>0.8</v>
      </c>
      <c r="P39" s="61"/>
      <c r="Q39" s="62"/>
      <c r="R39" s="10">
        <f t="shared" si="1"/>
        <v>0</v>
      </c>
      <c r="S39" s="19"/>
      <c r="T39" s="15">
        <f t="shared" si="6"/>
        <v>0</v>
      </c>
      <c r="U39" s="15">
        <f t="shared" si="7"/>
        <v>0</v>
      </c>
      <c r="V39" s="14" t="str">
        <f t="shared" si="8"/>
        <v>-</v>
      </c>
      <c r="W39" s="14" t="str">
        <f t="shared" si="9"/>
        <v>-</v>
      </c>
      <c r="X39" s="69"/>
      <c r="Y39" s="69"/>
      <c r="Z39" s="69"/>
      <c r="AA39" s="69"/>
      <c r="AB39" s="69"/>
      <c r="AC39" s="76">
        <v>46065</v>
      </c>
      <c r="AD39" s="76">
        <v>46066</v>
      </c>
      <c r="AE39" s="101"/>
      <c r="AF39" s="102"/>
      <c r="AG39" s="102"/>
      <c r="AH39" s="104"/>
      <c r="AI39" s="105"/>
      <c r="AJ39" s="102"/>
      <c r="AK39" s="102"/>
      <c r="AL39" s="102"/>
      <c r="AM39" s="102"/>
      <c r="AN39" s="102"/>
      <c r="AO39" s="104"/>
      <c r="AP39" s="105"/>
      <c r="AQ39" s="102"/>
      <c r="AR39" s="102"/>
      <c r="AS39" s="102"/>
      <c r="AT39" s="102"/>
      <c r="AU39" s="102"/>
      <c r="AV39" s="104"/>
      <c r="AW39" s="105"/>
      <c r="AX39" s="101"/>
      <c r="AY39" s="100"/>
      <c r="AZ39" s="100"/>
      <c r="BA39" s="100"/>
      <c r="BB39" s="102"/>
      <c r="BC39" s="104"/>
      <c r="BD39" s="105"/>
      <c r="BE39" s="105"/>
      <c r="BF39" s="100"/>
      <c r="BG39" s="100"/>
      <c r="BH39" s="100"/>
      <c r="BI39" s="102"/>
      <c r="BJ39" s="104"/>
      <c r="BK39" s="105"/>
      <c r="BL39" s="100"/>
      <c r="BM39" s="100"/>
      <c r="BN39" s="100"/>
      <c r="BO39" s="100"/>
      <c r="BP39" s="101"/>
      <c r="BQ39" s="104"/>
      <c r="BR39" s="105"/>
      <c r="BS39" s="101"/>
      <c r="BT39" s="100"/>
      <c r="BU39" s="100"/>
      <c r="BV39" s="100"/>
      <c r="BW39" s="102"/>
      <c r="BX39" s="104"/>
      <c r="BY39" s="105"/>
      <c r="BZ39" s="101"/>
      <c r="CA39" s="100"/>
      <c r="CB39" s="100"/>
      <c r="CC39" s="100"/>
      <c r="CD39" s="102"/>
      <c r="CE39" s="104"/>
      <c r="CF39" s="105"/>
      <c r="CG39" s="101"/>
      <c r="CH39" s="100"/>
      <c r="CI39" s="105"/>
      <c r="CJ39" s="100"/>
      <c r="CK39" s="102"/>
      <c r="CL39" s="104"/>
      <c r="CM39" s="105"/>
      <c r="CN39" s="101"/>
      <c r="CO39" s="100"/>
      <c r="CP39" s="100"/>
      <c r="CQ39" s="100"/>
      <c r="CR39" s="102"/>
      <c r="CS39" s="104"/>
      <c r="CT39" s="105"/>
      <c r="CU39" s="105"/>
      <c r="CV39" s="100"/>
      <c r="CW39" s="100"/>
      <c r="CX39" s="100"/>
      <c r="CY39" s="102"/>
      <c r="CZ39" s="104"/>
      <c r="DA39" s="105"/>
      <c r="DB39" s="101"/>
      <c r="DC39" s="101"/>
      <c r="DD39" s="100"/>
      <c r="DE39" s="100"/>
      <c r="DF39" s="102"/>
      <c r="DG39" s="104"/>
      <c r="DH39" s="105"/>
      <c r="DI39" s="101"/>
      <c r="DJ39" s="100"/>
      <c r="DK39" s="100"/>
      <c r="DL39" s="100"/>
      <c r="DM39" s="102"/>
      <c r="DN39" s="104"/>
      <c r="DO39" s="105"/>
      <c r="DP39" s="101"/>
      <c r="DQ39" s="100"/>
      <c r="DR39" s="100"/>
      <c r="DS39" s="100"/>
      <c r="DT39" s="105"/>
      <c r="DU39" s="104"/>
      <c r="DV39" s="105"/>
      <c r="DW39" s="101"/>
      <c r="DX39" s="100"/>
      <c r="DY39" s="100"/>
      <c r="DZ39" s="100"/>
      <c r="EA39" s="100"/>
      <c r="EB39" s="105"/>
      <c r="EC39" s="105"/>
      <c r="ED39" s="100"/>
      <c r="EE39" s="100"/>
    </row>
    <row r="40" spans="2:135" ht="18" customHeight="1" outlineLevel="2" x14ac:dyDescent="0.15">
      <c r="B40" s="115">
        <f t="shared" si="0"/>
        <v>32</v>
      </c>
      <c r="C40" s="116"/>
      <c r="D40" s="112"/>
      <c r="E40" s="112" t="s">
        <v>82</v>
      </c>
      <c r="F40" s="112"/>
      <c r="G40" s="112"/>
      <c r="H40" s="112"/>
      <c r="I40" s="112"/>
      <c r="J40" s="112"/>
      <c r="K40" s="51"/>
      <c r="L40" s="59"/>
      <c r="M40" s="58" t="s">
        <v>117</v>
      </c>
      <c r="N40" s="59" t="s">
        <v>119</v>
      </c>
      <c r="O40" s="60">
        <v>0.4</v>
      </c>
      <c r="P40" s="61"/>
      <c r="Q40" s="62"/>
      <c r="R40" s="10">
        <f t="shared" si="1"/>
        <v>0</v>
      </c>
      <c r="S40" s="19"/>
      <c r="T40" s="15">
        <f t="shared" si="6"/>
        <v>0</v>
      </c>
      <c r="U40" s="15">
        <f t="shared" si="7"/>
        <v>0</v>
      </c>
      <c r="V40" s="14" t="str">
        <f t="shared" si="8"/>
        <v>-</v>
      </c>
      <c r="W40" s="14" t="str">
        <f t="shared" si="9"/>
        <v>-</v>
      </c>
      <c r="X40" s="69"/>
      <c r="Y40" s="69" t="s">
        <v>126</v>
      </c>
      <c r="Z40" s="69"/>
      <c r="AA40" s="69"/>
      <c r="AB40" s="69"/>
      <c r="AC40" s="76">
        <v>46069</v>
      </c>
      <c r="AD40" s="77">
        <v>46080</v>
      </c>
      <c r="AE40" s="101"/>
      <c r="AF40" s="102"/>
      <c r="AG40" s="102"/>
      <c r="AH40" s="104"/>
      <c r="AI40" s="105"/>
      <c r="AJ40" s="102"/>
      <c r="AK40" s="102"/>
      <c r="AL40" s="102"/>
      <c r="AM40" s="102"/>
      <c r="AN40" s="102"/>
      <c r="AO40" s="104"/>
      <c r="AP40" s="105"/>
      <c r="AQ40" s="102"/>
      <c r="AR40" s="102"/>
      <c r="AS40" s="102"/>
      <c r="AT40" s="102"/>
      <c r="AU40" s="102"/>
      <c r="AV40" s="104"/>
      <c r="AW40" s="105"/>
      <c r="AX40" s="101"/>
      <c r="AY40" s="100"/>
      <c r="AZ40" s="100"/>
      <c r="BA40" s="100"/>
      <c r="BB40" s="102"/>
      <c r="BC40" s="104"/>
      <c r="BD40" s="105"/>
      <c r="BE40" s="105"/>
      <c r="BF40" s="100"/>
      <c r="BG40" s="100"/>
      <c r="BH40" s="100"/>
      <c r="BI40" s="102"/>
      <c r="BJ40" s="104"/>
      <c r="BK40" s="105"/>
      <c r="BL40" s="100"/>
      <c r="BM40" s="100"/>
      <c r="BN40" s="100"/>
      <c r="BO40" s="100"/>
      <c r="BP40" s="101"/>
      <c r="BQ40" s="104"/>
      <c r="BR40" s="105"/>
      <c r="BS40" s="101"/>
      <c r="BT40" s="100"/>
      <c r="BU40" s="100"/>
      <c r="BV40" s="100"/>
      <c r="BW40" s="102"/>
      <c r="BX40" s="104"/>
      <c r="BY40" s="105"/>
      <c r="BZ40" s="101"/>
      <c r="CA40" s="100"/>
      <c r="CB40" s="100"/>
      <c r="CC40" s="100"/>
      <c r="CD40" s="102"/>
      <c r="CE40" s="104"/>
      <c r="CF40" s="105"/>
      <c r="CG40" s="101"/>
      <c r="CH40" s="100"/>
      <c r="CI40" s="105"/>
      <c r="CJ40" s="100"/>
      <c r="CK40" s="102"/>
      <c r="CL40" s="104"/>
      <c r="CM40" s="105"/>
      <c r="CN40" s="101"/>
      <c r="CO40" s="100"/>
      <c r="CP40" s="100"/>
      <c r="CQ40" s="100"/>
      <c r="CR40" s="102"/>
      <c r="CS40" s="104"/>
      <c r="CT40" s="105"/>
      <c r="CU40" s="105"/>
      <c r="CV40" s="100"/>
      <c r="CW40" s="100"/>
      <c r="CX40" s="100"/>
      <c r="CY40" s="102"/>
      <c r="CZ40" s="104"/>
      <c r="DA40" s="105"/>
      <c r="DB40" s="101"/>
      <c r="DC40" s="101"/>
      <c r="DD40" s="100"/>
      <c r="DE40" s="100"/>
      <c r="DF40" s="102"/>
      <c r="DG40" s="104"/>
      <c r="DH40" s="105"/>
      <c r="DI40" s="101"/>
      <c r="DJ40" s="100"/>
      <c r="DK40" s="100"/>
      <c r="DL40" s="100"/>
      <c r="DM40" s="102"/>
      <c r="DN40" s="104"/>
      <c r="DO40" s="105"/>
      <c r="DP40" s="101"/>
      <c r="DQ40" s="100"/>
      <c r="DR40" s="100"/>
      <c r="DS40" s="100"/>
      <c r="DT40" s="105"/>
      <c r="DU40" s="104"/>
      <c r="DV40" s="105"/>
      <c r="DW40" s="101"/>
      <c r="DX40" s="100"/>
      <c r="DY40" s="100"/>
      <c r="DZ40" s="100"/>
      <c r="EA40" s="100"/>
      <c r="EB40" s="105"/>
      <c r="EC40" s="105"/>
      <c r="ED40" s="100"/>
      <c r="EE40" s="100"/>
    </row>
    <row r="41" spans="2:135" ht="18" customHeight="1" outlineLevel="2" x14ac:dyDescent="0.15">
      <c r="B41" s="115">
        <f t="shared" si="0"/>
        <v>33</v>
      </c>
      <c r="C41" s="116"/>
      <c r="D41" s="112"/>
      <c r="E41" s="112" t="s">
        <v>83</v>
      </c>
      <c r="F41" s="112"/>
      <c r="G41" s="112"/>
      <c r="H41" s="112"/>
      <c r="I41" s="112"/>
      <c r="J41" s="112"/>
      <c r="K41" s="51"/>
      <c r="L41" s="59"/>
      <c r="M41" s="58" t="s">
        <v>117</v>
      </c>
      <c r="N41" s="59" t="s">
        <v>120</v>
      </c>
      <c r="O41" s="60">
        <v>0.4</v>
      </c>
      <c r="P41" s="61"/>
      <c r="Q41" s="62"/>
      <c r="R41" s="10">
        <f t="shared" si="1"/>
        <v>0</v>
      </c>
      <c r="S41" s="19"/>
      <c r="T41" s="15">
        <f t="shared" si="6"/>
        <v>0</v>
      </c>
      <c r="U41" s="15">
        <f t="shared" si="7"/>
        <v>0</v>
      </c>
      <c r="V41" s="14" t="str">
        <f t="shared" si="8"/>
        <v>-</v>
      </c>
      <c r="W41" s="14" t="str">
        <f t="shared" si="9"/>
        <v>-</v>
      </c>
      <c r="X41" s="69"/>
      <c r="Y41" s="69"/>
      <c r="Z41" s="69"/>
      <c r="AA41" s="69"/>
      <c r="AB41" s="69"/>
      <c r="AC41" s="76">
        <v>46083</v>
      </c>
      <c r="AD41" s="77">
        <v>46084</v>
      </c>
      <c r="AE41" s="101"/>
      <c r="AF41" s="102"/>
      <c r="AG41" s="102"/>
      <c r="AH41" s="104"/>
      <c r="AI41" s="105"/>
      <c r="AJ41" s="102"/>
      <c r="AK41" s="102"/>
      <c r="AL41" s="102"/>
      <c r="AM41" s="102"/>
      <c r="AN41" s="102"/>
      <c r="AO41" s="104"/>
      <c r="AP41" s="105"/>
      <c r="AQ41" s="102"/>
      <c r="AR41" s="102"/>
      <c r="AS41" s="102"/>
      <c r="AT41" s="102"/>
      <c r="AU41" s="102"/>
      <c r="AV41" s="104"/>
      <c r="AW41" s="105"/>
      <c r="AX41" s="101"/>
      <c r="AY41" s="100"/>
      <c r="AZ41" s="100"/>
      <c r="BA41" s="100"/>
      <c r="BB41" s="102"/>
      <c r="BC41" s="104"/>
      <c r="BD41" s="105"/>
      <c r="BE41" s="105"/>
      <c r="BF41" s="100"/>
      <c r="BG41" s="100"/>
      <c r="BH41" s="100"/>
      <c r="BI41" s="102"/>
      <c r="BJ41" s="104"/>
      <c r="BK41" s="105"/>
      <c r="BL41" s="100"/>
      <c r="BM41" s="100"/>
      <c r="BN41" s="100"/>
      <c r="BO41" s="100"/>
      <c r="BP41" s="101"/>
      <c r="BQ41" s="104"/>
      <c r="BR41" s="105"/>
      <c r="BS41" s="101"/>
      <c r="BT41" s="100"/>
      <c r="BU41" s="100"/>
      <c r="BV41" s="100"/>
      <c r="BW41" s="102"/>
      <c r="BX41" s="104"/>
      <c r="BY41" s="105"/>
      <c r="BZ41" s="101"/>
      <c r="CA41" s="100"/>
      <c r="CB41" s="100"/>
      <c r="CC41" s="100"/>
      <c r="CD41" s="102"/>
      <c r="CE41" s="104"/>
      <c r="CF41" s="105"/>
      <c r="CG41" s="101"/>
      <c r="CH41" s="100"/>
      <c r="CI41" s="105"/>
      <c r="CJ41" s="100"/>
      <c r="CK41" s="102"/>
      <c r="CL41" s="104"/>
      <c r="CM41" s="105"/>
      <c r="CN41" s="101"/>
      <c r="CO41" s="100"/>
      <c r="CP41" s="100"/>
      <c r="CQ41" s="100"/>
      <c r="CR41" s="102"/>
      <c r="CS41" s="104"/>
      <c r="CT41" s="105"/>
      <c r="CU41" s="105"/>
      <c r="CV41" s="100"/>
      <c r="CW41" s="100"/>
      <c r="CX41" s="100"/>
      <c r="CY41" s="102"/>
      <c r="CZ41" s="104"/>
      <c r="DA41" s="105"/>
      <c r="DB41" s="101"/>
      <c r="DC41" s="101"/>
      <c r="DD41" s="100"/>
      <c r="DE41" s="100"/>
      <c r="DF41" s="102"/>
      <c r="DG41" s="104"/>
      <c r="DH41" s="105"/>
      <c r="DI41" s="101"/>
      <c r="DJ41" s="100"/>
      <c r="DK41" s="100"/>
      <c r="DL41" s="100"/>
      <c r="DM41" s="102"/>
      <c r="DN41" s="104"/>
      <c r="DO41" s="105"/>
      <c r="DP41" s="101"/>
      <c r="DQ41" s="100"/>
      <c r="DR41" s="100"/>
      <c r="DS41" s="100"/>
      <c r="DT41" s="105"/>
      <c r="DU41" s="104"/>
      <c r="DV41" s="105"/>
      <c r="DW41" s="101"/>
      <c r="DX41" s="100"/>
      <c r="DY41" s="100"/>
      <c r="DZ41" s="100"/>
      <c r="EA41" s="100"/>
      <c r="EB41" s="105"/>
      <c r="EC41" s="105"/>
      <c r="ED41" s="100"/>
      <c r="EE41" s="100"/>
    </row>
    <row r="42" spans="2:135" ht="18" customHeight="1" outlineLevel="2" x14ac:dyDescent="0.15">
      <c r="B42" s="115">
        <f t="shared" si="0"/>
        <v>34</v>
      </c>
      <c r="C42" s="116" t="s">
        <v>84</v>
      </c>
      <c r="D42" s="112"/>
      <c r="E42" s="112"/>
      <c r="F42" s="112"/>
      <c r="G42" s="112"/>
      <c r="H42" s="112"/>
      <c r="I42" s="112"/>
      <c r="J42" s="112"/>
      <c r="K42" s="51"/>
      <c r="L42" s="59"/>
      <c r="M42" s="58"/>
      <c r="N42" s="59"/>
      <c r="O42" s="60"/>
      <c r="P42" s="61"/>
      <c r="Q42" s="62"/>
      <c r="R42" s="10">
        <f t="shared" si="1"/>
        <v>0</v>
      </c>
      <c r="S42" s="19"/>
      <c r="T42" s="15">
        <f t="shared" si="6"/>
        <v>0</v>
      </c>
      <c r="U42" s="15">
        <f t="shared" si="7"/>
        <v>0</v>
      </c>
      <c r="V42" s="14" t="str">
        <f t="shared" si="8"/>
        <v>-</v>
      </c>
      <c r="W42" s="14" t="str">
        <f t="shared" si="9"/>
        <v>-</v>
      </c>
      <c r="X42" s="69"/>
      <c r="Y42" s="69"/>
      <c r="Z42" s="69"/>
      <c r="AA42" s="69"/>
      <c r="AB42" s="69"/>
      <c r="AC42" s="76"/>
      <c r="AD42" s="77"/>
      <c r="AE42" s="101"/>
      <c r="AF42" s="102"/>
      <c r="AG42" s="102"/>
      <c r="AH42" s="104"/>
      <c r="AI42" s="105"/>
      <c r="AJ42" s="102"/>
      <c r="AK42" s="102"/>
      <c r="AL42" s="102"/>
      <c r="AM42" s="102"/>
      <c r="AN42" s="102"/>
      <c r="AO42" s="104"/>
      <c r="AP42" s="105"/>
      <c r="AQ42" s="102"/>
      <c r="AR42" s="102"/>
      <c r="AS42" s="102"/>
      <c r="AT42" s="102"/>
      <c r="AU42" s="102"/>
      <c r="AV42" s="104"/>
      <c r="AW42" s="105"/>
      <c r="AX42" s="101"/>
      <c r="AY42" s="100"/>
      <c r="AZ42" s="100"/>
      <c r="BA42" s="100"/>
      <c r="BB42" s="102"/>
      <c r="BC42" s="104"/>
      <c r="BD42" s="105"/>
      <c r="BE42" s="105"/>
      <c r="BF42" s="100"/>
      <c r="BG42" s="100"/>
      <c r="BH42" s="100"/>
      <c r="BI42" s="102"/>
      <c r="BJ42" s="104"/>
      <c r="BK42" s="105"/>
      <c r="BL42" s="100"/>
      <c r="BM42" s="100"/>
      <c r="BN42" s="100"/>
      <c r="BO42" s="100"/>
      <c r="BP42" s="101"/>
      <c r="BQ42" s="104"/>
      <c r="BR42" s="105"/>
      <c r="BS42" s="101"/>
      <c r="BT42" s="100"/>
      <c r="BU42" s="100"/>
      <c r="BV42" s="100"/>
      <c r="BW42" s="102"/>
      <c r="BX42" s="104"/>
      <c r="BY42" s="105"/>
      <c r="BZ42" s="101"/>
      <c r="CA42" s="100"/>
      <c r="CB42" s="100"/>
      <c r="CC42" s="100"/>
      <c r="CD42" s="102"/>
      <c r="CE42" s="104"/>
      <c r="CF42" s="105"/>
      <c r="CG42" s="101"/>
      <c r="CH42" s="100"/>
      <c r="CI42" s="105"/>
      <c r="CJ42" s="100"/>
      <c r="CK42" s="102"/>
      <c r="CL42" s="104"/>
      <c r="CM42" s="105"/>
      <c r="CN42" s="101"/>
      <c r="CO42" s="100"/>
      <c r="CP42" s="100"/>
      <c r="CQ42" s="100"/>
      <c r="CR42" s="102"/>
      <c r="CS42" s="104"/>
      <c r="CT42" s="105"/>
      <c r="CU42" s="105"/>
      <c r="CV42" s="100"/>
      <c r="CW42" s="100"/>
      <c r="CX42" s="100"/>
      <c r="CY42" s="102"/>
      <c r="CZ42" s="104"/>
      <c r="DA42" s="105"/>
      <c r="DB42" s="101"/>
      <c r="DC42" s="101"/>
      <c r="DD42" s="100"/>
      <c r="DE42" s="100"/>
      <c r="DF42" s="102"/>
      <c r="DG42" s="104"/>
      <c r="DH42" s="105"/>
      <c r="DI42" s="101"/>
      <c r="DJ42" s="100"/>
      <c r="DK42" s="100"/>
      <c r="DL42" s="100"/>
      <c r="DM42" s="102"/>
      <c r="DN42" s="104"/>
      <c r="DO42" s="105"/>
      <c r="DP42" s="101"/>
      <c r="DQ42" s="100"/>
      <c r="DR42" s="100"/>
      <c r="DS42" s="100"/>
      <c r="DT42" s="105"/>
      <c r="DU42" s="104"/>
      <c r="DV42" s="105"/>
      <c r="DW42" s="101"/>
      <c r="DX42" s="100"/>
      <c r="DY42" s="100"/>
      <c r="DZ42" s="100"/>
      <c r="EA42" s="100"/>
      <c r="EB42" s="105"/>
      <c r="EC42" s="105"/>
      <c r="ED42" s="100"/>
      <c r="EE42" s="100"/>
    </row>
    <row r="43" spans="2:135" ht="18" customHeight="1" outlineLevel="2" x14ac:dyDescent="0.15">
      <c r="B43" s="115"/>
      <c r="C43" s="116"/>
      <c r="D43" s="112" t="s">
        <v>133</v>
      </c>
      <c r="E43" s="112"/>
      <c r="F43" s="112"/>
      <c r="G43" s="112"/>
      <c r="H43" s="112"/>
      <c r="I43" s="112"/>
      <c r="J43" s="112"/>
      <c r="K43" s="51"/>
      <c r="L43" s="59"/>
      <c r="M43" s="58"/>
      <c r="N43" s="59"/>
      <c r="O43" s="60"/>
      <c r="P43" s="61"/>
      <c r="Q43" s="62"/>
      <c r="R43" s="10"/>
      <c r="S43" s="19"/>
      <c r="T43" s="15"/>
      <c r="U43" s="15"/>
      <c r="V43" s="14"/>
      <c r="W43" s="14"/>
      <c r="X43" s="69"/>
      <c r="Y43" s="69"/>
      <c r="Z43" s="69"/>
      <c r="AA43" s="69"/>
      <c r="AB43" s="69"/>
      <c r="AC43" s="76"/>
      <c r="AD43" s="77"/>
      <c r="AE43" s="101"/>
      <c r="AF43" s="102"/>
      <c r="AG43" s="102"/>
      <c r="AH43" s="104"/>
      <c r="AI43" s="105"/>
      <c r="AJ43" s="102"/>
      <c r="AK43" s="102"/>
      <c r="AL43" s="102"/>
      <c r="AM43" s="102"/>
      <c r="AN43" s="102"/>
      <c r="AO43" s="104"/>
      <c r="AP43" s="105"/>
      <c r="AQ43" s="102"/>
      <c r="AR43" s="102"/>
      <c r="AS43" s="102"/>
      <c r="AT43" s="102"/>
      <c r="AU43" s="102"/>
      <c r="AV43" s="104"/>
      <c r="AW43" s="105"/>
      <c r="AX43" s="101"/>
      <c r="AY43" s="100"/>
      <c r="AZ43" s="100"/>
      <c r="BA43" s="100"/>
      <c r="BB43" s="102"/>
      <c r="BC43" s="104"/>
      <c r="BD43" s="105"/>
      <c r="BE43" s="105"/>
      <c r="BF43" s="100"/>
      <c r="BG43" s="100"/>
      <c r="BH43" s="100"/>
      <c r="BI43" s="102"/>
      <c r="BJ43" s="104"/>
      <c r="BK43" s="105"/>
      <c r="BL43" s="100"/>
      <c r="BM43" s="100"/>
      <c r="BN43" s="100"/>
      <c r="BO43" s="100"/>
      <c r="BP43" s="101"/>
      <c r="BQ43" s="104"/>
      <c r="BR43" s="105"/>
      <c r="BS43" s="101"/>
      <c r="BT43" s="100"/>
      <c r="BU43" s="100"/>
      <c r="BV43" s="100"/>
      <c r="BW43" s="102"/>
      <c r="BX43" s="104"/>
      <c r="BY43" s="105"/>
      <c r="BZ43" s="101"/>
      <c r="CA43" s="100"/>
      <c r="CB43" s="100"/>
      <c r="CC43" s="100"/>
      <c r="CD43" s="102"/>
      <c r="CE43" s="104"/>
      <c r="CF43" s="105"/>
      <c r="CG43" s="101"/>
      <c r="CH43" s="100"/>
      <c r="CI43" s="105"/>
      <c r="CJ43" s="100"/>
      <c r="CK43" s="102"/>
      <c r="CL43" s="104"/>
      <c r="CM43" s="105"/>
      <c r="CN43" s="101"/>
      <c r="CO43" s="100"/>
      <c r="CP43" s="100"/>
      <c r="CQ43" s="100"/>
      <c r="CR43" s="102"/>
      <c r="CS43" s="104"/>
      <c r="CT43" s="105"/>
      <c r="CU43" s="105"/>
      <c r="CV43" s="100"/>
      <c r="CW43" s="100"/>
      <c r="CX43" s="100"/>
      <c r="CY43" s="102"/>
      <c r="CZ43" s="104"/>
      <c r="DA43" s="105"/>
      <c r="DB43" s="101"/>
      <c r="DC43" s="101"/>
      <c r="DD43" s="100"/>
      <c r="DE43" s="100"/>
      <c r="DF43" s="102"/>
      <c r="DG43" s="104"/>
      <c r="DH43" s="105"/>
      <c r="DI43" s="101"/>
      <c r="DJ43" s="100"/>
      <c r="DK43" s="100"/>
      <c r="DL43" s="100"/>
      <c r="DM43" s="102"/>
      <c r="DN43" s="104"/>
      <c r="DO43" s="105"/>
      <c r="DP43" s="101"/>
      <c r="DQ43" s="100"/>
      <c r="DR43" s="100"/>
      <c r="DS43" s="100"/>
      <c r="DT43" s="105"/>
      <c r="DU43" s="104"/>
      <c r="DV43" s="105"/>
      <c r="DW43" s="101"/>
      <c r="DX43" s="100"/>
      <c r="DY43" s="100"/>
      <c r="DZ43" s="100"/>
      <c r="EA43" s="100"/>
      <c r="EB43" s="105"/>
      <c r="EC43" s="105"/>
      <c r="ED43" s="100"/>
      <c r="EE43" s="100"/>
    </row>
    <row r="44" spans="2:135" ht="18" customHeight="1" outlineLevel="2" x14ac:dyDescent="0.15">
      <c r="B44" s="115">
        <f t="shared" si="0"/>
        <v>36</v>
      </c>
      <c r="C44" s="116"/>
      <c r="D44" s="112"/>
      <c r="E44" s="112" t="s">
        <v>85</v>
      </c>
      <c r="F44" s="112"/>
      <c r="G44" s="112"/>
      <c r="H44" s="112"/>
      <c r="I44" s="112"/>
      <c r="J44" s="112"/>
      <c r="K44" s="51"/>
      <c r="L44" s="59"/>
      <c r="M44" s="58" t="s">
        <v>117</v>
      </c>
      <c r="N44" s="59" t="s">
        <v>120</v>
      </c>
      <c r="O44" s="60">
        <v>3.2</v>
      </c>
      <c r="P44" s="61"/>
      <c r="Q44" s="62"/>
      <c r="R44" s="10">
        <f t="shared" si="1"/>
        <v>0</v>
      </c>
      <c r="S44" s="19"/>
      <c r="T44" s="15">
        <f t="shared" si="6"/>
        <v>0</v>
      </c>
      <c r="U44" s="15">
        <f t="shared" si="7"/>
        <v>0</v>
      </c>
      <c r="V44" s="14" t="str">
        <f t="shared" si="8"/>
        <v>-</v>
      </c>
      <c r="W44" s="14" t="str">
        <f t="shared" si="9"/>
        <v>-</v>
      </c>
      <c r="X44" s="69"/>
      <c r="Y44" s="69"/>
      <c r="Z44" s="69"/>
      <c r="AA44" s="69"/>
      <c r="AB44" s="69"/>
      <c r="AC44" s="77">
        <v>46070</v>
      </c>
      <c r="AD44" s="77">
        <v>46072</v>
      </c>
      <c r="AE44" s="101"/>
      <c r="AF44" s="102"/>
      <c r="AG44" s="102"/>
      <c r="AH44" s="104"/>
      <c r="AI44" s="105"/>
      <c r="AJ44" s="102"/>
      <c r="AK44" s="102"/>
      <c r="AL44" s="102"/>
      <c r="AM44" s="102"/>
      <c r="AN44" s="102"/>
      <c r="AO44" s="104"/>
      <c r="AP44" s="105"/>
      <c r="AQ44" s="102"/>
      <c r="AR44" s="102"/>
      <c r="AS44" s="102"/>
      <c r="AT44" s="102"/>
      <c r="AU44" s="102"/>
      <c r="AV44" s="104"/>
      <c r="AW44" s="105"/>
      <c r="AX44" s="101"/>
      <c r="AY44" s="100"/>
      <c r="AZ44" s="100"/>
      <c r="BA44" s="100"/>
      <c r="BB44" s="102"/>
      <c r="BC44" s="104"/>
      <c r="BD44" s="105"/>
      <c r="BE44" s="105"/>
      <c r="BF44" s="100"/>
      <c r="BG44" s="100"/>
      <c r="BH44" s="100"/>
      <c r="BI44" s="102"/>
      <c r="BJ44" s="104"/>
      <c r="BK44" s="105"/>
      <c r="BL44" s="100"/>
      <c r="BM44" s="100"/>
      <c r="BN44" s="100"/>
      <c r="BO44" s="100"/>
      <c r="BP44" s="101"/>
      <c r="BQ44" s="104"/>
      <c r="BR44" s="105"/>
      <c r="BS44" s="101"/>
      <c r="BT44" s="100"/>
      <c r="BU44" s="100"/>
      <c r="BV44" s="100"/>
      <c r="BW44" s="102"/>
      <c r="BX44" s="104"/>
      <c r="BY44" s="105"/>
      <c r="BZ44" s="101"/>
      <c r="CA44" s="100"/>
      <c r="CB44" s="100"/>
      <c r="CC44" s="100"/>
      <c r="CD44" s="102"/>
      <c r="CE44" s="104"/>
      <c r="CF44" s="105"/>
      <c r="CG44" s="101"/>
      <c r="CH44" s="100"/>
      <c r="CI44" s="105"/>
      <c r="CJ44" s="100"/>
      <c r="CK44" s="102"/>
      <c r="CL44" s="104"/>
      <c r="CM44" s="105"/>
      <c r="CN44" s="101"/>
      <c r="CO44" s="100"/>
      <c r="CP44" s="100"/>
      <c r="CQ44" s="100"/>
      <c r="CR44" s="102"/>
      <c r="CS44" s="104"/>
      <c r="CT44" s="105"/>
      <c r="CU44" s="105"/>
      <c r="CV44" s="100"/>
      <c r="CW44" s="100"/>
      <c r="CX44" s="100"/>
      <c r="CY44" s="102"/>
      <c r="CZ44" s="104"/>
      <c r="DA44" s="105"/>
      <c r="DB44" s="101"/>
      <c r="DC44" s="101"/>
      <c r="DD44" s="100"/>
      <c r="DE44" s="100"/>
      <c r="DF44" s="102"/>
      <c r="DG44" s="104"/>
      <c r="DH44" s="105"/>
      <c r="DI44" s="101"/>
      <c r="DJ44" s="100"/>
      <c r="DK44" s="100"/>
      <c r="DL44" s="100"/>
      <c r="DM44" s="102"/>
      <c r="DN44" s="104"/>
      <c r="DO44" s="105"/>
      <c r="DP44" s="101"/>
      <c r="DQ44" s="100"/>
      <c r="DR44" s="100"/>
      <c r="DS44" s="100"/>
      <c r="DT44" s="105"/>
      <c r="DU44" s="104"/>
      <c r="DV44" s="105"/>
      <c r="DW44" s="101"/>
      <c r="DX44" s="100"/>
      <c r="DY44" s="100"/>
      <c r="DZ44" s="100"/>
      <c r="EA44" s="100"/>
      <c r="EB44" s="105"/>
      <c r="EC44" s="105"/>
      <c r="ED44" s="100"/>
      <c r="EE44" s="100"/>
    </row>
    <row r="45" spans="2:135" ht="18" customHeight="1" outlineLevel="2" x14ac:dyDescent="0.15">
      <c r="B45" s="115">
        <f t="shared" si="0"/>
        <v>37</v>
      </c>
      <c r="C45" s="116"/>
      <c r="D45" s="112"/>
      <c r="E45" s="112" t="s">
        <v>86</v>
      </c>
      <c r="F45" s="112"/>
      <c r="G45" s="112"/>
      <c r="H45" s="112"/>
      <c r="I45" s="112"/>
      <c r="J45" s="112"/>
      <c r="K45" s="51"/>
      <c r="L45" s="59"/>
      <c r="M45" s="58" t="s">
        <v>117</v>
      </c>
      <c r="N45" s="59" t="s">
        <v>119</v>
      </c>
      <c r="O45" s="60">
        <v>1.6</v>
      </c>
      <c r="P45" s="61"/>
      <c r="Q45" s="62"/>
      <c r="R45" s="10">
        <f t="shared" si="1"/>
        <v>0</v>
      </c>
      <c r="S45" s="19"/>
      <c r="T45" s="15">
        <f t="shared" si="6"/>
        <v>0</v>
      </c>
      <c r="U45" s="15">
        <f t="shared" si="7"/>
        <v>0</v>
      </c>
      <c r="V45" s="14" t="str">
        <f t="shared" si="8"/>
        <v>-</v>
      </c>
      <c r="W45" s="14" t="str">
        <f t="shared" si="9"/>
        <v>-</v>
      </c>
      <c r="X45" s="69"/>
      <c r="Y45" s="69" t="s">
        <v>149</v>
      </c>
      <c r="Z45" s="69"/>
      <c r="AA45" s="69"/>
      <c r="AB45" s="69"/>
      <c r="AC45" s="77">
        <v>46073</v>
      </c>
      <c r="AD45" s="77">
        <v>46077</v>
      </c>
      <c r="AE45" s="101"/>
      <c r="AF45" s="102"/>
      <c r="AG45" s="102"/>
      <c r="AH45" s="104"/>
      <c r="AI45" s="105"/>
      <c r="AJ45" s="102"/>
      <c r="AK45" s="102"/>
      <c r="AL45" s="102"/>
      <c r="AM45" s="102"/>
      <c r="AN45" s="102"/>
      <c r="AO45" s="104"/>
      <c r="AP45" s="105"/>
      <c r="AQ45" s="102"/>
      <c r="AR45" s="102"/>
      <c r="AS45" s="102"/>
      <c r="AT45" s="102"/>
      <c r="AU45" s="102"/>
      <c r="AV45" s="104"/>
      <c r="AW45" s="105"/>
      <c r="AX45" s="101"/>
      <c r="AY45" s="100"/>
      <c r="AZ45" s="100"/>
      <c r="BA45" s="100"/>
      <c r="BB45" s="102"/>
      <c r="BC45" s="104"/>
      <c r="BD45" s="105"/>
      <c r="BE45" s="105"/>
      <c r="BF45" s="100"/>
      <c r="BG45" s="100"/>
      <c r="BH45" s="100"/>
      <c r="BI45" s="102"/>
      <c r="BJ45" s="104"/>
      <c r="BK45" s="105"/>
      <c r="BL45" s="100"/>
      <c r="BM45" s="100"/>
      <c r="BN45" s="100"/>
      <c r="BO45" s="100"/>
      <c r="BP45" s="101"/>
      <c r="BQ45" s="104"/>
      <c r="BR45" s="105"/>
      <c r="BS45" s="101"/>
      <c r="BT45" s="100"/>
      <c r="BU45" s="100"/>
      <c r="BV45" s="100"/>
      <c r="BW45" s="102"/>
      <c r="BX45" s="104"/>
      <c r="BY45" s="105"/>
      <c r="BZ45" s="101"/>
      <c r="CA45" s="100"/>
      <c r="CB45" s="100"/>
      <c r="CC45" s="100"/>
      <c r="CD45" s="102"/>
      <c r="CE45" s="104"/>
      <c r="CF45" s="105"/>
      <c r="CG45" s="101"/>
      <c r="CH45" s="100"/>
      <c r="CI45" s="105"/>
      <c r="CJ45" s="100"/>
      <c r="CK45" s="102"/>
      <c r="CL45" s="104"/>
      <c r="CM45" s="105"/>
      <c r="CN45" s="101"/>
      <c r="CO45" s="100"/>
      <c r="CP45" s="100"/>
      <c r="CQ45" s="100"/>
      <c r="CR45" s="102"/>
      <c r="CS45" s="104"/>
      <c r="CT45" s="105"/>
      <c r="CU45" s="105"/>
      <c r="CV45" s="100"/>
      <c r="CW45" s="100"/>
      <c r="CX45" s="100"/>
      <c r="CY45" s="102"/>
      <c r="CZ45" s="104"/>
      <c r="DA45" s="105"/>
      <c r="DB45" s="101"/>
      <c r="DC45" s="101"/>
      <c r="DD45" s="100"/>
      <c r="DE45" s="100"/>
      <c r="DF45" s="102"/>
      <c r="DG45" s="104"/>
      <c r="DH45" s="105"/>
      <c r="DI45" s="101"/>
      <c r="DJ45" s="100"/>
      <c r="DK45" s="100"/>
      <c r="DL45" s="100"/>
      <c r="DM45" s="102"/>
      <c r="DN45" s="104"/>
      <c r="DO45" s="105"/>
      <c r="DP45" s="101"/>
      <c r="DQ45" s="100"/>
      <c r="DR45" s="100"/>
      <c r="DS45" s="100"/>
      <c r="DT45" s="105"/>
      <c r="DU45" s="104"/>
      <c r="DV45" s="105"/>
      <c r="DW45" s="101"/>
      <c r="DX45" s="100"/>
      <c r="DY45" s="100"/>
      <c r="DZ45" s="100"/>
      <c r="EA45" s="100"/>
      <c r="EB45" s="105"/>
      <c r="EC45" s="105"/>
      <c r="ED45" s="100"/>
      <c r="EE45" s="100"/>
    </row>
    <row r="46" spans="2:135" ht="18" customHeight="1" outlineLevel="2" x14ac:dyDescent="0.15">
      <c r="B46" s="115">
        <f t="shared" si="0"/>
        <v>38</v>
      </c>
      <c r="C46" s="116"/>
      <c r="D46" s="112"/>
      <c r="E46" s="112" t="s">
        <v>87</v>
      </c>
      <c r="F46" s="112"/>
      <c r="G46" s="112"/>
      <c r="H46" s="112"/>
      <c r="I46" s="112"/>
      <c r="J46" s="112"/>
      <c r="K46" s="51"/>
      <c r="L46" s="59"/>
      <c r="M46" s="58" t="s">
        <v>117</v>
      </c>
      <c r="N46" s="59" t="s">
        <v>119</v>
      </c>
      <c r="O46" s="60">
        <v>0.5</v>
      </c>
      <c r="P46" s="61"/>
      <c r="Q46" s="62"/>
      <c r="R46" s="10">
        <f t="shared" si="1"/>
        <v>0</v>
      </c>
      <c r="S46" s="19"/>
      <c r="T46" s="15">
        <f t="shared" si="6"/>
        <v>0</v>
      </c>
      <c r="U46" s="15">
        <f t="shared" si="7"/>
        <v>0</v>
      </c>
      <c r="V46" s="14" t="str">
        <f t="shared" si="8"/>
        <v>-</v>
      </c>
      <c r="W46" s="14" t="str">
        <f t="shared" si="9"/>
        <v>-</v>
      </c>
      <c r="X46" s="69"/>
      <c r="Y46" s="69"/>
      <c r="Z46" s="69"/>
      <c r="AA46" s="69"/>
      <c r="AB46" s="69"/>
      <c r="AC46" s="76">
        <v>46078</v>
      </c>
      <c r="AD46" s="77">
        <v>46083</v>
      </c>
      <c r="AE46" s="101"/>
      <c r="AF46" s="102"/>
      <c r="AG46" s="102"/>
      <c r="AH46" s="104"/>
      <c r="AI46" s="105"/>
      <c r="AJ46" s="102"/>
      <c r="AK46" s="102"/>
      <c r="AL46" s="102"/>
      <c r="AM46" s="102"/>
      <c r="AN46" s="102"/>
      <c r="AO46" s="104"/>
      <c r="AP46" s="105"/>
      <c r="AQ46" s="102"/>
      <c r="AR46" s="102"/>
      <c r="AS46" s="102"/>
      <c r="AT46" s="102"/>
      <c r="AU46" s="102"/>
      <c r="AV46" s="104"/>
      <c r="AW46" s="105"/>
      <c r="AX46" s="101"/>
      <c r="AY46" s="100"/>
      <c r="AZ46" s="100"/>
      <c r="BA46" s="100"/>
      <c r="BB46" s="102"/>
      <c r="BC46" s="104"/>
      <c r="BD46" s="105"/>
      <c r="BE46" s="105"/>
      <c r="BF46" s="100"/>
      <c r="BG46" s="100"/>
      <c r="BH46" s="100"/>
      <c r="BI46" s="102"/>
      <c r="BJ46" s="104"/>
      <c r="BK46" s="105"/>
      <c r="BL46" s="100"/>
      <c r="BM46" s="100"/>
      <c r="BN46" s="100"/>
      <c r="BO46" s="100"/>
      <c r="BP46" s="101"/>
      <c r="BQ46" s="104"/>
      <c r="BR46" s="105"/>
      <c r="BS46" s="101"/>
      <c r="BT46" s="100"/>
      <c r="BU46" s="100"/>
      <c r="BV46" s="100"/>
      <c r="BW46" s="102"/>
      <c r="BX46" s="104"/>
      <c r="BY46" s="105"/>
      <c r="BZ46" s="101"/>
      <c r="CA46" s="100"/>
      <c r="CB46" s="100"/>
      <c r="CC46" s="100"/>
      <c r="CD46" s="102"/>
      <c r="CE46" s="104"/>
      <c r="CF46" s="105"/>
      <c r="CG46" s="101"/>
      <c r="CH46" s="100"/>
      <c r="CI46" s="105"/>
      <c r="CJ46" s="100"/>
      <c r="CK46" s="102"/>
      <c r="CL46" s="104"/>
      <c r="CM46" s="105"/>
      <c r="CN46" s="101"/>
      <c r="CO46" s="100"/>
      <c r="CP46" s="100"/>
      <c r="CQ46" s="100"/>
      <c r="CR46" s="102"/>
      <c r="CS46" s="104"/>
      <c r="CT46" s="105"/>
      <c r="CU46" s="105"/>
      <c r="CV46" s="100"/>
      <c r="CW46" s="100"/>
      <c r="CX46" s="100"/>
      <c r="CY46" s="102"/>
      <c r="CZ46" s="104"/>
      <c r="DA46" s="105"/>
      <c r="DB46" s="101"/>
      <c r="DC46" s="101"/>
      <c r="DD46" s="100"/>
      <c r="DE46" s="100"/>
      <c r="DF46" s="102"/>
      <c r="DG46" s="104"/>
      <c r="DH46" s="105"/>
      <c r="DI46" s="101"/>
      <c r="DJ46" s="100"/>
      <c r="DK46" s="100"/>
      <c r="DL46" s="100"/>
      <c r="DM46" s="102"/>
      <c r="DN46" s="104"/>
      <c r="DO46" s="105"/>
      <c r="DP46" s="101"/>
      <c r="DQ46" s="100"/>
      <c r="DR46" s="100"/>
      <c r="DS46" s="100"/>
      <c r="DT46" s="105"/>
      <c r="DU46" s="104"/>
      <c r="DV46" s="105"/>
      <c r="DW46" s="101"/>
      <c r="DX46" s="100"/>
      <c r="DY46" s="100"/>
      <c r="DZ46" s="100"/>
      <c r="EA46" s="100"/>
      <c r="EB46" s="105"/>
      <c r="EC46" s="105"/>
      <c r="ED46" s="100"/>
      <c r="EE46" s="100"/>
    </row>
    <row r="47" spans="2:135" ht="18" customHeight="1" outlineLevel="2" x14ac:dyDescent="0.15">
      <c r="B47" s="115">
        <f t="shared" si="0"/>
        <v>39</v>
      </c>
      <c r="C47" s="116"/>
      <c r="D47" s="112"/>
      <c r="E47" s="112" t="s">
        <v>78</v>
      </c>
      <c r="F47" s="112"/>
      <c r="G47" s="112"/>
      <c r="H47" s="112"/>
      <c r="I47" s="112"/>
      <c r="J47" s="112"/>
      <c r="K47" s="51"/>
      <c r="L47" s="59"/>
      <c r="M47" s="58" t="s">
        <v>117</v>
      </c>
      <c r="N47" s="59" t="s">
        <v>120</v>
      </c>
      <c r="O47" s="60">
        <v>0.8</v>
      </c>
      <c r="P47" s="61"/>
      <c r="Q47" s="62"/>
      <c r="R47" s="10">
        <f t="shared" si="1"/>
        <v>0</v>
      </c>
      <c r="S47" s="19"/>
      <c r="T47" s="15">
        <f t="shared" si="6"/>
        <v>0</v>
      </c>
      <c r="U47" s="15">
        <f t="shared" si="7"/>
        <v>0</v>
      </c>
      <c r="V47" s="14" t="str">
        <f t="shared" si="8"/>
        <v>-</v>
      </c>
      <c r="W47" s="14" t="str">
        <f t="shared" si="9"/>
        <v>-</v>
      </c>
      <c r="X47" s="69"/>
      <c r="Y47" s="69"/>
      <c r="Z47" s="69"/>
      <c r="AA47" s="69"/>
      <c r="AB47" s="69"/>
      <c r="AC47" s="77">
        <v>46084</v>
      </c>
      <c r="AD47" s="77">
        <v>46084</v>
      </c>
      <c r="AE47" s="101"/>
      <c r="AF47" s="102"/>
      <c r="AG47" s="102"/>
      <c r="AH47" s="104"/>
      <c r="AI47" s="105"/>
      <c r="AJ47" s="102"/>
      <c r="AK47" s="102"/>
      <c r="AL47" s="102"/>
      <c r="AM47" s="102"/>
      <c r="AN47" s="102"/>
      <c r="AO47" s="104"/>
      <c r="AP47" s="105"/>
      <c r="AQ47" s="102"/>
      <c r="AR47" s="102"/>
      <c r="AS47" s="102"/>
      <c r="AT47" s="102"/>
      <c r="AU47" s="102"/>
      <c r="AV47" s="104"/>
      <c r="AW47" s="105"/>
      <c r="AX47" s="101"/>
      <c r="AY47" s="100"/>
      <c r="AZ47" s="100"/>
      <c r="BA47" s="100"/>
      <c r="BB47" s="102"/>
      <c r="BC47" s="104"/>
      <c r="BD47" s="105"/>
      <c r="BE47" s="105"/>
      <c r="BF47" s="100"/>
      <c r="BG47" s="100"/>
      <c r="BH47" s="100"/>
      <c r="BI47" s="102"/>
      <c r="BJ47" s="104"/>
      <c r="BK47" s="105"/>
      <c r="BL47" s="100"/>
      <c r="BM47" s="100"/>
      <c r="BN47" s="100"/>
      <c r="BO47" s="100"/>
      <c r="BP47" s="101"/>
      <c r="BQ47" s="104"/>
      <c r="BR47" s="105"/>
      <c r="BS47" s="101"/>
      <c r="BT47" s="100"/>
      <c r="BU47" s="100"/>
      <c r="BV47" s="100"/>
      <c r="BW47" s="102"/>
      <c r="BX47" s="104"/>
      <c r="BY47" s="105"/>
      <c r="BZ47" s="101"/>
      <c r="CA47" s="100"/>
      <c r="CB47" s="100"/>
      <c r="CC47" s="100"/>
      <c r="CD47" s="102"/>
      <c r="CE47" s="104"/>
      <c r="CF47" s="105"/>
      <c r="CG47" s="101"/>
      <c r="CH47" s="100"/>
      <c r="CI47" s="105"/>
      <c r="CJ47" s="100"/>
      <c r="CK47" s="102"/>
      <c r="CL47" s="104"/>
      <c r="CM47" s="105"/>
      <c r="CN47" s="101"/>
      <c r="CO47" s="100"/>
      <c r="CP47" s="100"/>
      <c r="CQ47" s="100"/>
      <c r="CR47" s="102"/>
      <c r="CS47" s="104"/>
      <c r="CT47" s="105"/>
      <c r="CU47" s="105"/>
      <c r="CV47" s="100"/>
      <c r="CW47" s="100"/>
      <c r="CX47" s="100"/>
      <c r="CY47" s="102"/>
      <c r="CZ47" s="104"/>
      <c r="DA47" s="105"/>
      <c r="DB47" s="101"/>
      <c r="DC47" s="101"/>
      <c r="DD47" s="100"/>
      <c r="DE47" s="100"/>
      <c r="DF47" s="102"/>
      <c r="DG47" s="104"/>
      <c r="DH47" s="105"/>
      <c r="DI47" s="101"/>
      <c r="DJ47" s="100"/>
      <c r="DK47" s="100"/>
      <c r="DL47" s="100"/>
      <c r="DM47" s="102"/>
      <c r="DN47" s="104"/>
      <c r="DO47" s="105"/>
      <c r="DP47" s="101"/>
      <c r="DQ47" s="100"/>
      <c r="DR47" s="100"/>
      <c r="DS47" s="100"/>
      <c r="DT47" s="105"/>
      <c r="DU47" s="104"/>
      <c r="DV47" s="105"/>
      <c r="DW47" s="101"/>
      <c r="DX47" s="100"/>
      <c r="DY47" s="100"/>
      <c r="DZ47" s="100"/>
      <c r="EA47" s="100"/>
      <c r="EB47" s="105"/>
      <c r="EC47" s="105"/>
      <c r="ED47" s="100"/>
      <c r="EE47" s="100"/>
    </row>
    <row r="48" spans="2:135" ht="18" customHeight="1" outlineLevel="2" x14ac:dyDescent="0.15">
      <c r="B48" s="115"/>
      <c r="C48" s="116"/>
      <c r="D48" s="112" t="s">
        <v>134</v>
      </c>
      <c r="E48" s="112"/>
      <c r="F48" s="112"/>
      <c r="G48" s="112"/>
      <c r="H48" s="112"/>
      <c r="I48" s="112"/>
      <c r="J48" s="112"/>
      <c r="K48" s="51"/>
      <c r="L48" s="59"/>
      <c r="M48" s="58"/>
      <c r="N48" s="59"/>
      <c r="O48" s="60"/>
      <c r="P48" s="61"/>
      <c r="Q48" s="62"/>
      <c r="R48" s="10"/>
      <c r="S48" s="19"/>
      <c r="T48" s="15"/>
      <c r="U48" s="15"/>
      <c r="V48" s="14"/>
      <c r="W48" s="14"/>
      <c r="X48" s="69"/>
      <c r="Y48" s="69"/>
      <c r="Z48" s="69"/>
      <c r="AA48" s="69"/>
      <c r="AB48" s="69"/>
      <c r="AC48" s="77"/>
      <c r="AD48" s="77"/>
      <c r="AE48" s="101"/>
      <c r="AF48" s="102"/>
      <c r="AG48" s="102"/>
      <c r="AH48" s="104"/>
      <c r="AI48" s="105"/>
      <c r="AJ48" s="102"/>
      <c r="AK48" s="102"/>
      <c r="AL48" s="102"/>
      <c r="AM48" s="102"/>
      <c r="AN48" s="102"/>
      <c r="AO48" s="104"/>
      <c r="AP48" s="105"/>
      <c r="AQ48" s="102"/>
      <c r="AR48" s="102"/>
      <c r="AS48" s="102"/>
      <c r="AT48" s="102"/>
      <c r="AU48" s="102"/>
      <c r="AV48" s="104"/>
      <c r="AW48" s="105"/>
      <c r="AX48" s="101"/>
      <c r="AY48" s="100"/>
      <c r="AZ48" s="100"/>
      <c r="BA48" s="100"/>
      <c r="BB48" s="102"/>
      <c r="BC48" s="104"/>
      <c r="BD48" s="105"/>
      <c r="BE48" s="105"/>
      <c r="BF48" s="100"/>
      <c r="BG48" s="100"/>
      <c r="BH48" s="100"/>
      <c r="BI48" s="102"/>
      <c r="BJ48" s="104"/>
      <c r="BK48" s="105"/>
      <c r="BL48" s="100"/>
      <c r="BM48" s="100"/>
      <c r="BN48" s="100"/>
      <c r="BO48" s="100"/>
      <c r="BP48" s="101"/>
      <c r="BQ48" s="104"/>
      <c r="BR48" s="105"/>
      <c r="BS48" s="101"/>
      <c r="BT48" s="100"/>
      <c r="BU48" s="100"/>
      <c r="BV48" s="100"/>
      <c r="BW48" s="102"/>
      <c r="BX48" s="104"/>
      <c r="BY48" s="105"/>
      <c r="BZ48" s="101"/>
      <c r="CA48" s="100"/>
      <c r="CB48" s="100"/>
      <c r="CC48" s="100"/>
      <c r="CD48" s="102"/>
      <c r="CE48" s="104"/>
      <c r="CF48" s="105"/>
      <c r="CG48" s="101"/>
      <c r="CH48" s="100"/>
      <c r="CI48" s="105"/>
      <c r="CJ48" s="100"/>
      <c r="CK48" s="102"/>
      <c r="CL48" s="104"/>
      <c r="CM48" s="105"/>
      <c r="CN48" s="101"/>
      <c r="CO48" s="100"/>
      <c r="CP48" s="100"/>
      <c r="CQ48" s="100"/>
      <c r="CR48" s="102"/>
      <c r="CS48" s="104"/>
      <c r="CT48" s="105"/>
      <c r="CU48" s="105"/>
      <c r="CV48" s="100"/>
      <c r="CW48" s="100"/>
      <c r="CX48" s="100"/>
      <c r="CY48" s="102"/>
      <c r="CZ48" s="104"/>
      <c r="DA48" s="105"/>
      <c r="DB48" s="101"/>
      <c r="DC48" s="101"/>
      <c r="DD48" s="100"/>
      <c r="DE48" s="100"/>
      <c r="DF48" s="102"/>
      <c r="DG48" s="104"/>
      <c r="DH48" s="105"/>
      <c r="DI48" s="101"/>
      <c r="DJ48" s="100"/>
      <c r="DK48" s="100"/>
      <c r="DL48" s="100"/>
      <c r="DM48" s="102"/>
      <c r="DN48" s="104"/>
      <c r="DO48" s="105"/>
      <c r="DP48" s="101"/>
      <c r="DQ48" s="100"/>
      <c r="DR48" s="100"/>
      <c r="DS48" s="100"/>
      <c r="DT48" s="105"/>
      <c r="DU48" s="104"/>
      <c r="DV48" s="105"/>
      <c r="DW48" s="101"/>
      <c r="DX48" s="100"/>
      <c r="DY48" s="100"/>
      <c r="DZ48" s="100"/>
      <c r="EA48" s="100"/>
      <c r="EB48" s="105"/>
      <c r="EC48" s="105"/>
      <c r="ED48" s="100"/>
      <c r="EE48" s="100"/>
    </row>
    <row r="49" spans="2:135" ht="18" customHeight="1" outlineLevel="2" x14ac:dyDescent="0.15">
      <c r="B49" s="115">
        <f t="shared" si="0"/>
        <v>41</v>
      </c>
      <c r="C49" s="116"/>
      <c r="D49" s="112"/>
      <c r="E49" s="112" t="s">
        <v>88</v>
      </c>
      <c r="F49" s="112"/>
      <c r="G49" s="112"/>
      <c r="H49" s="112"/>
      <c r="I49" s="112"/>
      <c r="J49" s="112"/>
      <c r="K49" s="51"/>
      <c r="L49" s="59"/>
      <c r="M49" s="58" t="s">
        <v>117</v>
      </c>
      <c r="N49" s="59" t="s">
        <v>120</v>
      </c>
      <c r="O49" s="60">
        <v>4</v>
      </c>
      <c r="P49" s="61"/>
      <c r="Q49" s="62"/>
      <c r="R49" s="10">
        <f t="shared" si="1"/>
        <v>0</v>
      </c>
      <c r="S49" s="19"/>
      <c r="T49" s="15">
        <f t="shared" si="6"/>
        <v>0</v>
      </c>
      <c r="U49" s="15">
        <f t="shared" si="7"/>
        <v>0</v>
      </c>
      <c r="V49" s="14" t="str">
        <f t="shared" si="8"/>
        <v>-</v>
      </c>
      <c r="W49" s="14" t="str">
        <f t="shared" si="9"/>
        <v>-</v>
      </c>
      <c r="X49" s="69"/>
      <c r="Y49" s="69"/>
      <c r="Z49" s="69"/>
      <c r="AA49" s="69"/>
      <c r="AB49" s="69"/>
      <c r="AC49" s="77">
        <v>46070</v>
      </c>
      <c r="AD49" s="77">
        <v>46073</v>
      </c>
      <c r="AE49" s="101"/>
      <c r="AF49" s="102"/>
      <c r="AG49" s="102"/>
      <c r="AH49" s="104"/>
      <c r="AI49" s="105"/>
      <c r="AJ49" s="102"/>
      <c r="AK49" s="102"/>
      <c r="AL49" s="102"/>
      <c r="AM49" s="102"/>
      <c r="AN49" s="102"/>
      <c r="AO49" s="104"/>
      <c r="AP49" s="105"/>
      <c r="AQ49" s="102"/>
      <c r="AR49" s="102"/>
      <c r="AS49" s="102"/>
      <c r="AT49" s="102"/>
      <c r="AU49" s="102"/>
      <c r="AV49" s="104"/>
      <c r="AW49" s="105"/>
      <c r="AX49" s="101"/>
      <c r="AY49" s="100"/>
      <c r="AZ49" s="100"/>
      <c r="BA49" s="100"/>
      <c r="BB49" s="102"/>
      <c r="BC49" s="104"/>
      <c r="BD49" s="105"/>
      <c r="BE49" s="105"/>
      <c r="BF49" s="100"/>
      <c r="BG49" s="100"/>
      <c r="BH49" s="100"/>
      <c r="BI49" s="102"/>
      <c r="BJ49" s="104"/>
      <c r="BK49" s="105"/>
      <c r="BL49" s="100"/>
      <c r="BM49" s="100"/>
      <c r="BN49" s="100"/>
      <c r="BO49" s="100"/>
      <c r="BP49" s="101"/>
      <c r="BQ49" s="104"/>
      <c r="BR49" s="105"/>
      <c r="BS49" s="101"/>
      <c r="BT49" s="100"/>
      <c r="BU49" s="100"/>
      <c r="BV49" s="100"/>
      <c r="BW49" s="102"/>
      <c r="BX49" s="104"/>
      <c r="BY49" s="105"/>
      <c r="BZ49" s="101"/>
      <c r="CA49" s="100"/>
      <c r="CB49" s="100"/>
      <c r="CC49" s="100"/>
      <c r="CD49" s="102"/>
      <c r="CE49" s="104"/>
      <c r="CF49" s="105"/>
      <c r="CG49" s="101"/>
      <c r="CH49" s="100"/>
      <c r="CI49" s="105"/>
      <c r="CJ49" s="100"/>
      <c r="CK49" s="102"/>
      <c r="CL49" s="104"/>
      <c r="CM49" s="105"/>
      <c r="CN49" s="101"/>
      <c r="CO49" s="100"/>
      <c r="CP49" s="100"/>
      <c r="CQ49" s="100"/>
      <c r="CR49" s="102"/>
      <c r="CS49" s="104"/>
      <c r="CT49" s="105"/>
      <c r="CU49" s="105"/>
      <c r="CV49" s="100"/>
      <c r="CW49" s="100"/>
      <c r="CX49" s="100"/>
      <c r="CY49" s="102"/>
      <c r="CZ49" s="104"/>
      <c r="DA49" s="105"/>
      <c r="DB49" s="101"/>
      <c r="DC49" s="101"/>
      <c r="DD49" s="100"/>
      <c r="DE49" s="100"/>
      <c r="DF49" s="102"/>
      <c r="DG49" s="104"/>
      <c r="DH49" s="105"/>
      <c r="DI49" s="101"/>
      <c r="DJ49" s="100"/>
      <c r="DK49" s="100"/>
      <c r="DL49" s="100"/>
      <c r="DM49" s="102"/>
      <c r="DN49" s="104"/>
      <c r="DO49" s="105"/>
      <c r="DP49" s="101"/>
      <c r="DQ49" s="100"/>
      <c r="DR49" s="100"/>
      <c r="DS49" s="100"/>
      <c r="DT49" s="105"/>
      <c r="DU49" s="104"/>
      <c r="DV49" s="105"/>
      <c r="DW49" s="101"/>
      <c r="DX49" s="100"/>
      <c r="DY49" s="100"/>
      <c r="DZ49" s="100"/>
      <c r="EA49" s="100"/>
      <c r="EB49" s="105"/>
      <c r="EC49" s="105"/>
      <c r="ED49" s="100"/>
      <c r="EE49" s="100"/>
    </row>
    <row r="50" spans="2:135" ht="18" customHeight="1" outlineLevel="2" x14ac:dyDescent="0.15">
      <c r="B50" s="115">
        <f t="shared" si="0"/>
        <v>42</v>
      </c>
      <c r="C50" s="116"/>
      <c r="D50" s="112"/>
      <c r="E50" s="112" t="s">
        <v>89</v>
      </c>
      <c r="F50" s="112"/>
      <c r="G50" s="112"/>
      <c r="H50" s="112"/>
      <c r="I50" s="112"/>
      <c r="J50" s="112"/>
      <c r="K50" s="51"/>
      <c r="L50" s="59"/>
      <c r="M50" s="58" t="s">
        <v>117</v>
      </c>
      <c r="N50" s="59" t="s">
        <v>119</v>
      </c>
      <c r="O50" s="60">
        <v>2.4</v>
      </c>
      <c r="P50" s="61"/>
      <c r="Q50" s="62"/>
      <c r="R50" s="10">
        <f t="shared" si="1"/>
        <v>0</v>
      </c>
      <c r="S50" s="19"/>
      <c r="T50" s="15">
        <f t="shared" si="6"/>
        <v>0</v>
      </c>
      <c r="U50" s="15">
        <f t="shared" si="7"/>
        <v>0</v>
      </c>
      <c r="V50" s="14" t="str">
        <f t="shared" si="8"/>
        <v>-</v>
      </c>
      <c r="W50" s="14" t="str">
        <f t="shared" si="9"/>
        <v>-</v>
      </c>
      <c r="X50" s="69"/>
      <c r="Y50" s="69"/>
      <c r="Z50" s="69"/>
      <c r="AA50" s="69"/>
      <c r="AB50" s="69"/>
      <c r="AC50" s="76">
        <v>46077</v>
      </c>
      <c r="AD50" s="77">
        <v>46078</v>
      </c>
      <c r="AE50" s="101"/>
      <c r="AF50" s="102"/>
      <c r="AG50" s="102"/>
      <c r="AH50" s="104"/>
      <c r="AI50" s="105"/>
      <c r="AJ50" s="102"/>
      <c r="AK50" s="102"/>
      <c r="AL50" s="102"/>
      <c r="AM50" s="102"/>
      <c r="AN50" s="102"/>
      <c r="AO50" s="104"/>
      <c r="AP50" s="105"/>
      <c r="AQ50" s="102"/>
      <c r="AR50" s="102"/>
      <c r="AS50" s="102"/>
      <c r="AT50" s="102"/>
      <c r="AU50" s="102"/>
      <c r="AV50" s="104"/>
      <c r="AW50" s="105"/>
      <c r="AX50" s="101"/>
      <c r="AY50" s="100"/>
      <c r="AZ50" s="100"/>
      <c r="BA50" s="100"/>
      <c r="BB50" s="102"/>
      <c r="BC50" s="104"/>
      <c r="BD50" s="105"/>
      <c r="BE50" s="105"/>
      <c r="BF50" s="100"/>
      <c r="BG50" s="100"/>
      <c r="BH50" s="100"/>
      <c r="BI50" s="102"/>
      <c r="BJ50" s="104"/>
      <c r="BK50" s="105"/>
      <c r="BL50" s="100"/>
      <c r="BM50" s="100"/>
      <c r="BN50" s="100"/>
      <c r="BO50" s="100"/>
      <c r="BP50" s="101"/>
      <c r="BQ50" s="104"/>
      <c r="BR50" s="105"/>
      <c r="BS50" s="101"/>
      <c r="BT50" s="100"/>
      <c r="BU50" s="100"/>
      <c r="BV50" s="100"/>
      <c r="BW50" s="102"/>
      <c r="BX50" s="104"/>
      <c r="BY50" s="105"/>
      <c r="BZ50" s="101"/>
      <c r="CA50" s="100"/>
      <c r="CB50" s="100"/>
      <c r="CC50" s="100"/>
      <c r="CD50" s="102"/>
      <c r="CE50" s="104"/>
      <c r="CF50" s="105"/>
      <c r="CG50" s="101"/>
      <c r="CH50" s="100"/>
      <c r="CI50" s="105"/>
      <c r="CJ50" s="100"/>
      <c r="CK50" s="102"/>
      <c r="CL50" s="104"/>
      <c r="CM50" s="105"/>
      <c r="CN50" s="101"/>
      <c r="CO50" s="100"/>
      <c r="CP50" s="100"/>
      <c r="CQ50" s="100"/>
      <c r="CR50" s="102"/>
      <c r="CS50" s="104"/>
      <c r="CT50" s="105"/>
      <c r="CU50" s="105"/>
      <c r="CV50" s="100"/>
      <c r="CW50" s="100"/>
      <c r="CX50" s="100"/>
      <c r="CY50" s="102"/>
      <c r="CZ50" s="104"/>
      <c r="DA50" s="105"/>
      <c r="DB50" s="101"/>
      <c r="DC50" s="101"/>
      <c r="DD50" s="100"/>
      <c r="DE50" s="100"/>
      <c r="DF50" s="102"/>
      <c r="DG50" s="104"/>
      <c r="DH50" s="105"/>
      <c r="DI50" s="101"/>
      <c r="DJ50" s="100"/>
      <c r="DK50" s="100"/>
      <c r="DL50" s="100"/>
      <c r="DM50" s="102"/>
      <c r="DN50" s="104"/>
      <c r="DO50" s="105"/>
      <c r="DP50" s="101"/>
      <c r="DQ50" s="100"/>
      <c r="DR50" s="100"/>
      <c r="DS50" s="100"/>
      <c r="DT50" s="105"/>
      <c r="DU50" s="104"/>
      <c r="DV50" s="105"/>
      <c r="DW50" s="101"/>
      <c r="DX50" s="100"/>
      <c r="DY50" s="100"/>
      <c r="DZ50" s="100"/>
      <c r="EA50" s="100"/>
      <c r="EB50" s="105"/>
      <c r="EC50" s="105"/>
      <c r="ED50" s="100"/>
      <c r="EE50" s="100"/>
    </row>
    <row r="51" spans="2:135" ht="18" customHeight="1" outlineLevel="2" x14ac:dyDescent="0.15">
      <c r="B51" s="115">
        <f t="shared" si="0"/>
        <v>43</v>
      </c>
      <c r="C51" s="116"/>
      <c r="D51" s="112"/>
      <c r="E51" s="112" t="s">
        <v>90</v>
      </c>
      <c r="F51" s="112"/>
      <c r="G51" s="112"/>
      <c r="H51" s="112"/>
      <c r="I51" s="112"/>
      <c r="J51" s="112"/>
      <c r="K51" s="51"/>
      <c r="L51" s="59"/>
      <c r="M51" s="58" t="s">
        <v>117</v>
      </c>
      <c r="N51" s="59" t="s">
        <v>119</v>
      </c>
      <c r="O51" s="60">
        <v>0.7</v>
      </c>
      <c r="P51" s="61"/>
      <c r="Q51" s="62"/>
      <c r="R51" s="10">
        <f t="shared" si="1"/>
        <v>0</v>
      </c>
      <c r="S51" s="19"/>
      <c r="T51" s="15">
        <f t="shared" si="6"/>
        <v>0</v>
      </c>
      <c r="U51" s="15">
        <f t="shared" si="7"/>
        <v>0</v>
      </c>
      <c r="V51" s="14" t="str">
        <f t="shared" si="8"/>
        <v>-</v>
      </c>
      <c r="W51" s="14" t="str">
        <f t="shared" si="9"/>
        <v>-</v>
      </c>
      <c r="X51" s="69"/>
      <c r="Y51" s="69"/>
      <c r="Z51" s="69"/>
      <c r="AA51" s="69"/>
      <c r="AB51" s="69"/>
      <c r="AC51" s="76">
        <v>46079</v>
      </c>
      <c r="AD51" s="77">
        <v>46084</v>
      </c>
      <c r="AE51" s="101"/>
      <c r="AF51" s="102"/>
      <c r="AG51" s="102"/>
      <c r="AH51" s="104"/>
      <c r="AI51" s="105"/>
      <c r="AJ51" s="102"/>
      <c r="AK51" s="102"/>
      <c r="AL51" s="102"/>
      <c r="AM51" s="102"/>
      <c r="AN51" s="102"/>
      <c r="AO51" s="104"/>
      <c r="AP51" s="105"/>
      <c r="AQ51" s="102"/>
      <c r="AR51" s="102"/>
      <c r="AS51" s="102"/>
      <c r="AT51" s="102"/>
      <c r="AU51" s="102"/>
      <c r="AV51" s="104"/>
      <c r="AW51" s="105"/>
      <c r="AX51" s="101"/>
      <c r="AY51" s="100"/>
      <c r="AZ51" s="100"/>
      <c r="BA51" s="100"/>
      <c r="BB51" s="102"/>
      <c r="BC51" s="104"/>
      <c r="BD51" s="105"/>
      <c r="BE51" s="105"/>
      <c r="BF51" s="100"/>
      <c r="BG51" s="100"/>
      <c r="BH51" s="100"/>
      <c r="BI51" s="102"/>
      <c r="BJ51" s="104"/>
      <c r="BK51" s="105"/>
      <c r="BL51" s="100"/>
      <c r="BM51" s="100"/>
      <c r="BN51" s="100"/>
      <c r="BO51" s="100"/>
      <c r="BP51" s="101"/>
      <c r="BQ51" s="104"/>
      <c r="BR51" s="105"/>
      <c r="BS51" s="101"/>
      <c r="BT51" s="100"/>
      <c r="BU51" s="100"/>
      <c r="BV51" s="100"/>
      <c r="BW51" s="102"/>
      <c r="BX51" s="104"/>
      <c r="BY51" s="105"/>
      <c r="BZ51" s="101"/>
      <c r="CA51" s="100"/>
      <c r="CB51" s="100"/>
      <c r="CC51" s="100"/>
      <c r="CD51" s="102"/>
      <c r="CE51" s="104"/>
      <c r="CF51" s="105"/>
      <c r="CG51" s="101"/>
      <c r="CH51" s="100"/>
      <c r="CI51" s="105"/>
      <c r="CJ51" s="100"/>
      <c r="CK51" s="102"/>
      <c r="CL51" s="104"/>
      <c r="CM51" s="105"/>
      <c r="CN51" s="101"/>
      <c r="CO51" s="100"/>
      <c r="CP51" s="100"/>
      <c r="CQ51" s="100"/>
      <c r="CR51" s="102"/>
      <c r="CS51" s="104"/>
      <c r="CT51" s="105"/>
      <c r="CU51" s="105"/>
      <c r="CV51" s="100"/>
      <c r="CW51" s="100"/>
      <c r="CX51" s="100"/>
      <c r="CY51" s="102"/>
      <c r="CZ51" s="104"/>
      <c r="DA51" s="105"/>
      <c r="DB51" s="101"/>
      <c r="DC51" s="101"/>
      <c r="DD51" s="100"/>
      <c r="DE51" s="100"/>
      <c r="DF51" s="102"/>
      <c r="DG51" s="104"/>
      <c r="DH51" s="105"/>
      <c r="DI51" s="101"/>
      <c r="DJ51" s="100"/>
      <c r="DK51" s="100"/>
      <c r="DL51" s="100"/>
      <c r="DM51" s="102"/>
      <c r="DN51" s="104"/>
      <c r="DO51" s="105"/>
      <c r="DP51" s="101"/>
      <c r="DQ51" s="100"/>
      <c r="DR51" s="100"/>
      <c r="DS51" s="100"/>
      <c r="DT51" s="105"/>
      <c r="DU51" s="104"/>
      <c r="DV51" s="105"/>
      <c r="DW51" s="101"/>
      <c r="DX51" s="100"/>
      <c r="DY51" s="100"/>
      <c r="DZ51" s="100"/>
      <c r="EA51" s="100"/>
      <c r="EB51" s="105"/>
      <c r="EC51" s="105"/>
      <c r="ED51" s="100"/>
      <c r="EE51" s="100"/>
    </row>
    <row r="52" spans="2:135" ht="18" customHeight="1" outlineLevel="2" x14ac:dyDescent="0.15">
      <c r="B52" s="115">
        <f t="shared" si="0"/>
        <v>44</v>
      </c>
      <c r="C52" s="116"/>
      <c r="D52" s="112"/>
      <c r="E52" s="112" t="s">
        <v>78</v>
      </c>
      <c r="F52" s="112"/>
      <c r="G52" s="112"/>
      <c r="H52" s="112"/>
      <c r="I52" s="112"/>
      <c r="J52" s="112"/>
      <c r="K52" s="51"/>
      <c r="L52" s="59"/>
      <c r="M52" s="58" t="s">
        <v>117</v>
      </c>
      <c r="N52" s="59" t="s">
        <v>120</v>
      </c>
      <c r="O52" s="60">
        <v>1.1000000000000001</v>
      </c>
      <c r="P52" s="61"/>
      <c r="Q52" s="62"/>
      <c r="R52" s="10">
        <f t="shared" si="1"/>
        <v>0</v>
      </c>
      <c r="S52" s="19"/>
      <c r="T52" s="15">
        <f t="shared" si="6"/>
        <v>0</v>
      </c>
      <c r="U52" s="15">
        <f t="shared" si="7"/>
        <v>0</v>
      </c>
      <c r="V52" s="14" t="str">
        <f t="shared" si="8"/>
        <v>-</v>
      </c>
      <c r="W52" s="14" t="str">
        <f t="shared" si="9"/>
        <v>-</v>
      </c>
      <c r="X52" s="69"/>
      <c r="Y52" s="69"/>
      <c r="Z52" s="69"/>
      <c r="AA52" s="69"/>
      <c r="AB52" s="69"/>
      <c r="AC52" s="76">
        <v>46085</v>
      </c>
      <c r="AD52" s="77">
        <v>46085</v>
      </c>
      <c r="AE52" s="101"/>
      <c r="AF52" s="102"/>
      <c r="AG52" s="102"/>
      <c r="AH52" s="104"/>
      <c r="AI52" s="105"/>
      <c r="AJ52" s="102"/>
      <c r="AK52" s="102"/>
      <c r="AL52" s="102"/>
      <c r="AM52" s="102"/>
      <c r="AN52" s="102"/>
      <c r="AO52" s="104"/>
      <c r="AP52" s="105"/>
      <c r="AQ52" s="102"/>
      <c r="AR52" s="102"/>
      <c r="AS52" s="102"/>
      <c r="AT52" s="102"/>
      <c r="AU52" s="102"/>
      <c r="AV52" s="104"/>
      <c r="AW52" s="105"/>
      <c r="AX52" s="101"/>
      <c r="AY52" s="100"/>
      <c r="AZ52" s="100"/>
      <c r="BA52" s="100"/>
      <c r="BB52" s="102"/>
      <c r="BC52" s="104"/>
      <c r="BD52" s="105"/>
      <c r="BE52" s="105"/>
      <c r="BF52" s="100"/>
      <c r="BG52" s="100"/>
      <c r="BH52" s="100"/>
      <c r="BI52" s="102"/>
      <c r="BJ52" s="104"/>
      <c r="BK52" s="105"/>
      <c r="BL52" s="100"/>
      <c r="BM52" s="100"/>
      <c r="BN52" s="100"/>
      <c r="BO52" s="100"/>
      <c r="BP52" s="101"/>
      <c r="BQ52" s="104"/>
      <c r="BR52" s="105"/>
      <c r="BS52" s="101"/>
      <c r="BT52" s="100"/>
      <c r="BU52" s="100"/>
      <c r="BV52" s="100"/>
      <c r="BW52" s="102"/>
      <c r="BX52" s="104"/>
      <c r="BY52" s="105"/>
      <c r="BZ52" s="101"/>
      <c r="CA52" s="100"/>
      <c r="CB52" s="100"/>
      <c r="CC52" s="100"/>
      <c r="CD52" s="102"/>
      <c r="CE52" s="104"/>
      <c r="CF52" s="105"/>
      <c r="CG52" s="101"/>
      <c r="CH52" s="100"/>
      <c r="CI52" s="105"/>
      <c r="CJ52" s="100"/>
      <c r="CK52" s="102"/>
      <c r="CL52" s="104"/>
      <c r="CM52" s="105"/>
      <c r="CN52" s="101"/>
      <c r="CO52" s="100"/>
      <c r="CP52" s="100"/>
      <c r="CQ52" s="100"/>
      <c r="CR52" s="102"/>
      <c r="CS52" s="104"/>
      <c r="CT52" s="105"/>
      <c r="CU52" s="105"/>
      <c r="CV52" s="100"/>
      <c r="CW52" s="100"/>
      <c r="CX52" s="100"/>
      <c r="CY52" s="102"/>
      <c r="CZ52" s="104"/>
      <c r="DA52" s="105"/>
      <c r="DB52" s="101"/>
      <c r="DC52" s="101"/>
      <c r="DD52" s="100"/>
      <c r="DE52" s="100"/>
      <c r="DF52" s="102"/>
      <c r="DG52" s="104"/>
      <c r="DH52" s="105"/>
      <c r="DI52" s="101"/>
      <c r="DJ52" s="100"/>
      <c r="DK52" s="100"/>
      <c r="DL52" s="100"/>
      <c r="DM52" s="102"/>
      <c r="DN52" s="104"/>
      <c r="DO52" s="105"/>
      <c r="DP52" s="101"/>
      <c r="DQ52" s="100"/>
      <c r="DR52" s="100"/>
      <c r="DS52" s="100"/>
      <c r="DT52" s="105"/>
      <c r="DU52" s="104"/>
      <c r="DV52" s="105"/>
      <c r="DW52" s="101"/>
      <c r="DX52" s="100"/>
      <c r="DY52" s="100"/>
      <c r="DZ52" s="100"/>
      <c r="EA52" s="100"/>
      <c r="EB52" s="105"/>
      <c r="EC52" s="105"/>
      <c r="ED52" s="100"/>
      <c r="EE52" s="100"/>
    </row>
    <row r="53" spans="2:135" ht="18" customHeight="1" outlineLevel="2" x14ac:dyDescent="0.15">
      <c r="B53" s="115"/>
      <c r="C53" s="116"/>
      <c r="D53" s="112" t="s">
        <v>135</v>
      </c>
      <c r="E53" s="112"/>
      <c r="F53" s="112"/>
      <c r="G53" s="112"/>
      <c r="H53" s="112"/>
      <c r="I53" s="112"/>
      <c r="J53" s="112"/>
      <c r="K53" s="51"/>
      <c r="L53" s="59"/>
      <c r="M53" s="58"/>
      <c r="N53" s="59"/>
      <c r="O53" s="60"/>
      <c r="P53" s="61"/>
      <c r="Q53" s="62"/>
      <c r="R53" s="10"/>
      <c r="S53" s="19"/>
      <c r="T53" s="15"/>
      <c r="U53" s="15"/>
      <c r="V53" s="14"/>
      <c r="W53" s="14"/>
      <c r="X53" s="69"/>
      <c r="Y53" s="69"/>
      <c r="Z53" s="69"/>
      <c r="AA53" s="69"/>
      <c r="AB53" s="69"/>
      <c r="AC53" s="76"/>
      <c r="AD53" s="77"/>
      <c r="AE53" s="101"/>
      <c r="AF53" s="102"/>
      <c r="AG53" s="102"/>
      <c r="AH53" s="104"/>
      <c r="AI53" s="105"/>
      <c r="AJ53" s="102"/>
      <c r="AK53" s="102"/>
      <c r="AL53" s="102"/>
      <c r="AM53" s="102"/>
      <c r="AN53" s="102"/>
      <c r="AO53" s="104"/>
      <c r="AP53" s="105"/>
      <c r="AQ53" s="102"/>
      <c r="AR53" s="102"/>
      <c r="AS53" s="102"/>
      <c r="AT53" s="102"/>
      <c r="AU53" s="102"/>
      <c r="AV53" s="104"/>
      <c r="AW53" s="105"/>
      <c r="AX53" s="101"/>
      <c r="AY53" s="100"/>
      <c r="AZ53" s="100"/>
      <c r="BA53" s="100"/>
      <c r="BB53" s="102"/>
      <c r="BC53" s="104"/>
      <c r="BD53" s="105"/>
      <c r="BE53" s="105"/>
      <c r="BF53" s="100"/>
      <c r="BG53" s="100"/>
      <c r="BH53" s="100"/>
      <c r="BI53" s="102"/>
      <c r="BJ53" s="104"/>
      <c r="BK53" s="105"/>
      <c r="BL53" s="100"/>
      <c r="BM53" s="100"/>
      <c r="BN53" s="100"/>
      <c r="BO53" s="100"/>
      <c r="BP53" s="101"/>
      <c r="BQ53" s="104"/>
      <c r="BR53" s="105"/>
      <c r="BS53" s="101"/>
      <c r="BT53" s="100"/>
      <c r="BU53" s="100"/>
      <c r="BV53" s="100"/>
      <c r="BW53" s="102"/>
      <c r="BX53" s="104"/>
      <c r="BY53" s="105"/>
      <c r="BZ53" s="101"/>
      <c r="CA53" s="100"/>
      <c r="CB53" s="100"/>
      <c r="CC53" s="100"/>
      <c r="CD53" s="102"/>
      <c r="CE53" s="104"/>
      <c r="CF53" s="105"/>
      <c r="CG53" s="101"/>
      <c r="CH53" s="100"/>
      <c r="CI53" s="105"/>
      <c r="CJ53" s="100"/>
      <c r="CK53" s="102"/>
      <c r="CL53" s="104"/>
      <c r="CM53" s="105"/>
      <c r="CN53" s="101"/>
      <c r="CO53" s="100"/>
      <c r="CP53" s="100"/>
      <c r="CQ53" s="100"/>
      <c r="CR53" s="102"/>
      <c r="CS53" s="104"/>
      <c r="CT53" s="105"/>
      <c r="CU53" s="105"/>
      <c r="CV53" s="100"/>
      <c r="CW53" s="100"/>
      <c r="CX53" s="100"/>
      <c r="CY53" s="102"/>
      <c r="CZ53" s="104"/>
      <c r="DA53" s="105"/>
      <c r="DB53" s="101"/>
      <c r="DC53" s="101"/>
      <c r="DD53" s="100"/>
      <c r="DE53" s="100"/>
      <c r="DF53" s="102"/>
      <c r="DG53" s="104"/>
      <c r="DH53" s="105"/>
      <c r="DI53" s="101"/>
      <c r="DJ53" s="100"/>
      <c r="DK53" s="100"/>
      <c r="DL53" s="100"/>
      <c r="DM53" s="102"/>
      <c r="DN53" s="104"/>
      <c r="DO53" s="105"/>
      <c r="DP53" s="101"/>
      <c r="DQ53" s="100"/>
      <c r="DR53" s="100"/>
      <c r="DS53" s="100"/>
      <c r="DT53" s="105"/>
      <c r="DU53" s="104"/>
      <c r="DV53" s="105"/>
      <c r="DW53" s="101"/>
      <c r="DX53" s="100"/>
      <c r="DY53" s="100"/>
      <c r="DZ53" s="100"/>
      <c r="EA53" s="100"/>
      <c r="EB53" s="105"/>
      <c r="EC53" s="105"/>
      <c r="ED53" s="100"/>
      <c r="EE53" s="100"/>
    </row>
    <row r="54" spans="2:135" ht="18" customHeight="1" outlineLevel="2" x14ac:dyDescent="0.15">
      <c r="B54" s="115">
        <f t="shared" si="0"/>
        <v>46</v>
      </c>
      <c r="C54" s="116"/>
      <c r="D54" s="112"/>
      <c r="E54" s="112" t="s">
        <v>91</v>
      </c>
      <c r="F54" s="112"/>
      <c r="G54" s="112"/>
      <c r="H54" s="112"/>
      <c r="I54" s="112"/>
      <c r="J54" s="112"/>
      <c r="K54" s="51"/>
      <c r="L54" s="59"/>
      <c r="M54" s="58" t="s">
        <v>117</v>
      </c>
      <c r="N54" s="59" t="s">
        <v>120</v>
      </c>
      <c r="O54" s="60">
        <v>3.2</v>
      </c>
      <c r="P54" s="61"/>
      <c r="Q54" s="62"/>
      <c r="R54" s="10">
        <f t="shared" si="1"/>
        <v>0</v>
      </c>
      <c r="S54" s="19"/>
      <c r="T54" s="15">
        <f t="shared" si="6"/>
        <v>0</v>
      </c>
      <c r="U54" s="15">
        <f t="shared" si="7"/>
        <v>0</v>
      </c>
      <c r="V54" s="14" t="str">
        <f t="shared" si="8"/>
        <v>-</v>
      </c>
      <c r="W54" s="14" t="str">
        <f t="shared" si="9"/>
        <v>-</v>
      </c>
      <c r="X54" s="69"/>
      <c r="Y54" s="117" t="s">
        <v>154</v>
      </c>
      <c r="Z54" s="69"/>
      <c r="AA54" s="69"/>
      <c r="AB54" s="69"/>
      <c r="AC54" s="76">
        <v>46073</v>
      </c>
      <c r="AD54" s="77">
        <v>46078</v>
      </c>
      <c r="AE54" s="101"/>
      <c r="AF54" s="102"/>
      <c r="AG54" s="102"/>
      <c r="AH54" s="104"/>
      <c r="AI54" s="105"/>
      <c r="AJ54" s="102"/>
      <c r="AK54" s="102"/>
      <c r="AL54" s="102"/>
      <c r="AM54" s="102"/>
      <c r="AN54" s="102"/>
      <c r="AO54" s="104"/>
      <c r="AP54" s="105"/>
      <c r="AQ54" s="102"/>
      <c r="AR54" s="102"/>
      <c r="AS54" s="102"/>
      <c r="AT54" s="102"/>
      <c r="AU54" s="102"/>
      <c r="AV54" s="104"/>
      <c r="AW54" s="105"/>
      <c r="AX54" s="101"/>
      <c r="AY54" s="100"/>
      <c r="AZ54" s="100"/>
      <c r="BA54" s="100"/>
      <c r="BB54" s="102"/>
      <c r="BC54" s="104"/>
      <c r="BD54" s="105"/>
      <c r="BE54" s="105"/>
      <c r="BF54" s="100"/>
      <c r="BG54" s="100"/>
      <c r="BH54" s="100"/>
      <c r="BI54" s="102"/>
      <c r="BJ54" s="104"/>
      <c r="BK54" s="105"/>
      <c r="BL54" s="100"/>
      <c r="BM54" s="100"/>
      <c r="BN54" s="100"/>
      <c r="BO54" s="100"/>
      <c r="BP54" s="101"/>
      <c r="BQ54" s="104"/>
      <c r="BR54" s="105"/>
      <c r="BS54" s="101"/>
      <c r="BT54" s="100"/>
      <c r="BU54" s="100"/>
      <c r="BV54" s="100"/>
      <c r="BW54" s="102"/>
      <c r="BX54" s="104"/>
      <c r="BY54" s="105"/>
      <c r="BZ54" s="101"/>
      <c r="CA54" s="100"/>
      <c r="CB54" s="100"/>
      <c r="CC54" s="100"/>
      <c r="CD54" s="102"/>
      <c r="CE54" s="104"/>
      <c r="CF54" s="105"/>
      <c r="CG54" s="101"/>
      <c r="CH54" s="100"/>
      <c r="CI54" s="105"/>
      <c r="CJ54" s="100"/>
      <c r="CK54" s="102"/>
      <c r="CL54" s="104"/>
      <c r="CM54" s="105"/>
      <c r="CN54" s="101"/>
      <c r="CO54" s="100"/>
      <c r="CP54" s="100"/>
      <c r="CQ54" s="100"/>
      <c r="CR54" s="102"/>
      <c r="CS54" s="104"/>
      <c r="CT54" s="105"/>
      <c r="CU54" s="105"/>
      <c r="CV54" s="100"/>
      <c r="CW54" s="100"/>
      <c r="CX54" s="100"/>
      <c r="CY54" s="102"/>
      <c r="CZ54" s="104"/>
      <c r="DA54" s="105"/>
      <c r="DB54" s="101"/>
      <c r="DC54" s="101"/>
      <c r="DD54" s="100"/>
      <c r="DE54" s="100"/>
      <c r="DF54" s="102"/>
      <c r="DG54" s="104"/>
      <c r="DH54" s="105"/>
      <c r="DI54" s="101"/>
      <c r="DJ54" s="100"/>
      <c r="DK54" s="100"/>
      <c r="DL54" s="100"/>
      <c r="DM54" s="102"/>
      <c r="DN54" s="104"/>
      <c r="DO54" s="105"/>
      <c r="DP54" s="101"/>
      <c r="DQ54" s="100"/>
      <c r="DR54" s="100"/>
      <c r="DS54" s="100"/>
      <c r="DT54" s="105"/>
      <c r="DU54" s="104"/>
      <c r="DV54" s="105"/>
      <c r="DW54" s="101"/>
      <c r="DX54" s="100"/>
      <c r="DY54" s="100"/>
      <c r="DZ54" s="100"/>
      <c r="EA54" s="100"/>
      <c r="EB54" s="105"/>
      <c r="EC54" s="105"/>
      <c r="ED54" s="100"/>
      <c r="EE54" s="100"/>
    </row>
    <row r="55" spans="2:135" ht="18" customHeight="1" outlineLevel="2" x14ac:dyDescent="0.15">
      <c r="B55" s="115">
        <f t="shared" si="0"/>
        <v>47</v>
      </c>
      <c r="C55" s="116"/>
      <c r="D55" s="112"/>
      <c r="E55" s="112" t="s">
        <v>92</v>
      </c>
      <c r="F55" s="112"/>
      <c r="G55" s="112"/>
      <c r="H55" s="112"/>
      <c r="I55" s="112"/>
      <c r="J55" s="112"/>
      <c r="K55" s="51"/>
      <c r="L55" s="59"/>
      <c r="M55" s="58" t="s">
        <v>117</v>
      </c>
      <c r="N55" s="59" t="s">
        <v>119</v>
      </c>
      <c r="O55" s="60">
        <v>2.4</v>
      </c>
      <c r="P55" s="61"/>
      <c r="Q55" s="62"/>
      <c r="R55" s="10">
        <f t="shared" si="1"/>
        <v>0</v>
      </c>
      <c r="S55" s="19"/>
      <c r="T55" s="15">
        <f t="shared" si="6"/>
        <v>0</v>
      </c>
      <c r="U55" s="15">
        <f t="shared" si="7"/>
        <v>0</v>
      </c>
      <c r="V55" s="14" t="str">
        <f t="shared" si="8"/>
        <v>-</v>
      </c>
      <c r="W55" s="14" t="str">
        <f t="shared" si="9"/>
        <v>-</v>
      </c>
      <c r="X55" s="69"/>
      <c r="Y55" s="69"/>
      <c r="Z55" s="69"/>
      <c r="AA55" s="69"/>
      <c r="AB55" s="69"/>
      <c r="AC55" s="76">
        <v>46079</v>
      </c>
      <c r="AD55" s="77">
        <v>46080</v>
      </c>
      <c r="AE55" s="101"/>
      <c r="AF55" s="102"/>
      <c r="AG55" s="102"/>
      <c r="AH55" s="104"/>
      <c r="AI55" s="105"/>
      <c r="AJ55" s="102"/>
      <c r="AK55" s="102"/>
      <c r="AL55" s="102"/>
      <c r="AM55" s="102"/>
      <c r="AN55" s="102"/>
      <c r="AO55" s="104"/>
      <c r="AP55" s="105"/>
      <c r="AQ55" s="102"/>
      <c r="AR55" s="102"/>
      <c r="AS55" s="102"/>
      <c r="AT55" s="102"/>
      <c r="AU55" s="102"/>
      <c r="AV55" s="104"/>
      <c r="AW55" s="105"/>
      <c r="AX55" s="101"/>
      <c r="AY55" s="100"/>
      <c r="AZ55" s="100"/>
      <c r="BA55" s="100"/>
      <c r="BB55" s="102"/>
      <c r="BC55" s="104"/>
      <c r="BD55" s="105"/>
      <c r="BE55" s="105"/>
      <c r="BF55" s="100"/>
      <c r="BG55" s="100"/>
      <c r="BH55" s="100"/>
      <c r="BI55" s="102"/>
      <c r="BJ55" s="104"/>
      <c r="BK55" s="105"/>
      <c r="BL55" s="100"/>
      <c r="BM55" s="100"/>
      <c r="BN55" s="100"/>
      <c r="BO55" s="100"/>
      <c r="BP55" s="101"/>
      <c r="BQ55" s="104"/>
      <c r="BR55" s="105"/>
      <c r="BS55" s="101"/>
      <c r="BT55" s="100"/>
      <c r="BU55" s="100"/>
      <c r="BV55" s="100"/>
      <c r="BW55" s="102"/>
      <c r="BX55" s="104"/>
      <c r="BY55" s="105"/>
      <c r="BZ55" s="101"/>
      <c r="CA55" s="100"/>
      <c r="CB55" s="100"/>
      <c r="CC55" s="100"/>
      <c r="CD55" s="102"/>
      <c r="CE55" s="104"/>
      <c r="CF55" s="105"/>
      <c r="CG55" s="101"/>
      <c r="CH55" s="100"/>
      <c r="CI55" s="105"/>
      <c r="CJ55" s="100"/>
      <c r="CK55" s="102"/>
      <c r="CL55" s="104"/>
      <c r="CM55" s="105"/>
      <c r="CN55" s="101"/>
      <c r="CO55" s="100"/>
      <c r="CP55" s="100"/>
      <c r="CQ55" s="100"/>
      <c r="CR55" s="102"/>
      <c r="CS55" s="104"/>
      <c r="CT55" s="105"/>
      <c r="CU55" s="105"/>
      <c r="CV55" s="100"/>
      <c r="CW55" s="100"/>
      <c r="CX55" s="100"/>
      <c r="CY55" s="102"/>
      <c r="CZ55" s="104"/>
      <c r="DA55" s="105"/>
      <c r="DB55" s="101"/>
      <c r="DC55" s="101"/>
      <c r="DD55" s="100"/>
      <c r="DE55" s="100"/>
      <c r="DF55" s="102"/>
      <c r="DG55" s="104"/>
      <c r="DH55" s="105"/>
      <c r="DI55" s="101"/>
      <c r="DJ55" s="100"/>
      <c r="DK55" s="100"/>
      <c r="DL55" s="100"/>
      <c r="DM55" s="102"/>
      <c r="DN55" s="104"/>
      <c r="DO55" s="105"/>
      <c r="DP55" s="101"/>
      <c r="DQ55" s="100"/>
      <c r="DR55" s="100"/>
      <c r="DS55" s="100"/>
      <c r="DT55" s="105"/>
      <c r="DU55" s="104"/>
      <c r="DV55" s="105"/>
      <c r="DW55" s="101"/>
      <c r="DX55" s="100"/>
      <c r="DY55" s="100"/>
      <c r="DZ55" s="100"/>
      <c r="EA55" s="100"/>
      <c r="EB55" s="105"/>
      <c r="EC55" s="105"/>
      <c r="ED55" s="100"/>
      <c r="EE55" s="100"/>
    </row>
    <row r="56" spans="2:135" ht="18" customHeight="1" outlineLevel="2" x14ac:dyDescent="0.15">
      <c r="B56" s="115">
        <f t="shared" si="0"/>
        <v>48</v>
      </c>
      <c r="C56" s="116"/>
      <c r="D56" s="112"/>
      <c r="E56" s="112" t="s">
        <v>93</v>
      </c>
      <c r="F56" s="112"/>
      <c r="G56" s="112"/>
      <c r="H56" s="112"/>
      <c r="I56" s="112"/>
      <c r="J56" s="112"/>
      <c r="K56" s="51"/>
      <c r="L56" s="59"/>
      <c r="M56" s="58" t="s">
        <v>117</v>
      </c>
      <c r="N56" s="59" t="s">
        <v>119</v>
      </c>
      <c r="O56" s="60">
        <v>0.4</v>
      </c>
      <c r="P56" s="61"/>
      <c r="Q56" s="62"/>
      <c r="R56" s="10">
        <f t="shared" si="1"/>
        <v>0</v>
      </c>
      <c r="S56" s="19"/>
      <c r="T56" s="15">
        <f t="shared" si="6"/>
        <v>0</v>
      </c>
      <c r="U56" s="15">
        <f t="shared" si="7"/>
        <v>0</v>
      </c>
      <c r="V56" s="14" t="str">
        <f t="shared" si="8"/>
        <v>-</v>
      </c>
      <c r="W56" s="14" t="str">
        <f t="shared" si="9"/>
        <v>-</v>
      </c>
      <c r="X56" s="69"/>
      <c r="Y56" s="69"/>
      <c r="Z56" s="69"/>
      <c r="AA56" s="69"/>
      <c r="AB56" s="69"/>
      <c r="AC56" s="76">
        <v>46083</v>
      </c>
      <c r="AD56" s="77">
        <v>46084</v>
      </c>
      <c r="AE56" s="101"/>
      <c r="AF56" s="102"/>
      <c r="AG56" s="102"/>
      <c r="AH56" s="104"/>
      <c r="AI56" s="105"/>
      <c r="AJ56" s="102"/>
      <c r="AK56" s="102"/>
      <c r="AL56" s="102"/>
      <c r="AM56" s="102"/>
      <c r="AN56" s="102"/>
      <c r="AO56" s="104"/>
      <c r="AP56" s="105"/>
      <c r="AQ56" s="102"/>
      <c r="AR56" s="102"/>
      <c r="AS56" s="102"/>
      <c r="AT56" s="102"/>
      <c r="AU56" s="102"/>
      <c r="AV56" s="104"/>
      <c r="AW56" s="105"/>
      <c r="AX56" s="101"/>
      <c r="AY56" s="100"/>
      <c r="AZ56" s="100"/>
      <c r="BA56" s="100"/>
      <c r="BB56" s="102"/>
      <c r="BC56" s="104"/>
      <c r="BD56" s="105"/>
      <c r="BE56" s="105"/>
      <c r="BF56" s="100"/>
      <c r="BG56" s="100"/>
      <c r="BH56" s="100"/>
      <c r="BI56" s="102"/>
      <c r="BJ56" s="104"/>
      <c r="BK56" s="105"/>
      <c r="BL56" s="100"/>
      <c r="BM56" s="100"/>
      <c r="BN56" s="100"/>
      <c r="BO56" s="100"/>
      <c r="BP56" s="101"/>
      <c r="BQ56" s="104"/>
      <c r="BR56" s="105"/>
      <c r="BS56" s="101"/>
      <c r="BT56" s="100"/>
      <c r="BU56" s="100"/>
      <c r="BV56" s="100"/>
      <c r="BW56" s="102"/>
      <c r="BX56" s="104"/>
      <c r="BY56" s="105"/>
      <c r="BZ56" s="101"/>
      <c r="CA56" s="100"/>
      <c r="CB56" s="100"/>
      <c r="CC56" s="100"/>
      <c r="CD56" s="102"/>
      <c r="CE56" s="104"/>
      <c r="CF56" s="105"/>
      <c r="CG56" s="101"/>
      <c r="CH56" s="100"/>
      <c r="CI56" s="105"/>
      <c r="CJ56" s="100"/>
      <c r="CK56" s="102"/>
      <c r="CL56" s="104"/>
      <c r="CM56" s="105"/>
      <c r="CN56" s="101"/>
      <c r="CO56" s="100"/>
      <c r="CP56" s="100"/>
      <c r="CQ56" s="100"/>
      <c r="CR56" s="102"/>
      <c r="CS56" s="104"/>
      <c r="CT56" s="105"/>
      <c r="CU56" s="105"/>
      <c r="CV56" s="100"/>
      <c r="CW56" s="100"/>
      <c r="CX56" s="100"/>
      <c r="CY56" s="102"/>
      <c r="CZ56" s="104"/>
      <c r="DA56" s="105"/>
      <c r="DB56" s="101"/>
      <c r="DC56" s="101"/>
      <c r="DD56" s="100"/>
      <c r="DE56" s="100"/>
      <c r="DF56" s="102"/>
      <c r="DG56" s="104"/>
      <c r="DH56" s="105"/>
      <c r="DI56" s="101"/>
      <c r="DJ56" s="100"/>
      <c r="DK56" s="100"/>
      <c r="DL56" s="100"/>
      <c r="DM56" s="102"/>
      <c r="DN56" s="104"/>
      <c r="DO56" s="105"/>
      <c r="DP56" s="101"/>
      <c r="DQ56" s="100"/>
      <c r="DR56" s="100"/>
      <c r="DS56" s="100"/>
      <c r="DT56" s="105"/>
      <c r="DU56" s="104"/>
      <c r="DV56" s="105"/>
      <c r="DW56" s="101"/>
      <c r="DX56" s="100"/>
      <c r="DY56" s="100"/>
      <c r="DZ56" s="100"/>
      <c r="EA56" s="100"/>
      <c r="EB56" s="105"/>
      <c r="EC56" s="105"/>
      <c r="ED56" s="100"/>
      <c r="EE56" s="100"/>
    </row>
    <row r="57" spans="2:135" ht="18" customHeight="1" outlineLevel="1" x14ac:dyDescent="0.15">
      <c r="B57" s="115">
        <f t="shared" si="0"/>
        <v>49</v>
      </c>
      <c r="C57" s="116"/>
      <c r="D57" s="112"/>
      <c r="E57" s="112" t="s">
        <v>78</v>
      </c>
      <c r="F57" s="112"/>
      <c r="G57" s="112"/>
      <c r="H57" s="112"/>
      <c r="I57" s="112"/>
      <c r="J57" s="112"/>
      <c r="K57" s="51"/>
      <c r="L57" s="59"/>
      <c r="M57" s="58" t="s">
        <v>117</v>
      </c>
      <c r="N57" s="59" t="s">
        <v>120</v>
      </c>
      <c r="O57" s="60">
        <v>0.5</v>
      </c>
      <c r="P57" s="61"/>
      <c r="Q57" s="62"/>
      <c r="R57" s="10">
        <f t="shared" si="1"/>
        <v>0</v>
      </c>
      <c r="S57" s="19"/>
      <c r="T57" s="15">
        <f t="shared" si="6"/>
        <v>0</v>
      </c>
      <c r="U57" s="15">
        <f t="shared" si="7"/>
        <v>0</v>
      </c>
      <c r="V57" s="14" t="str">
        <f t="shared" si="8"/>
        <v>-</v>
      </c>
      <c r="W57" s="14" t="str">
        <f t="shared" si="9"/>
        <v>-</v>
      </c>
      <c r="X57" s="69"/>
      <c r="Y57" s="69"/>
      <c r="Z57" s="69"/>
      <c r="AA57" s="69"/>
      <c r="AB57" s="69"/>
      <c r="AC57" s="76">
        <v>46085</v>
      </c>
      <c r="AD57" s="77">
        <v>46085</v>
      </c>
      <c r="AE57" s="101"/>
      <c r="AF57" s="102"/>
      <c r="AG57" s="102"/>
      <c r="AH57" s="104"/>
      <c r="AI57" s="105"/>
      <c r="AJ57" s="102"/>
      <c r="AK57" s="102"/>
      <c r="AL57" s="102"/>
      <c r="AM57" s="102"/>
      <c r="AN57" s="102"/>
      <c r="AO57" s="104"/>
      <c r="AP57" s="105"/>
      <c r="AQ57" s="102"/>
      <c r="AR57" s="102"/>
      <c r="AS57" s="102"/>
      <c r="AT57" s="102"/>
      <c r="AU57" s="102"/>
      <c r="AV57" s="104"/>
      <c r="AW57" s="105"/>
      <c r="AX57" s="101"/>
      <c r="AY57" s="100"/>
      <c r="AZ57" s="100"/>
      <c r="BA57" s="100"/>
      <c r="BB57" s="102"/>
      <c r="BC57" s="104"/>
      <c r="BD57" s="105"/>
      <c r="BE57" s="105"/>
      <c r="BF57" s="100"/>
      <c r="BG57" s="100"/>
      <c r="BH57" s="100"/>
      <c r="BI57" s="102"/>
      <c r="BJ57" s="104"/>
      <c r="BK57" s="105"/>
      <c r="BL57" s="100"/>
      <c r="BM57" s="100"/>
      <c r="BN57" s="100"/>
      <c r="BO57" s="100"/>
      <c r="BP57" s="101"/>
      <c r="BQ57" s="104"/>
      <c r="BR57" s="105"/>
      <c r="BS57" s="101"/>
      <c r="BT57" s="100"/>
      <c r="BU57" s="100"/>
      <c r="BV57" s="100"/>
      <c r="BW57" s="102"/>
      <c r="BX57" s="104"/>
      <c r="BY57" s="105"/>
      <c r="BZ57" s="101"/>
      <c r="CA57" s="100"/>
      <c r="CB57" s="100"/>
      <c r="CC57" s="100"/>
      <c r="CD57" s="102"/>
      <c r="CE57" s="104"/>
      <c r="CF57" s="105"/>
      <c r="CG57" s="101"/>
      <c r="CH57" s="100"/>
      <c r="CI57" s="105"/>
      <c r="CJ57" s="100"/>
      <c r="CK57" s="102"/>
      <c r="CL57" s="104"/>
      <c r="CM57" s="105"/>
      <c r="CN57" s="101"/>
      <c r="CO57" s="100"/>
      <c r="CP57" s="100"/>
      <c r="CQ57" s="100"/>
      <c r="CR57" s="102"/>
      <c r="CS57" s="104"/>
      <c r="CT57" s="105"/>
      <c r="CU57" s="105"/>
      <c r="CV57" s="100"/>
      <c r="CW57" s="100"/>
      <c r="CX57" s="100"/>
      <c r="CY57" s="102"/>
      <c r="CZ57" s="104"/>
      <c r="DA57" s="105"/>
      <c r="DB57" s="101"/>
      <c r="DC57" s="101"/>
      <c r="DD57" s="100"/>
      <c r="DE57" s="100"/>
      <c r="DF57" s="102"/>
      <c r="DG57" s="104"/>
      <c r="DH57" s="105"/>
      <c r="DI57" s="101"/>
      <c r="DJ57" s="100"/>
      <c r="DK57" s="100"/>
      <c r="DL57" s="100"/>
      <c r="DM57" s="102"/>
      <c r="DN57" s="104"/>
      <c r="DO57" s="105"/>
      <c r="DP57" s="101"/>
      <c r="DQ57" s="100"/>
      <c r="DR57" s="100"/>
      <c r="DS57" s="100"/>
      <c r="DT57" s="105"/>
      <c r="DU57" s="104"/>
      <c r="DV57" s="105"/>
      <c r="DW57" s="101"/>
      <c r="DX57" s="100"/>
      <c r="DY57" s="100"/>
      <c r="DZ57" s="100"/>
      <c r="EA57" s="100"/>
      <c r="EB57" s="105"/>
      <c r="EC57" s="105"/>
      <c r="ED57" s="100"/>
      <c r="EE57" s="100"/>
    </row>
    <row r="58" spans="2:135" ht="18" customHeight="1" outlineLevel="1" x14ac:dyDescent="0.15">
      <c r="B58" s="115"/>
      <c r="C58" s="116"/>
      <c r="D58" s="112" t="s">
        <v>136</v>
      </c>
      <c r="E58" s="112"/>
      <c r="F58" s="112"/>
      <c r="G58" s="112"/>
      <c r="H58" s="112"/>
      <c r="I58" s="112"/>
      <c r="J58" s="112"/>
      <c r="K58" s="51"/>
      <c r="L58" s="59"/>
      <c r="M58" s="58"/>
      <c r="N58" s="59"/>
      <c r="O58" s="60"/>
      <c r="P58" s="61"/>
      <c r="Q58" s="62"/>
      <c r="R58" s="10"/>
      <c r="S58" s="19"/>
      <c r="T58" s="15"/>
      <c r="U58" s="15"/>
      <c r="V58" s="14"/>
      <c r="W58" s="14"/>
      <c r="X58" s="69"/>
      <c r="Y58" s="69"/>
      <c r="Z58" s="69"/>
      <c r="AA58" s="69"/>
      <c r="AB58" s="69"/>
      <c r="AC58" s="76"/>
      <c r="AD58" s="77"/>
      <c r="AE58" s="101"/>
      <c r="AF58" s="102"/>
      <c r="AG58" s="102"/>
      <c r="AH58" s="104"/>
      <c r="AI58" s="105"/>
      <c r="AJ58" s="102"/>
      <c r="AK58" s="102"/>
      <c r="AL58" s="102"/>
      <c r="AM58" s="102"/>
      <c r="AN58" s="102"/>
      <c r="AO58" s="104"/>
      <c r="AP58" s="105"/>
      <c r="AQ58" s="102"/>
      <c r="AR58" s="102"/>
      <c r="AS58" s="102"/>
      <c r="AT58" s="102"/>
      <c r="AU58" s="102"/>
      <c r="AV58" s="104"/>
      <c r="AW58" s="105"/>
      <c r="AX58" s="101"/>
      <c r="AY58" s="100"/>
      <c r="AZ58" s="100"/>
      <c r="BA58" s="100"/>
      <c r="BB58" s="102"/>
      <c r="BC58" s="104"/>
      <c r="BD58" s="105"/>
      <c r="BE58" s="105"/>
      <c r="BF58" s="100"/>
      <c r="BG58" s="100"/>
      <c r="BH58" s="100"/>
      <c r="BI58" s="102"/>
      <c r="BJ58" s="104"/>
      <c r="BK58" s="105"/>
      <c r="BL58" s="100"/>
      <c r="BM58" s="100"/>
      <c r="BN58" s="100"/>
      <c r="BO58" s="100"/>
      <c r="BP58" s="101"/>
      <c r="BQ58" s="104"/>
      <c r="BR58" s="105"/>
      <c r="BS58" s="101"/>
      <c r="BT58" s="100"/>
      <c r="BU58" s="100"/>
      <c r="BV58" s="100"/>
      <c r="BW58" s="102"/>
      <c r="BX58" s="104"/>
      <c r="BY58" s="105"/>
      <c r="BZ58" s="101"/>
      <c r="CA58" s="100"/>
      <c r="CB58" s="100"/>
      <c r="CC58" s="100"/>
      <c r="CD58" s="102"/>
      <c r="CE58" s="104"/>
      <c r="CF58" s="105"/>
      <c r="CG58" s="101"/>
      <c r="CH58" s="100"/>
      <c r="CI58" s="105"/>
      <c r="CJ58" s="100"/>
      <c r="CK58" s="102"/>
      <c r="CL58" s="104"/>
      <c r="CM58" s="105"/>
      <c r="CN58" s="101"/>
      <c r="CO58" s="100"/>
      <c r="CP58" s="100"/>
      <c r="CQ58" s="100"/>
      <c r="CR58" s="102"/>
      <c r="CS58" s="104"/>
      <c r="CT58" s="105"/>
      <c r="CU58" s="105"/>
      <c r="CV58" s="100"/>
      <c r="CW58" s="100"/>
      <c r="CX58" s="100"/>
      <c r="CY58" s="102"/>
      <c r="CZ58" s="104"/>
      <c r="DA58" s="105"/>
      <c r="DB58" s="101"/>
      <c r="DC58" s="101"/>
      <c r="DD58" s="100"/>
      <c r="DE58" s="100"/>
      <c r="DF58" s="102"/>
      <c r="DG58" s="104"/>
      <c r="DH58" s="105"/>
      <c r="DI58" s="101"/>
      <c r="DJ58" s="100"/>
      <c r="DK58" s="100"/>
      <c r="DL58" s="100"/>
      <c r="DM58" s="102"/>
      <c r="DN58" s="104"/>
      <c r="DO58" s="105"/>
      <c r="DP58" s="101"/>
      <c r="DQ58" s="100"/>
      <c r="DR58" s="100"/>
      <c r="DS58" s="100"/>
      <c r="DT58" s="105"/>
      <c r="DU58" s="104"/>
      <c r="DV58" s="105"/>
      <c r="DW58" s="101"/>
      <c r="DX58" s="100"/>
      <c r="DY58" s="100"/>
      <c r="DZ58" s="100"/>
      <c r="EA58" s="100"/>
      <c r="EB58" s="105"/>
      <c r="EC58" s="105"/>
      <c r="ED58" s="100"/>
      <c r="EE58" s="100"/>
    </row>
    <row r="59" spans="2:135" ht="18" customHeight="1" outlineLevel="2" x14ac:dyDescent="0.15">
      <c r="B59" s="115">
        <f t="shared" si="0"/>
        <v>51</v>
      </c>
      <c r="C59" s="116"/>
      <c r="D59" s="112"/>
      <c r="E59" s="112" t="s">
        <v>94</v>
      </c>
      <c r="F59" s="112"/>
      <c r="G59" s="112"/>
      <c r="H59" s="112"/>
      <c r="I59" s="112"/>
      <c r="J59" s="112"/>
      <c r="K59" s="51"/>
      <c r="L59" s="59"/>
      <c r="M59" s="58" t="s">
        <v>117</v>
      </c>
      <c r="N59" s="59" t="s">
        <v>120</v>
      </c>
      <c r="O59" s="60">
        <v>1.9</v>
      </c>
      <c r="P59" s="61"/>
      <c r="Q59" s="62"/>
      <c r="R59" s="10">
        <f t="shared" si="1"/>
        <v>0</v>
      </c>
      <c r="S59" s="19"/>
      <c r="T59" s="15">
        <f t="shared" si="6"/>
        <v>0</v>
      </c>
      <c r="U59" s="15">
        <f t="shared" si="7"/>
        <v>0</v>
      </c>
      <c r="V59" s="14" t="str">
        <f t="shared" si="8"/>
        <v>-</v>
      </c>
      <c r="W59" s="14" t="str">
        <f t="shared" si="9"/>
        <v>-</v>
      </c>
      <c r="X59" s="69"/>
      <c r="Y59" s="69"/>
      <c r="Z59" s="69"/>
      <c r="AA59" s="69"/>
      <c r="AB59" s="69"/>
      <c r="AC59" s="76">
        <v>46077</v>
      </c>
      <c r="AD59" s="77">
        <v>46079</v>
      </c>
      <c r="AE59" s="101"/>
      <c r="AF59" s="102"/>
      <c r="AG59" s="102"/>
      <c r="AH59" s="104"/>
      <c r="AI59" s="105"/>
      <c r="AJ59" s="102"/>
      <c r="AK59" s="102"/>
      <c r="AL59" s="102"/>
      <c r="AM59" s="102"/>
      <c r="AN59" s="102"/>
      <c r="AO59" s="104"/>
      <c r="AP59" s="105"/>
      <c r="AQ59" s="102"/>
      <c r="AR59" s="102"/>
      <c r="AS59" s="102"/>
      <c r="AT59" s="102"/>
      <c r="AU59" s="102"/>
      <c r="AV59" s="104"/>
      <c r="AW59" s="105"/>
      <c r="AX59" s="101"/>
      <c r="AY59" s="100"/>
      <c r="AZ59" s="100"/>
      <c r="BA59" s="100"/>
      <c r="BB59" s="102"/>
      <c r="BC59" s="104"/>
      <c r="BD59" s="105"/>
      <c r="BE59" s="105"/>
      <c r="BF59" s="100"/>
      <c r="BG59" s="100"/>
      <c r="BH59" s="100"/>
      <c r="BI59" s="102"/>
      <c r="BJ59" s="104"/>
      <c r="BK59" s="105"/>
      <c r="BL59" s="100"/>
      <c r="BM59" s="100"/>
      <c r="BN59" s="100"/>
      <c r="BO59" s="100"/>
      <c r="BP59" s="101"/>
      <c r="BQ59" s="104"/>
      <c r="BR59" s="105"/>
      <c r="BS59" s="101"/>
      <c r="BT59" s="100"/>
      <c r="BU59" s="100"/>
      <c r="BV59" s="100"/>
      <c r="BW59" s="102"/>
      <c r="BX59" s="104"/>
      <c r="BY59" s="105"/>
      <c r="BZ59" s="101"/>
      <c r="CA59" s="100"/>
      <c r="CB59" s="100"/>
      <c r="CC59" s="100"/>
      <c r="CD59" s="102"/>
      <c r="CE59" s="104"/>
      <c r="CF59" s="105"/>
      <c r="CG59" s="101"/>
      <c r="CH59" s="100"/>
      <c r="CI59" s="105"/>
      <c r="CJ59" s="100"/>
      <c r="CK59" s="102"/>
      <c r="CL59" s="104"/>
      <c r="CM59" s="105"/>
      <c r="CN59" s="101"/>
      <c r="CO59" s="100"/>
      <c r="CP59" s="100"/>
      <c r="CQ59" s="100"/>
      <c r="CR59" s="102"/>
      <c r="CS59" s="104"/>
      <c r="CT59" s="105"/>
      <c r="CU59" s="105"/>
      <c r="CV59" s="100"/>
      <c r="CW59" s="100"/>
      <c r="CX59" s="100"/>
      <c r="CY59" s="102"/>
      <c r="CZ59" s="104"/>
      <c r="DA59" s="105"/>
      <c r="DB59" s="101"/>
      <c r="DC59" s="101"/>
      <c r="DD59" s="100"/>
      <c r="DE59" s="100"/>
      <c r="DF59" s="102"/>
      <c r="DG59" s="104"/>
      <c r="DH59" s="105"/>
      <c r="DI59" s="101"/>
      <c r="DJ59" s="100"/>
      <c r="DK59" s="100"/>
      <c r="DL59" s="100"/>
      <c r="DM59" s="102"/>
      <c r="DN59" s="104"/>
      <c r="DO59" s="105"/>
      <c r="DP59" s="101"/>
      <c r="DQ59" s="100"/>
      <c r="DR59" s="100"/>
      <c r="DS59" s="100"/>
      <c r="DT59" s="105"/>
      <c r="DU59" s="104"/>
      <c r="DV59" s="105"/>
      <c r="DW59" s="101"/>
      <c r="DX59" s="100"/>
      <c r="DY59" s="100"/>
      <c r="DZ59" s="100"/>
      <c r="EA59" s="100"/>
      <c r="EB59" s="105"/>
      <c r="EC59" s="105"/>
      <c r="ED59" s="100"/>
      <c r="EE59" s="100"/>
    </row>
    <row r="60" spans="2:135" ht="18" customHeight="1" outlineLevel="2" x14ac:dyDescent="0.15">
      <c r="B60" s="115">
        <f t="shared" si="0"/>
        <v>52</v>
      </c>
      <c r="C60" s="116"/>
      <c r="D60" s="112"/>
      <c r="E60" s="112" t="s">
        <v>95</v>
      </c>
      <c r="F60" s="112"/>
      <c r="G60" s="112"/>
      <c r="H60" s="112"/>
      <c r="I60" s="112"/>
      <c r="J60" s="112"/>
      <c r="K60" s="51"/>
      <c r="L60" s="59"/>
      <c r="M60" s="58" t="s">
        <v>117</v>
      </c>
      <c r="N60" s="59" t="s">
        <v>119</v>
      </c>
      <c r="O60" s="60">
        <v>1.6</v>
      </c>
      <c r="P60" s="61"/>
      <c r="Q60" s="62"/>
      <c r="R60" s="10">
        <f t="shared" si="1"/>
        <v>0</v>
      </c>
      <c r="S60" s="19"/>
      <c r="T60" s="15">
        <f t="shared" si="6"/>
        <v>0</v>
      </c>
      <c r="U60" s="15">
        <f t="shared" si="7"/>
        <v>0</v>
      </c>
      <c r="V60" s="14" t="str">
        <f t="shared" si="8"/>
        <v>-</v>
      </c>
      <c r="W60" s="14" t="str">
        <f t="shared" si="9"/>
        <v>-</v>
      </c>
      <c r="X60" s="69"/>
      <c r="Y60" s="69"/>
      <c r="Z60" s="69"/>
      <c r="AA60" s="69"/>
      <c r="AB60" s="69"/>
      <c r="AC60" s="76">
        <v>46080</v>
      </c>
      <c r="AD60" s="77">
        <v>46083</v>
      </c>
      <c r="AE60" s="101"/>
      <c r="AF60" s="102"/>
      <c r="AG60" s="102"/>
      <c r="AH60" s="104"/>
      <c r="AI60" s="105"/>
      <c r="AJ60" s="102"/>
      <c r="AK60" s="102"/>
      <c r="AL60" s="102"/>
      <c r="AM60" s="102"/>
      <c r="AN60" s="102"/>
      <c r="AO60" s="104"/>
      <c r="AP60" s="105"/>
      <c r="AQ60" s="102"/>
      <c r="AR60" s="102"/>
      <c r="AS60" s="102"/>
      <c r="AT60" s="102"/>
      <c r="AU60" s="102"/>
      <c r="AV60" s="104"/>
      <c r="AW60" s="105"/>
      <c r="AX60" s="101"/>
      <c r="AY60" s="100"/>
      <c r="AZ60" s="100"/>
      <c r="BA60" s="100"/>
      <c r="BB60" s="102"/>
      <c r="BC60" s="104"/>
      <c r="BD60" s="105"/>
      <c r="BE60" s="105"/>
      <c r="BF60" s="100"/>
      <c r="BG60" s="100"/>
      <c r="BH60" s="100"/>
      <c r="BI60" s="102"/>
      <c r="BJ60" s="104"/>
      <c r="BK60" s="105"/>
      <c r="BL60" s="100"/>
      <c r="BM60" s="100"/>
      <c r="BN60" s="100"/>
      <c r="BO60" s="100"/>
      <c r="BP60" s="101"/>
      <c r="BQ60" s="104"/>
      <c r="BR60" s="105"/>
      <c r="BS60" s="101"/>
      <c r="BT60" s="100"/>
      <c r="BU60" s="100"/>
      <c r="BV60" s="100"/>
      <c r="BW60" s="102"/>
      <c r="BX60" s="104"/>
      <c r="BY60" s="105"/>
      <c r="BZ60" s="101"/>
      <c r="CA60" s="100"/>
      <c r="CB60" s="100"/>
      <c r="CC60" s="100"/>
      <c r="CD60" s="102"/>
      <c r="CE60" s="104"/>
      <c r="CF60" s="105"/>
      <c r="CG60" s="101"/>
      <c r="CH60" s="100"/>
      <c r="CI60" s="105"/>
      <c r="CJ60" s="100"/>
      <c r="CK60" s="102"/>
      <c r="CL60" s="104"/>
      <c r="CM60" s="105"/>
      <c r="CN60" s="101"/>
      <c r="CO60" s="100"/>
      <c r="CP60" s="100"/>
      <c r="CQ60" s="100"/>
      <c r="CR60" s="102"/>
      <c r="CS60" s="104"/>
      <c r="CT60" s="105"/>
      <c r="CU60" s="105"/>
      <c r="CV60" s="100"/>
      <c r="CW60" s="100"/>
      <c r="CX60" s="100"/>
      <c r="CY60" s="102"/>
      <c r="CZ60" s="104"/>
      <c r="DA60" s="105"/>
      <c r="DB60" s="101"/>
      <c r="DC60" s="101"/>
      <c r="DD60" s="100"/>
      <c r="DE60" s="100"/>
      <c r="DF60" s="102"/>
      <c r="DG60" s="104"/>
      <c r="DH60" s="105"/>
      <c r="DI60" s="101"/>
      <c r="DJ60" s="100"/>
      <c r="DK60" s="100"/>
      <c r="DL60" s="100"/>
      <c r="DM60" s="102"/>
      <c r="DN60" s="104"/>
      <c r="DO60" s="105"/>
      <c r="DP60" s="101"/>
      <c r="DQ60" s="100"/>
      <c r="DR60" s="100"/>
      <c r="DS60" s="100"/>
      <c r="DT60" s="105"/>
      <c r="DU60" s="104"/>
      <c r="DV60" s="105"/>
      <c r="DW60" s="101"/>
      <c r="DX60" s="100"/>
      <c r="DY60" s="100"/>
      <c r="DZ60" s="100"/>
      <c r="EA60" s="100"/>
      <c r="EB60" s="105"/>
      <c r="EC60" s="105"/>
      <c r="ED60" s="100"/>
      <c r="EE60" s="100"/>
    </row>
    <row r="61" spans="2:135" ht="18" customHeight="1" outlineLevel="2" x14ac:dyDescent="0.15">
      <c r="B61" s="115">
        <f t="shared" si="0"/>
        <v>53</v>
      </c>
      <c r="C61" s="116"/>
      <c r="D61" s="112"/>
      <c r="E61" s="112" t="s">
        <v>96</v>
      </c>
      <c r="F61" s="112"/>
      <c r="G61" s="112"/>
      <c r="H61" s="112"/>
      <c r="I61" s="112"/>
      <c r="J61" s="112"/>
      <c r="K61" s="51"/>
      <c r="L61" s="59"/>
      <c r="M61" s="58" t="s">
        <v>117</v>
      </c>
      <c r="N61" s="59" t="s">
        <v>119</v>
      </c>
      <c r="O61" s="60">
        <v>0.3</v>
      </c>
      <c r="P61" s="61"/>
      <c r="Q61" s="62"/>
      <c r="R61" s="10">
        <f t="shared" si="1"/>
        <v>0</v>
      </c>
      <c r="S61" s="19"/>
      <c r="T61" s="15">
        <f t="shared" si="6"/>
        <v>0</v>
      </c>
      <c r="U61" s="15">
        <f t="shared" si="7"/>
        <v>0</v>
      </c>
      <c r="V61" s="14" t="str">
        <f t="shared" si="8"/>
        <v>-</v>
      </c>
      <c r="W61" s="14" t="str">
        <f t="shared" si="9"/>
        <v>-</v>
      </c>
      <c r="X61" s="69"/>
      <c r="Y61" s="69"/>
      <c r="Z61" s="69"/>
      <c r="AA61" s="69"/>
      <c r="AB61" s="69"/>
      <c r="AC61" s="76">
        <v>46084</v>
      </c>
      <c r="AD61" s="76">
        <v>46085</v>
      </c>
      <c r="AE61" s="101"/>
      <c r="AF61" s="102"/>
      <c r="AG61" s="102"/>
      <c r="AH61" s="104"/>
      <c r="AI61" s="105"/>
      <c r="AJ61" s="102"/>
      <c r="AK61" s="102"/>
      <c r="AL61" s="102"/>
      <c r="AM61" s="102"/>
      <c r="AN61" s="102"/>
      <c r="AO61" s="104"/>
      <c r="AP61" s="105"/>
      <c r="AQ61" s="102"/>
      <c r="AR61" s="102"/>
      <c r="AS61" s="102"/>
      <c r="AT61" s="102"/>
      <c r="AU61" s="102"/>
      <c r="AV61" s="104"/>
      <c r="AW61" s="105"/>
      <c r="AX61" s="101"/>
      <c r="AY61" s="100"/>
      <c r="AZ61" s="100"/>
      <c r="BA61" s="100"/>
      <c r="BB61" s="102"/>
      <c r="BC61" s="104"/>
      <c r="BD61" s="105"/>
      <c r="BE61" s="105"/>
      <c r="BF61" s="100"/>
      <c r="BG61" s="100"/>
      <c r="BH61" s="100"/>
      <c r="BI61" s="102"/>
      <c r="BJ61" s="104"/>
      <c r="BK61" s="105"/>
      <c r="BL61" s="100"/>
      <c r="BM61" s="100"/>
      <c r="BN61" s="100"/>
      <c r="BO61" s="100"/>
      <c r="BP61" s="101"/>
      <c r="BQ61" s="104"/>
      <c r="BR61" s="105"/>
      <c r="BS61" s="101"/>
      <c r="BT61" s="100"/>
      <c r="BU61" s="100"/>
      <c r="BV61" s="100"/>
      <c r="BW61" s="102"/>
      <c r="BX61" s="104"/>
      <c r="BY61" s="105"/>
      <c r="BZ61" s="101"/>
      <c r="CA61" s="100"/>
      <c r="CB61" s="100"/>
      <c r="CC61" s="100"/>
      <c r="CD61" s="102"/>
      <c r="CE61" s="104"/>
      <c r="CF61" s="105"/>
      <c r="CG61" s="101"/>
      <c r="CH61" s="100"/>
      <c r="CI61" s="105"/>
      <c r="CJ61" s="100"/>
      <c r="CK61" s="102"/>
      <c r="CL61" s="104"/>
      <c r="CM61" s="105"/>
      <c r="CN61" s="101"/>
      <c r="CO61" s="100"/>
      <c r="CP61" s="100"/>
      <c r="CQ61" s="100"/>
      <c r="CR61" s="102"/>
      <c r="CS61" s="104"/>
      <c r="CT61" s="105"/>
      <c r="CU61" s="105"/>
      <c r="CV61" s="100"/>
      <c r="CW61" s="100"/>
      <c r="CX61" s="100"/>
      <c r="CY61" s="102"/>
      <c r="CZ61" s="104"/>
      <c r="DA61" s="105"/>
      <c r="DB61" s="101"/>
      <c r="DC61" s="101"/>
      <c r="DD61" s="100"/>
      <c r="DE61" s="100"/>
      <c r="DF61" s="102"/>
      <c r="DG61" s="104"/>
      <c r="DH61" s="105"/>
      <c r="DI61" s="101"/>
      <c r="DJ61" s="100"/>
      <c r="DK61" s="100"/>
      <c r="DL61" s="100"/>
      <c r="DM61" s="102"/>
      <c r="DN61" s="104"/>
      <c r="DO61" s="105"/>
      <c r="DP61" s="101"/>
      <c r="DQ61" s="100"/>
      <c r="DR61" s="100"/>
      <c r="DS61" s="100"/>
      <c r="DT61" s="105"/>
      <c r="DU61" s="104"/>
      <c r="DV61" s="105"/>
      <c r="DW61" s="101"/>
      <c r="DX61" s="100"/>
      <c r="DY61" s="100"/>
      <c r="DZ61" s="100"/>
      <c r="EA61" s="100"/>
      <c r="EB61" s="105"/>
      <c r="EC61" s="105"/>
      <c r="ED61" s="100"/>
      <c r="EE61" s="100"/>
    </row>
    <row r="62" spans="2:135" ht="18" customHeight="1" outlineLevel="2" x14ac:dyDescent="0.15">
      <c r="B62" s="115">
        <f t="shared" si="0"/>
        <v>54</v>
      </c>
      <c r="C62" s="116"/>
      <c r="D62" s="112"/>
      <c r="E62" s="112" t="s">
        <v>78</v>
      </c>
      <c r="F62" s="112"/>
      <c r="G62" s="112"/>
      <c r="H62" s="112"/>
      <c r="I62" s="112"/>
      <c r="J62" s="112"/>
      <c r="K62" s="51"/>
      <c r="L62" s="59"/>
      <c r="M62" s="58" t="s">
        <v>117</v>
      </c>
      <c r="N62" s="59" t="s">
        <v>120</v>
      </c>
      <c r="O62" s="60">
        <v>0.4</v>
      </c>
      <c r="P62" s="61"/>
      <c r="Q62" s="62"/>
      <c r="R62" s="10">
        <f t="shared" si="1"/>
        <v>0</v>
      </c>
      <c r="S62" s="19"/>
      <c r="T62" s="15">
        <f t="shared" si="6"/>
        <v>0</v>
      </c>
      <c r="U62" s="15">
        <f t="shared" si="7"/>
        <v>0</v>
      </c>
      <c r="V62" s="14" t="str">
        <f t="shared" si="8"/>
        <v>-</v>
      </c>
      <c r="W62" s="14" t="str">
        <f t="shared" si="9"/>
        <v>-</v>
      </c>
      <c r="X62" s="69"/>
      <c r="Y62" s="69"/>
      <c r="Z62" s="69"/>
      <c r="AA62" s="69"/>
      <c r="AB62" s="69"/>
      <c r="AC62" s="76">
        <v>46086</v>
      </c>
      <c r="AD62" s="77">
        <v>46086</v>
      </c>
      <c r="AE62" s="101"/>
      <c r="AF62" s="102"/>
      <c r="AG62" s="102"/>
      <c r="AH62" s="104"/>
      <c r="AI62" s="105"/>
      <c r="AJ62" s="102"/>
      <c r="AK62" s="102"/>
      <c r="AL62" s="102"/>
      <c r="AM62" s="102"/>
      <c r="AN62" s="102"/>
      <c r="AO62" s="104"/>
      <c r="AP62" s="105"/>
      <c r="AQ62" s="102"/>
      <c r="AR62" s="102"/>
      <c r="AS62" s="102"/>
      <c r="AT62" s="102"/>
      <c r="AU62" s="102"/>
      <c r="AV62" s="104"/>
      <c r="AW62" s="105"/>
      <c r="AX62" s="101"/>
      <c r="AY62" s="100"/>
      <c r="AZ62" s="100"/>
      <c r="BA62" s="100"/>
      <c r="BB62" s="102"/>
      <c r="BC62" s="104"/>
      <c r="BD62" s="105"/>
      <c r="BE62" s="105"/>
      <c r="BF62" s="100"/>
      <c r="BG62" s="100"/>
      <c r="BH62" s="100"/>
      <c r="BI62" s="102"/>
      <c r="BJ62" s="104"/>
      <c r="BK62" s="105"/>
      <c r="BL62" s="100"/>
      <c r="BM62" s="100"/>
      <c r="BN62" s="100"/>
      <c r="BO62" s="100"/>
      <c r="BP62" s="101"/>
      <c r="BQ62" s="104"/>
      <c r="BR62" s="105"/>
      <c r="BS62" s="101"/>
      <c r="BT62" s="100"/>
      <c r="BU62" s="100"/>
      <c r="BV62" s="100"/>
      <c r="BW62" s="102"/>
      <c r="BX62" s="104"/>
      <c r="BY62" s="105"/>
      <c r="BZ62" s="101"/>
      <c r="CA62" s="100"/>
      <c r="CB62" s="100"/>
      <c r="CC62" s="100"/>
      <c r="CD62" s="102"/>
      <c r="CE62" s="104"/>
      <c r="CF62" s="105"/>
      <c r="CG62" s="101"/>
      <c r="CH62" s="100"/>
      <c r="CI62" s="105"/>
      <c r="CJ62" s="100"/>
      <c r="CK62" s="102"/>
      <c r="CL62" s="104"/>
      <c r="CM62" s="105"/>
      <c r="CN62" s="101"/>
      <c r="CO62" s="100"/>
      <c r="CP62" s="100"/>
      <c r="CQ62" s="100"/>
      <c r="CR62" s="102"/>
      <c r="CS62" s="104"/>
      <c r="CT62" s="105"/>
      <c r="CU62" s="105"/>
      <c r="CV62" s="100"/>
      <c r="CW62" s="100"/>
      <c r="CX62" s="100"/>
      <c r="CY62" s="102"/>
      <c r="CZ62" s="104"/>
      <c r="DA62" s="105"/>
      <c r="DB62" s="101"/>
      <c r="DC62" s="101"/>
      <c r="DD62" s="100"/>
      <c r="DE62" s="100"/>
      <c r="DF62" s="102"/>
      <c r="DG62" s="104"/>
      <c r="DH62" s="105"/>
      <c r="DI62" s="101"/>
      <c r="DJ62" s="100"/>
      <c r="DK62" s="100"/>
      <c r="DL62" s="100"/>
      <c r="DM62" s="102"/>
      <c r="DN62" s="104"/>
      <c r="DO62" s="105"/>
      <c r="DP62" s="101"/>
      <c r="DQ62" s="100"/>
      <c r="DR62" s="100"/>
      <c r="DS62" s="100"/>
      <c r="DT62" s="105"/>
      <c r="DU62" s="104"/>
      <c r="DV62" s="105"/>
      <c r="DW62" s="101"/>
      <c r="DX62" s="100"/>
      <c r="DY62" s="100"/>
      <c r="DZ62" s="100"/>
      <c r="EA62" s="100"/>
      <c r="EB62" s="105"/>
      <c r="EC62" s="105"/>
      <c r="ED62" s="100"/>
      <c r="EE62" s="100"/>
    </row>
    <row r="63" spans="2:135" ht="18" customHeight="1" outlineLevel="2" x14ac:dyDescent="0.15">
      <c r="B63" s="115">
        <f t="shared" si="0"/>
        <v>55</v>
      </c>
      <c r="C63" s="116" t="s">
        <v>97</v>
      </c>
      <c r="D63" s="112"/>
      <c r="E63" s="112"/>
      <c r="F63" s="112"/>
      <c r="G63" s="112"/>
      <c r="H63" s="112"/>
      <c r="I63" s="112"/>
      <c r="J63" s="112"/>
      <c r="K63" s="51"/>
      <c r="L63" s="59"/>
      <c r="M63" s="58"/>
      <c r="N63" s="59"/>
      <c r="O63" s="60"/>
      <c r="P63" s="61"/>
      <c r="Q63" s="62"/>
      <c r="R63" s="10">
        <f t="shared" si="1"/>
        <v>0</v>
      </c>
      <c r="S63" s="19"/>
      <c r="T63" s="15">
        <f t="shared" si="6"/>
        <v>0</v>
      </c>
      <c r="U63" s="15">
        <f t="shared" si="7"/>
        <v>0</v>
      </c>
      <c r="V63" s="14" t="str">
        <f t="shared" si="8"/>
        <v>-</v>
      </c>
      <c r="W63" s="14" t="str">
        <f t="shared" si="9"/>
        <v>-</v>
      </c>
      <c r="X63" s="69"/>
      <c r="Y63" s="69"/>
      <c r="Z63" s="69"/>
      <c r="AA63" s="69"/>
      <c r="AB63" s="69"/>
      <c r="AC63" s="76"/>
      <c r="AD63" s="76"/>
      <c r="AE63" s="101"/>
      <c r="AF63" s="102"/>
      <c r="AG63" s="102"/>
      <c r="AH63" s="104"/>
      <c r="AI63" s="105"/>
      <c r="AJ63" s="102"/>
      <c r="AK63" s="102"/>
      <c r="AL63" s="102"/>
      <c r="AM63" s="102"/>
      <c r="AN63" s="102"/>
      <c r="AO63" s="104"/>
      <c r="AP63" s="105"/>
      <c r="AQ63" s="102"/>
      <c r="AR63" s="102"/>
      <c r="AS63" s="102"/>
      <c r="AT63" s="102"/>
      <c r="AU63" s="102"/>
      <c r="AV63" s="104"/>
      <c r="AW63" s="105"/>
      <c r="AX63" s="101"/>
      <c r="AY63" s="100"/>
      <c r="AZ63" s="100"/>
      <c r="BA63" s="100"/>
      <c r="BB63" s="102"/>
      <c r="BC63" s="104"/>
      <c r="BD63" s="105"/>
      <c r="BE63" s="105"/>
      <c r="BF63" s="100"/>
      <c r="BG63" s="100"/>
      <c r="BH63" s="100"/>
      <c r="BI63" s="102"/>
      <c r="BJ63" s="104"/>
      <c r="BK63" s="105"/>
      <c r="BL63" s="100"/>
      <c r="BM63" s="100"/>
      <c r="BN63" s="100"/>
      <c r="BO63" s="100"/>
      <c r="BP63" s="101"/>
      <c r="BQ63" s="104"/>
      <c r="BR63" s="105"/>
      <c r="BS63" s="101"/>
      <c r="BT63" s="100"/>
      <c r="BU63" s="100"/>
      <c r="BV63" s="100"/>
      <c r="BW63" s="102"/>
      <c r="BX63" s="104"/>
      <c r="BY63" s="105"/>
      <c r="BZ63" s="101"/>
      <c r="CA63" s="100"/>
      <c r="CB63" s="100"/>
      <c r="CC63" s="100"/>
      <c r="CD63" s="102"/>
      <c r="CE63" s="104"/>
      <c r="CF63" s="105"/>
      <c r="CG63" s="101"/>
      <c r="CH63" s="100"/>
      <c r="CI63" s="105"/>
      <c r="CJ63" s="100"/>
      <c r="CK63" s="102"/>
      <c r="CL63" s="104"/>
      <c r="CM63" s="105"/>
      <c r="CN63" s="101"/>
      <c r="CO63" s="100"/>
      <c r="CP63" s="100"/>
      <c r="CQ63" s="100"/>
      <c r="CR63" s="102"/>
      <c r="CS63" s="104"/>
      <c r="CT63" s="105"/>
      <c r="CU63" s="105"/>
      <c r="CV63" s="100"/>
      <c r="CW63" s="100"/>
      <c r="CX63" s="100"/>
      <c r="CY63" s="102"/>
      <c r="CZ63" s="104"/>
      <c r="DA63" s="105"/>
      <c r="DB63" s="101"/>
      <c r="DC63" s="101"/>
      <c r="DD63" s="100"/>
      <c r="DE63" s="100"/>
      <c r="DF63" s="102"/>
      <c r="DG63" s="104"/>
      <c r="DH63" s="105"/>
      <c r="DI63" s="101"/>
      <c r="DJ63" s="100"/>
      <c r="DK63" s="100"/>
      <c r="DL63" s="100"/>
      <c r="DM63" s="102"/>
      <c r="DN63" s="104"/>
      <c r="DO63" s="105"/>
      <c r="DP63" s="101"/>
      <c r="DQ63" s="100"/>
      <c r="DR63" s="100"/>
      <c r="DS63" s="100"/>
      <c r="DT63" s="105"/>
      <c r="DU63" s="104"/>
      <c r="DV63" s="105"/>
      <c r="DW63" s="101"/>
      <c r="DX63" s="100"/>
      <c r="DY63" s="100"/>
      <c r="DZ63" s="100"/>
      <c r="EA63" s="100"/>
      <c r="EB63" s="105"/>
      <c r="EC63" s="105"/>
      <c r="ED63" s="100"/>
      <c r="EE63" s="100"/>
    </row>
    <row r="64" spans="2:135" ht="18" customHeight="1" outlineLevel="2" x14ac:dyDescent="0.15">
      <c r="B64" s="115"/>
      <c r="C64" s="116"/>
      <c r="D64" s="112" t="s">
        <v>137</v>
      </c>
      <c r="E64" s="112"/>
      <c r="F64" s="112"/>
      <c r="G64" s="112"/>
      <c r="H64" s="112"/>
      <c r="I64" s="112"/>
      <c r="J64" s="112"/>
      <c r="K64" s="51"/>
      <c r="L64" s="59"/>
      <c r="M64" s="58"/>
      <c r="N64" s="59"/>
      <c r="O64" s="60"/>
      <c r="P64" s="61"/>
      <c r="Q64" s="62"/>
      <c r="R64" s="10"/>
      <c r="S64" s="19"/>
      <c r="T64" s="15"/>
      <c r="U64" s="15"/>
      <c r="V64" s="14"/>
      <c r="W64" s="14"/>
      <c r="X64" s="69"/>
      <c r="Y64" s="69"/>
      <c r="Z64" s="69"/>
      <c r="AA64" s="69"/>
      <c r="AB64" s="69"/>
      <c r="AC64" s="76"/>
      <c r="AD64" s="76"/>
      <c r="AE64" s="101"/>
      <c r="AF64" s="102"/>
      <c r="AG64" s="102"/>
      <c r="AH64" s="104"/>
      <c r="AI64" s="105"/>
      <c r="AJ64" s="102"/>
      <c r="AK64" s="102"/>
      <c r="AL64" s="102"/>
      <c r="AM64" s="102"/>
      <c r="AN64" s="102"/>
      <c r="AO64" s="104"/>
      <c r="AP64" s="105"/>
      <c r="AQ64" s="102"/>
      <c r="AR64" s="102"/>
      <c r="AS64" s="102"/>
      <c r="AT64" s="102"/>
      <c r="AU64" s="102"/>
      <c r="AV64" s="104"/>
      <c r="AW64" s="105"/>
      <c r="AX64" s="101"/>
      <c r="AY64" s="100"/>
      <c r="AZ64" s="100"/>
      <c r="BA64" s="100"/>
      <c r="BB64" s="102"/>
      <c r="BC64" s="104"/>
      <c r="BD64" s="105"/>
      <c r="BE64" s="105"/>
      <c r="BF64" s="100"/>
      <c r="BG64" s="100"/>
      <c r="BH64" s="100"/>
      <c r="BI64" s="102"/>
      <c r="BJ64" s="104"/>
      <c r="BK64" s="105"/>
      <c r="BL64" s="100"/>
      <c r="BM64" s="100"/>
      <c r="BN64" s="100"/>
      <c r="BO64" s="100"/>
      <c r="BP64" s="101"/>
      <c r="BQ64" s="104"/>
      <c r="BR64" s="105"/>
      <c r="BS64" s="101"/>
      <c r="BT64" s="100"/>
      <c r="BU64" s="100"/>
      <c r="BV64" s="100"/>
      <c r="BW64" s="102"/>
      <c r="BX64" s="104"/>
      <c r="BY64" s="105"/>
      <c r="BZ64" s="101"/>
      <c r="CA64" s="100"/>
      <c r="CB64" s="100"/>
      <c r="CC64" s="100"/>
      <c r="CD64" s="102"/>
      <c r="CE64" s="104"/>
      <c r="CF64" s="105"/>
      <c r="CG64" s="101"/>
      <c r="CH64" s="100"/>
      <c r="CI64" s="105"/>
      <c r="CJ64" s="100"/>
      <c r="CK64" s="102"/>
      <c r="CL64" s="104"/>
      <c r="CM64" s="105"/>
      <c r="CN64" s="101"/>
      <c r="CO64" s="100"/>
      <c r="CP64" s="100"/>
      <c r="CQ64" s="100"/>
      <c r="CR64" s="102"/>
      <c r="CS64" s="104"/>
      <c r="CT64" s="105"/>
      <c r="CU64" s="105"/>
      <c r="CV64" s="100"/>
      <c r="CW64" s="100"/>
      <c r="CX64" s="100"/>
      <c r="CY64" s="102"/>
      <c r="CZ64" s="104"/>
      <c r="DA64" s="105"/>
      <c r="DB64" s="101"/>
      <c r="DC64" s="101"/>
      <c r="DD64" s="100"/>
      <c r="DE64" s="100"/>
      <c r="DF64" s="102"/>
      <c r="DG64" s="104"/>
      <c r="DH64" s="105"/>
      <c r="DI64" s="101"/>
      <c r="DJ64" s="100"/>
      <c r="DK64" s="100"/>
      <c r="DL64" s="100"/>
      <c r="DM64" s="102"/>
      <c r="DN64" s="104"/>
      <c r="DO64" s="105"/>
      <c r="DP64" s="101"/>
      <c r="DQ64" s="100"/>
      <c r="DR64" s="100"/>
      <c r="DS64" s="100"/>
      <c r="DT64" s="105"/>
      <c r="DU64" s="104"/>
      <c r="DV64" s="105"/>
      <c r="DW64" s="101"/>
      <c r="DX64" s="100"/>
      <c r="DY64" s="100"/>
      <c r="DZ64" s="100"/>
      <c r="EA64" s="100"/>
      <c r="EB64" s="105"/>
      <c r="EC64" s="105"/>
      <c r="ED64" s="100"/>
      <c r="EE64" s="100"/>
    </row>
    <row r="65" spans="2:135" ht="18" customHeight="1" outlineLevel="2" x14ac:dyDescent="0.15">
      <c r="B65" s="115">
        <f t="shared" si="0"/>
        <v>57</v>
      </c>
      <c r="C65" s="116"/>
      <c r="D65" s="112"/>
      <c r="E65" s="112" t="s">
        <v>98</v>
      </c>
      <c r="F65" s="112"/>
      <c r="G65" s="112"/>
      <c r="H65" s="112"/>
      <c r="I65" s="112"/>
      <c r="J65" s="112"/>
      <c r="K65" s="51"/>
      <c r="L65" s="59"/>
      <c r="M65" s="58" t="s">
        <v>117</v>
      </c>
      <c r="N65" s="59" t="s">
        <v>120</v>
      </c>
      <c r="O65" s="60">
        <v>3.7</v>
      </c>
      <c r="P65" s="61"/>
      <c r="Q65" s="62"/>
      <c r="R65" s="10">
        <f t="shared" si="1"/>
        <v>0</v>
      </c>
      <c r="S65" s="19"/>
      <c r="T65" s="15">
        <f t="shared" si="6"/>
        <v>0</v>
      </c>
      <c r="U65" s="15">
        <f t="shared" si="7"/>
        <v>0</v>
      </c>
      <c r="V65" s="14" t="str">
        <f t="shared" si="8"/>
        <v>-</v>
      </c>
      <c r="W65" s="14" t="str">
        <f t="shared" si="9"/>
        <v>-</v>
      </c>
      <c r="X65" s="69"/>
      <c r="Y65" s="117" t="s">
        <v>155</v>
      </c>
      <c r="Z65" s="69"/>
      <c r="AA65" s="69"/>
      <c r="AB65" s="69"/>
      <c r="AC65" s="76">
        <v>46086</v>
      </c>
      <c r="AD65" s="77">
        <v>46090</v>
      </c>
      <c r="AE65" s="101"/>
      <c r="AF65" s="102"/>
      <c r="AG65" s="102"/>
      <c r="AH65" s="104"/>
      <c r="AI65" s="105"/>
      <c r="AJ65" s="102"/>
      <c r="AK65" s="102"/>
      <c r="AL65" s="102"/>
      <c r="AM65" s="102"/>
      <c r="AN65" s="102"/>
      <c r="AO65" s="104"/>
      <c r="AP65" s="105"/>
      <c r="AQ65" s="102"/>
      <c r="AR65" s="102"/>
      <c r="AS65" s="102"/>
      <c r="AT65" s="102"/>
      <c r="AU65" s="102"/>
      <c r="AV65" s="104"/>
      <c r="AW65" s="105"/>
      <c r="AX65" s="101"/>
      <c r="AY65" s="100"/>
      <c r="AZ65" s="100"/>
      <c r="BA65" s="100"/>
      <c r="BB65" s="102"/>
      <c r="BC65" s="104"/>
      <c r="BD65" s="105"/>
      <c r="BE65" s="105"/>
      <c r="BF65" s="100"/>
      <c r="BG65" s="100"/>
      <c r="BH65" s="100"/>
      <c r="BI65" s="102"/>
      <c r="BJ65" s="104"/>
      <c r="BK65" s="105"/>
      <c r="BL65" s="100"/>
      <c r="BM65" s="100"/>
      <c r="BN65" s="100"/>
      <c r="BO65" s="100"/>
      <c r="BP65" s="101"/>
      <c r="BQ65" s="104"/>
      <c r="BR65" s="105"/>
      <c r="BS65" s="101"/>
      <c r="BT65" s="100"/>
      <c r="BU65" s="100"/>
      <c r="BV65" s="100"/>
      <c r="BW65" s="102"/>
      <c r="BX65" s="104"/>
      <c r="BY65" s="105"/>
      <c r="BZ65" s="101"/>
      <c r="CA65" s="100"/>
      <c r="CB65" s="100"/>
      <c r="CC65" s="100"/>
      <c r="CD65" s="102"/>
      <c r="CE65" s="104"/>
      <c r="CF65" s="105"/>
      <c r="CG65" s="101"/>
      <c r="CH65" s="100"/>
      <c r="CI65" s="105"/>
      <c r="CJ65" s="100"/>
      <c r="CK65" s="102"/>
      <c r="CL65" s="104"/>
      <c r="CM65" s="105"/>
      <c r="CN65" s="101"/>
      <c r="CO65" s="100"/>
      <c r="CP65" s="100"/>
      <c r="CQ65" s="100"/>
      <c r="CR65" s="102"/>
      <c r="CS65" s="104"/>
      <c r="CT65" s="105"/>
      <c r="CU65" s="105"/>
      <c r="CV65" s="100"/>
      <c r="CW65" s="100"/>
      <c r="CX65" s="100"/>
      <c r="CY65" s="102"/>
      <c r="CZ65" s="104"/>
      <c r="DA65" s="105"/>
      <c r="DB65" s="101"/>
      <c r="DC65" s="101"/>
      <c r="DD65" s="100"/>
      <c r="DE65" s="100"/>
      <c r="DF65" s="102"/>
      <c r="DG65" s="104"/>
      <c r="DH65" s="105"/>
      <c r="DI65" s="101"/>
      <c r="DJ65" s="100"/>
      <c r="DK65" s="100"/>
      <c r="DL65" s="100"/>
      <c r="DM65" s="102"/>
      <c r="DN65" s="104"/>
      <c r="DO65" s="105"/>
      <c r="DP65" s="101"/>
      <c r="DQ65" s="100"/>
      <c r="DR65" s="100"/>
      <c r="DS65" s="100"/>
      <c r="DT65" s="105"/>
      <c r="DU65" s="104"/>
      <c r="DV65" s="105"/>
      <c r="DW65" s="101"/>
      <c r="DX65" s="100"/>
      <c r="DY65" s="100"/>
      <c r="DZ65" s="100"/>
      <c r="EA65" s="100"/>
      <c r="EB65" s="105"/>
      <c r="EC65" s="105"/>
      <c r="ED65" s="100"/>
      <c r="EE65" s="100"/>
    </row>
    <row r="66" spans="2:135" ht="18" customHeight="1" outlineLevel="2" x14ac:dyDescent="0.15">
      <c r="B66" s="115">
        <f t="shared" si="0"/>
        <v>58</v>
      </c>
      <c r="C66" s="116"/>
      <c r="D66" s="112"/>
      <c r="E66" s="112" t="s">
        <v>99</v>
      </c>
      <c r="F66" s="112"/>
      <c r="G66" s="112"/>
      <c r="H66" s="112"/>
      <c r="I66" s="112"/>
      <c r="J66" s="112"/>
      <c r="K66" s="51"/>
      <c r="L66" s="59"/>
      <c r="M66" s="58" t="s">
        <v>117</v>
      </c>
      <c r="N66" s="59" t="s">
        <v>119</v>
      </c>
      <c r="O66" s="60">
        <v>3.2</v>
      </c>
      <c r="P66" s="61"/>
      <c r="Q66" s="62"/>
      <c r="R66" s="10">
        <f t="shared" si="1"/>
        <v>0</v>
      </c>
      <c r="S66" s="19"/>
      <c r="T66" s="15">
        <f t="shared" si="6"/>
        <v>0</v>
      </c>
      <c r="U66" s="15">
        <f t="shared" si="7"/>
        <v>0</v>
      </c>
      <c r="V66" s="14" t="str">
        <f t="shared" si="8"/>
        <v>-</v>
      </c>
      <c r="W66" s="14" t="str">
        <f t="shared" si="9"/>
        <v>-</v>
      </c>
      <c r="X66" s="69"/>
      <c r="Y66" s="69"/>
      <c r="Z66" s="69"/>
      <c r="AA66" s="69"/>
      <c r="AB66" s="69"/>
      <c r="AC66" s="76">
        <v>46086</v>
      </c>
      <c r="AD66" s="77">
        <v>46087</v>
      </c>
      <c r="AE66" s="101"/>
      <c r="AF66" s="102"/>
      <c r="AG66" s="102"/>
      <c r="AH66" s="104"/>
      <c r="AI66" s="105"/>
      <c r="AJ66" s="102"/>
      <c r="AK66" s="102"/>
      <c r="AL66" s="102"/>
      <c r="AM66" s="102"/>
      <c r="AN66" s="102"/>
      <c r="AO66" s="104"/>
      <c r="AP66" s="105"/>
      <c r="AQ66" s="102"/>
      <c r="AR66" s="102"/>
      <c r="AS66" s="102"/>
      <c r="AT66" s="102"/>
      <c r="AU66" s="102"/>
      <c r="AV66" s="104"/>
      <c r="AW66" s="105"/>
      <c r="AX66" s="101"/>
      <c r="AY66" s="100"/>
      <c r="AZ66" s="100"/>
      <c r="BA66" s="100"/>
      <c r="BB66" s="102"/>
      <c r="BC66" s="104"/>
      <c r="BD66" s="105"/>
      <c r="BE66" s="105"/>
      <c r="BF66" s="100"/>
      <c r="BG66" s="100"/>
      <c r="BH66" s="100"/>
      <c r="BI66" s="102"/>
      <c r="BJ66" s="104"/>
      <c r="BK66" s="105"/>
      <c r="BL66" s="100"/>
      <c r="BM66" s="100"/>
      <c r="BN66" s="100"/>
      <c r="BO66" s="100"/>
      <c r="BP66" s="101"/>
      <c r="BQ66" s="104"/>
      <c r="BR66" s="105"/>
      <c r="BS66" s="101"/>
      <c r="BT66" s="100"/>
      <c r="BU66" s="100"/>
      <c r="BV66" s="100"/>
      <c r="BW66" s="102"/>
      <c r="BX66" s="104"/>
      <c r="BY66" s="105"/>
      <c r="BZ66" s="101"/>
      <c r="CA66" s="100"/>
      <c r="CB66" s="100"/>
      <c r="CC66" s="100"/>
      <c r="CD66" s="102"/>
      <c r="CE66" s="104"/>
      <c r="CF66" s="105"/>
      <c r="CG66" s="101"/>
      <c r="CH66" s="100"/>
      <c r="CI66" s="105"/>
      <c r="CJ66" s="100"/>
      <c r="CK66" s="102"/>
      <c r="CL66" s="104"/>
      <c r="CM66" s="105"/>
      <c r="CN66" s="101"/>
      <c r="CO66" s="100"/>
      <c r="CP66" s="100"/>
      <c r="CQ66" s="100"/>
      <c r="CR66" s="102"/>
      <c r="CS66" s="104"/>
      <c r="CT66" s="105"/>
      <c r="CU66" s="105"/>
      <c r="CV66" s="100"/>
      <c r="CW66" s="100"/>
      <c r="CX66" s="100"/>
      <c r="CY66" s="102"/>
      <c r="CZ66" s="104"/>
      <c r="DA66" s="105"/>
      <c r="DB66" s="101"/>
      <c r="DC66" s="101"/>
      <c r="DD66" s="100"/>
      <c r="DE66" s="100"/>
      <c r="DF66" s="102"/>
      <c r="DG66" s="104"/>
      <c r="DH66" s="105"/>
      <c r="DI66" s="101"/>
      <c r="DJ66" s="100"/>
      <c r="DK66" s="100"/>
      <c r="DL66" s="100"/>
      <c r="DM66" s="102"/>
      <c r="DN66" s="104"/>
      <c r="DO66" s="105"/>
      <c r="DP66" s="101"/>
      <c r="DQ66" s="100"/>
      <c r="DR66" s="100"/>
      <c r="DS66" s="100"/>
      <c r="DT66" s="105"/>
      <c r="DU66" s="104"/>
      <c r="DV66" s="105"/>
      <c r="DW66" s="101"/>
      <c r="DX66" s="100"/>
      <c r="DY66" s="100"/>
      <c r="DZ66" s="100"/>
      <c r="EA66" s="100"/>
      <c r="EB66" s="105"/>
      <c r="EC66" s="105"/>
      <c r="ED66" s="100"/>
      <c r="EE66" s="100"/>
    </row>
    <row r="67" spans="2:135" ht="18" customHeight="1" outlineLevel="2" x14ac:dyDescent="0.15">
      <c r="B67" s="115">
        <f t="shared" si="0"/>
        <v>59</v>
      </c>
      <c r="C67" s="116"/>
      <c r="D67" s="112"/>
      <c r="E67" s="112" t="s">
        <v>100</v>
      </c>
      <c r="F67" s="112"/>
      <c r="G67" s="112"/>
      <c r="H67" s="112"/>
      <c r="I67" s="112"/>
      <c r="J67" s="112"/>
      <c r="K67" s="51"/>
      <c r="L67" s="59"/>
      <c r="M67" s="58" t="s">
        <v>117</v>
      </c>
      <c r="N67" s="59" t="s">
        <v>119</v>
      </c>
      <c r="O67" s="60">
        <v>0.5</v>
      </c>
      <c r="P67" s="61"/>
      <c r="Q67" s="62"/>
      <c r="R67" s="10">
        <f t="shared" si="1"/>
        <v>0</v>
      </c>
      <c r="S67" s="19"/>
      <c r="T67" s="15">
        <f t="shared" si="6"/>
        <v>0</v>
      </c>
      <c r="U67" s="15">
        <f t="shared" si="7"/>
        <v>0</v>
      </c>
      <c r="V67" s="14" t="str">
        <f t="shared" si="8"/>
        <v>-</v>
      </c>
      <c r="W67" s="14" t="str">
        <f t="shared" si="9"/>
        <v>-</v>
      </c>
      <c r="X67" s="69"/>
      <c r="Y67" s="69"/>
      <c r="Z67" s="69"/>
      <c r="AA67" s="69"/>
      <c r="AB67" s="69"/>
      <c r="AC67" s="76">
        <v>46090</v>
      </c>
      <c r="AD67" s="77">
        <v>46091</v>
      </c>
      <c r="AE67" s="101"/>
      <c r="AF67" s="102"/>
      <c r="AG67" s="102"/>
      <c r="AH67" s="104"/>
      <c r="AI67" s="105"/>
      <c r="AJ67" s="102"/>
      <c r="AK67" s="102"/>
      <c r="AL67" s="102"/>
      <c r="AM67" s="102"/>
      <c r="AN67" s="102"/>
      <c r="AO67" s="104"/>
      <c r="AP67" s="105"/>
      <c r="AQ67" s="102"/>
      <c r="AR67" s="102"/>
      <c r="AS67" s="102"/>
      <c r="AT67" s="102"/>
      <c r="AU67" s="102"/>
      <c r="AV67" s="104"/>
      <c r="AW67" s="105"/>
      <c r="AX67" s="101"/>
      <c r="AY67" s="100"/>
      <c r="AZ67" s="100"/>
      <c r="BA67" s="100"/>
      <c r="BB67" s="102"/>
      <c r="BC67" s="104"/>
      <c r="BD67" s="105"/>
      <c r="BE67" s="105"/>
      <c r="BF67" s="100"/>
      <c r="BG67" s="100"/>
      <c r="BH67" s="100"/>
      <c r="BI67" s="102"/>
      <c r="BJ67" s="104"/>
      <c r="BK67" s="105"/>
      <c r="BL67" s="100"/>
      <c r="BM67" s="100"/>
      <c r="BN67" s="100"/>
      <c r="BO67" s="100"/>
      <c r="BP67" s="101"/>
      <c r="BQ67" s="104"/>
      <c r="BR67" s="105"/>
      <c r="BS67" s="101"/>
      <c r="BT67" s="100"/>
      <c r="BU67" s="100"/>
      <c r="BV67" s="100"/>
      <c r="BW67" s="102"/>
      <c r="BX67" s="104"/>
      <c r="BY67" s="105"/>
      <c r="BZ67" s="101"/>
      <c r="CA67" s="100"/>
      <c r="CB67" s="100"/>
      <c r="CC67" s="100"/>
      <c r="CD67" s="102"/>
      <c r="CE67" s="104"/>
      <c r="CF67" s="105"/>
      <c r="CG67" s="101"/>
      <c r="CH67" s="100"/>
      <c r="CI67" s="105"/>
      <c r="CJ67" s="100"/>
      <c r="CK67" s="102"/>
      <c r="CL67" s="104"/>
      <c r="CM67" s="105"/>
      <c r="CN67" s="101"/>
      <c r="CO67" s="100"/>
      <c r="CP67" s="100"/>
      <c r="CQ67" s="100"/>
      <c r="CR67" s="102"/>
      <c r="CS67" s="104"/>
      <c r="CT67" s="105"/>
      <c r="CU67" s="105"/>
      <c r="CV67" s="100"/>
      <c r="CW67" s="100"/>
      <c r="CX67" s="100"/>
      <c r="CY67" s="102"/>
      <c r="CZ67" s="104"/>
      <c r="DA67" s="105"/>
      <c r="DB67" s="101"/>
      <c r="DC67" s="101"/>
      <c r="DD67" s="100"/>
      <c r="DE67" s="100"/>
      <c r="DF67" s="102"/>
      <c r="DG67" s="104"/>
      <c r="DH67" s="105"/>
      <c r="DI67" s="101"/>
      <c r="DJ67" s="100"/>
      <c r="DK67" s="100"/>
      <c r="DL67" s="100"/>
      <c r="DM67" s="102"/>
      <c r="DN67" s="104"/>
      <c r="DO67" s="105"/>
      <c r="DP67" s="101"/>
      <c r="DQ67" s="100"/>
      <c r="DR67" s="100"/>
      <c r="DS67" s="100"/>
      <c r="DT67" s="105"/>
      <c r="DU67" s="104"/>
      <c r="DV67" s="105"/>
      <c r="DW67" s="101"/>
      <c r="DX67" s="100"/>
      <c r="DY67" s="100"/>
      <c r="DZ67" s="100"/>
      <c r="EA67" s="100"/>
      <c r="EB67" s="105"/>
      <c r="EC67" s="105"/>
      <c r="ED67" s="100"/>
      <c r="EE67" s="100"/>
    </row>
    <row r="68" spans="2:135" ht="18" customHeight="1" outlineLevel="2" x14ac:dyDescent="0.15">
      <c r="B68" s="115">
        <f t="shared" si="0"/>
        <v>60</v>
      </c>
      <c r="C68" s="116"/>
      <c r="D68" s="112"/>
      <c r="E68" s="112" t="s">
        <v>78</v>
      </c>
      <c r="F68" s="112"/>
      <c r="G68" s="112"/>
      <c r="H68" s="112"/>
      <c r="I68" s="112"/>
      <c r="J68" s="112"/>
      <c r="K68" s="51"/>
      <c r="L68" s="59"/>
      <c r="M68" s="58" t="s">
        <v>117</v>
      </c>
      <c r="N68" s="59" t="s">
        <v>120</v>
      </c>
      <c r="O68" s="60">
        <v>1.1000000000000001</v>
      </c>
      <c r="P68" s="61"/>
      <c r="Q68" s="62"/>
      <c r="R68" s="10">
        <f t="shared" si="1"/>
        <v>0</v>
      </c>
      <c r="S68" s="19"/>
      <c r="T68" s="15">
        <f t="shared" si="6"/>
        <v>0</v>
      </c>
      <c r="U68" s="15">
        <f t="shared" si="7"/>
        <v>0</v>
      </c>
      <c r="V68" s="14" t="str">
        <f t="shared" si="8"/>
        <v>-</v>
      </c>
      <c r="W68" s="14" t="str">
        <f t="shared" si="9"/>
        <v>-</v>
      </c>
      <c r="X68" s="69"/>
      <c r="Y68" s="69"/>
      <c r="Z68" s="69"/>
      <c r="AA68" s="69"/>
      <c r="AB68" s="69"/>
      <c r="AC68" s="76">
        <v>46092</v>
      </c>
      <c r="AD68" s="76">
        <v>46092</v>
      </c>
      <c r="AE68" s="101"/>
      <c r="AF68" s="102"/>
      <c r="AG68" s="102"/>
      <c r="AH68" s="104"/>
      <c r="AI68" s="105"/>
      <c r="AJ68" s="102"/>
      <c r="AK68" s="102"/>
      <c r="AL68" s="102"/>
      <c r="AM68" s="102"/>
      <c r="AN68" s="102"/>
      <c r="AO68" s="104"/>
      <c r="AP68" s="105"/>
      <c r="AQ68" s="102"/>
      <c r="AR68" s="102"/>
      <c r="AS68" s="102"/>
      <c r="AT68" s="102"/>
      <c r="AU68" s="102"/>
      <c r="AV68" s="104"/>
      <c r="AW68" s="105"/>
      <c r="AX68" s="101"/>
      <c r="AY68" s="100"/>
      <c r="AZ68" s="100"/>
      <c r="BA68" s="100"/>
      <c r="BB68" s="102"/>
      <c r="BC68" s="104"/>
      <c r="BD68" s="105"/>
      <c r="BE68" s="105"/>
      <c r="BF68" s="100"/>
      <c r="BG68" s="100"/>
      <c r="BH68" s="100"/>
      <c r="BI68" s="102"/>
      <c r="BJ68" s="104"/>
      <c r="BK68" s="105"/>
      <c r="BL68" s="100"/>
      <c r="BM68" s="100"/>
      <c r="BN68" s="100"/>
      <c r="BO68" s="100"/>
      <c r="BP68" s="101"/>
      <c r="BQ68" s="104"/>
      <c r="BR68" s="105"/>
      <c r="BS68" s="101"/>
      <c r="BT68" s="100"/>
      <c r="BU68" s="100"/>
      <c r="BV68" s="100"/>
      <c r="BW68" s="102"/>
      <c r="BX68" s="104"/>
      <c r="BY68" s="105"/>
      <c r="BZ68" s="101"/>
      <c r="CA68" s="100"/>
      <c r="CB68" s="100"/>
      <c r="CC68" s="100"/>
      <c r="CD68" s="102"/>
      <c r="CE68" s="104"/>
      <c r="CF68" s="105"/>
      <c r="CG68" s="101"/>
      <c r="CH68" s="100"/>
      <c r="CI68" s="105"/>
      <c r="CJ68" s="100"/>
      <c r="CK68" s="102"/>
      <c r="CL68" s="104"/>
      <c r="CM68" s="105"/>
      <c r="CN68" s="101"/>
      <c r="CO68" s="100"/>
      <c r="CP68" s="100"/>
      <c r="CQ68" s="100"/>
      <c r="CR68" s="102"/>
      <c r="CS68" s="104"/>
      <c r="CT68" s="105"/>
      <c r="CU68" s="105"/>
      <c r="CV68" s="100"/>
      <c r="CW68" s="100"/>
      <c r="CX68" s="100"/>
      <c r="CY68" s="102"/>
      <c r="CZ68" s="104"/>
      <c r="DA68" s="105"/>
      <c r="DB68" s="101"/>
      <c r="DC68" s="101"/>
      <c r="DD68" s="100"/>
      <c r="DE68" s="100"/>
      <c r="DF68" s="102"/>
      <c r="DG68" s="104"/>
      <c r="DH68" s="105"/>
      <c r="DI68" s="101"/>
      <c r="DJ68" s="100"/>
      <c r="DK68" s="100"/>
      <c r="DL68" s="100"/>
      <c r="DM68" s="102"/>
      <c r="DN68" s="104"/>
      <c r="DO68" s="105"/>
      <c r="DP68" s="101"/>
      <c r="DQ68" s="100"/>
      <c r="DR68" s="100"/>
      <c r="DS68" s="100"/>
      <c r="DT68" s="105"/>
      <c r="DU68" s="104"/>
      <c r="DV68" s="105"/>
      <c r="DW68" s="101"/>
      <c r="DX68" s="100"/>
      <c r="DY68" s="100"/>
      <c r="DZ68" s="100"/>
      <c r="EA68" s="100"/>
      <c r="EB68" s="105"/>
      <c r="EC68" s="105"/>
      <c r="ED68" s="100"/>
      <c r="EE68" s="100"/>
    </row>
    <row r="69" spans="2:135" ht="18" customHeight="1" outlineLevel="2" x14ac:dyDescent="0.15">
      <c r="B69" s="115"/>
      <c r="C69" s="116"/>
      <c r="D69" s="112" t="s">
        <v>138</v>
      </c>
      <c r="E69" s="112"/>
      <c r="F69" s="112"/>
      <c r="G69" s="112"/>
      <c r="H69" s="112"/>
      <c r="I69" s="112"/>
      <c r="J69" s="112"/>
      <c r="K69" s="51"/>
      <c r="L69" s="59"/>
      <c r="M69" s="58"/>
      <c r="N69" s="59"/>
      <c r="O69" s="60"/>
      <c r="P69" s="61"/>
      <c r="Q69" s="62"/>
      <c r="R69" s="10"/>
      <c r="S69" s="19"/>
      <c r="T69" s="15"/>
      <c r="U69" s="15"/>
      <c r="V69" s="14"/>
      <c r="W69" s="14"/>
      <c r="X69" s="69"/>
      <c r="Y69" s="69"/>
      <c r="Z69" s="69"/>
      <c r="AA69" s="69"/>
      <c r="AB69" s="69"/>
      <c r="AC69" s="76"/>
      <c r="AD69" s="76"/>
      <c r="AE69" s="101"/>
      <c r="AF69" s="102"/>
      <c r="AG69" s="102"/>
      <c r="AH69" s="104"/>
      <c r="AI69" s="105"/>
      <c r="AJ69" s="102"/>
      <c r="AK69" s="102"/>
      <c r="AL69" s="102"/>
      <c r="AM69" s="102"/>
      <c r="AN69" s="102"/>
      <c r="AO69" s="104"/>
      <c r="AP69" s="105"/>
      <c r="AQ69" s="102"/>
      <c r="AR69" s="102"/>
      <c r="AS69" s="102"/>
      <c r="AT69" s="102"/>
      <c r="AU69" s="102"/>
      <c r="AV69" s="104"/>
      <c r="AW69" s="105"/>
      <c r="AX69" s="101"/>
      <c r="AY69" s="100"/>
      <c r="AZ69" s="100"/>
      <c r="BA69" s="100"/>
      <c r="BB69" s="102"/>
      <c r="BC69" s="104"/>
      <c r="BD69" s="105"/>
      <c r="BE69" s="105"/>
      <c r="BF69" s="100"/>
      <c r="BG69" s="100"/>
      <c r="BH69" s="100"/>
      <c r="BI69" s="102"/>
      <c r="BJ69" s="104"/>
      <c r="BK69" s="105"/>
      <c r="BL69" s="100"/>
      <c r="BM69" s="100"/>
      <c r="BN69" s="100"/>
      <c r="BO69" s="100"/>
      <c r="BP69" s="101"/>
      <c r="BQ69" s="104"/>
      <c r="BR69" s="105"/>
      <c r="BS69" s="101"/>
      <c r="BT69" s="100"/>
      <c r="BU69" s="100"/>
      <c r="BV69" s="100"/>
      <c r="BW69" s="102"/>
      <c r="BX69" s="104"/>
      <c r="BY69" s="105"/>
      <c r="BZ69" s="101"/>
      <c r="CA69" s="100"/>
      <c r="CB69" s="100"/>
      <c r="CC69" s="100"/>
      <c r="CD69" s="102"/>
      <c r="CE69" s="104"/>
      <c r="CF69" s="105"/>
      <c r="CG69" s="101"/>
      <c r="CH69" s="100"/>
      <c r="CI69" s="105"/>
      <c r="CJ69" s="100"/>
      <c r="CK69" s="102"/>
      <c r="CL69" s="104"/>
      <c r="CM69" s="105"/>
      <c r="CN69" s="101"/>
      <c r="CO69" s="100"/>
      <c r="CP69" s="100"/>
      <c r="CQ69" s="100"/>
      <c r="CR69" s="102"/>
      <c r="CS69" s="104"/>
      <c r="CT69" s="105"/>
      <c r="CU69" s="105"/>
      <c r="CV69" s="100"/>
      <c r="CW69" s="100"/>
      <c r="CX69" s="100"/>
      <c r="CY69" s="102"/>
      <c r="CZ69" s="104"/>
      <c r="DA69" s="105"/>
      <c r="DB69" s="101"/>
      <c r="DC69" s="101"/>
      <c r="DD69" s="100"/>
      <c r="DE69" s="100"/>
      <c r="DF69" s="102"/>
      <c r="DG69" s="104"/>
      <c r="DH69" s="105"/>
      <c r="DI69" s="101"/>
      <c r="DJ69" s="100"/>
      <c r="DK69" s="100"/>
      <c r="DL69" s="100"/>
      <c r="DM69" s="102"/>
      <c r="DN69" s="104"/>
      <c r="DO69" s="105"/>
      <c r="DP69" s="101"/>
      <c r="DQ69" s="100"/>
      <c r="DR69" s="100"/>
      <c r="DS69" s="100"/>
      <c r="DT69" s="105"/>
      <c r="DU69" s="104"/>
      <c r="DV69" s="105"/>
      <c r="DW69" s="101"/>
      <c r="DX69" s="100"/>
      <c r="DY69" s="100"/>
      <c r="DZ69" s="100"/>
      <c r="EA69" s="100"/>
      <c r="EB69" s="105"/>
      <c r="EC69" s="105"/>
      <c r="ED69" s="100"/>
      <c r="EE69" s="100"/>
    </row>
    <row r="70" spans="2:135" ht="18" customHeight="1" outlineLevel="2" x14ac:dyDescent="0.15">
      <c r="B70" s="115">
        <f t="shared" si="0"/>
        <v>62</v>
      </c>
      <c r="C70" s="116"/>
      <c r="D70" s="112"/>
      <c r="E70" s="112" t="s">
        <v>101</v>
      </c>
      <c r="F70" s="112"/>
      <c r="G70" s="112"/>
      <c r="H70" s="112"/>
      <c r="I70" s="112"/>
      <c r="J70" s="112"/>
      <c r="K70" s="51"/>
      <c r="L70" s="59"/>
      <c r="M70" s="58" t="s">
        <v>117</v>
      </c>
      <c r="N70" s="59" t="s">
        <v>120</v>
      </c>
      <c r="O70" s="60">
        <v>3.2</v>
      </c>
      <c r="P70" s="61"/>
      <c r="Q70" s="62"/>
      <c r="R70" s="10">
        <f t="shared" si="1"/>
        <v>0</v>
      </c>
      <c r="S70" s="19"/>
      <c r="T70" s="15">
        <f t="shared" si="6"/>
        <v>0</v>
      </c>
      <c r="U70" s="15">
        <f t="shared" si="7"/>
        <v>0</v>
      </c>
      <c r="V70" s="14" t="str">
        <f t="shared" si="8"/>
        <v>-</v>
      </c>
      <c r="W70" s="14" t="str">
        <f t="shared" si="9"/>
        <v>-</v>
      </c>
      <c r="X70" s="69"/>
      <c r="Y70" s="69"/>
      <c r="Z70" s="69"/>
      <c r="AA70" s="69"/>
      <c r="AB70" s="69"/>
      <c r="AC70" s="76">
        <v>46085</v>
      </c>
      <c r="AD70" s="76">
        <v>46087</v>
      </c>
      <c r="AE70" s="101"/>
      <c r="AF70" s="102"/>
      <c r="AG70" s="102"/>
      <c r="AH70" s="104"/>
      <c r="AI70" s="105"/>
      <c r="AJ70" s="102"/>
      <c r="AK70" s="102"/>
      <c r="AL70" s="102"/>
      <c r="AM70" s="102"/>
      <c r="AN70" s="102"/>
      <c r="AO70" s="104"/>
      <c r="AP70" s="105"/>
      <c r="AQ70" s="102"/>
      <c r="AR70" s="102"/>
      <c r="AS70" s="102"/>
      <c r="AT70" s="102"/>
      <c r="AU70" s="102"/>
      <c r="AV70" s="104"/>
      <c r="AW70" s="105"/>
      <c r="AX70" s="101"/>
      <c r="AY70" s="100"/>
      <c r="AZ70" s="100"/>
      <c r="BA70" s="100"/>
      <c r="BB70" s="102"/>
      <c r="BC70" s="104"/>
      <c r="BD70" s="105"/>
      <c r="BE70" s="105"/>
      <c r="BF70" s="100"/>
      <c r="BG70" s="100"/>
      <c r="BH70" s="100"/>
      <c r="BI70" s="102"/>
      <c r="BJ70" s="104"/>
      <c r="BK70" s="105"/>
      <c r="BL70" s="100"/>
      <c r="BM70" s="100"/>
      <c r="BN70" s="100"/>
      <c r="BO70" s="100"/>
      <c r="BP70" s="101"/>
      <c r="BQ70" s="104"/>
      <c r="BR70" s="105"/>
      <c r="BS70" s="101"/>
      <c r="BT70" s="100"/>
      <c r="BU70" s="100"/>
      <c r="BV70" s="100"/>
      <c r="BW70" s="102"/>
      <c r="BX70" s="104"/>
      <c r="BY70" s="105"/>
      <c r="BZ70" s="101"/>
      <c r="CA70" s="100"/>
      <c r="CB70" s="100"/>
      <c r="CC70" s="100"/>
      <c r="CD70" s="102"/>
      <c r="CE70" s="104"/>
      <c r="CF70" s="105"/>
      <c r="CG70" s="101"/>
      <c r="CH70" s="100"/>
      <c r="CI70" s="105"/>
      <c r="CJ70" s="100"/>
      <c r="CK70" s="102"/>
      <c r="CL70" s="104"/>
      <c r="CM70" s="105"/>
      <c r="CN70" s="101"/>
      <c r="CO70" s="100"/>
      <c r="CP70" s="100"/>
      <c r="CQ70" s="100"/>
      <c r="CR70" s="102"/>
      <c r="CS70" s="104"/>
      <c r="CT70" s="105"/>
      <c r="CU70" s="105"/>
      <c r="CV70" s="100"/>
      <c r="CW70" s="100"/>
      <c r="CX70" s="100"/>
      <c r="CY70" s="102"/>
      <c r="CZ70" s="104"/>
      <c r="DA70" s="105"/>
      <c r="DB70" s="101"/>
      <c r="DC70" s="101"/>
      <c r="DD70" s="100"/>
      <c r="DE70" s="100"/>
      <c r="DF70" s="102"/>
      <c r="DG70" s="104"/>
      <c r="DH70" s="105"/>
      <c r="DI70" s="101"/>
      <c r="DJ70" s="100"/>
      <c r="DK70" s="100"/>
      <c r="DL70" s="100"/>
      <c r="DM70" s="102"/>
      <c r="DN70" s="104"/>
      <c r="DO70" s="105"/>
      <c r="DP70" s="101"/>
      <c r="DQ70" s="100"/>
      <c r="DR70" s="100"/>
      <c r="DS70" s="100"/>
      <c r="DT70" s="105"/>
      <c r="DU70" s="104"/>
      <c r="DV70" s="105"/>
      <c r="DW70" s="101"/>
      <c r="DX70" s="100"/>
      <c r="DY70" s="100"/>
      <c r="DZ70" s="100"/>
      <c r="EA70" s="100"/>
      <c r="EB70" s="105"/>
      <c r="EC70" s="105"/>
      <c r="ED70" s="100"/>
      <c r="EE70" s="100"/>
    </row>
    <row r="71" spans="2:135" ht="18" customHeight="1" outlineLevel="2" x14ac:dyDescent="0.15">
      <c r="B71" s="115">
        <f t="shared" si="0"/>
        <v>63</v>
      </c>
      <c r="C71" s="116"/>
      <c r="D71" s="112"/>
      <c r="E71" s="112" t="s">
        <v>102</v>
      </c>
      <c r="F71" s="112"/>
      <c r="G71" s="112"/>
      <c r="H71" s="112"/>
      <c r="I71" s="112"/>
      <c r="J71" s="112"/>
      <c r="K71" s="51"/>
      <c r="L71" s="59"/>
      <c r="M71" s="58" t="s">
        <v>117</v>
      </c>
      <c r="N71" s="59" t="s">
        <v>119</v>
      </c>
      <c r="O71" s="60">
        <v>2.1</v>
      </c>
      <c r="P71" s="61"/>
      <c r="Q71" s="62"/>
      <c r="R71" s="10">
        <f t="shared" si="1"/>
        <v>0</v>
      </c>
      <c r="S71" s="19"/>
      <c r="T71" s="15">
        <f t="shared" si="6"/>
        <v>0</v>
      </c>
      <c r="U71" s="15">
        <f t="shared" si="7"/>
        <v>0</v>
      </c>
      <c r="V71" s="14" t="str">
        <f t="shared" si="8"/>
        <v>-</v>
      </c>
      <c r="W71" s="14" t="str">
        <f t="shared" si="9"/>
        <v>-</v>
      </c>
      <c r="X71" s="69"/>
      <c r="Y71" s="69"/>
      <c r="Z71" s="69"/>
      <c r="AA71" s="69"/>
      <c r="AB71" s="69"/>
      <c r="AC71" s="76">
        <v>46090</v>
      </c>
      <c r="AD71" s="77">
        <v>46091</v>
      </c>
      <c r="AE71" s="101"/>
      <c r="AF71" s="102"/>
      <c r="AG71" s="102"/>
      <c r="AH71" s="104"/>
      <c r="AI71" s="105"/>
      <c r="AJ71" s="102"/>
      <c r="AK71" s="102"/>
      <c r="AL71" s="102"/>
      <c r="AM71" s="102"/>
      <c r="AN71" s="102"/>
      <c r="AO71" s="104"/>
      <c r="AP71" s="105"/>
      <c r="AQ71" s="102"/>
      <c r="AR71" s="102"/>
      <c r="AS71" s="102"/>
      <c r="AT71" s="102"/>
      <c r="AU71" s="102"/>
      <c r="AV71" s="104"/>
      <c r="AW71" s="105"/>
      <c r="AX71" s="101"/>
      <c r="AY71" s="100"/>
      <c r="AZ71" s="100"/>
      <c r="BA71" s="100"/>
      <c r="BB71" s="102"/>
      <c r="BC71" s="104"/>
      <c r="BD71" s="105"/>
      <c r="BE71" s="105"/>
      <c r="BF71" s="100"/>
      <c r="BG71" s="100"/>
      <c r="BH71" s="100"/>
      <c r="BI71" s="102"/>
      <c r="BJ71" s="104"/>
      <c r="BK71" s="105"/>
      <c r="BL71" s="100"/>
      <c r="BM71" s="100"/>
      <c r="BN71" s="100"/>
      <c r="BO71" s="100"/>
      <c r="BP71" s="101"/>
      <c r="BQ71" s="104"/>
      <c r="BR71" s="105"/>
      <c r="BS71" s="101"/>
      <c r="BT71" s="100"/>
      <c r="BU71" s="100"/>
      <c r="BV71" s="100"/>
      <c r="BW71" s="102"/>
      <c r="BX71" s="104"/>
      <c r="BY71" s="105"/>
      <c r="BZ71" s="101"/>
      <c r="CA71" s="100"/>
      <c r="CB71" s="100"/>
      <c r="CC71" s="100"/>
      <c r="CD71" s="102"/>
      <c r="CE71" s="104"/>
      <c r="CF71" s="105"/>
      <c r="CG71" s="101"/>
      <c r="CH71" s="100"/>
      <c r="CI71" s="105"/>
      <c r="CJ71" s="100"/>
      <c r="CK71" s="102"/>
      <c r="CL71" s="104"/>
      <c r="CM71" s="105"/>
      <c r="CN71" s="101"/>
      <c r="CO71" s="100"/>
      <c r="CP71" s="100"/>
      <c r="CQ71" s="100"/>
      <c r="CR71" s="102"/>
      <c r="CS71" s="104"/>
      <c r="CT71" s="105"/>
      <c r="CU71" s="105"/>
      <c r="CV71" s="100"/>
      <c r="CW71" s="100"/>
      <c r="CX71" s="100"/>
      <c r="CY71" s="102"/>
      <c r="CZ71" s="104"/>
      <c r="DA71" s="105"/>
      <c r="DB71" s="101"/>
      <c r="DC71" s="101"/>
      <c r="DD71" s="100"/>
      <c r="DE71" s="100"/>
      <c r="DF71" s="102"/>
      <c r="DG71" s="104"/>
      <c r="DH71" s="105"/>
      <c r="DI71" s="101"/>
      <c r="DJ71" s="100"/>
      <c r="DK71" s="100"/>
      <c r="DL71" s="100"/>
      <c r="DM71" s="102"/>
      <c r="DN71" s="104"/>
      <c r="DO71" s="105"/>
      <c r="DP71" s="101"/>
      <c r="DQ71" s="100"/>
      <c r="DR71" s="100"/>
      <c r="DS71" s="100"/>
      <c r="DT71" s="105"/>
      <c r="DU71" s="104"/>
      <c r="DV71" s="105"/>
      <c r="DW71" s="101"/>
      <c r="DX71" s="100"/>
      <c r="DY71" s="100"/>
      <c r="DZ71" s="100"/>
      <c r="EA71" s="100"/>
      <c r="EB71" s="105"/>
      <c r="EC71" s="105"/>
      <c r="ED71" s="100"/>
      <c r="EE71" s="100"/>
    </row>
    <row r="72" spans="2:135" ht="18" customHeight="1" outlineLevel="2" x14ac:dyDescent="0.15">
      <c r="B72" s="115">
        <f t="shared" si="0"/>
        <v>64</v>
      </c>
      <c r="C72" s="116"/>
      <c r="D72" s="112"/>
      <c r="E72" s="112" t="s">
        <v>103</v>
      </c>
      <c r="F72" s="112"/>
      <c r="G72" s="112"/>
      <c r="H72" s="112"/>
      <c r="I72" s="112"/>
      <c r="J72" s="112"/>
      <c r="K72" s="51"/>
      <c r="L72" s="59"/>
      <c r="M72" s="58" t="s">
        <v>117</v>
      </c>
      <c r="N72" s="59" t="s">
        <v>119</v>
      </c>
      <c r="O72" s="60">
        <v>0.4</v>
      </c>
      <c r="P72" s="61"/>
      <c r="Q72" s="62"/>
      <c r="R72" s="10">
        <f t="shared" si="1"/>
        <v>0</v>
      </c>
      <c r="S72" s="19"/>
      <c r="T72" s="15">
        <f t="shared" si="6"/>
        <v>0</v>
      </c>
      <c r="U72" s="15">
        <f t="shared" si="7"/>
        <v>0</v>
      </c>
      <c r="V72" s="14" t="str">
        <f t="shared" si="8"/>
        <v>-</v>
      </c>
      <c r="W72" s="14" t="str">
        <f t="shared" si="9"/>
        <v>-</v>
      </c>
      <c r="X72" s="69"/>
      <c r="Y72" s="69"/>
      <c r="Z72" s="69"/>
      <c r="AA72" s="69"/>
      <c r="AB72" s="69"/>
      <c r="AC72" s="76">
        <v>46092</v>
      </c>
      <c r="AD72" s="76">
        <v>46093</v>
      </c>
      <c r="AE72" s="101"/>
      <c r="AF72" s="102"/>
      <c r="AG72" s="102"/>
      <c r="AH72" s="104"/>
      <c r="AI72" s="105"/>
      <c r="AJ72" s="102"/>
      <c r="AK72" s="102"/>
      <c r="AL72" s="102"/>
      <c r="AM72" s="102"/>
      <c r="AN72" s="102"/>
      <c r="AO72" s="104"/>
      <c r="AP72" s="105"/>
      <c r="AQ72" s="102"/>
      <c r="AR72" s="102"/>
      <c r="AS72" s="102"/>
      <c r="AT72" s="102"/>
      <c r="AU72" s="102"/>
      <c r="AV72" s="104"/>
      <c r="AW72" s="105"/>
      <c r="AX72" s="101"/>
      <c r="AY72" s="100"/>
      <c r="AZ72" s="100"/>
      <c r="BA72" s="100"/>
      <c r="BB72" s="102"/>
      <c r="BC72" s="104"/>
      <c r="BD72" s="105"/>
      <c r="BE72" s="105"/>
      <c r="BF72" s="100"/>
      <c r="BG72" s="100"/>
      <c r="BH72" s="100"/>
      <c r="BI72" s="102"/>
      <c r="BJ72" s="104"/>
      <c r="BK72" s="105"/>
      <c r="BL72" s="100"/>
      <c r="BM72" s="100"/>
      <c r="BN72" s="100"/>
      <c r="BO72" s="100"/>
      <c r="BP72" s="101"/>
      <c r="BQ72" s="104"/>
      <c r="BR72" s="105"/>
      <c r="BS72" s="101"/>
      <c r="BT72" s="100"/>
      <c r="BU72" s="100"/>
      <c r="BV72" s="100"/>
      <c r="BW72" s="102"/>
      <c r="BX72" s="104"/>
      <c r="BY72" s="105"/>
      <c r="BZ72" s="101"/>
      <c r="CA72" s="100"/>
      <c r="CB72" s="100"/>
      <c r="CC72" s="100"/>
      <c r="CD72" s="102"/>
      <c r="CE72" s="104"/>
      <c r="CF72" s="105"/>
      <c r="CG72" s="101"/>
      <c r="CH72" s="100"/>
      <c r="CI72" s="105"/>
      <c r="CJ72" s="100"/>
      <c r="CK72" s="102"/>
      <c r="CL72" s="104"/>
      <c r="CM72" s="105"/>
      <c r="CN72" s="101"/>
      <c r="CO72" s="100"/>
      <c r="CP72" s="100"/>
      <c r="CQ72" s="100"/>
      <c r="CR72" s="102"/>
      <c r="CS72" s="104"/>
      <c r="CT72" s="105"/>
      <c r="CU72" s="105"/>
      <c r="CV72" s="100"/>
      <c r="CW72" s="100"/>
      <c r="CX72" s="100"/>
      <c r="CY72" s="102"/>
      <c r="CZ72" s="104"/>
      <c r="DA72" s="105"/>
      <c r="DB72" s="101"/>
      <c r="DC72" s="101"/>
      <c r="DD72" s="100"/>
      <c r="DE72" s="100"/>
      <c r="DF72" s="102"/>
      <c r="DG72" s="104"/>
      <c r="DH72" s="105"/>
      <c r="DI72" s="101"/>
      <c r="DJ72" s="100"/>
      <c r="DK72" s="100"/>
      <c r="DL72" s="100"/>
      <c r="DM72" s="102"/>
      <c r="DN72" s="104"/>
      <c r="DO72" s="105"/>
      <c r="DP72" s="101"/>
      <c r="DQ72" s="100"/>
      <c r="DR72" s="100"/>
      <c r="DS72" s="100"/>
      <c r="DT72" s="105"/>
      <c r="DU72" s="104"/>
      <c r="DV72" s="105"/>
      <c r="DW72" s="101"/>
      <c r="DX72" s="100"/>
      <c r="DY72" s="100"/>
      <c r="DZ72" s="100"/>
      <c r="EA72" s="100"/>
      <c r="EB72" s="105"/>
      <c r="EC72" s="105"/>
      <c r="ED72" s="100"/>
      <c r="EE72" s="100"/>
    </row>
    <row r="73" spans="2:135" ht="18" customHeight="1" outlineLevel="2" x14ac:dyDescent="0.15">
      <c r="B73" s="115">
        <f t="shared" si="0"/>
        <v>65</v>
      </c>
      <c r="C73" s="116"/>
      <c r="D73" s="112"/>
      <c r="E73" s="112" t="s">
        <v>78</v>
      </c>
      <c r="F73" s="112"/>
      <c r="G73" s="112"/>
      <c r="H73" s="112"/>
      <c r="I73" s="112"/>
      <c r="J73" s="112"/>
      <c r="K73" s="51"/>
      <c r="L73" s="59"/>
      <c r="M73" s="58" t="s">
        <v>117</v>
      </c>
      <c r="N73" s="59" t="s">
        <v>120</v>
      </c>
      <c r="O73" s="60">
        <v>0.5</v>
      </c>
      <c r="P73" s="61"/>
      <c r="Q73" s="62"/>
      <c r="R73" s="10">
        <f t="shared" si="1"/>
        <v>0</v>
      </c>
      <c r="S73" s="19"/>
      <c r="T73" s="15">
        <f t="shared" si="6"/>
        <v>0</v>
      </c>
      <c r="U73" s="15">
        <f t="shared" si="7"/>
        <v>0</v>
      </c>
      <c r="V73" s="14" t="str">
        <f t="shared" si="8"/>
        <v>-</v>
      </c>
      <c r="W73" s="14" t="str">
        <f t="shared" si="9"/>
        <v>-</v>
      </c>
      <c r="X73" s="69"/>
      <c r="Y73" s="69"/>
      <c r="Z73" s="69"/>
      <c r="AA73" s="69"/>
      <c r="AB73" s="69"/>
      <c r="AC73" s="76">
        <v>46094</v>
      </c>
      <c r="AD73" s="77">
        <v>46094</v>
      </c>
      <c r="AE73" s="101"/>
      <c r="AF73" s="102"/>
      <c r="AG73" s="102"/>
      <c r="AH73" s="104"/>
      <c r="AI73" s="105"/>
      <c r="AJ73" s="102"/>
      <c r="AK73" s="102"/>
      <c r="AL73" s="102"/>
      <c r="AM73" s="102"/>
      <c r="AN73" s="102"/>
      <c r="AO73" s="104"/>
      <c r="AP73" s="105"/>
      <c r="AQ73" s="102"/>
      <c r="AR73" s="102"/>
      <c r="AS73" s="102"/>
      <c r="AT73" s="102"/>
      <c r="AU73" s="102"/>
      <c r="AV73" s="104"/>
      <c r="AW73" s="105"/>
      <c r="AX73" s="101"/>
      <c r="AY73" s="100"/>
      <c r="AZ73" s="100"/>
      <c r="BA73" s="100"/>
      <c r="BB73" s="102"/>
      <c r="BC73" s="104"/>
      <c r="BD73" s="105"/>
      <c r="BE73" s="105"/>
      <c r="BF73" s="100"/>
      <c r="BG73" s="100"/>
      <c r="BH73" s="100"/>
      <c r="BI73" s="102"/>
      <c r="BJ73" s="104"/>
      <c r="BK73" s="105"/>
      <c r="BL73" s="100"/>
      <c r="BM73" s="100"/>
      <c r="BN73" s="100"/>
      <c r="BO73" s="100"/>
      <c r="BP73" s="101"/>
      <c r="BQ73" s="104"/>
      <c r="BR73" s="105"/>
      <c r="BS73" s="101"/>
      <c r="BT73" s="100"/>
      <c r="BU73" s="100"/>
      <c r="BV73" s="100"/>
      <c r="BW73" s="102"/>
      <c r="BX73" s="104"/>
      <c r="BY73" s="105"/>
      <c r="BZ73" s="101"/>
      <c r="CA73" s="100"/>
      <c r="CB73" s="100"/>
      <c r="CC73" s="100"/>
      <c r="CD73" s="102"/>
      <c r="CE73" s="104"/>
      <c r="CF73" s="105"/>
      <c r="CG73" s="101"/>
      <c r="CH73" s="100"/>
      <c r="CI73" s="105"/>
      <c r="CJ73" s="100"/>
      <c r="CK73" s="102"/>
      <c r="CL73" s="104"/>
      <c r="CM73" s="105"/>
      <c r="CN73" s="101"/>
      <c r="CO73" s="100"/>
      <c r="CP73" s="100"/>
      <c r="CQ73" s="100"/>
      <c r="CR73" s="102"/>
      <c r="CS73" s="104"/>
      <c r="CT73" s="105"/>
      <c r="CU73" s="105"/>
      <c r="CV73" s="100"/>
      <c r="CW73" s="100"/>
      <c r="CX73" s="100"/>
      <c r="CY73" s="102"/>
      <c r="CZ73" s="104"/>
      <c r="DA73" s="105"/>
      <c r="DB73" s="101"/>
      <c r="DC73" s="101"/>
      <c r="DD73" s="100"/>
      <c r="DE73" s="100"/>
      <c r="DF73" s="102"/>
      <c r="DG73" s="104"/>
      <c r="DH73" s="105"/>
      <c r="DI73" s="101"/>
      <c r="DJ73" s="100"/>
      <c r="DK73" s="100"/>
      <c r="DL73" s="100"/>
      <c r="DM73" s="102"/>
      <c r="DN73" s="104"/>
      <c r="DO73" s="105"/>
      <c r="DP73" s="101"/>
      <c r="DQ73" s="100"/>
      <c r="DR73" s="100"/>
      <c r="DS73" s="100"/>
      <c r="DT73" s="105"/>
      <c r="DU73" s="104"/>
      <c r="DV73" s="105"/>
      <c r="DW73" s="101"/>
      <c r="DX73" s="100"/>
      <c r="DY73" s="100"/>
      <c r="DZ73" s="100"/>
      <c r="EA73" s="100"/>
      <c r="EB73" s="105"/>
      <c r="EC73" s="105"/>
      <c r="ED73" s="100"/>
      <c r="EE73" s="100"/>
    </row>
    <row r="74" spans="2:135" ht="18" customHeight="1" outlineLevel="2" x14ac:dyDescent="0.15">
      <c r="B74" s="115"/>
      <c r="C74" s="116"/>
      <c r="D74" s="112" t="s">
        <v>139</v>
      </c>
      <c r="E74" s="112"/>
      <c r="F74" s="112"/>
      <c r="G74" s="112"/>
      <c r="H74" s="112"/>
      <c r="I74" s="112"/>
      <c r="J74" s="112"/>
      <c r="K74" s="51"/>
      <c r="L74" s="59"/>
      <c r="M74" s="58"/>
      <c r="N74" s="59"/>
      <c r="O74" s="60"/>
      <c r="P74" s="61"/>
      <c r="Q74" s="62"/>
      <c r="R74" s="10"/>
      <c r="S74" s="19"/>
      <c r="T74" s="15"/>
      <c r="U74" s="15"/>
      <c r="V74" s="14"/>
      <c r="W74" s="14"/>
      <c r="X74" s="69"/>
      <c r="Y74" s="69"/>
      <c r="Z74" s="69"/>
      <c r="AA74" s="69"/>
      <c r="AB74" s="69"/>
      <c r="AC74" s="76"/>
      <c r="AD74" s="77"/>
      <c r="AE74" s="101"/>
      <c r="AF74" s="102"/>
      <c r="AG74" s="102"/>
      <c r="AH74" s="104"/>
      <c r="AI74" s="105"/>
      <c r="AJ74" s="102"/>
      <c r="AK74" s="102"/>
      <c r="AL74" s="102"/>
      <c r="AM74" s="102"/>
      <c r="AN74" s="102"/>
      <c r="AO74" s="104"/>
      <c r="AP74" s="105"/>
      <c r="AQ74" s="102"/>
      <c r="AR74" s="102"/>
      <c r="AS74" s="102"/>
      <c r="AT74" s="102"/>
      <c r="AU74" s="102"/>
      <c r="AV74" s="104"/>
      <c r="AW74" s="105"/>
      <c r="AX74" s="101"/>
      <c r="AY74" s="100"/>
      <c r="AZ74" s="100"/>
      <c r="BA74" s="100"/>
      <c r="BB74" s="102"/>
      <c r="BC74" s="104"/>
      <c r="BD74" s="105"/>
      <c r="BE74" s="105"/>
      <c r="BF74" s="100"/>
      <c r="BG74" s="100"/>
      <c r="BH74" s="100"/>
      <c r="BI74" s="102"/>
      <c r="BJ74" s="104"/>
      <c r="BK74" s="105"/>
      <c r="BL74" s="100"/>
      <c r="BM74" s="100"/>
      <c r="BN74" s="100"/>
      <c r="BO74" s="100"/>
      <c r="BP74" s="101"/>
      <c r="BQ74" s="104"/>
      <c r="BR74" s="105"/>
      <c r="BS74" s="101"/>
      <c r="BT74" s="100"/>
      <c r="BU74" s="100"/>
      <c r="BV74" s="100"/>
      <c r="BW74" s="102"/>
      <c r="BX74" s="104"/>
      <c r="BY74" s="105"/>
      <c r="BZ74" s="101"/>
      <c r="CA74" s="100"/>
      <c r="CB74" s="100"/>
      <c r="CC74" s="100"/>
      <c r="CD74" s="102"/>
      <c r="CE74" s="104"/>
      <c r="CF74" s="105"/>
      <c r="CG74" s="101"/>
      <c r="CH74" s="100"/>
      <c r="CI74" s="105"/>
      <c r="CJ74" s="100"/>
      <c r="CK74" s="102"/>
      <c r="CL74" s="104"/>
      <c r="CM74" s="105"/>
      <c r="CN74" s="101"/>
      <c r="CO74" s="100"/>
      <c r="CP74" s="100"/>
      <c r="CQ74" s="100"/>
      <c r="CR74" s="102"/>
      <c r="CS74" s="104"/>
      <c r="CT74" s="105"/>
      <c r="CU74" s="105"/>
      <c r="CV74" s="100"/>
      <c r="CW74" s="100"/>
      <c r="CX74" s="100"/>
      <c r="CY74" s="102"/>
      <c r="CZ74" s="104"/>
      <c r="DA74" s="105"/>
      <c r="DB74" s="101"/>
      <c r="DC74" s="101"/>
      <c r="DD74" s="100"/>
      <c r="DE74" s="100"/>
      <c r="DF74" s="102"/>
      <c r="DG74" s="104"/>
      <c r="DH74" s="105"/>
      <c r="DI74" s="101"/>
      <c r="DJ74" s="100"/>
      <c r="DK74" s="100"/>
      <c r="DL74" s="100"/>
      <c r="DM74" s="102"/>
      <c r="DN74" s="104"/>
      <c r="DO74" s="105"/>
      <c r="DP74" s="101"/>
      <c r="DQ74" s="100"/>
      <c r="DR74" s="100"/>
      <c r="DS74" s="100"/>
      <c r="DT74" s="105"/>
      <c r="DU74" s="104"/>
      <c r="DV74" s="105"/>
      <c r="DW74" s="101"/>
      <c r="DX74" s="100"/>
      <c r="DY74" s="100"/>
      <c r="DZ74" s="100"/>
      <c r="EA74" s="100"/>
      <c r="EB74" s="105"/>
      <c r="EC74" s="105"/>
      <c r="ED74" s="100"/>
      <c r="EE74" s="100"/>
    </row>
    <row r="75" spans="2:135" ht="18" customHeight="1" outlineLevel="2" x14ac:dyDescent="0.15">
      <c r="B75" s="115">
        <f t="shared" si="0"/>
        <v>67</v>
      </c>
      <c r="C75" s="116"/>
      <c r="D75" s="112"/>
      <c r="E75" s="112" t="s">
        <v>104</v>
      </c>
      <c r="F75" s="112"/>
      <c r="G75" s="112"/>
      <c r="H75" s="112"/>
      <c r="I75" s="112"/>
      <c r="J75" s="112"/>
      <c r="K75" s="51"/>
      <c r="L75" s="59"/>
      <c r="M75" s="58" t="s">
        <v>117</v>
      </c>
      <c r="N75" s="59" t="s">
        <v>120</v>
      </c>
      <c r="O75" s="60">
        <v>1.3</v>
      </c>
      <c r="P75" s="61"/>
      <c r="Q75" s="62"/>
      <c r="R75" s="10">
        <f t="shared" si="1"/>
        <v>0</v>
      </c>
      <c r="S75" s="19"/>
      <c r="T75" s="15">
        <f t="shared" si="6"/>
        <v>0</v>
      </c>
      <c r="U75" s="15">
        <f t="shared" si="7"/>
        <v>0</v>
      </c>
      <c r="V75" s="14" t="str">
        <f t="shared" si="8"/>
        <v>-</v>
      </c>
      <c r="W75" s="14" t="str">
        <f t="shared" si="9"/>
        <v>-</v>
      </c>
      <c r="X75" s="69"/>
      <c r="Y75" s="69"/>
      <c r="Z75" s="69"/>
      <c r="AA75" s="69"/>
      <c r="AB75" s="69"/>
      <c r="AC75" s="76">
        <v>46090</v>
      </c>
      <c r="AD75" s="77">
        <v>46091</v>
      </c>
      <c r="AE75" s="101"/>
      <c r="AF75" s="102"/>
      <c r="AG75" s="102"/>
      <c r="AH75" s="104"/>
      <c r="AI75" s="105"/>
      <c r="AJ75" s="102"/>
      <c r="AK75" s="102"/>
      <c r="AL75" s="102"/>
      <c r="AM75" s="102"/>
      <c r="AN75" s="102"/>
      <c r="AO75" s="104"/>
      <c r="AP75" s="105"/>
      <c r="AQ75" s="102"/>
      <c r="AR75" s="102"/>
      <c r="AS75" s="102"/>
      <c r="AT75" s="102"/>
      <c r="AU75" s="102"/>
      <c r="AV75" s="104"/>
      <c r="AW75" s="105"/>
      <c r="AX75" s="101"/>
      <c r="AY75" s="100"/>
      <c r="AZ75" s="100"/>
      <c r="BA75" s="100"/>
      <c r="BB75" s="102"/>
      <c r="BC75" s="104"/>
      <c r="BD75" s="105"/>
      <c r="BE75" s="105"/>
      <c r="BF75" s="100"/>
      <c r="BG75" s="100"/>
      <c r="BH75" s="100"/>
      <c r="BI75" s="102"/>
      <c r="BJ75" s="104"/>
      <c r="BK75" s="105"/>
      <c r="BL75" s="100"/>
      <c r="BM75" s="100"/>
      <c r="BN75" s="100"/>
      <c r="BO75" s="100"/>
      <c r="BP75" s="101"/>
      <c r="BQ75" s="104"/>
      <c r="BR75" s="105"/>
      <c r="BS75" s="101"/>
      <c r="BT75" s="100"/>
      <c r="BU75" s="100"/>
      <c r="BV75" s="100"/>
      <c r="BW75" s="102"/>
      <c r="BX75" s="104"/>
      <c r="BY75" s="105"/>
      <c r="BZ75" s="101"/>
      <c r="CA75" s="100"/>
      <c r="CB75" s="100"/>
      <c r="CC75" s="100"/>
      <c r="CD75" s="102"/>
      <c r="CE75" s="104"/>
      <c r="CF75" s="105"/>
      <c r="CG75" s="101"/>
      <c r="CH75" s="100"/>
      <c r="CI75" s="105"/>
      <c r="CJ75" s="100"/>
      <c r="CK75" s="102"/>
      <c r="CL75" s="104"/>
      <c r="CM75" s="105"/>
      <c r="CN75" s="101"/>
      <c r="CO75" s="100"/>
      <c r="CP75" s="100"/>
      <c r="CQ75" s="100"/>
      <c r="CR75" s="102"/>
      <c r="CS75" s="104"/>
      <c r="CT75" s="105"/>
      <c r="CU75" s="105"/>
      <c r="CV75" s="100"/>
      <c r="CW75" s="100"/>
      <c r="CX75" s="100"/>
      <c r="CY75" s="102"/>
      <c r="CZ75" s="104"/>
      <c r="DA75" s="105"/>
      <c r="DB75" s="101"/>
      <c r="DC75" s="101"/>
      <c r="DD75" s="100"/>
      <c r="DE75" s="100"/>
      <c r="DF75" s="102"/>
      <c r="DG75" s="104"/>
      <c r="DH75" s="105"/>
      <c r="DI75" s="101"/>
      <c r="DJ75" s="100"/>
      <c r="DK75" s="100"/>
      <c r="DL75" s="100"/>
      <c r="DM75" s="102"/>
      <c r="DN75" s="104"/>
      <c r="DO75" s="105"/>
      <c r="DP75" s="101"/>
      <c r="DQ75" s="100"/>
      <c r="DR75" s="100"/>
      <c r="DS75" s="100"/>
      <c r="DT75" s="105"/>
      <c r="DU75" s="104"/>
      <c r="DV75" s="105"/>
      <c r="DW75" s="101"/>
      <c r="DX75" s="100"/>
      <c r="DY75" s="100"/>
      <c r="DZ75" s="100"/>
      <c r="EA75" s="100"/>
      <c r="EB75" s="105"/>
      <c r="EC75" s="105"/>
      <c r="ED75" s="100"/>
      <c r="EE75" s="100"/>
    </row>
    <row r="76" spans="2:135" ht="18" customHeight="1" outlineLevel="2" x14ac:dyDescent="0.15">
      <c r="B76" s="115">
        <f t="shared" si="0"/>
        <v>68</v>
      </c>
      <c r="C76" s="116"/>
      <c r="D76" s="112"/>
      <c r="E76" s="112" t="s">
        <v>105</v>
      </c>
      <c r="F76" s="112"/>
      <c r="G76" s="112"/>
      <c r="H76" s="112"/>
      <c r="I76" s="112"/>
      <c r="J76" s="112"/>
      <c r="K76" s="51"/>
      <c r="L76" s="59"/>
      <c r="M76" s="58" t="s">
        <v>117</v>
      </c>
      <c r="N76" s="59" t="s">
        <v>119</v>
      </c>
      <c r="O76" s="60">
        <v>1.6</v>
      </c>
      <c r="P76" s="61"/>
      <c r="Q76" s="62"/>
      <c r="R76" s="10">
        <f t="shared" si="1"/>
        <v>0</v>
      </c>
      <c r="S76" s="19"/>
      <c r="T76" s="15">
        <f t="shared" si="6"/>
        <v>0</v>
      </c>
      <c r="U76" s="15">
        <f t="shared" si="7"/>
        <v>0</v>
      </c>
      <c r="V76" s="14" t="str">
        <f t="shared" si="8"/>
        <v>-</v>
      </c>
      <c r="W76" s="14" t="str">
        <f t="shared" si="9"/>
        <v>-</v>
      </c>
      <c r="X76" s="69"/>
      <c r="Y76" s="69"/>
      <c r="Z76" s="69"/>
      <c r="AA76" s="69"/>
      <c r="AB76" s="69"/>
      <c r="AC76" s="76">
        <v>46092</v>
      </c>
      <c r="AD76" s="77">
        <v>46092</v>
      </c>
      <c r="AE76" s="101"/>
      <c r="AF76" s="102"/>
      <c r="AG76" s="102"/>
      <c r="AH76" s="104"/>
      <c r="AI76" s="105"/>
      <c r="AJ76" s="102"/>
      <c r="AK76" s="102"/>
      <c r="AL76" s="102"/>
      <c r="AM76" s="102"/>
      <c r="AN76" s="102"/>
      <c r="AO76" s="104"/>
      <c r="AP76" s="105"/>
      <c r="AQ76" s="102"/>
      <c r="AR76" s="102"/>
      <c r="AS76" s="102"/>
      <c r="AT76" s="102"/>
      <c r="AU76" s="102"/>
      <c r="AV76" s="104"/>
      <c r="AW76" s="105"/>
      <c r="AX76" s="101"/>
      <c r="AY76" s="100"/>
      <c r="AZ76" s="100"/>
      <c r="BA76" s="100"/>
      <c r="BB76" s="102"/>
      <c r="BC76" s="104"/>
      <c r="BD76" s="105"/>
      <c r="BE76" s="105"/>
      <c r="BF76" s="100"/>
      <c r="BG76" s="100"/>
      <c r="BH76" s="100"/>
      <c r="BI76" s="102"/>
      <c r="BJ76" s="104"/>
      <c r="BK76" s="105"/>
      <c r="BL76" s="100"/>
      <c r="BM76" s="100"/>
      <c r="BN76" s="100"/>
      <c r="BO76" s="100"/>
      <c r="BP76" s="101"/>
      <c r="BQ76" s="104"/>
      <c r="BR76" s="105"/>
      <c r="BS76" s="101"/>
      <c r="BT76" s="100"/>
      <c r="BU76" s="100"/>
      <c r="BV76" s="100"/>
      <c r="BW76" s="102"/>
      <c r="BX76" s="104"/>
      <c r="BY76" s="105"/>
      <c r="BZ76" s="101"/>
      <c r="CA76" s="100"/>
      <c r="CB76" s="100"/>
      <c r="CC76" s="100"/>
      <c r="CD76" s="102"/>
      <c r="CE76" s="104"/>
      <c r="CF76" s="105"/>
      <c r="CG76" s="101"/>
      <c r="CH76" s="100"/>
      <c r="CI76" s="105"/>
      <c r="CJ76" s="100"/>
      <c r="CK76" s="102"/>
      <c r="CL76" s="104"/>
      <c r="CM76" s="105"/>
      <c r="CN76" s="101"/>
      <c r="CO76" s="100"/>
      <c r="CP76" s="100"/>
      <c r="CQ76" s="100"/>
      <c r="CR76" s="102"/>
      <c r="CS76" s="104"/>
      <c r="CT76" s="105"/>
      <c r="CU76" s="105"/>
      <c r="CV76" s="100"/>
      <c r="CW76" s="100"/>
      <c r="CX76" s="100"/>
      <c r="CY76" s="102"/>
      <c r="CZ76" s="104"/>
      <c r="DA76" s="105"/>
      <c r="DB76" s="101"/>
      <c r="DC76" s="101"/>
      <c r="DD76" s="100"/>
      <c r="DE76" s="100"/>
      <c r="DF76" s="102"/>
      <c r="DG76" s="104"/>
      <c r="DH76" s="105"/>
      <c r="DI76" s="101"/>
      <c r="DJ76" s="100"/>
      <c r="DK76" s="100"/>
      <c r="DL76" s="100"/>
      <c r="DM76" s="102"/>
      <c r="DN76" s="104"/>
      <c r="DO76" s="105"/>
      <c r="DP76" s="101"/>
      <c r="DQ76" s="100"/>
      <c r="DR76" s="100"/>
      <c r="DS76" s="100"/>
      <c r="DT76" s="105"/>
      <c r="DU76" s="104"/>
      <c r="DV76" s="105"/>
      <c r="DW76" s="101"/>
      <c r="DX76" s="100"/>
      <c r="DY76" s="100"/>
      <c r="DZ76" s="100"/>
      <c r="EA76" s="100"/>
      <c r="EB76" s="105"/>
      <c r="EC76" s="105"/>
      <c r="ED76" s="100"/>
      <c r="EE76" s="100"/>
    </row>
    <row r="77" spans="2:135" ht="18" customHeight="1" outlineLevel="2" x14ac:dyDescent="0.15">
      <c r="B77" s="115">
        <f t="shared" si="0"/>
        <v>69</v>
      </c>
      <c r="C77" s="116"/>
      <c r="D77" s="112"/>
      <c r="E77" s="112" t="s">
        <v>106</v>
      </c>
      <c r="F77" s="112"/>
      <c r="G77" s="112"/>
      <c r="H77" s="112"/>
      <c r="I77" s="112"/>
      <c r="J77" s="112"/>
      <c r="K77" s="51"/>
      <c r="L77" s="59"/>
      <c r="M77" s="58" t="s">
        <v>117</v>
      </c>
      <c r="N77" s="59" t="s">
        <v>119</v>
      </c>
      <c r="O77" s="60">
        <v>0.3</v>
      </c>
      <c r="P77" s="61"/>
      <c r="Q77" s="62"/>
      <c r="R77" s="10">
        <f t="shared" si="1"/>
        <v>0</v>
      </c>
      <c r="S77" s="19"/>
      <c r="T77" s="15">
        <f t="shared" si="6"/>
        <v>0</v>
      </c>
      <c r="U77" s="15">
        <f t="shared" si="7"/>
        <v>0</v>
      </c>
      <c r="V77" s="14" t="str">
        <f t="shared" si="8"/>
        <v>-</v>
      </c>
      <c r="W77" s="14" t="str">
        <f t="shared" si="9"/>
        <v>-</v>
      </c>
      <c r="X77" s="69"/>
      <c r="Y77" s="69"/>
      <c r="Z77" s="69"/>
      <c r="AA77" s="69"/>
      <c r="AB77" s="69"/>
      <c r="AC77" s="76">
        <v>46093</v>
      </c>
      <c r="AD77" s="77">
        <v>46094</v>
      </c>
      <c r="AE77" s="101"/>
      <c r="AF77" s="102"/>
      <c r="AG77" s="102"/>
      <c r="AH77" s="104"/>
      <c r="AI77" s="105"/>
      <c r="AJ77" s="102"/>
      <c r="AK77" s="102"/>
      <c r="AL77" s="102"/>
      <c r="AM77" s="102"/>
      <c r="AN77" s="102"/>
      <c r="AO77" s="104"/>
      <c r="AP77" s="105"/>
      <c r="AQ77" s="102"/>
      <c r="AR77" s="102"/>
      <c r="AS77" s="102"/>
      <c r="AT77" s="102"/>
      <c r="AU77" s="102"/>
      <c r="AV77" s="104"/>
      <c r="AW77" s="105"/>
      <c r="AX77" s="101"/>
      <c r="AY77" s="100"/>
      <c r="AZ77" s="100"/>
      <c r="BA77" s="100"/>
      <c r="BB77" s="102"/>
      <c r="BC77" s="104"/>
      <c r="BD77" s="105"/>
      <c r="BE77" s="105"/>
      <c r="BF77" s="100"/>
      <c r="BG77" s="100"/>
      <c r="BH77" s="100"/>
      <c r="BI77" s="102"/>
      <c r="BJ77" s="104"/>
      <c r="BK77" s="105"/>
      <c r="BL77" s="100"/>
      <c r="BM77" s="100"/>
      <c r="BN77" s="100"/>
      <c r="BO77" s="100"/>
      <c r="BP77" s="101"/>
      <c r="BQ77" s="104"/>
      <c r="BR77" s="105"/>
      <c r="BS77" s="101"/>
      <c r="BT77" s="100"/>
      <c r="BU77" s="100"/>
      <c r="BV77" s="100"/>
      <c r="BW77" s="102"/>
      <c r="BX77" s="104"/>
      <c r="BY77" s="105"/>
      <c r="BZ77" s="101"/>
      <c r="CA77" s="100"/>
      <c r="CB77" s="100"/>
      <c r="CC77" s="100"/>
      <c r="CD77" s="102"/>
      <c r="CE77" s="104"/>
      <c r="CF77" s="105"/>
      <c r="CG77" s="101"/>
      <c r="CH77" s="100"/>
      <c r="CI77" s="105"/>
      <c r="CJ77" s="100"/>
      <c r="CK77" s="102"/>
      <c r="CL77" s="104"/>
      <c r="CM77" s="105"/>
      <c r="CN77" s="101"/>
      <c r="CO77" s="100"/>
      <c r="CP77" s="100"/>
      <c r="CQ77" s="100"/>
      <c r="CR77" s="102"/>
      <c r="CS77" s="104"/>
      <c r="CT77" s="105"/>
      <c r="CU77" s="105"/>
      <c r="CV77" s="100"/>
      <c r="CW77" s="100"/>
      <c r="CX77" s="100"/>
      <c r="CY77" s="102"/>
      <c r="CZ77" s="104"/>
      <c r="DA77" s="105"/>
      <c r="DB77" s="101"/>
      <c r="DC77" s="101"/>
      <c r="DD77" s="100"/>
      <c r="DE77" s="100"/>
      <c r="DF77" s="102"/>
      <c r="DG77" s="104"/>
      <c r="DH77" s="105"/>
      <c r="DI77" s="101"/>
      <c r="DJ77" s="100"/>
      <c r="DK77" s="100"/>
      <c r="DL77" s="100"/>
      <c r="DM77" s="102"/>
      <c r="DN77" s="104"/>
      <c r="DO77" s="105"/>
      <c r="DP77" s="101"/>
      <c r="DQ77" s="100"/>
      <c r="DR77" s="100"/>
      <c r="DS77" s="100"/>
      <c r="DT77" s="105"/>
      <c r="DU77" s="104"/>
      <c r="DV77" s="105"/>
      <c r="DW77" s="101"/>
      <c r="DX77" s="100"/>
      <c r="DY77" s="100"/>
      <c r="DZ77" s="100"/>
      <c r="EA77" s="100"/>
      <c r="EB77" s="105"/>
      <c r="EC77" s="105"/>
      <c r="ED77" s="100"/>
      <c r="EE77" s="100"/>
    </row>
    <row r="78" spans="2:135" ht="18" customHeight="1" outlineLevel="2" x14ac:dyDescent="0.15">
      <c r="B78" s="115">
        <f t="shared" si="0"/>
        <v>70</v>
      </c>
      <c r="C78" s="116"/>
      <c r="D78" s="112"/>
      <c r="E78" s="112" t="s">
        <v>78</v>
      </c>
      <c r="F78" s="112"/>
      <c r="G78" s="112"/>
      <c r="H78" s="112"/>
      <c r="I78" s="112"/>
      <c r="J78" s="112"/>
      <c r="K78" s="51"/>
      <c r="L78" s="59"/>
      <c r="M78" s="58" t="s">
        <v>117</v>
      </c>
      <c r="N78" s="59" t="s">
        <v>120</v>
      </c>
      <c r="O78" s="60">
        <v>0.3</v>
      </c>
      <c r="P78" s="61"/>
      <c r="Q78" s="62"/>
      <c r="R78" s="10">
        <f t="shared" si="1"/>
        <v>0</v>
      </c>
      <c r="S78" s="19"/>
      <c r="T78" s="15">
        <f t="shared" si="6"/>
        <v>0</v>
      </c>
      <c r="U78" s="15">
        <f t="shared" si="7"/>
        <v>0</v>
      </c>
      <c r="V78" s="14" t="str">
        <f t="shared" si="8"/>
        <v>-</v>
      </c>
      <c r="W78" s="14" t="str">
        <f t="shared" si="9"/>
        <v>-</v>
      </c>
      <c r="X78" s="69"/>
      <c r="Y78" s="69"/>
      <c r="Z78" s="69"/>
      <c r="AA78" s="69"/>
      <c r="AB78" s="69"/>
      <c r="AC78" s="76">
        <v>46097</v>
      </c>
      <c r="AD78" s="77">
        <v>46097</v>
      </c>
      <c r="AE78" s="101"/>
      <c r="AF78" s="102"/>
      <c r="AG78" s="102"/>
      <c r="AH78" s="104"/>
      <c r="AI78" s="105"/>
      <c r="AJ78" s="102"/>
      <c r="AK78" s="102"/>
      <c r="AL78" s="102"/>
      <c r="AM78" s="102"/>
      <c r="AN78" s="102"/>
      <c r="AO78" s="104"/>
      <c r="AP78" s="105"/>
      <c r="AQ78" s="102"/>
      <c r="AR78" s="102"/>
      <c r="AS78" s="102"/>
      <c r="AT78" s="102"/>
      <c r="AU78" s="102"/>
      <c r="AV78" s="104"/>
      <c r="AW78" s="105"/>
      <c r="AX78" s="101"/>
      <c r="AY78" s="100"/>
      <c r="AZ78" s="100"/>
      <c r="BA78" s="100"/>
      <c r="BB78" s="102"/>
      <c r="BC78" s="104"/>
      <c r="BD78" s="105"/>
      <c r="BE78" s="105"/>
      <c r="BF78" s="100"/>
      <c r="BG78" s="100"/>
      <c r="BH78" s="100"/>
      <c r="BI78" s="102"/>
      <c r="BJ78" s="104"/>
      <c r="BK78" s="105"/>
      <c r="BL78" s="100"/>
      <c r="BM78" s="100"/>
      <c r="BN78" s="100"/>
      <c r="BO78" s="100"/>
      <c r="BP78" s="101"/>
      <c r="BQ78" s="104"/>
      <c r="BR78" s="105"/>
      <c r="BS78" s="101"/>
      <c r="BT78" s="100"/>
      <c r="BU78" s="100"/>
      <c r="BV78" s="100"/>
      <c r="BW78" s="102"/>
      <c r="BX78" s="104"/>
      <c r="BY78" s="105"/>
      <c r="BZ78" s="101"/>
      <c r="CA78" s="100"/>
      <c r="CB78" s="100"/>
      <c r="CC78" s="100"/>
      <c r="CD78" s="102"/>
      <c r="CE78" s="104"/>
      <c r="CF78" s="105"/>
      <c r="CG78" s="101"/>
      <c r="CH78" s="100"/>
      <c r="CI78" s="105"/>
      <c r="CJ78" s="100"/>
      <c r="CK78" s="102"/>
      <c r="CL78" s="104"/>
      <c r="CM78" s="105"/>
      <c r="CN78" s="101"/>
      <c r="CO78" s="100"/>
      <c r="CP78" s="100"/>
      <c r="CQ78" s="100"/>
      <c r="CR78" s="102"/>
      <c r="CS78" s="104"/>
      <c r="CT78" s="105"/>
      <c r="CU78" s="105"/>
      <c r="CV78" s="100"/>
      <c r="CW78" s="100"/>
      <c r="CX78" s="100"/>
      <c r="CY78" s="102"/>
      <c r="CZ78" s="104"/>
      <c r="DA78" s="105"/>
      <c r="DB78" s="101"/>
      <c r="DC78" s="101"/>
      <c r="DD78" s="100"/>
      <c r="DE78" s="100"/>
      <c r="DF78" s="102"/>
      <c r="DG78" s="104"/>
      <c r="DH78" s="105"/>
      <c r="DI78" s="101"/>
      <c r="DJ78" s="100"/>
      <c r="DK78" s="100"/>
      <c r="DL78" s="100"/>
      <c r="DM78" s="102"/>
      <c r="DN78" s="104"/>
      <c r="DO78" s="105"/>
      <c r="DP78" s="101"/>
      <c r="DQ78" s="100"/>
      <c r="DR78" s="100"/>
      <c r="DS78" s="100"/>
      <c r="DT78" s="105"/>
      <c r="DU78" s="104"/>
      <c r="DV78" s="105"/>
      <c r="DW78" s="101"/>
      <c r="DX78" s="100"/>
      <c r="DY78" s="100"/>
      <c r="DZ78" s="100"/>
      <c r="EA78" s="100"/>
      <c r="EB78" s="105"/>
      <c r="EC78" s="105"/>
      <c r="ED78" s="100"/>
      <c r="EE78" s="100"/>
    </row>
    <row r="79" spans="2:135" ht="18" customHeight="1" outlineLevel="2" x14ac:dyDescent="0.15">
      <c r="B79" s="115"/>
      <c r="C79" s="116"/>
      <c r="D79" s="112" t="s">
        <v>140</v>
      </c>
      <c r="E79" s="112"/>
      <c r="F79" s="112"/>
      <c r="G79" s="112"/>
      <c r="H79" s="112"/>
      <c r="I79" s="112"/>
      <c r="J79" s="112"/>
      <c r="K79" s="51"/>
      <c r="L79" s="59"/>
      <c r="M79" s="58"/>
      <c r="N79" s="59"/>
      <c r="O79" s="60"/>
      <c r="P79" s="61"/>
      <c r="Q79" s="62"/>
      <c r="R79" s="10"/>
      <c r="S79" s="19"/>
      <c r="T79" s="15"/>
      <c r="U79" s="15"/>
      <c r="V79" s="14"/>
      <c r="W79" s="14"/>
      <c r="X79" s="69"/>
      <c r="Y79" s="69"/>
      <c r="Z79" s="69"/>
      <c r="AA79" s="69"/>
      <c r="AB79" s="69"/>
      <c r="AC79" s="76"/>
      <c r="AD79" s="77"/>
      <c r="AE79" s="101"/>
      <c r="AF79" s="102"/>
      <c r="AG79" s="102"/>
      <c r="AH79" s="104"/>
      <c r="AI79" s="105"/>
      <c r="AJ79" s="102"/>
      <c r="AK79" s="102"/>
      <c r="AL79" s="102"/>
      <c r="AM79" s="102"/>
      <c r="AN79" s="102"/>
      <c r="AO79" s="104"/>
      <c r="AP79" s="105"/>
      <c r="AQ79" s="102"/>
      <c r="AR79" s="102"/>
      <c r="AS79" s="102"/>
      <c r="AT79" s="102"/>
      <c r="AU79" s="102"/>
      <c r="AV79" s="104"/>
      <c r="AW79" s="105"/>
      <c r="AX79" s="101"/>
      <c r="AY79" s="100"/>
      <c r="AZ79" s="100"/>
      <c r="BA79" s="100"/>
      <c r="BB79" s="102"/>
      <c r="BC79" s="104"/>
      <c r="BD79" s="105"/>
      <c r="BE79" s="105"/>
      <c r="BF79" s="100"/>
      <c r="BG79" s="100"/>
      <c r="BH79" s="100"/>
      <c r="BI79" s="102"/>
      <c r="BJ79" s="104"/>
      <c r="BK79" s="105"/>
      <c r="BL79" s="100"/>
      <c r="BM79" s="100"/>
      <c r="BN79" s="100"/>
      <c r="BO79" s="100"/>
      <c r="BP79" s="101"/>
      <c r="BQ79" s="104"/>
      <c r="BR79" s="105"/>
      <c r="BS79" s="101"/>
      <c r="BT79" s="100"/>
      <c r="BU79" s="100"/>
      <c r="BV79" s="100"/>
      <c r="BW79" s="102"/>
      <c r="BX79" s="104"/>
      <c r="BY79" s="105"/>
      <c r="BZ79" s="101"/>
      <c r="CA79" s="100"/>
      <c r="CB79" s="100"/>
      <c r="CC79" s="100"/>
      <c r="CD79" s="102"/>
      <c r="CE79" s="104"/>
      <c r="CF79" s="105"/>
      <c r="CG79" s="101"/>
      <c r="CH79" s="100"/>
      <c r="CI79" s="105"/>
      <c r="CJ79" s="100"/>
      <c r="CK79" s="102"/>
      <c r="CL79" s="104"/>
      <c r="CM79" s="105"/>
      <c r="CN79" s="101"/>
      <c r="CO79" s="100"/>
      <c r="CP79" s="100"/>
      <c r="CQ79" s="100"/>
      <c r="CR79" s="102"/>
      <c r="CS79" s="104"/>
      <c r="CT79" s="105"/>
      <c r="CU79" s="105"/>
      <c r="CV79" s="100"/>
      <c r="CW79" s="100"/>
      <c r="CX79" s="100"/>
      <c r="CY79" s="102"/>
      <c r="CZ79" s="104"/>
      <c r="DA79" s="105"/>
      <c r="DB79" s="101"/>
      <c r="DC79" s="101"/>
      <c r="DD79" s="100"/>
      <c r="DE79" s="100"/>
      <c r="DF79" s="102"/>
      <c r="DG79" s="104"/>
      <c r="DH79" s="105"/>
      <c r="DI79" s="101"/>
      <c r="DJ79" s="100"/>
      <c r="DK79" s="100"/>
      <c r="DL79" s="100"/>
      <c r="DM79" s="102"/>
      <c r="DN79" s="104"/>
      <c r="DO79" s="105"/>
      <c r="DP79" s="101"/>
      <c r="DQ79" s="100"/>
      <c r="DR79" s="100"/>
      <c r="DS79" s="100"/>
      <c r="DT79" s="105"/>
      <c r="DU79" s="104"/>
      <c r="DV79" s="105"/>
      <c r="DW79" s="101"/>
      <c r="DX79" s="100"/>
      <c r="DY79" s="100"/>
      <c r="DZ79" s="100"/>
      <c r="EA79" s="100"/>
      <c r="EB79" s="105"/>
      <c r="EC79" s="105"/>
      <c r="ED79" s="100"/>
      <c r="EE79" s="100"/>
    </row>
    <row r="80" spans="2:135" ht="18" customHeight="1" outlineLevel="2" x14ac:dyDescent="0.15">
      <c r="B80" s="115">
        <f t="shared" si="0"/>
        <v>72</v>
      </c>
      <c r="C80" s="116"/>
      <c r="D80" s="112"/>
      <c r="E80" s="112" t="s">
        <v>107</v>
      </c>
      <c r="F80" s="112"/>
      <c r="G80" s="112"/>
      <c r="H80" s="112"/>
      <c r="I80" s="112"/>
      <c r="J80" s="112"/>
      <c r="K80" s="51"/>
      <c r="L80" s="59"/>
      <c r="M80" s="58" t="s">
        <v>117</v>
      </c>
      <c r="N80" s="59" t="s">
        <v>120</v>
      </c>
      <c r="O80" s="60">
        <v>1.9</v>
      </c>
      <c r="P80" s="61"/>
      <c r="Q80" s="62"/>
      <c r="R80" s="10">
        <f t="shared" si="1"/>
        <v>0</v>
      </c>
      <c r="S80" s="19"/>
      <c r="T80" s="15">
        <f t="shared" si="6"/>
        <v>0</v>
      </c>
      <c r="U80" s="15">
        <f t="shared" si="7"/>
        <v>0</v>
      </c>
      <c r="V80" s="14" t="str">
        <f t="shared" si="8"/>
        <v>-</v>
      </c>
      <c r="W80" s="14" t="str">
        <f t="shared" si="9"/>
        <v>-</v>
      </c>
      <c r="X80" s="69"/>
      <c r="Y80" s="69" t="s">
        <v>144</v>
      </c>
      <c r="Z80" s="69"/>
      <c r="AA80" s="69"/>
      <c r="AB80" s="69"/>
      <c r="AC80" s="76">
        <v>46092</v>
      </c>
      <c r="AD80" s="77">
        <v>46092</v>
      </c>
      <c r="AE80" s="101"/>
      <c r="AF80" s="102"/>
      <c r="AG80" s="102"/>
      <c r="AH80" s="104"/>
      <c r="AI80" s="105"/>
      <c r="AJ80" s="102"/>
      <c r="AK80" s="102"/>
      <c r="AL80" s="102"/>
      <c r="AM80" s="102"/>
      <c r="AN80" s="102"/>
      <c r="AO80" s="104"/>
      <c r="AP80" s="105"/>
      <c r="AQ80" s="102"/>
      <c r="AR80" s="102"/>
      <c r="AS80" s="102"/>
      <c r="AT80" s="102"/>
      <c r="AU80" s="102"/>
      <c r="AV80" s="104"/>
      <c r="AW80" s="105"/>
      <c r="AX80" s="101"/>
      <c r="AY80" s="100"/>
      <c r="AZ80" s="100"/>
      <c r="BA80" s="100"/>
      <c r="BB80" s="102"/>
      <c r="BC80" s="104"/>
      <c r="BD80" s="105"/>
      <c r="BE80" s="105"/>
      <c r="BF80" s="100"/>
      <c r="BG80" s="100"/>
      <c r="BH80" s="100"/>
      <c r="BI80" s="102"/>
      <c r="BJ80" s="104"/>
      <c r="BK80" s="105"/>
      <c r="BL80" s="100"/>
      <c r="BM80" s="100"/>
      <c r="BN80" s="100"/>
      <c r="BO80" s="100"/>
      <c r="BP80" s="101"/>
      <c r="BQ80" s="104"/>
      <c r="BR80" s="105"/>
      <c r="BS80" s="101"/>
      <c r="BT80" s="100"/>
      <c r="BU80" s="100"/>
      <c r="BV80" s="100"/>
      <c r="BW80" s="102"/>
      <c r="BX80" s="104"/>
      <c r="BY80" s="105"/>
      <c r="BZ80" s="101"/>
      <c r="CA80" s="100"/>
      <c r="CB80" s="100"/>
      <c r="CC80" s="100"/>
      <c r="CD80" s="102"/>
      <c r="CE80" s="104"/>
      <c r="CF80" s="105"/>
      <c r="CG80" s="101"/>
      <c r="CH80" s="100"/>
      <c r="CI80" s="105"/>
      <c r="CJ80" s="100"/>
      <c r="CK80" s="102"/>
      <c r="CL80" s="104"/>
      <c r="CM80" s="105"/>
      <c r="CN80" s="101"/>
      <c r="CO80" s="100"/>
      <c r="CP80" s="100"/>
      <c r="CQ80" s="100"/>
      <c r="CR80" s="102"/>
      <c r="CS80" s="104"/>
      <c r="CT80" s="105"/>
      <c r="CU80" s="105"/>
      <c r="CV80" s="100"/>
      <c r="CW80" s="100"/>
      <c r="CX80" s="100"/>
      <c r="CY80" s="102"/>
      <c r="CZ80" s="104"/>
      <c r="DA80" s="105"/>
      <c r="DB80" s="101"/>
      <c r="DC80" s="101"/>
      <c r="DD80" s="100"/>
      <c r="DE80" s="100"/>
      <c r="DF80" s="102"/>
      <c r="DG80" s="104"/>
      <c r="DH80" s="105"/>
      <c r="DI80" s="101"/>
      <c r="DJ80" s="100"/>
      <c r="DK80" s="100"/>
      <c r="DL80" s="100"/>
      <c r="DM80" s="102"/>
      <c r="DN80" s="104"/>
      <c r="DO80" s="105"/>
      <c r="DP80" s="101"/>
      <c r="DQ80" s="100"/>
      <c r="DR80" s="100"/>
      <c r="DS80" s="100"/>
      <c r="DT80" s="105"/>
      <c r="DU80" s="104"/>
      <c r="DV80" s="105"/>
      <c r="DW80" s="101"/>
      <c r="DX80" s="100"/>
      <c r="DY80" s="100"/>
      <c r="DZ80" s="100"/>
      <c r="EA80" s="100"/>
      <c r="EB80" s="105"/>
      <c r="EC80" s="105"/>
      <c r="ED80" s="100"/>
      <c r="EE80" s="100"/>
    </row>
    <row r="81" spans="2:135" ht="18" customHeight="1" outlineLevel="2" x14ac:dyDescent="0.15">
      <c r="B81" s="115">
        <f t="shared" si="0"/>
        <v>73</v>
      </c>
      <c r="C81" s="116"/>
      <c r="D81" s="112"/>
      <c r="E81" s="112" t="s">
        <v>108</v>
      </c>
      <c r="F81" s="112"/>
      <c r="G81" s="112"/>
      <c r="H81" s="112"/>
      <c r="I81" s="112"/>
      <c r="J81" s="112"/>
      <c r="K81" s="51"/>
      <c r="L81" s="59"/>
      <c r="M81" s="58" t="s">
        <v>117</v>
      </c>
      <c r="N81" s="59" t="s">
        <v>119</v>
      </c>
      <c r="O81" s="60">
        <v>1.6</v>
      </c>
      <c r="P81" s="61"/>
      <c r="Q81" s="62"/>
      <c r="R81" s="10">
        <f t="shared" si="1"/>
        <v>0</v>
      </c>
      <c r="S81" s="19"/>
      <c r="T81" s="15">
        <f t="shared" si="6"/>
        <v>0</v>
      </c>
      <c r="U81" s="15">
        <f t="shared" si="7"/>
        <v>0</v>
      </c>
      <c r="V81" s="14" t="str">
        <f t="shared" si="8"/>
        <v>-</v>
      </c>
      <c r="W81" s="14" t="str">
        <f t="shared" si="9"/>
        <v>-</v>
      </c>
      <c r="X81" s="69"/>
      <c r="Y81" s="69"/>
      <c r="Z81" s="69"/>
      <c r="AA81" s="69"/>
      <c r="AB81" s="69"/>
      <c r="AC81" s="76">
        <v>46093</v>
      </c>
      <c r="AD81" s="77">
        <v>46093</v>
      </c>
      <c r="AE81" s="101"/>
      <c r="AF81" s="102"/>
      <c r="AG81" s="102"/>
      <c r="AH81" s="104"/>
      <c r="AI81" s="105"/>
      <c r="AJ81" s="102"/>
      <c r="AK81" s="102"/>
      <c r="AL81" s="102"/>
      <c r="AM81" s="102"/>
      <c r="AN81" s="102"/>
      <c r="AO81" s="104"/>
      <c r="AP81" s="105"/>
      <c r="AQ81" s="102"/>
      <c r="AR81" s="102"/>
      <c r="AS81" s="102"/>
      <c r="AT81" s="102"/>
      <c r="AU81" s="102"/>
      <c r="AV81" s="104"/>
      <c r="AW81" s="105"/>
      <c r="AX81" s="101"/>
      <c r="AY81" s="100"/>
      <c r="AZ81" s="100"/>
      <c r="BA81" s="100"/>
      <c r="BB81" s="102"/>
      <c r="BC81" s="104"/>
      <c r="BD81" s="105"/>
      <c r="BE81" s="105"/>
      <c r="BF81" s="100"/>
      <c r="BG81" s="100"/>
      <c r="BH81" s="100"/>
      <c r="BI81" s="102"/>
      <c r="BJ81" s="104"/>
      <c r="BK81" s="105"/>
      <c r="BL81" s="100"/>
      <c r="BM81" s="100"/>
      <c r="BN81" s="100"/>
      <c r="BO81" s="100"/>
      <c r="BP81" s="101"/>
      <c r="BQ81" s="104"/>
      <c r="BR81" s="105"/>
      <c r="BS81" s="101"/>
      <c r="BT81" s="100"/>
      <c r="BU81" s="100"/>
      <c r="BV81" s="100"/>
      <c r="BW81" s="102"/>
      <c r="BX81" s="104"/>
      <c r="BY81" s="105"/>
      <c r="BZ81" s="101"/>
      <c r="CA81" s="100"/>
      <c r="CB81" s="100"/>
      <c r="CC81" s="100"/>
      <c r="CD81" s="102"/>
      <c r="CE81" s="104"/>
      <c r="CF81" s="105"/>
      <c r="CG81" s="101"/>
      <c r="CH81" s="100"/>
      <c r="CI81" s="105"/>
      <c r="CJ81" s="100"/>
      <c r="CK81" s="102"/>
      <c r="CL81" s="104"/>
      <c r="CM81" s="105"/>
      <c r="CN81" s="101"/>
      <c r="CO81" s="100"/>
      <c r="CP81" s="100"/>
      <c r="CQ81" s="100"/>
      <c r="CR81" s="102"/>
      <c r="CS81" s="104"/>
      <c r="CT81" s="105"/>
      <c r="CU81" s="105"/>
      <c r="CV81" s="100"/>
      <c r="CW81" s="100"/>
      <c r="CX81" s="100"/>
      <c r="CY81" s="102"/>
      <c r="CZ81" s="104"/>
      <c r="DA81" s="105"/>
      <c r="DB81" s="101"/>
      <c r="DC81" s="101"/>
      <c r="DD81" s="100"/>
      <c r="DE81" s="100"/>
      <c r="DF81" s="102"/>
      <c r="DG81" s="104"/>
      <c r="DH81" s="105"/>
      <c r="DI81" s="101"/>
      <c r="DJ81" s="100"/>
      <c r="DK81" s="100"/>
      <c r="DL81" s="100"/>
      <c r="DM81" s="102"/>
      <c r="DN81" s="104"/>
      <c r="DO81" s="105"/>
      <c r="DP81" s="101"/>
      <c r="DQ81" s="100"/>
      <c r="DR81" s="100"/>
      <c r="DS81" s="100"/>
      <c r="DT81" s="105"/>
      <c r="DU81" s="104"/>
      <c r="DV81" s="105"/>
      <c r="DW81" s="101"/>
      <c r="DX81" s="100"/>
      <c r="DY81" s="100"/>
      <c r="DZ81" s="100"/>
      <c r="EA81" s="100"/>
      <c r="EB81" s="105"/>
      <c r="EC81" s="105"/>
      <c r="ED81" s="100"/>
      <c r="EE81" s="100"/>
    </row>
    <row r="82" spans="2:135" ht="18" customHeight="1" outlineLevel="1" x14ac:dyDescent="0.15">
      <c r="B82" s="115">
        <f t="shared" si="0"/>
        <v>74</v>
      </c>
      <c r="C82" s="116"/>
      <c r="D82" s="112"/>
      <c r="E82" s="112" t="s">
        <v>109</v>
      </c>
      <c r="F82" s="112"/>
      <c r="G82" s="112"/>
      <c r="H82" s="112"/>
      <c r="I82" s="112"/>
      <c r="J82" s="112"/>
      <c r="K82" s="51"/>
      <c r="L82" s="59"/>
      <c r="M82" s="58" t="s">
        <v>117</v>
      </c>
      <c r="N82" s="59" t="s">
        <v>119</v>
      </c>
      <c r="O82" s="60">
        <v>0.4</v>
      </c>
      <c r="P82" s="61"/>
      <c r="Q82" s="62"/>
      <c r="R82" s="10">
        <f t="shared" si="1"/>
        <v>0</v>
      </c>
      <c r="S82" s="19"/>
      <c r="T82" s="15">
        <f t="shared" si="6"/>
        <v>0</v>
      </c>
      <c r="U82" s="15">
        <f t="shared" si="7"/>
        <v>0</v>
      </c>
      <c r="V82" s="14" t="str">
        <f t="shared" si="8"/>
        <v>-</v>
      </c>
      <c r="W82" s="14" t="str">
        <f t="shared" si="9"/>
        <v>-</v>
      </c>
      <c r="X82" s="69"/>
      <c r="Y82" s="69" t="s">
        <v>143</v>
      </c>
      <c r="Z82" s="69"/>
      <c r="AA82" s="69"/>
      <c r="AB82" s="69"/>
      <c r="AC82" s="76">
        <v>46097</v>
      </c>
      <c r="AD82" s="77">
        <v>46098</v>
      </c>
      <c r="AE82" s="101"/>
      <c r="AF82" s="102"/>
      <c r="AG82" s="102"/>
      <c r="AH82" s="104"/>
      <c r="AI82" s="105"/>
      <c r="AJ82" s="102"/>
      <c r="AK82" s="102"/>
      <c r="AL82" s="102"/>
      <c r="AM82" s="102"/>
      <c r="AN82" s="102"/>
      <c r="AO82" s="104"/>
      <c r="AP82" s="105"/>
      <c r="AQ82" s="102"/>
      <c r="AR82" s="102"/>
      <c r="AS82" s="102"/>
      <c r="AT82" s="102"/>
      <c r="AU82" s="102"/>
      <c r="AV82" s="104"/>
      <c r="AW82" s="105"/>
      <c r="AX82" s="101"/>
      <c r="AY82" s="100"/>
      <c r="AZ82" s="100"/>
      <c r="BA82" s="100"/>
      <c r="BB82" s="102"/>
      <c r="BC82" s="104"/>
      <c r="BD82" s="105"/>
      <c r="BE82" s="105"/>
      <c r="BF82" s="100"/>
      <c r="BG82" s="100"/>
      <c r="BH82" s="100"/>
      <c r="BI82" s="102"/>
      <c r="BJ82" s="104"/>
      <c r="BK82" s="105"/>
      <c r="BL82" s="100"/>
      <c r="BM82" s="100"/>
      <c r="BN82" s="100"/>
      <c r="BO82" s="100"/>
      <c r="BP82" s="101"/>
      <c r="BQ82" s="104"/>
      <c r="BR82" s="105"/>
      <c r="BS82" s="101"/>
      <c r="BT82" s="100"/>
      <c r="BU82" s="100"/>
      <c r="BV82" s="100"/>
      <c r="BW82" s="102"/>
      <c r="BX82" s="104"/>
      <c r="BY82" s="105"/>
      <c r="BZ82" s="101"/>
      <c r="CA82" s="100"/>
      <c r="CB82" s="100"/>
      <c r="CC82" s="100"/>
      <c r="CD82" s="102"/>
      <c r="CE82" s="104"/>
      <c r="CF82" s="105"/>
      <c r="CG82" s="101"/>
      <c r="CH82" s="100"/>
      <c r="CI82" s="105"/>
      <c r="CJ82" s="100"/>
      <c r="CK82" s="102"/>
      <c r="CL82" s="104"/>
      <c r="CM82" s="105"/>
      <c r="CN82" s="101"/>
      <c r="CO82" s="100"/>
      <c r="CP82" s="100"/>
      <c r="CQ82" s="100"/>
      <c r="CR82" s="102"/>
      <c r="CS82" s="104"/>
      <c r="CT82" s="105"/>
      <c r="CU82" s="105"/>
      <c r="CV82" s="100"/>
      <c r="CW82" s="100"/>
      <c r="CX82" s="100"/>
      <c r="CY82" s="102"/>
      <c r="CZ82" s="104"/>
      <c r="DA82" s="105"/>
      <c r="DB82" s="101"/>
      <c r="DC82" s="101"/>
      <c r="DD82" s="100"/>
      <c r="DE82" s="100"/>
      <c r="DF82" s="102"/>
      <c r="DG82" s="104"/>
      <c r="DH82" s="105"/>
      <c r="DI82" s="101"/>
      <c r="DJ82" s="100"/>
      <c r="DK82" s="100"/>
      <c r="DL82" s="100"/>
      <c r="DM82" s="102"/>
      <c r="DN82" s="104"/>
      <c r="DO82" s="105"/>
      <c r="DP82" s="101"/>
      <c r="DQ82" s="100"/>
      <c r="DR82" s="100"/>
      <c r="DS82" s="100"/>
      <c r="DT82" s="105"/>
      <c r="DU82" s="104"/>
      <c r="DV82" s="105"/>
      <c r="DW82" s="101"/>
      <c r="DX82" s="100"/>
      <c r="DY82" s="100"/>
      <c r="DZ82" s="100"/>
      <c r="EA82" s="100"/>
      <c r="EB82" s="105"/>
      <c r="EC82" s="105"/>
      <c r="ED82" s="100"/>
      <c r="EE82" s="100"/>
    </row>
    <row r="83" spans="2:135" ht="18" customHeight="1" outlineLevel="2" x14ac:dyDescent="0.15">
      <c r="B83" s="115">
        <f t="shared" si="0"/>
        <v>75</v>
      </c>
      <c r="C83" s="116"/>
      <c r="D83" s="112"/>
      <c r="E83" s="112" t="s">
        <v>78</v>
      </c>
      <c r="F83" s="112"/>
      <c r="G83" s="112"/>
      <c r="H83" s="112"/>
      <c r="I83" s="112"/>
      <c r="J83" s="112"/>
      <c r="K83" s="51"/>
      <c r="L83" s="59"/>
      <c r="M83" s="58" t="s">
        <v>117</v>
      </c>
      <c r="N83" s="59" t="s">
        <v>120</v>
      </c>
      <c r="O83" s="60">
        <v>0.4</v>
      </c>
      <c r="P83" s="61"/>
      <c r="Q83" s="62"/>
      <c r="R83" s="10">
        <f t="shared" si="1"/>
        <v>0</v>
      </c>
      <c r="S83" s="19"/>
      <c r="T83" s="15">
        <f t="shared" si="6"/>
        <v>0</v>
      </c>
      <c r="U83" s="15">
        <f t="shared" si="7"/>
        <v>0</v>
      </c>
      <c r="V83" s="14" t="str">
        <f t="shared" si="8"/>
        <v>-</v>
      </c>
      <c r="W83" s="14" t="str">
        <f t="shared" si="9"/>
        <v>-</v>
      </c>
      <c r="X83" s="69"/>
      <c r="Y83" s="69"/>
      <c r="Z83" s="69"/>
      <c r="AA83" s="69"/>
      <c r="AB83" s="69"/>
      <c r="AC83" s="76">
        <v>46099</v>
      </c>
      <c r="AD83" s="77">
        <v>46099</v>
      </c>
      <c r="AE83" s="101"/>
      <c r="AF83" s="102"/>
      <c r="AG83" s="102"/>
      <c r="AH83" s="104"/>
      <c r="AI83" s="105"/>
      <c r="AJ83" s="102"/>
      <c r="AK83" s="102"/>
      <c r="AL83" s="102"/>
      <c r="AM83" s="102"/>
      <c r="AN83" s="102"/>
      <c r="AO83" s="104"/>
      <c r="AP83" s="105"/>
      <c r="AQ83" s="102"/>
      <c r="AR83" s="102"/>
      <c r="AS83" s="102"/>
      <c r="AT83" s="102"/>
      <c r="AU83" s="102"/>
      <c r="AV83" s="104"/>
      <c r="AW83" s="105"/>
      <c r="AX83" s="101"/>
      <c r="AY83" s="100"/>
      <c r="AZ83" s="100"/>
      <c r="BA83" s="100"/>
      <c r="BB83" s="102"/>
      <c r="BC83" s="104"/>
      <c r="BD83" s="105"/>
      <c r="BE83" s="105"/>
      <c r="BF83" s="100"/>
      <c r="BG83" s="100"/>
      <c r="BH83" s="100"/>
      <c r="BI83" s="102"/>
      <c r="BJ83" s="104"/>
      <c r="BK83" s="105"/>
      <c r="BL83" s="100"/>
      <c r="BM83" s="100"/>
      <c r="BN83" s="100"/>
      <c r="BO83" s="100"/>
      <c r="BP83" s="101"/>
      <c r="BQ83" s="104"/>
      <c r="BR83" s="105"/>
      <c r="BS83" s="101"/>
      <c r="BT83" s="100"/>
      <c r="BU83" s="100"/>
      <c r="BV83" s="100"/>
      <c r="BW83" s="102"/>
      <c r="BX83" s="104"/>
      <c r="BY83" s="105"/>
      <c r="BZ83" s="101"/>
      <c r="CA83" s="100"/>
      <c r="CB83" s="100"/>
      <c r="CC83" s="100"/>
      <c r="CD83" s="102"/>
      <c r="CE83" s="104"/>
      <c r="CF83" s="105"/>
      <c r="CG83" s="101"/>
      <c r="CH83" s="100"/>
      <c r="CI83" s="105"/>
      <c r="CJ83" s="100"/>
      <c r="CK83" s="102"/>
      <c r="CL83" s="104"/>
      <c r="CM83" s="105"/>
      <c r="CN83" s="101"/>
      <c r="CO83" s="100"/>
      <c r="CP83" s="100"/>
      <c r="CQ83" s="100"/>
      <c r="CR83" s="102"/>
      <c r="CS83" s="104"/>
      <c r="CT83" s="105"/>
      <c r="CU83" s="105"/>
      <c r="CV83" s="100"/>
      <c r="CW83" s="100"/>
      <c r="CX83" s="100"/>
      <c r="CY83" s="102"/>
      <c r="CZ83" s="104"/>
      <c r="DA83" s="105"/>
      <c r="DB83" s="101"/>
      <c r="DC83" s="101"/>
      <c r="DD83" s="100"/>
      <c r="DE83" s="100"/>
      <c r="DF83" s="102"/>
      <c r="DG83" s="104"/>
      <c r="DH83" s="105"/>
      <c r="DI83" s="101"/>
      <c r="DJ83" s="100"/>
      <c r="DK83" s="100"/>
      <c r="DL83" s="100"/>
      <c r="DM83" s="102"/>
      <c r="DN83" s="104"/>
      <c r="DO83" s="105"/>
      <c r="DP83" s="101"/>
      <c r="DQ83" s="100"/>
      <c r="DR83" s="100"/>
      <c r="DS83" s="100"/>
      <c r="DT83" s="105"/>
      <c r="DU83" s="104"/>
      <c r="DV83" s="105"/>
      <c r="DW83" s="101"/>
      <c r="DX83" s="100"/>
      <c r="DY83" s="100"/>
      <c r="DZ83" s="100"/>
      <c r="EA83" s="100"/>
      <c r="EB83" s="105"/>
      <c r="EC83" s="105"/>
      <c r="ED83" s="100"/>
      <c r="EE83" s="100"/>
    </row>
    <row r="84" spans="2:135" ht="18" customHeight="1" outlineLevel="2" x14ac:dyDescent="0.15">
      <c r="B84" s="115"/>
      <c r="C84" s="116"/>
      <c r="D84" s="112" t="s">
        <v>141</v>
      </c>
      <c r="E84" s="112"/>
      <c r="F84" s="112"/>
      <c r="G84" s="112"/>
      <c r="H84" s="112"/>
      <c r="I84" s="112"/>
      <c r="J84" s="112"/>
      <c r="K84" s="51"/>
      <c r="L84" s="59"/>
      <c r="M84" s="58"/>
      <c r="N84" s="59"/>
      <c r="O84" s="60"/>
      <c r="P84" s="61"/>
      <c r="Q84" s="62"/>
      <c r="R84" s="10"/>
      <c r="S84" s="19"/>
      <c r="T84" s="15"/>
      <c r="U84" s="15"/>
      <c r="V84" s="14"/>
      <c r="W84" s="14"/>
      <c r="X84" s="69"/>
      <c r="Y84" s="69"/>
      <c r="Z84" s="69"/>
      <c r="AA84" s="69"/>
      <c r="AB84" s="69"/>
      <c r="AC84" s="76"/>
      <c r="AD84" s="77"/>
      <c r="AE84" s="101"/>
      <c r="AF84" s="102"/>
      <c r="AG84" s="102"/>
      <c r="AH84" s="104"/>
      <c r="AI84" s="105"/>
      <c r="AJ84" s="102"/>
      <c r="AK84" s="102"/>
      <c r="AL84" s="102"/>
      <c r="AM84" s="102"/>
      <c r="AN84" s="102"/>
      <c r="AO84" s="104"/>
      <c r="AP84" s="105"/>
      <c r="AQ84" s="102"/>
      <c r="AR84" s="102"/>
      <c r="AS84" s="102"/>
      <c r="AT84" s="102"/>
      <c r="AU84" s="102"/>
      <c r="AV84" s="104"/>
      <c r="AW84" s="105"/>
      <c r="AX84" s="101"/>
      <c r="AY84" s="100"/>
      <c r="AZ84" s="100"/>
      <c r="BA84" s="100"/>
      <c r="BB84" s="102"/>
      <c r="BC84" s="104"/>
      <c r="BD84" s="105"/>
      <c r="BE84" s="105"/>
      <c r="BF84" s="100"/>
      <c r="BG84" s="100"/>
      <c r="BH84" s="100"/>
      <c r="BI84" s="102"/>
      <c r="BJ84" s="104"/>
      <c r="BK84" s="105"/>
      <c r="BL84" s="100"/>
      <c r="BM84" s="100"/>
      <c r="BN84" s="100"/>
      <c r="BO84" s="100"/>
      <c r="BP84" s="101"/>
      <c r="BQ84" s="104"/>
      <c r="BR84" s="105"/>
      <c r="BS84" s="101"/>
      <c r="BT84" s="100"/>
      <c r="BU84" s="100"/>
      <c r="BV84" s="100"/>
      <c r="BW84" s="102"/>
      <c r="BX84" s="104"/>
      <c r="BY84" s="105"/>
      <c r="BZ84" s="101"/>
      <c r="CA84" s="100"/>
      <c r="CB84" s="100"/>
      <c r="CC84" s="100"/>
      <c r="CD84" s="102"/>
      <c r="CE84" s="104"/>
      <c r="CF84" s="105"/>
      <c r="CG84" s="101"/>
      <c r="CH84" s="100"/>
      <c r="CI84" s="105"/>
      <c r="CJ84" s="100"/>
      <c r="CK84" s="102"/>
      <c r="CL84" s="104"/>
      <c r="CM84" s="105"/>
      <c r="CN84" s="101"/>
      <c r="CO84" s="100"/>
      <c r="CP84" s="100"/>
      <c r="CQ84" s="100"/>
      <c r="CR84" s="102"/>
      <c r="CS84" s="104"/>
      <c r="CT84" s="105"/>
      <c r="CU84" s="105"/>
      <c r="CV84" s="100"/>
      <c r="CW84" s="100"/>
      <c r="CX84" s="100"/>
      <c r="CY84" s="102"/>
      <c r="CZ84" s="104"/>
      <c r="DA84" s="105"/>
      <c r="DB84" s="101"/>
      <c r="DC84" s="101"/>
      <c r="DD84" s="100"/>
      <c r="DE84" s="100"/>
      <c r="DF84" s="102"/>
      <c r="DG84" s="104"/>
      <c r="DH84" s="105"/>
      <c r="DI84" s="101"/>
      <c r="DJ84" s="100"/>
      <c r="DK84" s="100"/>
      <c r="DL84" s="100"/>
      <c r="DM84" s="102"/>
      <c r="DN84" s="104"/>
      <c r="DO84" s="105"/>
      <c r="DP84" s="101"/>
      <c r="DQ84" s="100"/>
      <c r="DR84" s="100"/>
      <c r="DS84" s="100"/>
      <c r="DT84" s="105"/>
      <c r="DU84" s="104"/>
      <c r="DV84" s="105"/>
      <c r="DW84" s="101"/>
      <c r="DX84" s="100"/>
      <c r="DY84" s="100"/>
      <c r="DZ84" s="100"/>
      <c r="EA84" s="100"/>
      <c r="EB84" s="105"/>
      <c r="EC84" s="105"/>
      <c r="ED84" s="100"/>
      <c r="EE84" s="100"/>
    </row>
    <row r="85" spans="2:135" ht="18" customHeight="1" outlineLevel="2" x14ac:dyDescent="0.15">
      <c r="B85" s="115">
        <f t="shared" si="0"/>
        <v>77</v>
      </c>
      <c r="C85" s="116"/>
      <c r="D85" s="112"/>
      <c r="E85" s="112" t="s">
        <v>110</v>
      </c>
      <c r="F85" s="112"/>
      <c r="G85" s="112"/>
      <c r="H85" s="112"/>
      <c r="I85" s="112"/>
      <c r="J85" s="112"/>
      <c r="K85" s="51"/>
      <c r="L85" s="59"/>
      <c r="M85" s="58" t="s">
        <v>117</v>
      </c>
      <c r="N85" s="59" t="s">
        <v>120</v>
      </c>
      <c r="O85" s="60">
        <v>1.6</v>
      </c>
      <c r="P85" s="61"/>
      <c r="Q85" s="62"/>
      <c r="R85" s="10">
        <f t="shared" si="1"/>
        <v>0</v>
      </c>
      <c r="S85" s="19"/>
      <c r="T85" s="15">
        <f t="shared" si="6"/>
        <v>0</v>
      </c>
      <c r="U85" s="15">
        <f t="shared" si="7"/>
        <v>0</v>
      </c>
      <c r="V85" s="14" t="str">
        <f t="shared" si="8"/>
        <v>-</v>
      </c>
      <c r="W85" s="14" t="str">
        <f t="shared" si="9"/>
        <v>-</v>
      </c>
      <c r="X85" s="69"/>
      <c r="Y85" s="69"/>
      <c r="Z85" s="69"/>
      <c r="AA85" s="69"/>
      <c r="AB85" s="69"/>
      <c r="AC85" s="76">
        <v>46092</v>
      </c>
      <c r="AD85" s="77">
        <v>46093</v>
      </c>
      <c r="AE85" s="101"/>
      <c r="AF85" s="102"/>
      <c r="AG85" s="102"/>
      <c r="AH85" s="104"/>
      <c r="AI85" s="105"/>
      <c r="AJ85" s="102"/>
      <c r="AK85" s="102"/>
      <c r="AL85" s="102"/>
      <c r="AM85" s="102"/>
      <c r="AN85" s="102"/>
      <c r="AO85" s="104"/>
      <c r="AP85" s="105"/>
      <c r="AQ85" s="102"/>
      <c r="AR85" s="102"/>
      <c r="AS85" s="102"/>
      <c r="AT85" s="102"/>
      <c r="AU85" s="102"/>
      <c r="AV85" s="104"/>
      <c r="AW85" s="105"/>
      <c r="AX85" s="101"/>
      <c r="AY85" s="100"/>
      <c r="AZ85" s="100"/>
      <c r="BA85" s="100"/>
      <c r="BB85" s="102"/>
      <c r="BC85" s="104"/>
      <c r="BD85" s="105"/>
      <c r="BE85" s="105"/>
      <c r="BF85" s="100"/>
      <c r="BG85" s="100"/>
      <c r="BH85" s="100"/>
      <c r="BI85" s="102"/>
      <c r="BJ85" s="104"/>
      <c r="BK85" s="105"/>
      <c r="BL85" s="100"/>
      <c r="BM85" s="100"/>
      <c r="BN85" s="100"/>
      <c r="BO85" s="100"/>
      <c r="BP85" s="101"/>
      <c r="BQ85" s="104"/>
      <c r="BR85" s="105"/>
      <c r="BS85" s="101"/>
      <c r="BT85" s="100"/>
      <c r="BU85" s="100"/>
      <c r="BV85" s="100"/>
      <c r="BW85" s="102"/>
      <c r="BX85" s="104"/>
      <c r="BY85" s="105"/>
      <c r="BZ85" s="101"/>
      <c r="CA85" s="100"/>
      <c r="CB85" s="100"/>
      <c r="CC85" s="100"/>
      <c r="CD85" s="102"/>
      <c r="CE85" s="104"/>
      <c r="CF85" s="105"/>
      <c r="CG85" s="101"/>
      <c r="CH85" s="100"/>
      <c r="CI85" s="105"/>
      <c r="CJ85" s="100"/>
      <c r="CK85" s="102"/>
      <c r="CL85" s="104"/>
      <c r="CM85" s="105"/>
      <c r="CN85" s="101"/>
      <c r="CO85" s="100"/>
      <c r="CP85" s="100"/>
      <c r="CQ85" s="100"/>
      <c r="CR85" s="102"/>
      <c r="CS85" s="104"/>
      <c r="CT85" s="105"/>
      <c r="CU85" s="105"/>
      <c r="CV85" s="100"/>
      <c r="CW85" s="100"/>
      <c r="CX85" s="100"/>
      <c r="CY85" s="102"/>
      <c r="CZ85" s="104"/>
      <c r="DA85" s="105"/>
      <c r="DB85" s="101"/>
      <c r="DC85" s="101"/>
      <c r="DD85" s="100"/>
      <c r="DE85" s="100"/>
      <c r="DF85" s="102"/>
      <c r="DG85" s="104"/>
      <c r="DH85" s="105"/>
      <c r="DI85" s="101"/>
      <c r="DJ85" s="100"/>
      <c r="DK85" s="100"/>
      <c r="DL85" s="100"/>
      <c r="DM85" s="102"/>
      <c r="DN85" s="104"/>
      <c r="DO85" s="105"/>
      <c r="DP85" s="101"/>
      <c r="DQ85" s="100"/>
      <c r="DR85" s="100"/>
      <c r="DS85" s="100"/>
      <c r="DT85" s="105"/>
      <c r="DU85" s="104"/>
      <c r="DV85" s="105"/>
      <c r="DW85" s="101"/>
      <c r="DX85" s="100"/>
      <c r="DY85" s="100"/>
      <c r="DZ85" s="100"/>
      <c r="EA85" s="100"/>
      <c r="EB85" s="105"/>
      <c r="EC85" s="105"/>
      <c r="ED85" s="100"/>
      <c r="EE85" s="100"/>
    </row>
    <row r="86" spans="2:135" ht="18" customHeight="1" outlineLevel="2" x14ac:dyDescent="0.15">
      <c r="B86" s="115">
        <f t="shared" si="0"/>
        <v>78</v>
      </c>
      <c r="C86" s="116"/>
      <c r="D86" s="112"/>
      <c r="E86" s="112" t="s">
        <v>111</v>
      </c>
      <c r="F86" s="112"/>
      <c r="G86" s="112"/>
      <c r="H86" s="112"/>
      <c r="I86" s="112"/>
      <c r="J86" s="112"/>
      <c r="K86" s="51"/>
      <c r="L86" s="59"/>
      <c r="M86" s="58" t="s">
        <v>117</v>
      </c>
      <c r="N86" s="59" t="s">
        <v>119</v>
      </c>
      <c r="O86" s="60">
        <v>1.6</v>
      </c>
      <c r="P86" s="61"/>
      <c r="Q86" s="62"/>
      <c r="R86" s="10">
        <f t="shared" si="1"/>
        <v>0</v>
      </c>
      <c r="S86" s="19"/>
      <c r="T86" s="15">
        <f t="shared" si="6"/>
        <v>0</v>
      </c>
      <c r="U86" s="15">
        <f t="shared" si="7"/>
        <v>0</v>
      </c>
      <c r="V86" s="14" t="str">
        <f t="shared" si="8"/>
        <v>-</v>
      </c>
      <c r="W86" s="14" t="str">
        <f t="shared" si="9"/>
        <v>-</v>
      </c>
      <c r="X86" s="69"/>
      <c r="Y86" s="69"/>
      <c r="Z86" s="69"/>
      <c r="AA86" s="69"/>
      <c r="AB86" s="69"/>
      <c r="AC86" s="76">
        <v>46094</v>
      </c>
      <c r="AD86" s="76">
        <v>46097</v>
      </c>
      <c r="AE86" s="101"/>
      <c r="AF86" s="102"/>
      <c r="AG86" s="102"/>
      <c r="AH86" s="104"/>
      <c r="AI86" s="105"/>
      <c r="AJ86" s="102"/>
      <c r="AK86" s="102"/>
      <c r="AL86" s="102"/>
      <c r="AM86" s="102"/>
      <c r="AN86" s="102"/>
      <c r="AO86" s="104"/>
      <c r="AP86" s="105"/>
      <c r="AQ86" s="102"/>
      <c r="AR86" s="102"/>
      <c r="AS86" s="102"/>
      <c r="AT86" s="102"/>
      <c r="AU86" s="102"/>
      <c r="AV86" s="104"/>
      <c r="AW86" s="105"/>
      <c r="AX86" s="101"/>
      <c r="AY86" s="100"/>
      <c r="AZ86" s="100"/>
      <c r="BA86" s="100"/>
      <c r="BB86" s="102"/>
      <c r="BC86" s="104"/>
      <c r="BD86" s="105"/>
      <c r="BE86" s="105"/>
      <c r="BF86" s="100"/>
      <c r="BG86" s="100"/>
      <c r="BH86" s="100"/>
      <c r="BI86" s="102"/>
      <c r="BJ86" s="104"/>
      <c r="BK86" s="105"/>
      <c r="BL86" s="100"/>
      <c r="BM86" s="100"/>
      <c r="BN86" s="100"/>
      <c r="BO86" s="100"/>
      <c r="BP86" s="101"/>
      <c r="BQ86" s="104"/>
      <c r="BR86" s="105"/>
      <c r="BS86" s="101"/>
      <c r="BT86" s="100"/>
      <c r="BU86" s="100"/>
      <c r="BV86" s="100"/>
      <c r="BW86" s="102"/>
      <c r="BX86" s="104"/>
      <c r="BY86" s="105"/>
      <c r="BZ86" s="101"/>
      <c r="CA86" s="100"/>
      <c r="CB86" s="100"/>
      <c r="CC86" s="100"/>
      <c r="CD86" s="102"/>
      <c r="CE86" s="104"/>
      <c r="CF86" s="105"/>
      <c r="CG86" s="101"/>
      <c r="CH86" s="100"/>
      <c r="CI86" s="105"/>
      <c r="CJ86" s="100"/>
      <c r="CK86" s="102"/>
      <c r="CL86" s="104"/>
      <c r="CM86" s="105"/>
      <c r="CN86" s="101"/>
      <c r="CO86" s="100"/>
      <c r="CP86" s="100"/>
      <c r="CQ86" s="100"/>
      <c r="CR86" s="102"/>
      <c r="CS86" s="104"/>
      <c r="CT86" s="105"/>
      <c r="CU86" s="105"/>
      <c r="CV86" s="100"/>
      <c r="CW86" s="100"/>
      <c r="CX86" s="100"/>
      <c r="CY86" s="102"/>
      <c r="CZ86" s="104"/>
      <c r="DA86" s="105"/>
      <c r="DB86" s="101"/>
      <c r="DC86" s="101"/>
      <c r="DD86" s="100"/>
      <c r="DE86" s="100"/>
      <c r="DF86" s="102"/>
      <c r="DG86" s="104"/>
      <c r="DH86" s="105"/>
      <c r="DI86" s="101"/>
      <c r="DJ86" s="100"/>
      <c r="DK86" s="100"/>
      <c r="DL86" s="100"/>
      <c r="DM86" s="102"/>
      <c r="DN86" s="104"/>
      <c r="DO86" s="105"/>
      <c r="DP86" s="101"/>
      <c r="DQ86" s="100"/>
      <c r="DR86" s="100"/>
      <c r="DS86" s="100"/>
      <c r="DT86" s="105"/>
      <c r="DU86" s="104"/>
      <c r="DV86" s="105"/>
      <c r="DW86" s="101"/>
      <c r="DX86" s="100"/>
      <c r="DY86" s="100"/>
      <c r="DZ86" s="100"/>
      <c r="EA86" s="100"/>
      <c r="EB86" s="105"/>
      <c r="EC86" s="105"/>
      <c r="ED86" s="100"/>
      <c r="EE86" s="100"/>
    </row>
    <row r="87" spans="2:135" ht="18" customHeight="1" outlineLevel="2" x14ac:dyDescent="0.15">
      <c r="B87" s="115">
        <f t="shared" si="0"/>
        <v>79</v>
      </c>
      <c r="C87" s="116"/>
      <c r="D87" s="112"/>
      <c r="E87" s="112" t="s">
        <v>112</v>
      </c>
      <c r="F87" s="112"/>
      <c r="G87" s="112"/>
      <c r="H87" s="112"/>
      <c r="I87" s="112"/>
      <c r="J87" s="112"/>
      <c r="K87" s="51"/>
      <c r="L87" s="59"/>
      <c r="M87" s="58" t="s">
        <v>117</v>
      </c>
      <c r="N87" s="59" t="s">
        <v>119</v>
      </c>
      <c r="O87" s="60">
        <v>0.3</v>
      </c>
      <c r="P87" s="61"/>
      <c r="Q87" s="62"/>
      <c r="R87" s="10">
        <f t="shared" si="1"/>
        <v>0</v>
      </c>
      <c r="S87" s="19"/>
      <c r="T87" s="15">
        <f t="shared" si="6"/>
        <v>0</v>
      </c>
      <c r="U87" s="15">
        <f t="shared" si="7"/>
        <v>0</v>
      </c>
      <c r="V87" s="14" t="str">
        <f t="shared" si="8"/>
        <v>-</v>
      </c>
      <c r="W87" s="14" t="str">
        <f t="shared" si="9"/>
        <v>-</v>
      </c>
      <c r="X87" s="69"/>
      <c r="Y87" s="69"/>
      <c r="Z87" s="69"/>
      <c r="AA87" s="69"/>
      <c r="AB87" s="69"/>
      <c r="AC87" s="76">
        <v>46098</v>
      </c>
      <c r="AD87" s="77">
        <v>46099</v>
      </c>
      <c r="AE87" s="101"/>
      <c r="AF87" s="102"/>
      <c r="AG87" s="102"/>
      <c r="AH87" s="104"/>
      <c r="AI87" s="105"/>
      <c r="AJ87" s="102"/>
      <c r="AK87" s="102"/>
      <c r="AL87" s="102"/>
      <c r="AM87" s="102"/>
      <c r="AN87" s="102"/>
      <c r="AO87" s="104"/>
      <c r="AP87" s="105"/>
      <c r="AQ87" s="102"/>
      <c r="AR87" s="102"/>
      <c r="AS87" s="102"/>
      <c r="AT87" s="102"/>
      <c r="AU87" s="102"/>
      <c r="AV87" s="104"/>
      <c r="AW87" s="105"/>
      <c r="AX87" s="101"/>
      <c r="AY87" s="100"/>
      <c r="AZ87" s="100"/>
      <c r="BA87" s="100"/>
      <c r="BB87" s="102"/>
      <c r="BC87" s="104"/>
      <c r="BD87" s="105"/>
      <c r="BE87" s="105"/>
      <c r="BF87" s="100"/>
      <c r="BG87" s="100"/>
      <c r="BH87" s="100"/>
      <c r="BI87" s="102"/>
      <c r="BJ87" s="104"/>
      <c r="BK87" s="105"/>
      <c r="BL87" s="100"/>
      <c r="BM87" s="100"/>
      <c r="BN87" s="100"/>
      <c r="BO87" s="100"/>
      <c r="BP87" s="101"/>
      <c r="BQ87" s="104"/>
      <c r="BR87" s="105"/>
      <c r="BS87" s="101"/>
      <c r="BT87" s="100"/>
      <c r="BU87" s="100"/>
      <c r="BV87" s="100"/>
      <c r="BW87" s="102"/>
      <c r="BX87" s="104"/>
      <c r="BY87" s="105"/>
      <c r="BZ87" s="101"/>
      <c r="CA87" s="100"/>
      <c r="CB87" s="100"/>
      <c r="CC87" s="100"/>
      <c r="CD87" s="102"/>
      <c r="CE87" s="104"/>
      <c r="CF87" s="105"/>
      <c r="CG87" s="101"/>
      <c r="CH87" s="100"/>
      <c r="CI87" s="105"/>
      <c r="CJ87" s="100"/>
      <c r="CK87" s="102"/>
      <c r="CL87" s="104"/>
      <c r="CM87" s="105"/>
      <c r="CN87" s="101"/>
      <c r="CO87" s="100"/>
      <c r="CP87" s="100"/>
      <c r="CQ87" s="100"/>
      <c r="CR87" s="102"/>
      <c r="CS87" s="104"/>
      <c r="CT87" s="105"/>
      <c r="CU87" s="105"/>
      <c r="CV87" s="100"/>
      <c r="CW87" s="100"/>
      <c r="CX87" s="100"/>
      <c r="CY87" s="102"/>
      <c r="CZ87" s="104"/>
      <c r="DA87" s="105"/>
      <c r="DB87" s="101"/>
      <c r="DC87" s="101"/>
      <c r="DD87" s="100"/>
      <c r="DE87" s="100"/>
      <c r="DF87" s="102"/>
      <c r="DG87" s="104"/>
      <c r="DH87" s="105"/>
      <c r="DI87" s="101"/>
      <c r="DJ87" s="100"/>
      <c r="DK87" s="100"/>
      <c r="DL87" s="100"/>
      <c r="DM87" s="102"/>
      <c r="DN87" s="104"/>
      <c r="DO87" s="105"/>
      <c r="DP87" s="101"/>
      <c r="DQ87" s="100"/>
      <c r="DR87" s="100"/>
      <c r="DS87" s="100"/>
      <c r="DT87" s="105"/>
      <c r="DU87" s="104"/>
      <c r="DV87" s="105"/>
      <c r="DW87" s="101"/>
      <c r="DX87" s="100"/>
      <c r="DY87" s="100"/>
      <c r="DZ87" s="100"/>
      <c r="EA87" s="100"/>
      <c r="EB87" s="105"/>
      <c r="EC87" s="105"/>
      <c r="ED87" s="100"/>
      <c r="EE87" s="100"/>
    </row>
    <row r="88" spans="2:135" ht="18" customHeight="1" outlineLevel="2" x14ac:dyDescent="0.15">
      <c r="B88" s="115">
        <f t="shared" si="0"/>
        <v>80</v>
      </c>
      <c r="C88" s="116"/>
      <c r="D88" s="112"/>
      <c r="E88" s="112" t="s">
        <v>78</v>
      </c>
      <c r="F88" s="112"/>
      <c r="G88" s="112"/>
      <c r="H88" s="112"/>
      <c r="I88" s="112"/>
      <c r="J88" s="112"/>
      <c r="K88" s="51"/>
      <c r="L88" s="59"/>
      <c r="M88" s="58" t="s">
        <v>117</v>
      </c>
      <c r="N88" s="59" t="s">
        <v>120</v>
      </c>
      <c r="O88" s="60">
        <v>0.3</v>
      </c>
      <c r="P88" s="61"/>
      <c r="Q88" s="62"/>
      <c r="R88" s="10">
        <f t="shared" si="1"/>
        <v>0</v>
      </c>
      <c r="S88" s="19"/>
      <c r="T88" s="15">
        <f t="shared" si="6"/>
        <v>0</v>
      </c>
      <c r="U88" s="15">
        <f t="shared" si="7"/>
        <v>0</v>
      </c>
      <c r="V88" s="14" t="str">
        <f t="shared" si="8"/>
        <v>-</v>
      </c>
      <c r="W88" s="14" t="str">
        <f t="shared" si="9"/>
        <v>-</v>
      </c>
      <c r="X88" s="69"/>
      <c r="Y88" s="69"/>
      <c r="Z88" s="69"/>
      <c r="AA88" s="69"/>
      <c r="AB88" s="69"/>
      <c r="AC88" s="76">
        <v>46100</v>
      </c>
      <c r="AD88" s="77">
        <v>46100</v>
      </c>
      <c r="AE88" s="101"/>
      <c r="AF88" s="102"/>
      <c r="AG88" s="102"/>
      <c r="AH88" s="104"/>
      <c r="AI88" s="105"/>
      <c r="AJ88" s="102"/>
      <c r="AK88" s="102"/>
      <c r="AL88" s="102"/>
      <c r="AM88" s="102"/>
      <c r="AN88" s="102"/>
      <c r="AO88" s="104"/>
      <c r="AP88" s="105"/>
      <c r="AQ88" s="102"/>
      <c r="AR88" s="102"/>
      <c r="AS88" s="102"/>
      <c r="AT88" s="102"/>
      <c r="AU88" s="102"/>
      <c r="AV88" s="104"/>
      <c r="AW88" s="105"/>
      <c r="AX88" s="101"/>
      <c r="AY88" s="100"/>
      <c r="AZ88" s="100"/>
      <c r="BA88" s="100"/>
      <c r="BB88" s="102"/>
      <c r="BC88" s="104"/>
      <c r="BD88" s="105"/>
      <c r="BE88" s="105"/>
      <c r="BF88" s="100"/>
      <c r="BG88" s="100"/>
      <c r="BH88" s="100"/>
      <c r="BI88" s="102"/>
      <c r="BJ88" s="104"/>
      <c r="BK88" s="105"/>
      <c r="BL88" s="100"/>
      <c r="BM88" s="100"/>
      <c r="BN88" s="100"/>
      <c r="BO88" s="100"/>
      <c r="BP88" s="101"/>
      <c r="BQ88" s="104"/>
      <c r="BR88" s="105"/>
      <c r="BS88" s="101"/>
      <c r="BT88" s="100"/>
      <c r="BU88" s="100"/>
      <c r="BV88" s="100"/>
      <c r="BW88" s="102"/>
      <c r="BX88" s="104"/>
      <c r="BY88" s="105"/>
      <c r="BZ88" s="101"/>
      <c r="CA88" s="100"/>
      <c r="CB88" s="100"/>
      <c r="CC88" s="100"/>
      <c r="CD88" s="102"/>
      <c r="CE88" s="104"/>
      <c r="CF88" s="105"/>
      <c r="CG88" s="101"/>
      <c r="CH88" s="100"/>
      <c r="CI88" s="105"/>
      <c r="CJ88" s="100"/>
      <c r="CK88" s="102"/>
      <c r="CL88" s="104"/>
      <c r="CM88" s="105"/>
      <c r="CN88" s="101"/>
      <c r="CO88" s="100"/>
      <c r="CP88" s="100"/>
      <c r="CQ88" s="100"/>
      <c r="CR88" s="102"/>
      <c r="CS88" s="104"/>
      <c r="CT88" s="105"/>
      <c r="CU88" s="105"/>
      <c r="CV88" s="100"/>
      <c r="CW88" s="100"/>
      <c r="CX88" s="100"/>
      <c r="CY88" s="102"/>
      <c r="CZ88" s="104"/>
      <c r="DA88" s="105"/>
      <c r="DB88" s="101"/>
      <c r="DC88" s="101"/>
      <c r="DD88" s="100"/>
      <c r="DE88" s="100"/>
      <c r="DF88" s="102"/>
      <c r="DG88" s="104"/>
      <c r="DH88" s="105"/>
      <c r="DI88" s="101"/>
      <c r="DJ88" s="100"/>
      <c r="DK88" s="100"/>
      <c r="DL88" s="100"/>
      <c r="DM88" s="102"/>
      <c r="DN88" s="104"/>
      <c r="DO88" s="105"/>
      <c r="DP88" s="101"/>
      <c r="DQ88" s="100"/>
      <c r="DR88" s="100"/>
      <c r="DS88" s="100"/>
      <c r="DT88" s="105"/>
      <c r="DU88" s="104"/>
      <c r="DV88" s="105"/>
      <c r="DW88" s="101"/>
      <c r="DX88" s="100"/>
      <c r="DY88" s="100"/>
      <c r="DZ88" s="100"/>
      <c r="EA88" s="100"/>
      <c r="EB88" s="105"/>
      <c r="EC88" s="105"/>
      <c r="ED88" s="100"/>
      <c r="EE88" s="100"/>
    </row>
    <row r="89" spans="2:135" ht="18" customHeight="1" outlineLevel="2" x14ac:dyDescent="0.15">
      <c r="B89" s="115"/>
      <c r="C89" s="116"/>
      <c r="D89" s="112" t="s">
        <v>142</v>
      </c>
      <c r="E89" s="112"/>
      <c r="F89" s="112"/>
      <c r="G89" s="112"/>
      <c r="H89" s="112"/>
      <c r="I89" s="112"/>
      <c r="J89" s="112"/>
      <c r="K89" s="51"/>
      <c r="L89" s="59"/>
      <c r="M89" s="58"/>
      <c r="N89" s="59"/>
      <c r="O89" s="60"/>
      <c r="P89" s="61"/>
      <c r="Q89" s="62"/>
      <c r="R89" s="10"/>
      <c r="S89" s="19"/>
      <c r="T89" s="15"/>
      <c r="U89" s="15"/>
      <c r="V89" s="14"/>
      <c r="W89" s="14"/>
      <c r="X89" s="69"/>
      <c r="Y89" s="69"/>
      <c r="Z89" s="69"/>
      <c r="AA89" s="69"/>
      <c r="AB89" s="69"/>
      <c r="AC89" s="76"/>
      <c r="AD89" s="77"/>
      <c r="AE89" s="101"/>
      <c r="AF89" s="102"/>
      <c r="AG89" s="102"/>
      <c r="AH89" s="104"/>
      <c r="AI89" s="105"/>
      <c r="AJ89" s="102"/>
      <c r="AK89" s="102"/>
      <c r="AL89" s="102"/>
      <c r="AM89" s="102"/>
      <c r="AN89" s="102"/>
      <c r="AO89" s="104"/>
      <c r="AP89" s="105"/>
      <c r="AQ89" s="102"/>
      <c r="AR89" s="102"/>
      <c r="AS89" s="102"/>
      <c r="AT89" s="102"/>
      <c r="AU89" s="102"/>
      <c r="AV89" s="104"/>
      <c r="AW89" s="105"/>
      <c r="AX89" s="101"/>
      <c r="AY89" s="100"/>
      <c r="AZ89" s="100"/>
      <c r="BA89" s="100"/>
      <c r="BB89" s="102"/>
      <c r="BC89" s="104"/>
      <c r="BD89" s="105"/>
      <c r="BE89" s="105"/>
      <c r="BF89" s="100"/>
      <c r="BG89" s="100"/>
      <c r="BH89" s="100"/>
      <c r="BI89" s="102"/>
      <c r="BJ89" s="104"/>
      <c r="BK89" s="105"/>
      <c r="BL89" s="100"/>
      <c r="BM89" s="100"/>
      <c r="BN89" s="100"/>
      <c r="BO89" s="100"/>
      <c r="BP89" s="101"/>
      <c r="BQ89" s="104"/>
      <c r="BR89" s="105"/>
      <c r="BS89" s="101"/>
      <c r="BT89" s="100"/>
      <c r="BU89" s="100"/>
      <c r="BV89" s="100"/>
      <c r="BW89" s="102"/>
      <c r="BX89" s="104"/>
      <c r="BY89" s="105"/>
      <c r="BZ89" s="101"/>
      <c r="CA89" s="100"/>
      <c r="CB89" s="100"/>
      <c r="CC89" s="100"/>
      <c r="CD89" s="102"/>
      <c r="CE89" s="104"/>
      <c r="CF89" s="105"/>
      <c r="CG89" s="101"/>
      <c r="CH89" s="100"/>
      <c r="CI89" s="105"/>
      <c r="CJ89" s="100"/>
      <c r="CK89" s="102"/>
      <c r="CL89" s="104"/>
      <c r="CM89" s="105"/>
      <c r="CN89" s="101"/>
      <c r="CO89" s="100"/>
      <c r="CP89" s="100"/>
      <c r="CQ89" s="100"/>
      <c r="CR89" s="102"/>
      <c r="CS89" s="104"/>
      <c r="CT89" s="105"/>
      <c r="CU89" s="105"/>
      <c r="CV89" s="100"/>
      <c r="CW89" s="100"/>
      <c r="CX89" s="100"/>
      <c r="CY89" s="102"/>
      <c r="CZ89" s="104"/>
      <c r="DA89" s="105"/>
      <c r="DB89" s="101"/>
      <c r="DC89" s="101"/>
      <c r="DD89" s="100"/>
      <c r="DE89" s="100"/>
      <c r="DF89" s="102"/>
      <c r="DG89" s="104"/>
      <c r="DH89" s="105"/>
      <c r="DI89" s="101"/>
      <c r="DJ89" s="100"/>
      <c r="DK89" s="100"/>
      <c r="DL89" s="100"/>
      <c r="DM89" s="102"/>
      <c r="DN89" s="104"/>
      <c r="DO89" s="105"/>
      <c r="DP89" s="101"/>
      <c r="DQ89" s="100"/>
      <c r="DR89" s="100"/>
      <c r="DS89" s="100"/>
      <c r="DT89" s="105"/>
      <c r="DU89" s="104"/>
      <c r="DV89" s="105"/>
      <c r="DW89" s="101"/>
      <c r="DX89" s="100"/>
      <c r="DY89" s="100"/>
      <c r="DZ89" s="100"/>
      <c r="EA89" s="100"/>
      <c r="EB89" s="105"/>
      <c r="EC89" s="105"/>
      <c r="ED89" s="100"/>
      <c r="EE89" s="100"/>
    </row>
    <row r="90" spans="2:135" ht="18" customHeight="1" outlineLevel="2" x14ac:dyDescent="0.15">
      <c r="B90" s="115">
        <f t="shared" si="0"/>
        <v>82</v>
      </c>
      <c r="C90" s="116"/>
      <c r="D90" s="112"/>
      <c r="E90" s="112" t="s">
        <v>113</v>
      </c>
      <c r="F90" s="112"/>
      <c r="G90" s="112"/>
      <c r="H90" s="112"/>
      <c r="I90" s="112"/>
      <c r="J90" s="112"/>
      <c r="K90" s="51"/>
      <c r="L90" s="59"/>
      <c r="M90" s="58" t="s">
        <v>117</v>
      </c>
      <c r="N90" s="59" t="s">
        <v>120</v>
      </c>
      <c r="O90" s="60">
        <v>2.1</v>
      </c>
      <c r="P90" s="61"/>
      <c r="Q90" s="62"/>
      <c r="R90" s="10">
        <f t="shared" ref="R90:R93" si="10">O90*Q90</f>
        <v>0</v>
      </c>
      <c r="S90" s="19"/>
      <c r="T90" s="15">
        <f t="shared" si="6"/>
        <v>0</v>
      </c>
      <c r="U90" s="15">
        <f t="shared" si="7"/>
        <v>0</v>
      </c>
      <c r="V90" s="14" t="str">
        <f t="shared" si="8"/>
        <v>-</v>
      </c>
      <c r="W90" s="14" t="str">
        <f t="shared" si="9"/>
        <v>-</v>
      </c>
      <c r="X90" s="69"/>
      <c r="Y90" s="69"/>
      <c r="Z90" s="69"/>
      <c r="AA90" s="69"/>
      <c r="AB90" s="69"/>
      <c r="AC90" s="76">
        <v>46094</v>
      </c>
      <c r="AD90" s="77">
        <v>46098</v>
      </c>
      <c r="AE90" s="101"/>
      <c r="AF90" s="102"/>
      <c r="AG90" s="102"/>
      <c r="AH90" s="104"/>
      <c r="AI90" s="105"/>
      <c r="AJ90" s="102"/>
      <c r="AK90" s="102"/>
      <c r="AL90" s="102"/>
      <c r="AM90" s="102"/>
      <c r="AN90" s="102"/>
      <c r="AO90" s="104"/>
      <c r="AP90" s="105"/>
      <c r="AQ90" s="102"/>
      <c r="AR90" s="102"/>
      <c r="AS90" s="102"/>
      <c r="AT90" s="102"/>
      <c r="AU90" s="102"/>
      <c r="AV90" s="104"/>
      <c r="AW90" s="105"/>
      <c r="AX90" s="101"/>
      <c r="AY90" s="100"/>
      <c r="AZ90" s="100"/>
      <c r="BA90" s="100"/>
      <c r="BB90" s="102"/>
      <c r="BC90" s="104"/>
      <c r="BD90" s="105"/>
      <c r="BE90" s="105"/>
      <c r="BF90" s="100"/>
      <c r="BG90" s="100"/>
      <c r="BH90" s="100"/>
      <c r="BI90" s="102"/>
      <c r="BJ90" s="104"/>
      <c r="BK90" s="105"/>
      <c r="BL90" s="100"/>
      <c r="BM90" s="100"/>
      <c r="BN90" s="100"/>
      <c r="BO90" s="100"/>
      <c r="BP90" s="101"/>
      <c r="BQ90" s="104"/>
      <c r="BR90" s="105"/>
      <c r="BS90" s="101"/>
      <c r="BT90" s="100"/>
      <c r="BU90" s="100"/>
      <c r="BV90" s="100"/>
      <c r="BW90" s="102"/>
      <c r="BX90" s="104"/>
      <c r="BY90" s="105"/>
      <c r="BZ90" s="101"/>
      <c r="CA90" s="100"/>
      <c r="CB90" s="100"/>
      <c r="CC90" s="100"/>
      <c r="CD90" s="102"/>
      <c r="CE90" s="104"/>
      <c r="CF90" s="105"/>
      <c r="CG90" s="101"/>
      <c r="CH90" s="100"/>
      <c r="CI90" s="105"/>
      <c r="CJ90" s="100"/>
      <c r="CK90" s="102"/>
      <c r="CL90" s="104"/>
      <c r="CM90" s="105"/>
      <c r="CN90" s="101"/>
      <c r="CO90" s="100"/>
      <c r="CP90" s="100"/>
      <c r="CQ90" s="100"/>
      <c r="CR90" s="102"/>
      <c r="CS90" s="104"/>
      <c r="CT90" s="105"/>
      <c r="CU90" s="105"/>
      <c r="CV90" s="100"/>
      <c r="CW90" s="100"/>
      <c r="CX90" s="100"/>
      <c r="CY90" s="102"/>
      <c r="CZ90" s="104"/>
      <c r="DA90" s="105"/>
      <c r="DB90" s="101"/>
      <c r="DC90" s="101"/>
      <c r="DD90" s="100"/>
      <c r="DE90" s="100"/>
      <c r="DF90" s="102"/>
      <c r="DG90" s="104"/>
      <c r="DH90" s="105"/>
      <c r="DI90" s="101"/>
      <c r="DJ90" s="100"/>
      <c r="DK90" s="100"/>
      <c r="DL90" s="100"/>
      <c r="DM90" s="102"/>
      <c r="DN90" s="104"/>
      <c r="DO90" s="105"/>
      <c r="DP90" s="101"/>
      <c r="DQ90" s="100"/>
      <c r="DR90" s="100"/>
      <c r="DS90" s="100"/>
      <c r="DT90" s="105"/>
      <c r="DU90" s="104"/>
      <c r="DV90" s="105"/>
      <c r="DW90" s="101"/>
      <c r="DX90" s="100"/>
      <c r="DY90" s="100"/>
      <c r="DZ90" s="100"/>
      <c r="EA90" s="100"/>
      <c r="EB90" s="105"/>
      <c r="EC90" s="105"/>
      <c r="ED90" s="100"/>
      <c r="EE90" s="100"/>
    </row>
    <row r="91" spans="2:135" ht="18" customHeight="1" outlineLevel="2" x14ac:dyDescent="0.15">
      <c r="B91" s="115">
        <f t="shared" si="0"/>
        <v>83</v>
      </c>
      <c r="C91" s="116"/>
      <c r="D91" s="112"/>
      <c r="E91" s="112" t="s">
        <v>114</v>
      </c>
      <c r="F91" s="112"/>
      <c r="G91" s="112"/>
      <c r="H91" s="112"/>
      <c r="I91" s="112"/>
      <c r="J91" s="112"/>
      <c r="K91" s="51"/>
      <c r="L91" s="59"/>
      <c r="M91" s="58" t="s">
        <v>117</v>
      </c>
      <c r="N91" s="59" t="s">
        <v>119</v>
      </c>
      <c r="O91" s="60">
        <v>3.2</v>
      </c>
      <c r="P91" s="61"/>
      <c r="Q91" s="62"/>
      <c r="R91" s="10">
        <f t="shared" si="10"/>
        <v>0</v>
      </c>
      <c r="S91" s="19"/>
      <c r="T91" s="15">
        <f t="shared" si="6"/>
        <v>0</v>
      </c>
      <c r="U91" s="15">
        <f t="shared" si="7"/>
        <v>0</v>
      </c>
      <c r="V91" s="14" t="str">
        <f t="shared" si="8"/>
        <v>-</v>
      </c>
      <c r="W91" s="14" t="str">
        <f t="shared" si="9"/>
        <v>-</v>
      </c>
      <c r="X91" s="69"/>
      <c r="Y91" s="69"/>
      <c r="Z91" s="69"/>
      <c r="AA91" s="69"/>
      <c r="AB91" s="69"/>
      <c r="AC91" s="76">
        <v>46099</v>
      </c>
      <c r="AD91" s="77">
        <v>46100</v>
      </c>
      <c r="AE91" s="101"/>
      <c r="AF91" s="102"/>
      <c r="AG91" s="102"/>
      <c r="AH91" s="104"/>
      <c r="AI91" s="105"/>
      <c r="AJ91" s="102"/>
      <c r="AK91" s="102"/>
      <c r="AL91" s="102"/>
      <c r="AM91" s="102"/>
      <c r="AN91" s="102"/>
      <c r="AO91" s="104"/>
      <c r="AP91" s="105"/>
      <c r="AQ91" s="102"/>
      <c r="AR91" s="102"/>
      <c r="AS91" s="102"/>
      <c r="AT91" s="102"/>
      <c r="AU91" s="102"/>
      <c r="AV91" s="104"/>
      <c r="AW91" s="105"/>
      <c r="AX91" s="101"/>
      <c r="AY91" s="100"/>
      <c r="AZ91" s="100"/>
      <c r="BA91" s="100"/>
      <c r="BB91" s="102"/>
      <c r="BC91" s="104"/>
      <c r="BD91" s="105"/>
      <c r="BE91" s="105"/>
      <c r="BF91" s="100"/>
      <c r="BG91" s="100"/>
      <c r="BH91" s="100"/>
      <c r="BI91" s="102"/>
      <c r="BJ91" s="104"/>
      <c r="BK91" s="105"/>
      <c r="BL91" s="100"/>
      <c r="BM91" s="100"/>
      <c r="BN91" s="100"/>
      <c r="BO91" s="100"/>
      <c r="BP91" s="101"/>
      <c r="BQ91" s="104"/>
      <c r="BR91" s="105"/>
      <c r="BS91" s="101"/>
      <c r="BT91" s="100"/>
      <c r="BU91" s="100"/>
      <c r="BV91" s="100"/>
      <c r="BW91" s="102"/>
      <c r="BX91" s="104"/>
      <c r="BY91" s="105"/>
      <c r="BZ91" s="101"/>
      <c r="CA91" s="100"/>
      <c r="CB91" s="100"/>
      <c r="CC91" s="100"/>
      <c r="CD91" s="102"/>
      <c r="CE91" s="104"/>
      <c r="CF91" s="105"/>
      <c r="CG91" s="101"/>
      <c r="CH91" s="100"/>
      <c r="CI91" s="105"/>
      <c r="CJ91" s="100"/>
      <c r="CK91" s="102"/>
      <c r="CL91" s="104"/>
      <c r="CM91" s="105"/>
      <c r="CN91" s="101"/>
      <c r="CO91" s="100"/>
      <c r="CP91" s="100"/>
      <c r="CQ91" s="100"/>
      <c r="CR91" s="102"/>
      <c r="CS91" s="104"/>
      <c r="CT91" s="105"/>
      <c r="CU91" s="105"/>
      <c r="CV91" s="100"/>
      <c r="CW91" s="100"/>
      <c r="CX91" s="100"/>
      <c r="CY91" s="102"/>
      <c r="CZ91" s="104"/>
      <c r="DA91" s="105"/>
      <c r="DB91" s="101"/>
      <c r="DC91" s="101"/>
      <c r="DD91" s="100"/>
      <c r="DE91" s="100"/>
      <c r="DF91" s="102"/>
      <c r="DG91" s="104"/>
      <c r="DH91" s="105"/>
      <c r="DI91" s="101"/>
      <c r="DJ91" s="100"/>
      <c r="DK91" s="100"/>
      <c r="DL91" s="100"/>
      <c r="DM91" s="102"/>
      <c r="DN91" s="104"/>
      <c r="DO91" s="105"/>
      <c r="DP91" s="101"/>
      <c r="DQ91" s="100"/>
      <c r="DR91" s="100"/>
      <c r="DS91" s="100"/>
      <c r="DT91" s="105"/>
      <c r="DU91" s="104"/>
      <c r="DV91" s="105"/>
      <c r="DW91" s="101"/>
      <c r="DX91" s="100"/>
      <c r="DY91" s="100"/>
      <c r="DZ91" s="100"/>
      <c r="EA91" s="100"/>
      <c r="EB91" s="105"/>
      <c r="EC91" s="105"/>
      <c r="ED91" s="100"/>
      <c r="EE91" s="100"/>
    </row>
    <row r="92" spans="2:135" ht="18" customHeight="1" outlineLevel="2" x14ac:dyDescent="0.15">
      <c r="B92" s="115">
        <f t="shared" si="0"/>
        <v>84</v>
      </c>
      <c r="C92" s="116"/>
      <c r="D92" s="112"/>
      <c r="E92" s="112" t="s">
        <v>115</v>
      </c>
      <c r="F92" s="112"/>
      <c r="G92" s="112"/>
      <c r="H92" s="112"/>
      <c r="I92" s="112"/>
      <c r="J92" s="112"/>
      <c r="K92" s="51"/>
      <c r="L92" s="59"/>
      <c r="M92" s="58" t="s">
        <v>117</v>
      </c>
      <c r="N92" s="59" t="s">
        <v>119</v>
      </c>
      <c r="O92" s="60">
        <v>0.5</v>
      </c>
      <c r="P92" s="61"/>
      <c r="Q92" s="62"/>
      <c r="R92" s="10">
        <f t="shared" si="10"/>
        <v>0</v>
      </c>
      <c r="S92" s="19"/>
      <c r="T92" s="15">
        <f t="shared" si="6"/>
        <v>0</v>
      </c>
      <c r="U92" s="15">
        <f t="shared" si="7"/>
        <v>0</v>
      </c>
      <c r="V92" s="14" t="str">
        <f t="shared" si="8"/>
        <v>-</v>
      </c>
      <c r="W92" s="14" t="str">
        <f t="shared" si="9"/>
        <v>-</v>
      </c>
      <c r="X92" s="69"/>
      <c r="Y92" s="69" t="s">
        <v>156</v>
      </c>
      <c r="Z92" s="69"/>
      <c r="AA92" s="69"/>
      <c r="AB92" s="69"/>
      <c r="AC92" s="76">
        <v>46100</v>
      </c>
      <c r="AD92" s="77">
        <v>46100</v>
      </c>
      <c r="AE92" s="101"/>
      <c r="AF92" s="102"/>
      <c r="AG92" s="102"/>
      <c r="AH92" s="104"/>
      <c r="AI92" s="105"/>
      <c r="AJ92" s="102"/>
      <c r="AK92" s="102"/>
      <c r="AL92" s="102"/>
      <c r="AM92" s="102"/>
      <c r="AN92" s="102"/>
      <c r="AO92" s="104"/>
      <c r="AP92" s="105"/>
      <c r="AQ92" s="102"/>
      <c r="AR92" s="102"/>
      <c r="AS92" s="102"/>
      <c r="AT92" s="102"/>
      <c r="AU92" s="102"/>
      <c r="AV92" s="104"/>
      <c r="AW92" s="105"/>
      <c r="AX92" s="101"/>
      <c r="AY92" s="100"/>
      <c r="AZ92" s="100"/>
      <c r="BA92" s="100"/>
      <c r="BB92" s="102"/>
      <c r="BC92" s="104"/>
      <c r="BD92" s="105"/>
      <c r="BE92" s="105"/>
      <c r="BF92" s="100"/>
      <c r="BG92" s="100"/>
      <c r="BH92" s="100"/>
      <c r="BI92" s="102"/>
      <c r="BJ92" s="104"/>
      <c r="BK92" s="105"/>
      <c r="BL92" s="100"/>
      <c r="BM92" s="100"/>
      <c r="BN92" s="100"/>
      <c r="BO92" s="100"/>
      <c r="BP92" s="101"/>
      <c r="BQ92" s="104"/>
      <c r="BR92" s="105"/>
      <c r="BS92" s="101"/>
      <c r="BT92" s="100"/>
      <c r="BU92" s="100"/>
      <c r="BV92" s="100"/>
      <c r="BW92" s="102"/>
      <c r="BX92" s="104"/>
      <c r="BY92" s="105"/>
      <c r="BZ92" s="101"/>
      <c r="CA92" s="100"/>
      <c r="CB92" s="100"/>
      <c r="CC92" s="100"/>
      <c r="CD92" s="102"/>
      <c r="CE92" s="104"/>
      <c r="CF92" s="105"/>
      <c r="CG92" s="101"/>
      <c r="CH92" s="100"/>
      <c r="CI92" s="105"/>
      <c r="CJ92" s="100"/>
      <c r="CK92" s="102"/>
      <c r="CL92" s="104"/>
      <c r="CM92" s="105"/>
      <c r="CN92" s="101"/>
      <c r="CO92" s="100"/>
      <c r="CP92" s="100"/>
      <c r="CQ92" s="100"/>
      <c r="CR92" s="102"/>
      <c r="CS92" s="104"/>
      <c r="CT92" s="105"/>
      <c r="CU92" s="105"/>
      <c r="CV92" s="100"/>
      <c r="CW92" s="100"/>
      <c r="CX92" s="100"/>
      <c r="CY92" s="102"/>
      <c r="CZ92" s="104"/>
      <c r="DA92" s="105"/>
      <c r="DB92" s="101"/>
      <c r="DC92" s="101"/>
      <c r="DD92" s="100"/>
      <c r="DE92" s="100"/>
      <c r="DF92" s="102"/>
      <c r="DG92" s="104"/>
      <c r="DH92" s="105"/>
      <c r="DI92" s="101"/>
      <c r="DJ92" s="100"/>
      <c r="DK92" s="100"/>
      <c r="DL92" s="100"/>
      <c r="DM92" s="102"/>
      <c r="DN92" s="104"/>
      <c r="DO92" s="105"/>
      <c r="DP92" s="101"/>
      <c r="DQ92" s="100"/>
      <c r="DR92" s="100"/>
      <c r="DS92" s="100"/>
      <c r="DT92" s="105"/>
      <c r="DU92" s="104"/>
      <c r="DV92" s="105"/>
      <c r="DW92" s="101"/>
      <c r="DX92" s="100"/>
      <c r="DY92" s="100"/>
      <c r="DZ92" s="100"/>
      <c r="EA92" s="100"/>
      <c r="EB92" s="105"/>
      <c r="EC92" s="105"/>
      <c r="ED92" s="100"/>
      <c r="EE92" s="100"/>
    </row>
    <row r="93" spans="2:135" ht="18" customHeight="1" outlineLevel="2" x14ac:dyDescent="0.15">
      <c r="B93" s="115">
        <f t="shared" si="0"/>
        <v>85</v>
      </c>
      <c r="C93" s="116"/>
      <c r="D93" s="112"/>
      <c r="E93" s="112" t="s">
        <v>116</v>
      </c>
      <c r="F93" s="112"/>
      <c r="G93" s="112"/>
      <c r="H93" s="112"/>
      <c r="I93" s="112"/>
      <c r="J93" s="112"/>
      <c r="K93" s="107"/>
      <c r="L93" s="108"/>
      <c r="M93" s="58" t="s">
        <v>117</v>
      </c>
      <c r="N93" s="59" t="s">
        <v>119</v>
      </c>
      <c r="O93" s="60">
        <v>0.5</v>
      </c>
      <c r="P93" s="61"/>
      <c r="Q93" s="62"/>
      <c r="R93" s="10">
        <f t="shared" si="10"/>
        <v>0</v>
      </c>
      <c r="S93" s="19"/>
      <c r="T93" s="15">
        <f t="shared" si="6"/>
        <v>0</v>
      </c>
      <c r="U93" s="15">
        <f t="shared" si="7"/>
        <v>0</v>
      </c>
      <c r="V93" s="14" t="str">
        <f t="shared" si="8"/>
        <v>-</v>
      </c>
      <c r="W93" s="14" t="str">
        <f t="shared" si="9"/>
        <v>-</v>
      </c>
      <c r="X93" s="69"/>
      <c r="Y93" s="69" t="s">
        <v>157</v>
      </c>
      <c r="Z93" s="69"/>
      <c r="AA93" s="69"/>
      <c r="AB93" s="69"/>
      <c r="AC93" s="76">
        <v>46098</v>
      </c>
      <c r="AD93" s="77">
        <v>46100</v>
      </c>
      <c r="AE93" s="101"/>
      <c r="AF93" s="102"/>
      <c r="AG93" s="102"/>
      <c r="AH93" s="104"/>
      <c r="AI93" s="105"/>
      <c r="AJ93" s="102"/>
      <c r="AK93" s="102"/>
      <c r="AL93" s="102"/>
      <c r="AM93" s="102"/>
      <c r="AN93" s="102"/>
      <c r="AO93" s="104"/>
      <c r="AP93" s="105"/>
      <c r="AQ93" s="102"/>
      <c r="AR93" s="102"/>
      <c r="AS93" s="102"/>
      <c r="AT93" s="102"/>
      <c r="AU93" s="102"/>
      <c r="AV93" s="104"/>
      <c r="AW93" s="105"/>
      <c r="AX93" s="101"/>
      <c r="AY93" s="100"/>
      <c r="AZ93" s="100"/>
      <c r="BA93" s="100"/>
      <c r="BB93" s="102"/>
      <c r="BC93" s="104"/>
      <c r="BD93" s="105"/>
      <c r="BE93" s="105"/>
      <c r="BF93" s="100"/>
      <c r="BG93" s="100"/>
      <c r="BH93" s="100"/>
      <c r="BI93" s="102"/>
      <c r="BJ93" s="104"/>
      <c r="BK93" s="105"/>
      <c r="BL93" s="100"/>
      <c r="BM93" s="100"/>
      <c r="BN93" s="100"/>
      <c r="BO93" s="100"/>
      <c r="BP93" s="101"/>
      <c r="BQ93" s="104"/>
      <c r="BR93" s="105"/>
      <c r="BS93" s="101"/>
      <c r="BT93" s="100"/>
      <c r="BU93" s="100"/>
      <c r="BV93" s="100"/>
      <c r="BW93" s="102"/>
      <c r="BX93" s="104"/>
      <c r="BY93" s="105"/>
      <c r="BZ93" s="101"/>
      <c r="CA93" s="100"/>
      <c r="CB93" s="100"/>
      <c r="CC93" s="100"/>
      <c r="CD93" s="102"/>
      <c r="CE93" s="104"/>
      <c r="CF93" s="105"/>
      <c r="CG93" s="101"/>
      <c r="CH93" s="100"/>
      <c r="CI93" s="105"/>
      <c r="CJ93" s="100"/>
      <c r="CK93" s="102"/>
      <c r="CL93" s="104"/>
      <c r="CM93" s="105"/>
      <c r="CN93" s="101"/>
      <c r="CO93" s="100"/>
      <c r="CP93" s="100"/>
      <c r="CQ93" s="100"/>
      <c r="CR93" s="102"/>
      <c r="CS93" s="104"/>
      <c r="CT93" s="105"/>
      <c r="CU93" s="105"/>
      <c r="CV93" s="100"/>
      <c r="CW93" s="100"/>
      <c r="CX93" s="100"/>
      <c r="CY93" s="102"/>
      <c r="CZ93" s="104"/>
      <c r="DA93" s="105"/>
      <c r="DB93" s="101"/>
      <c r="DC93" s="101"/>
      <c r="DD93" s="100"/>
      <c r="DE93" s="100"/>
      <c r="DF93" s="102"/>
      <c r="DG93" s="104"/>
      <c r="DH93" s="105"/>
      <c r="DI93" s="101"/>
      <c r="DJ93" s="100"/>
      <c r="DK93" s="100"/>
      <c r="DL93" s="100"/>
      <c r="DM93" s="102"/>
      <c r="DN93" s="104"/>
      <c r="DO93" s="105"/>
      <c r="DP93" s="101"/>
      <c r="DQ93" s="100"/>
      <c r="DR93" s="100"/>
      <c r="DS93" s="100"/>
      <c r="DT93" s="105"/>
      <c r="DU93" s="104"/>
      <c r="DV93" s="105"/>
      <c r="DW93" s="101"/>
      <c r="DX93" s="100"/>
      <c r="DY93" s="100"/>
      <c r="DZ93" s="100"/>
      <c r="EA93" s="100"/>
      <c r="EB93" s="105"/>
      <c r="EC93" s="105"/>
      <c r="ED93" s="100"/>
      <c r="EE93" s="100"/>
    </row>
    <row r="94" spans="2:135" ht="18" customHeight="1" outlineLevel="2" x14ac:dyDescent="0.15">
      <c r="B94" s="115"/>
      <c r="C94" s="116"/>
      <c r="D94" s="112"/>
      <c r="E94" s="112"/>
      <c r="F94" s="112"/>
      <c r="G94" s="112"/>
      <c r="H94" s="112"/>
      <c r="I94" s="112"/>
      <c r="J94" s="112"/>
      <c r="K94" s="51"/>
      <c r="L94" s="52"/>
      <c r="M94" s="58"/>
      <c r="N94" s="59"/>
      <c r="O94" s="60"/>
      <c r="P94" s="61"/>
      <c r="Q94" s="62"/>
      <c r="R94" s="13"/>
      <c r="S94" s="19"/>
      <c r="T94" s="15"/>
      <c r="U94" s="15"/>
      <c r="V94" s="14"/>
      <c r="W94" s="14"/>
      <c r="X94" s="69"/>
      <c r="Y94" s="69"/>
      <c r="Z94" s="69"/>
      <c r="AA94" s="69"/>
      <c r="AB94" s="69"/>
      <c r="AC94" s="76"/>
      <c r="AD94" s="77"/>
      <c r="AE94" s="101"/>
      <c r="AF94" s="102"/>
      <c r="AG94" s="102"/>
      <c r="AH94" s="104"/>
      <c r="AI94" s="105"/>
      <c r="AJ94" s="102"/>
      <c r="AK94" s="102"/>
      <c r="AL94" s="102"/>
      <c r="AM94" s="102"/>
      <c r="AN94" s="102"/>
      <c r="AO94" s="104"/>
      <c r="AP94" s="105"/>
      <c r="AQ94" s="102"/>
      <c r="AR94" s="102"/>
      <c r="AS94" s="102"/>
      <c r="AT94" s="102"/>
      <c r="AU94" s="102"/>
      <c r="AV94" s="104"/>
      <c r="AW94" s="105"/>
      <c r="AX94" s="101"/>
      <c r="AY94" s="100"/>
      <c r="AZ94" s="100"/>
      <c r="BA94" s="100"/>
      <c r="BB94" s="102"/>
      <c r="BC94" s="104"/>
      <c r="BD94" s="105"/>
      <c r="BE94" s="105"/>
      <c r="BF94" s="100"/>
      <c r="BG94" s="100"/>
      <c r="BH94" s="100"/>
      <c r="BI94" s="102"/>
      <c r="BJ94" s="104"/>
      <c r="BK94" s="105"/>
      <c r="BL94" s="100"/>
      <c r="BM94" s="100"/>
      <c r="BN94" s="100"/>
      <c r="BO94" s="100"/>
      <c r="BP94" s="101"/>
      <c r="BQ94" s="104"/>
      <c r="BR94" s="105"/>
      <c r="BS94" s="101"/>
      <c r="BT94" s="100"/>
      <c r="BU94" s="100"/>
      <c r="BV94" s="100"/>
      <c r="BW94" s="102"/>
      <c r="BX94" s="104"/>
      <c r="BY94" s="105"/>
      <c r="BZ94" s="101"/>
      <c r="CA94" s="100"/>
      <c r="CB94" s="100"/>
      <c r="CC94" s="100"/>
      <c r="CD94" s="102"/>
      <c r="CE94" s="104"/>
      <c r="CF94" s="105"/>
      <c r="CG94" s="101"/>
      <c r="CH94" s="100"/>
      <c r="CI94" s="105"/>
      <c r="CJ94" s="100"/>
      <c r="CK94" s="102"/>
      <c r="CL94" s="104"/>
      <c r="CM94" s="105"/>
      <c r="CN94" s="101"/>
      <c r="CO94" s="100"/>
      <c r="CP94" s="100"/>
      <c r="CQ94" s="100"/>
      <c r="CR94" s="102"/>
      <c r="CS94" s="104"/>
      <c r="CT94" s="105"/>
      <c r="CU94" s="105"/>
      <c r="CV94" s="100"/>
      <c r="CW94" s="100"/>
      <c r="CX94" s="100"/>
      <c r="CY94" s="102"/>
      <c r="CZ94" s="104"/>
      <c r="DA94" s="105"/>
      <c r="DB94" s="101"/>
      <c r="DC94" s="101"/>
      <c r="DD94" s="100"/>
      <c r="DE94" s="100"/>
      <c r="DF94" s="102"/>
      <c r="DG94" s="104"/>
      <c r="DH94" s="105"/>
      <c r="DI94" s="101"/>
      <c r="DJ94" s="100"/>
      <c r="DK94" s="100"/>
      <c r="DL94" s="100"/>
      <c r="DM94" s="102"/>
      <c r="DN94" s="104"/>
      <c r="DO94" s="105"/>
      <c r="DP94" s="101"/>
      <c r="DQ94" s="100"/>
      <c r="DR94" s="100"/>
      <c r="DS94" s="100"/>
      <c r="DT94" s="105"/>
      <c r="DU94" s="104"/>
      <c r="DV94" s="105"/>
      <c r="DW94" s="101"/>
      <c r="DX94" s="100"/>
      <c r="DY94" s="100"/>
      <c r="DZ94" s="100"/>
      <c r="EA94" s="100"/>
      <c r="EB94" s="105"/>
      <c r="EC94" s="105"/>
      <c r="ED94" s="100"/>
      <c r="EE94" s="100"/>
    </row>
    <row r="95" spans="2:135" ht="18" customHeight="1" outlineLevel="2" x14ac:dyDescent="0.15">
      <c r="B95" s="115"/>
      <c r="C95" s="116"/>
      <c r="D95" s="112"/>
      <c r="E95" s="112"/>
      <c r="F95" s="112"/>
      <c r="G95" s="112"/>
      <c r="H95" s="112"/>
      <c r="I95" s="112"/>
      <c r="J95" s="112"/>
      <c r="K95" s="51"/>
      <c r="L95" s="52"/>
      <c r="M95" s="58"/>
      <c r="N95" s="59"/>
      <c r="O95" s="60"/>
      <c r="P95" s="61"/>
      <c r="Q95" s="62"/>
      <c r="R95" s="13"/>
      <c r="S95" s="19"/>
      <c r="T95" s="15"/>
      <c r="U95" s="15"/>
      <c r="V95" s="14"/>
      <c r="W95" s="14"/>
      <c r="X95" s="69"/>
      <c r="Y95" s="69"/>
      <c r="Z95" s="69"/>
      <c r="AA95" s="69"/>
      <c r="AB95" s="69"/>
      <c r="AC95" s="76"/>
      <c r="AD95" s="77"/>
      <c r="AE95" s="101"/>
      <c r="AF95" s="102"/>
      <c r="AG95" s="102"/>
      <c r="AH95" s="104"/>
      <c r="AI95" s="105"/>
      <c r="AJ95" s="102"/>
      <c r="AK95" s="102"/>
      <c r="AL95" s="102"/>
      <c r="AM95" s="102"/>
      <c r="AN95" s="102"/>
      <c r="AO95" s="104"/>
      <c r="AP95" s="105"/>
      <c r="AQ95" s="102"/>
      <c r="AR95" s="102"/>
      <c r="AS95" s="102"/>
      <c r="AT95" s="102"/>
      <c r="AU95" s="102"/>
      <c r="AV95" s="104"/>
      <c r="AW95" s="105"/>
      <c r="AX95" s="101"/>
      <c r="AY95" s="100"/>
      <c r="AZ95" s="100"/>
      <c r="BA95" s="100"/>
      <c r="BB95" s="102"/>
      <c r="BC95" s="104"/>
      <c r="BD95" s="105"/>
      <c r="BE95" s="105"/>
      <c r="BF95" s="100"/>
      <c r="BG95" s="100"/>
      <c r="BH95" s="100"/>
      <c r="BI95" s="102"/>
      <c r="BJ95" s="104"/>
      <c r="BK95" s="105"/>
      <c r="BL95" s="100"/>
      <c r="BM95" s="100"/>
      <c r="BN95" s="100"/>
      <c r="BO95" s="100"/>
      <c r="BP95" s="101"/>
      <c r="BQ95" s="104"/>
      <c r="BR95" s="105"/>
      <c r="BS95" s="101"/>
      <c r="BT95" s="100"/>
      <c r="BU95" s="100"/>
      <c r="BV95" s="100"/>
      <c r="BW95" s="102"/>
      <c r="BX95" s="104"/>
      <c r="BY95" s="105"/>
      <c r="BZ95" s="101"/>
      <c r="CA95" s="100"/>
      <c r="CB95" s="100"/>
      <c r="CC95" s="100"/>
      <c r="CD95" s="102"/>
      <c r="CE95" s="104"/>
      <c r="CF95" s="105"/>
      <c r="CG95" s="101"/>
      <c r="CH95" s="100"/>
      <c r="CI95" s="105"/>
      <c r="CJ95" s="100"/>
      <c r="CK95" s="102"/>
      <c r="CL95" s="104"/>
      <c r="CM95" s="105"/>
      <c r="CN95" s="101"/>
      <c r="CO95" s="100"/>
      <c r="CP95" s="100"/>
      <c r="CQ95" s="100"/>
      <c r="CR95" s="102"/>
      <c r="CS95" s="104"/>
      <c r="CT95" s="105"/>
      <c r="CU95" s="105"/>
      <c r="CV95" s="100"/>
      <c r="CW95" s="100"/>
      <c r="CX95" s="100"/>
      <c r="CY95" s="102"/>
      <c r="CZ95" s="104"/>
      <c r="DA95" s="105"/>
      <c r="DB95" s="101"/>
      <c r="DC95" s="101"/>
      <c r="DD95" s="100"/>
      <c r="DE95" s="100"/>
      <c r="DF95" s="102"/>
      <c r="DG95" s="104"/>
      <c r="DH95" s="105"/>
      <c r="DI95" s="101"/>
      <c r="DJ95" s="100"/>
      <c r="DK95" s="100"/>
      <c r="DL95" s="100"/>
      <c r="DM95" s="102"/>
      <c r="DN95" s="104"/>
      <c r="DO95" s="105"/>
      <c r="DP95" s="101"/>
      <c r="DQ95" s="100"/>
      <c r="DR95" s="100"/>
      <c r="DS95" s="100"/>
      <c r="DT95" s="105"/>
      <c r="DU95" s="104"/>
      <c r="DV95" s="105"/>
      <c r="DW95" s="101"/>
      <c r="DX95" s="100"/>
      <c r="DY95" s="100"/>
      <c r="DZ95" s="100"/>
      <c r="EA95" s="100"/>
      <c r="EB95" s="105"/>
      <c r="EC95" s="105"/>
      <c r="ED95" s="100"/>
      <c r="EE95" s="100"/>
    </row>
  </sheetData>
  <sheetProtection formatCells="0" formatColumns="0" formatRows="0" insertColumns="0" insertRows="0" insertHyperlinks="0" deleteColumns="0" deleteRows="0" sort="0" autoFilter="0" pivotTables="0"/>
  <protectedRanges>
    <protectedRange sqref="AE96:DZ65592 A1:S4 A4:L5 A8:B8 C9:W9 M1:R5 A96:AB65592 S3:S5 T1:AB5 A12:Q13 O32:O95 O19:O30 A6:B6 A7:Y7 AE1:DZ4 E10:Q11 A9:L11 A14:D19 P94:AB95 S9:AB93 R10:R93 E19:N19 E14:Q18 A20:N95 P19:Q93 BQ9:DN95 DR9:EE95 DO9:DQ24 DO26:DQ95 DP25:DQ25 AE9:BO95" name="範囲1_3"/>
    <protectedRange sqref="AC46:AD46 AC71:AD71 AC95:AD65592 AC86:AD87 AC50:AD67 AC90:AD92 AC75:AD84 AC1:AD43" name="範囲1_2_1"/>
    <protectedRange sqref="BP9:BP95" name="範囲1_3_2"/>
    <protectedRange sqref="AC44:AD45" name="範囲1_2_1_1"/>
    <protectedRange sqref="AC47:AD49" name="範囲1_2_1_3"/>
    <protectedRange sqref="AC85:AD85" name="範囲1_2_1_5"/>
    <protectedRange sqref="AC88:AD89" name="範囲1_2_1_6"/>
    <protectedRange sqref="AC93:AD94" name="範囲1_2_1_7"/>
    <protectedRange sqref="AC72:AD74 AC68:AD70" name="範囲1_2_1_8"/>
    <protectedRange sqref="C6:AB6" name="範囲1_3_1"/>
    <protectedRange sqref="C8:L8 O8:AB8" name="範囲1_3_3"/>
    <protectedRange sqref="M8:N8" name="範囲1_1_1_1"/>
    <protectedRange sqref="Z7:AB7" name="範囲1_3_4"/>
  </protectedRanges>
  <phoneticPr fontId="2"/>
  <conditionalFormatting sqref="AE9:AG95 AJ9:AN95">
    <cfRule type="expression" priority="41">
      <formula>AND(XDM$9&gt;=$AC1048493, XDM$2&lt;=$AD1048493)</formula>
    </cfRule>
  </conditionalFormatting>
  <conditionalFormatting sqref="AE9:CZ95">
    <cfRule type="expression" dxfId="5" priority="1">
      <formula>AND($AC9&lt;&gt;"", AE$8&gt;=$AC9, AE$8&lt;=$AD9)</formula>
    </cfRule>
    <cfRule type="expression" dxfId="4" priority="2">
      <formula>AND($AC9&lt;&gt;"", AE$7&gt;=$AC9, AE$7&lt;=$AD9)</formula>
    </cfRule>
  </conditionalFormatting>
  <conditionalFormatting sqref="AH9:AI95">
    <cfRule type="expression" priority="3">
      <formula>AND(XDA$9&gt;=$AC1048493, XDA$2&lt;=$AD1048493)</formula>
    </cfRule>
  </conditionalFormatting>
  <conditionalFormatting sqref="AO9:AP95">
    <cfRule type="expression" priority="6">
      <formula>AND(XDH$9&gt;=$AC1048493, XDH$2&lt;=$AD1048493)</formula>
    </cfRule>
  </conditionalFormatting>
  <conditionalFormatting sqref="AQ9:AT95">
    <cfRule type="expression" priority="20">
      <formula>AND(XDO$9&gt;=$AC1048493, XDO$2&lt;=$AD1048493)</formula>
    </cfRule>
  </conditionalFormatting>
  <conditionalFormatting sqref="AU9:CU95">
    <cfRule type="expression" priority="26">
      <formula>AND(XDN$9&gt;=$AC1048493, XDN$2&lt;=$AD1048493)</formula>
    </cfRule>
  </conditionalFormatting>
  <conditionalFormatting sqref="CV9:CZ95">
    <cfRule type="expression" priority="47">
      <formula>AND(A$9&gt;=$AC1048493, A$2&lt;=$AD1048493)</formula>
    </cfRule>
  </conditionalFormatting>
  <conditionalFormatting sqref="DA9:EE24 DA25:DN25 DP25 DR25:EE25 DA26:EE95">
    <cfRule type="expression" dxfId="3" priority="7">
      <formula>AND($AC9&lt;&gt;"", DA$8&gt;=$AC9, DA$8&lt;=$AD9)</formula>
    </cfRule>
    <cfRule type="expression" dxfId="2" priority="8">
      <formula>AND($AC9&lt;&gt;"", DA$7&gt;=$AC9, DA$7&lt;=$AD9)</formula>
    </cfRule>
    <cfRule type="expression" priority="9">
      <formula>AND(A$9&gt;=$AC1048493, A$2&lt;=$AD1048493)</formula>
    </cfRule>
  </conditionalFormatting>
  <conditionalFormatting sqref="DQ25">
    <cfRule type="expression" dxfId="1" priority="15">
      <formula>AND($AC25&lt;&gt;"", DO$8&gt;=$AC25, DO$8&lt;=$AD25)</formula>
    </cfRule>
    <cfRule type="expression" dxfId="0" priority="16">
      <formula>AND($AC25&lt;&gt;"", DO$7&gt;=$AC25, DO$7&lt;=$AD25)</formula>
    </cfRule>
    <cfRule type="expression" priority="17">
      <formula>AND(O$9&gt;=$AC1048509, O$2&lt;=$AD1048509)</formula>
    </cfRule>
  </conditionalFormatting>
  <pageMargins left="0.43307086614173229" right="0.35433070866141736" top="0.78740157480314965" bottom="0.43307086614173229" header="0.39370078740157483" footer="0.19685039370078741"/>
  <pageSetup paperSize="9" scale="29" fitToHeight="0" orientation="landscape" horizontalDpi="4294967293" r:id="rId1"/>
  <headerFooter alignWithMargins="0">
    <oddHeader>&amp;R作成日　：　2022/09/01_x000D_変更日　：　****/**/**&amp;L&amp;"ＭＳ ゴシック"【泉PT】【住民台帳】／／開発～内部連結工程
スケジュール表</oddHeader>
    <oddFooter>&amp;C&amp;P/&amp;N&amp;R&amp;F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378373532AFB42828D8E09A6594FDD" ma:contentTypeVersion="14" ma:contentTypeDescription="Create a new document." ma:contentTypeScope="" ma:versionID="73594f9dc93773df71c9aa7214216a13">
  <xsd:schema xmlns:xsd="http://www.w3.org/2001/XMLSchema" xmlns:xs="http://www.w3.org/2001/XMLSchema" xmlns:p="http://schemas.microsoft.com/office/2006/metadata/properties" xmlns:ns2="c4b268b0-fe22-4f30-b039-782524b5a9fc" xmlns:ns3="c82330db-103f-4488-980e-800a4e343e37" targetNamespace="http://schemas.microsoft.com/office/2006/metadata/properties" ma:root="true" ma:fieldsID="b77fccbb793def4ea6f76e1c3f3882cf" ns2:_="" ns3:_="">
    <xsd:import namespace="c4b268b0-fe22-4f30-b039-782524b5a9fc"/>
    <xsd:import namespace="c82330db-103f-4488-980e-800a4e343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268b0-fe22-4f30-b039-782524b5a9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48f909-cfb0-449d-8dde-44dc6a76d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330db-103f-4488-980e-800a4e343e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aa6b2a-78a4-4814-9749-28165380e6dd}" ma:internalName="TaxCatchAll" ma:showField="CatchAllData" ma:web="c82330db-103f-4488-980e-800a4e343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2330db-103f-4488-980e-800a4e343e37" xsi:nil="true"/>
    <lcf76f155ced4ddcb4097134ff3c332f xmlns="c4b268b0-fe22-4f30-b039-782524b5a9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E54159-69F4-4025-96B0-07C8319C4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268b0-fe22-4f30-b039-782524b5a9fc"/>
    <ds:schemaRef ds:uri="c82330db-103f-4488-980e-800a4e343e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24C6AC-B291-4097-A793-78190A0747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6A386-1F6A-4FF9-8A52-5E9D4184E0B4}">
  <ds:schemaRefs>
    <ds:schemaRef ds:uri="c82330db-103f-4488-980e-800a4e343e37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c4b268b0-fe22-4f30-b039-782524b5a9fc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WBS</vt:lpstr>
      <vt:lpstr>WBS!Print_Area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e2-akiyama</dc:creator>
  <cp:keywords/>
  <dc:description/>
  <cp:lastModifiedBy>鈴木　晴勝</cp:lastModifiedBy>
  <cp:revision/>
  <dcterms:created xsi:type="dcterms:W3CDTF">2022-09-01T08:51:28Z</dcterms:created>
  <dcterms:modified xsi:type="dcterms:W3CDTF">2025-12-19T07:19:16Z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0x010100A7378373532AFB42828D8E09A6594FDD</vt:lpwstr>
  </property>
  <property fmtid="{D5CDD505-2E9C-101B-9397-08002B2CF9AE}" pid="3" name="MediaServiceImageTags">
    <vt:lpwstr/>
  </property>
</Properties>
</file>