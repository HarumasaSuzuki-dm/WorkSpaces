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tcg-my.sharepoint.com/personal/z2210257_intra_ctc-g_co_jp/Documents/デスクトップ/AIP-解除/MDM/"/>
    </mc:Choice>
  </mc:AlternateContent>
  <xr:revisionPtr revIDLastSave="272" documentId="13_ncr:1_{5184F347-C105-48A4-9AFC-7762812CC548}" xr6:coauthVersionLast="47" xr6:coauthVersionMax="47" xr10:uidLastSave="{F998F5A0-894F-4266-A8B7-EE5696A3C7BB}"/>
  <bookViews>
    <workbookView xWindow="-108" yWindow="-108" windowWidth="23256" windowHeight="12456" xr2:uid="{F4582F7A-4A63-4ED8-BD03-2324B4F6A577}"/>
  </bookViews>
  <sheets>
    <sheet name="TMC_要員表_MDM領域支援_4Q" sheetId="12" r:id="rId1"/>
  </sheets>
  <definedNames>
    <definedName name="_xlnm._FilterDatabase" localSheetId="0" hidden="1">TMC_要員表_MDM領域支援_4Q!$A$2:$P$11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2" l="1"/>
  <c r="N6" i="12"/>
  <c r="O6" i="12" s="1"/>
  <c r="M6" i="12"/>
  <c r="J6" i="12"/>
  <c r="N7" i="12"/>
  <c r="O7" i="12" s="1"/>
  <c r="M7" i="12"/>
  <c r="J7" i="12"/>
  <c r="P6" i="12" l="1"/>
  <c r="P7" i="12"/>
  <c r="K3" i="12" l="1"/>
  <c r="H12" i="12"/>
  <c r="N8" i="12"/>
  <c r="M8" i="12"/>
  <c r="O8" i="12" s="1"/>
  <c r="J8" i="12"/>
  <c r="N5" i="12"/>
  <c r="O5" i="12" s="1"/>
  <c r="M5" i="12"/>
  <c r="J5" i="12"/>
  <c r="M4" i="12"/>
  <c r="N3" i="12"/>
  <c r="N4" i="12"/>
  <c r="O4" i="12" s="1"/>
  <c r="H13" i="12"/>
  <c r="J4" i="12"/>
  <c r="M3" i="12"/>
  <c r="J3" i="12"/>
  <c r="N13" i="12" l="1"/>
  <c r="P5" i="12"/>
  <c r="P8" i="12"/>
  <c r="M13" i="12"/>
  <c r="M12" i="12"/>
  <c r="J12" i="12"/>
  <c r="P4" i="12"/>
  <c r="N12" i="12"/>
  <c r="O3" i="12"/>
  <c r="P3" i="12" s="1"/>
  <c r="J13" i="12"/>
  <c r="O13" i="12" l="1"/>
  <c r="P13" i="12" s="1"/>
  <c r="O12" i="12"/>
  <c r="P12" i="12" s="1"/>
</calcChain>
</file>

<file path=xl/sharedStrings.xml><?xml version="1.0" encoding="utf-8"?>
<sst xmlns="http://schemas.openxmlformats.org/spreadsheetml/2006/main" count="49" uniqueCount="31">
  <si>
    <t>#</t>
    <phoneticPr fontId="18"/>
  </si>
  <si>
    <t>PJ</t>
    <phoneticPr fontId="18"/>
  </si>
  <si>
    <t>プロジェクト名称</t>
    <phoneticPr fontId="18"/>
  </si>
  <si>
    <t>所属</t>
    <rPh sb="0" eb="2">
      <t>ショゾク</t>
    </rPh>
    <phoneticPr fontId="18"/>
  </si>
  <si>
    <t>種別</t>
    <rPh sb="0" eb="2">
      <t>シュベツ</t>
    </rPh>
    <phoneticPr fontId="18"/>
  </si>
  <si>
    <t>氏名</t>
    <rPh sb="0" eb="2">
      <t>シメイ</t>
    </rPh>
    <phoneticPr fontId="18"/>
  </si>
  <si>
    <t>工数(人月)</t>
    <rPh sb="0" eb="2">
      <t>コウスウ</t>
    </rPh>
    <rPh sb="3" eb="5">
      <t>ニンゲツ</t>
    </rPh>
    <phoneticPr fontId="18"/>
  </si>
  <si>
    <t>期間</t>
    <rPh sb="0" eb="2">
      <t>キカン</t>
    </rPh>
    <phoneticPr fontId="18"/>
  </si>
  <si>
    <t>合計工数(人月)</t>
    <rPh sb="0" eb="2">
      <t>ゴウケイ</t>
    </rPh>
    <rPh sb="2" eb="4">
      <t>コウスウ</t>
    </rPh>
    <rPh sb="5" eb="7">
      <t>ニンゲツ</t>
    </rPh>
    <phoneticPr fontId="18"/>
  </si>
  <si>
    <t>単価</t>
    <rPh sb="0" eb="2">
      <t>タンカ</t>
    </rPh>
    <phoneticPr fontId="18"/>
  </si>
  <si>
    <t>社売単価</t>
    <rPh sb="0" eb="2">
      <t>シャバイ</t>
    </rPh>
    <rPh sb="2" eb="4">
      <t>タンカ</t>
    </rPh>
    <phoneticPr fontId="18"/>
  </si>
  <si>
    <t>採算原価</t>
    <rPh sb="0" eb="2">
      <t>サイサン</t>
    </rPh>
    <rPh sb="2" eb="4">
      <t>ゲンカ</t>
    </rPh>
    <phoneticPr fontId="18"/>
  </si>
  <si>
    <t>提示金額(社売)</t>
    <rPh sb="0" eb="2">
      <t>テイジ</t>
    </rPh>
    <rPh sb="2" eb="4">
      <t>キンガク</t>
    </rPh>
    <rPh sb="5" eb="7">
      <t>シャバイ</t>
    </rPh>
    <phoneticPr fontId="18"/>
  </si>
  <si>
    <t>利益額</t>
    <rPh sb="0" eb="2">
      <t>リエキ</t>
    </rPh>
    <rPh sb="2" eb="3">
      <t>ガク</t>
    </rPh>
    <phoneticPr fontId="18"/>
  </si>
  <si>
    <t>利益率</t>
    <rPh sb="0" eb="3">
      <t>リエキリツ</t>
    </rPh>
    <phoneticPr fontId="18"/>
  </si>
  <si>
    <t>有償</t>
  </si>
  <si>
    <t>CTC</t>
    <phoneticPr fontId="18"/>
  </si>
  <si>
    <t>派遣</t>
    <rPh sb="0" eb="2">
      <t>ハケン</t>
    </rPh>
    <phoneticPr fontId="18"/>
  </si>
  <si>
    <t>コンティンジェンシープラン</t>
  </si>
  <si>
    <t>コンテあり</t>
    <phoneticPr fontId="18"/>
  </si>
  <si>
    <t>コンテなし</t>
    <phoneticPr fontId="18"/>
  </si>
  <si>
    <t>Tableau移行支援</t>
    <rPh sb="7" eb="9">
      <t>イコウ</t>
    </rPh>
    <rPh sb="9" eb="11">
      <t>シエン</t>
    </rPh>
    <phoneticPr fontId="18"/>
  </si>
  <si>
    <t>委託</t>
    <rPh sb="0" eb="2">
      <t>イタク</t>
    </rPh>
    <phoneticPr fontId="18"/>
  </si>
  <si>
    <t>CTCS</t>
    <phoneticPr fontId="18"/>
  </si>
  <si>
    <t>INFA 1月</t>
    <rPh sb="6" eb="7">
      <t>ガツ</t>
    </rPh>
    <phoneticPr fontId="18"/>
  </si>
  <si>
    <t>SAP 1月</t>
    <rPh sb="5" eb="6">
      <t>ガツ</t>
    </rPh>
    <phoneticPr fontId="18"/>
  </si>
  <si>
    <t>伊藤　栄昭</t>
    <rPh sb="0" eb="2">
      <t>イトウ</t>
    </rPh>
    <rPh sb="3" eb="5">
      <t>ヒデアキ</t>
    </rPh>
    <phoneticPr fontId="18"/>
  </si>
  <si>
    <t>INFA 2-3月</t>
    <rPh sb="8" eb="9">
      <t>ガツ</t>
    </rPh>
    <phoneticPr fontId="18"/>
  </si>
  <si>
    <t>経費（名古屋出張×2回×3名）</t>
    <rPh sb="13" eb="14">
      <t>メイ</t>
    </rPh>
    <phoneticPr fontId="18"/>
  </si>
  <si>
    <t>山口・山本（検討中）</t>
    <rPh sb="0" eb="2">
      <t>ヤマグチ</t>
    </rPh>
    <rPh sb="3" eb="5">
      <t>ヤマモト</t>
    </rPh>
    <rPh sb="6" eb="9">
      <t>ケントウチュウ</t>
    </rPh>
    <phoneticPr fontId="18"/>
  </si>
  <si>
    <t>プロパ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</si>
</sst>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76" formatCode="#,##0_ "/>
    <numFmt numFmtId="177" formatCode="0.00_ "/>
    <numFmt numFmtId="178" formatCode="0.0%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1" xfId="0" applyFont="1" applyBorder="1">
      <alignment vertical="center"/>
    </xf>
    <xf numFmtId="0" fontId="19" fillId="0" borderId="12" xfId="0" applyFont="1" applyBorder="1">
      <alignment vertical="center"/>
    </xf>
    <xf numFmtId="176" fontId="19" fillId="0" borderId="11" xfId="0" applyNumberFormat="1" applyFont="1" applyBorder="1">
      <alignment vertical="center"/>
    </xf>
    <xf numFmtId="176" fontId="19" fillId="0" borderId="12" xfId="0" applyNumberFormat="1" applyFont="1" applyBorder="1">
      <alignment vertical="center"/>
    </xf>
    <xf numFmtId="0" fontId="19" fillId="33" borderId="10" xfId="0" applyFont="1" applyFill="1" applyBorder="1">
      <alignment vertical="center"/>
    </xf>
    <xf numFmtId="177" fontId="19" fillId="0" borderId="11" xfId="0" applyNumberFormat="1" applyFont="1" applyBorder="1">
      <alignment vertical="center"/>
    </xf>
    <xf numFmtId="177" fontId="19" fillId="0" borderId="12" xfId="0" applyNumberFormat="1" applyFont="1" applyBorder="1">
      <alignment vertical="center"/>
    </xf>
    <xf numFmtId="0" fontId="19" fillId="0" borderId="14" xfId="0" applyFont="1" applyBorder="1">
      <alignment vertical="center"/>
    </xf>
    <xf numFmtId="0" fontId="19" fillId="0" borderId="13" xfId="0" applyFont="1" applyBorder="1">
      <alignment vertical="center"/>
    </xf>
    <xf numFmtId="177" fontId="19" fillId="0" borderId="13" xfId="0" applyNumberFormat="1" applyFont="1" applyBorder="1">
      <alignment vertical="center"/>
    </xf>
    <xf numFmtId="176" fontId="19" fillId="0" borderId="13" xfId="0" applyNumberFormat="1" applyFont="1" applyBorder="1">
      <alignment vertical="center"/>
    </xf>
    <xf numFmtId="0" fontId="19" fillId="0" borderId="15" xfId="0" applyFont="1" applyBorder="1">
      <alignment vertical="center"/>
    </xf>
    <xf numFmtId="0" fontId="19" fillId="0" borderId="16" xfId="0" applyFont="1" applyBorder="1">
      <alignment vertical="center"/>
    </xf>
    <xf numFmtId="176" fontId="19" fillId="34" borderId="18" xfId="0" applyNumberFormat="1" applyFont="1" applyFill="1" applyBorder="1">
      <alignment vertical="center"/>
    </xf>
    <xf numFmtId="178" fontId="19" fillId="34" borderId="19" xfId="0" applyNumberFormat="1" applyFont="1" applyFill="1" applyBorder="1">
      <alignment vertical="center"/>
    </xf>
    <xf numFmtId="178" fontId="19" fillId="0" borderId="12" xfId="0" applyNumberFormat="1" applyFont="1" applyBorder="1">
      <alignment vertical="center"/>
    </xf>
    <xf numFmtId="178" fontId="19" fillId="0" borderId="11" xfId="0" applyNumberFormat="1" applyFont="1" applyBorder="1">
      <alignment vertical="center"/>
    </xf>
    <xf numFmtId="178" fontId="19" fillId="0" borderId="13" xfId="0" applyNumberFormat="1" applyFont="1" applyBorder="1">
      <alignment vertical="center"/>
    </xf>
    <xf numFmtId="178" fontId="19" fillId="0" borderId="0" xfId="0" applyNumberFormat="1" applyFont="1">
      <alignment vertical="center"/>
    </xf>
    <xf numFmtId="177" fontId="19" fillId="34" borderId="17" xfId="0" applyNumberFormat="1" applyFont="1" applyFill="1" applyBorder="1">
      <alignment vertical="center"/>
    </xf>
    <xf numFmtId="0" fontId="19" fillId="33" borderId="10" xfId="0" applyFont="1" applyFill="1" applyBorder="1" applyAlignment="1">
      <alignment horizontal="centerContinuous" vertical="center"/>
    </xf>
    <xf numFmtId="0" fontId="19" fillId="0" borderId="20" xfId="0" applyFont="1" applyBorder="1">
      <alignment vertical="center"/>
    </xf>
    <xf numFmtId="176" fontId="19" fillId="34" borderId="17" xfId="0" applyNumberFormat="1" applyFont="1" applyFill="1" applyBorder="1">
      <alignment vertical="center"/>
    </xf>
    <xf numFmtId="177" fontId="19" fillId="34" borderId="18" xfId="0" applyNumberFormat="1" applyFont="1" applyFill="1" applyBorder="1">
      <alignment vertical="center"/>
    </xf>
    <xf numFmtId="0" fontId="19" fillId="0" borderId="22" xfId="0" applyFont="1" applyBorder="1">
      <alignment vertical="center"/>
    </xf>
    <xf numFmtId="176" fontId="19" fillId="0" borderId="0" xfId="0" applyNumberFormat="1" applyFont="1">
      <alignment vertical="center"/>
    </xf>
    <xf numFmtId="0" fontId="19" fillId="0" borderId="23" xfId="0" applyFont="1" applyBorder="1">
      <alignment vertical="center"/>
    </xf>
    <xf numFmtId="0" fontId="20" fillId="0" borderId="23" xfId="0" applyFont="1" applyBorder="1">
      <alignment vertical="center"/>
    </xf>
    <xf numFmtId="10" fontId="20" fillId="0" borderId="23" xfId="0" applyNumberFormat="1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41" fontId="19" fillId="0" borderId="0" xfId="0" applyNumberFormat="1" applyFont="1">
      <alignment vertical="center"/>
    </xf>
    <xf numFmtId="9" fontId="19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AAA2-C4E4-4D4B-8325-98268E570217}">
  <dimension ref="A1:Q21"/>
  <sheetViews>
    <sheetView showGridLines="0" tabSelected="1" zoomScale="90" zoomScaleNormal="90" workbookViewId="0">
      <pane ySplit="2" topLeftCell="A3" activePane="bottomLeft" state="frozen"/>
      <selection pane="bottomLeft"/>
    </sheetView>
  </sheetViews>
  <sheetFormatPr defaultColWidth="8.69921875" defaultRowHeight="14.4" x14ac:dyDescent="0.45"/>
  <cols>
    <col min="1" max="1" width="2.5" style="1" bestFit="1" customWidth="1"/>
    <col min="2" max="2" width="2.59765625" style="1" bestFit="1" customWidth="1"/>
    <col min="3" max="3" width="5" style="1" bestFit="1" customWidth="1"/>
    <col min="4" max="4" width="15.09765625" style="1" bestFit="1" customWidth="1"/>
    <col min="5" max="5" width="6.5" style="1" bestFit="1" customWidth="1"/>
    <col min="6" max="6" width="5.5" style="1" bestFit="1" customWidth="1"/>
    <col min="7" max="7" width="26.5" style="1" bestFit="1" customWidth="1"/>
    <col min="8" max="8" width="9.69921875" style="1" customWidth="1"/>
    <col min="9" max="9" width="5.8984375" style="1" bestFit="1" customWidth="1"/>
    <col min="10" max="10" width="13.3984375" style="1" bestFit="1" customWidth="1"/>
    <col min="11" max="13" width="11" style="1" bestFit="1" customWidth="1"/>
    <col min="14" max="14" width="13.5" style="1" bestFit="1" customWidth="1"/>
    <col min="15" max="15" width="11" style="1" bestFit="1" customWidth="1"/>
    <col min="16" max="16" width="7.09765625" style="1" bestFit="1" customWidth="1"/>
    <col min="17" max="17" width="3.09765625" style="1" customWidth="1"/>
    <col min="18" max="16384" width="8.69921875" style="1"/>
  </cols>
  <sheetData>
    <row r="1" spans="1:17" x14ac:dyDescent="0.45">
      <c r="A1" s="22" t="s">
        <v>0</v>
      </c>
      <c r="B1" s="22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23"/>
    </row>
    <row r="2" spans="1:17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7" x14ac:dyDescent="0.45">
      <c r="A3" s="9">
        <v>1</v>
      </c>
      <c r="B3" s="3">
        <v>1</v>
      </c>
      <c r="C3" s="3" t="s">
        <v>15</v>
      </c>
      <c r="D3" s="3" t="s">
        <v>21</v>
      </c>
      <c r="E3" s="3" t="s">
        <v>16</v>
      </c>
      <c r="F3" s="3" t="s">
        <v>17</v>
      </c>
      <c r="G3" s="3" t="s">
        <v>26</v>
      </c>
      <c r="H3" s="8">
        <v>0.5</v>
      </c>
      <c r="I3" s="8">
        <v>3</v>
      </c>
      <c r="J3" s="8">
        <f>H3*I3</f>
        <v>1.5</v>
      </c>
      <c r="K3" s="5">
        <f>16115*160</f>
        <v>2578400</v>
      </c>
      <c r="L3" s="5">
        <v>2789200</v>
      </c>
      <c r="M3" s="5">
        <f t="shared" ref="M3:M8" si="0">H3*I3*K3</f>
        <v>3867600</v>
      </c>
      <c r="N3" s="5">
        <f t="shared" ref="N3:N8" si="1">H3*I3*L3</f>
        <v>4183800</v>
      </c>
      <c r="O3" s="5">
        <f t="shared" ref="O3:O9" si="2">N3-M3</f>
        <v>316200</v>
      </c>
      <c r="P3" s="17">
        <f>O3/N3</f>
        <v>7.5577226444858744E-2</v>
      </c>
      <c r="Q3" s="20"/>
    </row>
    <row r="4" spans="1:17" x14ac:dyDescent="0.45">
      <c r="A4" s="9"/>
      <c r="B4" s="2">
        <v>2</v>
      </c>
      <c r="C4" s="2" t="s">
        <v>15</v>
      </c>
      <c r="D4" s="3" t="s">
        <v>21</v>
      </c>
      <c r="E4" s="3" t="s">
        <v>23</v>
      </c>
      <c r="F4" s="3" t="s">
        <v>22</v>
      </c>
      <c r="G4" s="2" t="s">
        <v>24</v>
      </c>
      <c r="H4" s="7">
        <v>0.5</v>
      </c>
      <c r="I4" s="8">
        <v>1</v>
      </c>
      <c r="J4" s="8">
        <f t="shared" ref="J4" si="3">H4*I4</f>
        <v>0.5</v>
      </c>
      <c r="K4" s="4">
        <v>1250000</v>
      </c>
      <c r="L4" s="4">
        <v>2000000</v>
      </c>
      <c r="M4" s="4">
        <f t="shared" si="0"/>
        <v>625000</v>
      </c>
      <c r="N4" s="5">
        <f t="shared" si="1"/>
        <v>1000000</v>
      </c>
      <c r="O4" s="5">
        <f>N4-M4</f>
        <v>375000</v>
      </c>
      <c r="P4" s="18">
        <f t="shared" ref="P4" si="4">O4/N4</f>
        <v>0.375</v>
      </c>
      <c r="Q4" s="20"/>
    </row>
    <row r="5" spans="1:17" x14ac:dyDescent="0.45">
      <c r="A5" s="9"/>
      <c r="B5" s="3">
        <v>3</v>
      </c>
      <c r="C5" s="3" t="s">
        <v>15</v>
      </c>
      <c r="D5" s="3" t="s">
        <v>21</v>
      </c>
      <c r="E5" s="3" t="s">
        <v>23</v>
      </c>
      <c r="F5" s="3" t="s">
        <v>22</v>
      </c>
      <c r="G5" s="2" t="s">
        <v>25</v>
      </c>
      <c r="H5" s="8">
        <v>0.5</v>
      </c>
      <c r="I5" s="8">
        <v>1</v>
      </c>
      <c r="J5" s="8">
        <f>H5*I5</f>
        <v>0.5</v>
      </c>
      <c r="K5" s="4">
        <v>1250000</v>
      </c>
      <c r="L5" s="4">
        <v>2000000</v>
      </c>
      <c r="M5" s="5">
        <f t="shared" si="0"/>
        <v>625000</v>
      </c>
      <c r="N5" s="5">
        <f t="shared" si="1"/>
        <v>1000000</v>
      </c>
      <c r="O5" s="5">
        <f t="shared" si="2"/>
        <v>375000</v>
      </c>
      <c r="P5" s="17">
        <f>O5/N5</f>
        <v>0.375</v>
      </c>
      <c r="Q5" s="20"/>
    </row>
    <row r="6" spans="1:17" x14ac:dyDescent="0.45">
      <c r="A6" s="9"/>
      <c r="B6" s="3">
        <v>3</v>
      </c>
      <c r="C6" s="3" t="s">
        <v>15</v>
      </c>
      <c r="D6" s="3" t="s">
        <v>21</v>
      </c>
      <c r="E6" s="3" t="s">
        <v>23</v>
      </c>
      <c r="F6" s="3" t="s">
        <v>22</v>
      </c>
      <c r="G6" s="2" t="s">
        <v>27</v>
      </c>
      <c r="H6" s="8">
        <v>1.5</v>
      </c>
      <c r="I6" s="8">
        <v>2</v>
      </c>
      <c r="J6" s="8">
        <f>H6*I6</f>
        <v>3</v>
      </c>
      <c r="K6" s="4">
        <v>1250000</v>
      </c>
      <c r="L6" s="4">
        <v>2000000</v>
      </c>
      <c r="M6" s="5">
        <f t="shared" si="0"/>
        <v>3750000</v>
      </c>
      <c r="N6" s="5">
        <f t="shared" si="1"/>
        <v>6000000</v>
      </c>
      <c r="O6" s="5">
        <f t="shared" si="2"/>
        <v>2250000</v>
      </c>
      <c r="P6" s="17">
        <f>O6/N6</f>
        <v>0.375</v>
      </c>
      <c r="Q6" s="20"/>
    </row>
    <row r="7" spans="1:17" x14ac:dyDescent="0.45">
      <c r="A7" s="9"/>
      <c r="B7" s="3">
        <v>3</v>
      </c>
      <c r="C7" s="3" t="s">
        <v>15</v>
      </c>
      <c r="D7" s="3" t="s">
        <v>21</v>
      </c>
      <c r="E7" s="3" t="s">
        <v>23</v>
      </c>
      <c r="F7" s="3" t="s">
        <v>22</v>
      </c>
      <c r="G7" s="2" t="s">
        <v>25</v>
      </c>
      <c r="H7" s="8">
        <v>0.5</v>
      </c>
      <c r="I7" s="8">
        <v>2</v>
      </c>
      <c r="J7" s="8">
        <f>H7*I7</f>
        <v>1</v>
      </c>
      <c r="K7" s="4">
        <v>1250000</v>
      </c>
      <c r="L7" s="4">
        <v>2000000</v>
      </c>
      <c r="M7" s="5">
        <f t="shared" ref="M7" si="5">H7*I7*K7</f>
        <v>1250000</v>
      </c>
      <c r="N7" s="5">
        <f t="shared" ref="N7" si="6">H7*I7*L7</f>
        <v>2000000</v>
      </c>
      <c r="O7" s="5">
        <f t="shared" si="2"/>
        <v>750000</v>
      </c>
      <c r="P7" s="17">
        <f>O7/N7</f>
        <v>0.375</v>
      </c>
      <c r="Q7" s="20"/>
    </row>
    <row r="8" spans="1:17" x14ac:dyDescent="0.45">
      <c r="A8" s="9"/>
      <c r="B8" s="2">
        <v>4</v>
      </c>
      <c r="C8" s="2" t="s">
        <v>15</v>
      </c>
      <c r="D8" s="3" t="s">
        <v>21</v>
      </c>
      <c r="E8" s="3" t="s">
        <v>16</v>
      </c>
      <c r="F8" s="3" t="s">
        <v>30</v>
      </c>
      <c r="G8" s="2" t="s">
        <v>29</v>
      </c>
      <c r="H8" s="7">
        <v>0.5</v>
      </c>
      <c r="I8" s="8">
        <v>3</v>
      </c>
      <c r="J8" s="8">
        <f t="shared" ref="J8" si="7">H8*I8</f>
        <v>1.5</v>
      </c>
      <c r="K8" s="4">
        <v>830000</v>
      </c>
      <c r="L8" s="4">
        <v>1300000</v>
      </c>
      <c r="M8" s="4">
        <f t="shared" si="0"/>
        <v>1245000</v>
      </c>
      <c r="N8" s="5">
        <f t="shared" si="1"/>
        <v>1950000</v>
      </c>
      <c r="O8" s="5">
        <f t="shared" si="2"/>
        <v>705000</v>
      </c>
      <c r="P8" s="18">
        <f t="shared" ref="P8" si="8">O8/N8</f>
        <v>0.36153846153846153</v>
      </c>
      <c r="Q8" s="20"/>
    </row>
    <row r="9" spans="1:17" x14ac:dyDescent="0.45">
      <c r="A9" s="9"/>
      <c r="B9" s="28"/>
      <c r="C9" s="28"/>
      <c r="D9" s="3"/>
      <c r="E9" s="3"/>
      <c r="F9" s="3"/>
      <c r="G9" s="29" t="s">
        <v>28</v>
      </c>
      <c r="H9" s="29"/>
      <c r="I9" s="29"/>
      <c r="J9" s="29"/>
      <c r="K9" s="29"/>
      <c r="L9" s="29"/>
      <c r="M9" s="4">
        <v>180000</v>
      </c>
      <c r="N9" s="4">
        <v>180000</v>
      </c>
      <c r="O9" s="5">
        <f t="shared" si="2"/>
        <v>0</v>
      </c>
      <c r="P9" s="30"/>
      <c r="Q9" s="20"/>
    </row>
    <row r="10" spans="1:17" x14ac:dyDescent="0.45">
      <c r="A10" s="9"/>
      <c r="B10" s="28"/>
      <c r="C10" s="28"/>
      <c r="D10" s="3"/>
      <c r="E10" s="9"/>
      <c r="F10" s="9"/>
      <c r="G10" s="29" t="s">
        <v>18</v>
      </c>
      <c r="H10" s="29"/>
      <c r="I10" s="29"/>
      <c r="J10" s="29"/>
      <c r="K10" s="29"/>
      <c r="L10" s="29"/>
      <c r="M10" s="4">
        <v>1200000</v>
      </c>
      <c r="N10" s="29"/>
      <c r="O10" s="29"/>
      <c r="P10" s="30"/>
      <c r="Q10" s="20"/>
    </row>
    <row r="11" spans="1:17" ht="15" thickBot="1" x14ac:dyDescent="0.5">
      <c r="A11" s="14"/>
      <c r="B11" s="10"/>
      <c r="C11" s="10"/>
      <c r="D11" s="3"/>
      <c r="E11" s="10"/>
      <c r="F11" s="10"/>
      <c r="G11" s="10"/>
      <c r="H11" s="11"/>
      <c r="I11" s="11"/>
      <c r="J11" s="11"/>
      <c r="K11" s="12"/>
      <c r="L11" s="12"/>
      <c r="M11" s="12"/>
      <c r="N11" s="12"/>
      <c r="O11" s="12"/>
      <c r="P11" s="19"/>
      <c r="Q11" s="20"/>
    </row>
    <row r="12" spans="1:17" ht="15.6" thickTop="1" thickBot="1" x14ac:dyDescent="0.5">
      <c r="A12" s="26"/>
      <c r="B12" s="26"/>
      <c r="C12" s="26"/>
      <c r="D12" s="26"/>
      <c r="E12" s="26"/>
      <c r="F12" s="26"/>
      <c r="G12" s="31" t="s">
        <v>19</v>
      </c>
      <c r="H12" s="21">
        <f>SUM(H3:H11)</f>
        <v>4</v>
      </c>
      <c r="I12" s="25"/>
      <c r="J12" s="21">
        <f>SUM(J3:J11)</f>
        <v>8</v>
      </c>
      <c r="K12" s="15"/>
      <c r="L12" s="24"/>
      <c r="M12" s="24">
        <f>SUM(M3:M11)</f>
        <v>12742600</v>
      </c>
      <c r="N12" s="24">
        <f>SUM(N3:N11)</f>
        <v>16313800</v>
      </c>
      <c r="O12" s="24">
        <f>N12-M12</f>
        <v>3571200</v>
      </c>
      <c r="P12" s="16">
        <f>O12/N12</f>
        <v>0.21890669249347178</v>
      </c>
      <c r="Q12" s="20"/>
    </row>
    <row r="13" spans="1:17" ht="15" thickBot="1" x14ac:dyDescent="0.5">
      <c r="G13" s="32" t="s">
        <v>20</v>
      </c>
      <c r="H13" s="21">
        <f>SUM(H3:H9)</f>
        <v>4</v>
      </c>
      <c r="I13" s="25"/>
      <c r="J13" s="21">
        <f>SUM(J3:J9)</f>
        <v>8</v>
      </c>
      <c r="K13" s="15"/>
      <c r="L13" s="24"/>
      <c r="M13" s="24">
        <f>SUM(M3:M9)</f>
        <v>11542600</v>
      </c>
      <c r="N13" s="24">
        <f>SUM(N3:N9)</f>
        <v>16313800</v>
      </c>
      <c r="O13" s="24">
        <f>N13-M13</f>
        <v>4771200</v>
      </c>
      <c r="P13" s="16">
        <f>O13/N13</f>
        <v>0.2924640488420846</v>
      </c>
    </row>
    <row r="16" spans="1:17" x14ac:dyDescent="0.45">
      <c r="M16" s="27"/>
    </row>
    <row r="17" spans="13:15" x14ac:dyDescent="0.45">
      <c r="M17" s="27"/>
    </row>
    <row r="18" spans="13:15" x14ac:dyDescent="0.45">
      <c r="M18" s="27"/>
    </row>
    <row r="19" spans="13:15" x14ac:dyDescent="0.45">
      <c r="N19" s="33"/>
      <c r="O19" s="27"/>
    </row>
    <row r="20" spans="13:15" x14ac:dyDescent="0.45">
      <c r="N20" s="27"/>
      <c r="O20" s="27"/>
    </row>
    <row r="21" spans="13:15" x14ac:dyDescent="0.45">
      <c r="N21" s="34"/>
    </row>
  </sheetData>
  <autoFilter ref="A2:P11" xr:uid="{0C31339F-E453-4C11-AA86-8C6DC8E5712F}"/>
  <phoneticPr fontId="18"/>
  <pageMargins left="0.7" right="0.7" top="0.75" bottom="0.75" header="0.3" footer="0.3"/>
  <pageSetup paperSize="9" orientation="portrait" horizontalDpi="1200" verticalDpi="12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7930f-9a65-4e8e-a9ee-3323c11bd589">
      <Terms xmlns="http://schemas.microsoft.com/office/infopath/2007/PartnerControls"/>
    </lcf76f155ced4ddcb4097134ff3c332f>
    <TaxCatchAll xmlns="dcfcef33-8a7e-49fa-a6a9-e6acaf5031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A3424606A615478EAC718D252E4E17" ma:contentTypeVersion="15" ma:contentTypeDescription="新しいドキュメントを作成します。" ma:contentTypeScope="" ma:versionID="c1b06b141403b0bfe388b61020d369d1">
  <xsd:schema xmlns:xsd="http://www.w3.org/2001/XMLSchema" xmlns:xs="http://www.w3.org/2001/XMLSchema" xmlns:p="http://schemas.microsoft.com/office/2006/metadata/properties" xmlns:ns2="1c07930f-9a65-4e8e-a9ee-3323c11bd589" xmlns:ns3="dcfcef33-8a7e-49fa-a6a9-e6acaf5031ad" targetNamespace="http://schemas.microsoft.com/office/2006/metadata/properties" ma:root="true" ma:fieldsID="b2ff8d1cc6683d579df5389308ab8002" ns2:_="" ns3:_="">
    <xsd:import namespace="1c07930f-9a65-4e8e-a9ee-3323c11bd589"/>
    <xsd:import namespace="dcfcef33-8a7e-49fa-a6a9-e6acaf5031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930f-9a65-4e8e-a9ee-3323c11bd5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6bc6290a-8cd6-4a27-9e67-61465016fc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cef33-8a7e-49fa-a6a9-e6acaf5031a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34498f-4407-4c7e-801b-effe08f2d3f1}" ma:internalName="TaxCatchAll" ma:showField="CatchAllData" ma:web="dcfcef33-8a7e-49fa-a6a9-e6acaf5031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8EF2A8-1D55-4FA4-844C-DBFC47BAC738}">
  <ds:schemaRefs>
    <ds:schemaRef ds:uri="http://purl.org/dc/dcmitype/"/>
    <ds:schemaRef ds:uri="1c07930f-9a65-4e8e-a9ee-3323c11bd589"/>
    <ds:schemaRef ds:uri="http://schemas.microsoft.com/office/2006/documentManagement/types"/>
    <ds:schemaRef ds:uri="http://schemas.microsoft.com/office/2006/metadata/properties"/>
    <ds:schemaRef ds:uri="dcfcef33-8a7e-49fa-a6a9-e6acaf5031ad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0078488-F946-4893-A2A9-D900EE8464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CA1EE-51AF-4D4F-A30A-AA724BFAD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7930f-9a65-4e8e-a9ee-3323c11bd589"/>
    <ds:schemaRef ds:uri="dcfcef33-8a7e-49fa-a6a9-e6acaf503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TMC_要員表_MDM領域支援_4Q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太田　幸治</dc:creator>
  <cp:keywords/>
  <dc:description/>
  <cp:lastModifiedBy>太田　幸治</cp:lastModifiedBy>
  <cp:revision/>
  <dcterms:created xsi:type="dcterms:W3CDTF">2025-04-03T23:29:01Z</dcterms:created>
  <dcterms:modified xsi:type="dcterms:W3CDTF">2026-01-07T07:17:58Z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2025-04-04T01:30:45Z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7e1c08b3-ecd2-4465-b6df-4f978f122d01</vt:lpwstr>
  </property>
  <property fmtid="{D5CDD505-2E9C-101B-9397-08002B2CF9AE}" pid="8" name="MSIP_Label_babb27ca-7868-470c-8d5b-74df37759162_ContentBits">
    <vt:lpwstr>0</vt:lpwstr>
  </property>
  <property fmtid="{D5CDD505-2E9C-101B-9397-08002B2CF9AE}" pid="9" name="ContentTypeId">
    <vt:lpwstr>0x01010081A3424606A615478EAC718D252E4E17</vt:lpwstr>
  </property>
  <property fmtid="{D5CDD505-2E9C-101B-9397-08002B2CF9AE}" pid="10" name="MediaServiceImageTags">
    <vt:lpwstr/>
  </property>
</Properties>
</file>