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z5j7202\WorkSpaces\08.Pteron\01.CTC\MDM\ファイル\"/>
    </mc:Choice>
  </mc:AlternateContent>
  <xr:revisionPtr revIDLastSave="0" documentId="13_ncr:1_{D899D2B8-0636-4EBD-AA59-DBDB12E9D1D9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工数サマリ (2)" sheetId="14" state="hidden" r:id="rId1"/>
    <sheet name="WBS・見積もりフォーム" sheetId="18" r:id="rId2"/>
  </sheets>
  <definedNames>
    <definedName name="_xlnm._FilterDatabase" localSheetId="1" hidden="1">WBS・見積もりフォーム!$A$3:$V$71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" i="18" l="1"/>
  <c r="U9" i="18"/>
  <c r="T9" i="18"/>
  <c r="S9" i="18"/>
  <c r="R9" i="18"/>
  <c r="K9" i="18"/>
  <c r="Q9" i="18" s="1"/>
  <c r="K27" i="18"/>
  <c r="Q27" i="18" s="1"/>
  <c r="R70" i="18" l="1"/>
  <c r="S70" i="18"/>
  <c r="U63" i="18"/>
  <c r="R62" i="18"/>
  <c r="S62" i="18"/>
  <c r="T62" i="18"/>
  <c r="U62" i="18"/>
  <c r="V62" i="18"/>
  <c r="R63" i="18"/>
  <c r="S63" i="18"/>
  <c r="T63" i="18"/>
  <c r="V63" i="18"/>
  <c r="R64" i="18"/>
  <c r="S64" i="18"/>
  <c r="T64" i="18"/>
  <c r="U64" i="18"/>
  <c r="V64" i="18"/>
  <c r="R65" i="18"/>
  <c r="S65" i="18"/>
  <c r="T65" i="18"/>
  <c r="U65" i="18"/>
  <c r="V65" i="18"/>
  <c r="R66" i="18"/>
  <c r="S66" i="18"/>
  <c r="T66" i="18"/>
  <c r="U66" i="18"/>
  <c r="V66" i="18"/>
  <c r="R67" i="18"/>
  <c r="S67" i="18"/>
  <c r="T67" i="18"/>
  <c r="U67" i="18"/>
  <c r="V67" i="18"/>
  <c r="W4" i="18"/>
  <c r="V69" i="18"/>
  <c r="U69" i="18"/>
  <c r="T69" i="18"/>
  <c r="S69" i="18"/>
  <c r="R69" i="18"/>
  <c r="K35" i="18"/>
  <c r="Q35" i="18" s="1"/>
  <c r="K36" i="18"/>
  <c r="Q36" i="18" s="1"/>
  <c r="K37" i="18"/>
  <c r="Q37" i="18" s="1"/>
  <c r="K38" i="18"/>
  <c r="Q38" i="18" s="1"/>
  <c r="K39" i="18"/>
  <c r="Q39" i="18" s="1"/>
  <c r="K40" i="18"/>
  <c r="Q40" i="18" s="1"/>
  <c r="K41" i="18"/>
  <c r="Q41" i="18" s="1"/>
  <c r="K43" i="18"/>
  <c r="Q43" i="18" s="1"/>
  <c r="K44" i="18"/>
  <c r="Q44" i="18" s="1"/>
  <c r="K45" i="18"/>
  <c r="Q45" i="18" s="1"/>
  <c r="K46" i="18"/>
  <c r="Q46" i="18" s="1"/>
  <c r="K47" i="18"/>
  <c r="Q47" i="18" s="1"/>
  <c r="K49" i="18"/>
  <c r="Q49" i="18" s="1"/>
  <c r="K50" i="18"/>
  <c r="Q50" i="18" s="1"/>
  <c r="K51" i="18"/>
  <c r="Q51" i="18" s="1"/>
  <c r="K52" i="18"/>
  <c r="Q52" i="18" s="1"/>
  <c r="K53" i="18"/>
  <c r="Q53" i="18" s="1"/>
  <c r="K54" i="18"/>
  <c r="Q54" i="18" s="1"/>
  <c r="K56" i="18"/>
  <c r="Q56" i="18" s="1"/>
  <c r="K57" i="18"/>
  <c r="K58" i="18"/>
  <c r="K59" i="18"/>
  <c r="Q59" i="18" s="1"/>
  <c r="K60" i="18"/>
  <c r="Q60" i="18" s="1"/>
  <c r="K62" i="18"/>
  <c r="Q62" i="18" s="1"/>
  <c r="K63" i="18"/>
  <c r="Q63" i="18" s="1"/>
  <c r="K64" i="18"/>
  <c r="Q64" i="18" s="1"/>
  <c r="K65" i="18"/>
  <c r="Q65" i="18" s="1"/>
  <c r="K66" i="18"/>
  <c r="Q66" i="18" s="1"/>
  <c r="K67" i="18"/>
  <c r="Q67" i="18" s="1"/>
  <c r="K10" i="18"/>
  <c r="Q10" i="18" s="1"/>
  <c r="K11" i="18"/>
  <c r="Q11" i="18" s="1"/>
  <c r="K12" i="18"/>
  <c r="Q12" i="18" s="1"/>
  <c r="K13" i="18"/>
  <c r="Q13" i="18" s="1"/>
  <c r="K14" i="18"/>
  <c r="Q14" i="18" s="1"/>
  <c r="K15" i="18"/>
  <c r="Q15" i="18" s="1"/>
  <c r="K16" i="18"/>
  <c r="Q16" i="18" s="1"/>
  <c r="K18" i="18"/>
  <c r="Q18" i="18" s="1"/>
  <c r="K19" i="18"/>
  <c r="Q19" i="18" s="1"/>
  <c r="K20" i="18"/>
  <c r="Q20" i="18" s="1"/>
  <c r="K21" i="18"/>
  <c r="Q21" i="18" s="1"/>
  <c r="K22" i="18"/>
  <c r="Q22" i="18" s="1"/>
  <c r="K23" i="18"/>
  <c r="Q23" i="18" s="1"/>
  <c r="K24" i="18"/>
  <c r="Q24" i="18" s="1"/>
  <c r="K26" i="18"/>
  <c r="Q26" i="18" s="1"/>
  <c r="K28" i="18"/>
  <c r="Q28" i="18" s="1"/>
  <c r="K29" i="18"/>
  <c r="Q29" i="18" s="1"/>
  <c r="K30" i="18"/>
  <c r="Q30" i="18" s="1"/>
  <c r="K31" i="18"/>
  <c r="Q31" i="18" s="1"/>
  <c r="K32" i="18"/>
  <c r="Q32" i="18" s="1"/>
  <c r="K33" i="18"/>
  <c r="Q33" i="18" s="1"/>
  <c r="K7" i="18"/>
  <c r="Q7" i="18" s="1"/>
  <c r="V21" i="18"/>
  <c r="U21" i="18"/>
  <c r="T21" i="18"/>
  <c r="S21" i="18"/>
  <c r="R21" i="18"/>
  <c r="V20" i="18"/>
  <c r="U20" i="18"/>
  <c r="T20" i="18"/>
  <c r="S20" i="18"/>
  <c r="R20" i="18"/>
  <c r="R25" i="18"/>
  <c r="S25" i="18"/>
  <c r="T25" i="18"/>
  <c r="U25" i="18"/>
  <c r="V25" i="18"/>
  <c r="U10" i="18"/>
  <c r="V10" i="18"/>
  <c r="V7" i="18"/>
  <c r="U7" i="18"/>
  <c r="T7" i="18"/>
  <c r="S7" i="18"/>
  <c r="V71" i="18"/>
  <c r="U71" i="18"/>
  <c r="T71" i="18"/>
  <c r="S71" i="18"/>
  <c r="R71" i="18"/>
  <c r="U70" i="18"/>
  <c r="T70" i="18"/>
  <c r="V68" i="18"/>
  <c r="U68" i="18"/>
  <c r="T68" i="18"/>
  <c r="S68" i="18"/>
  <c r="R68" i="18"/>
  <c r="V61" i="18"/>
  <c r="U61" i="18"/>
  <c r="T61" i="18"/>
  <c r="S61" i="18"/>
  <c r="R61" i="18"/>
  <c r="V55" i="18"/>
  <c r="U55" i="18"/>
  <c r="T55" i="18"/>
  <c r="S55" i="18"/>
  <c r="R55" i="18"/>
  <c r="V54" i="18"/>
  <c r="U54" i="18"/>
  <c r="T54" i="18"/>
  <c r="S54" i="18"/>
  <c r="R54" i="18"/>
  <c r="V53" i="18"/>
  <c r="U53" i="18"/>
  <c r="T53" i="18"/>
  <c r="S53" i="18"/>
  <c r="R53" i="18"/>
  <c r="V52" i="18"/>
  <c r="U52" i="18"/>
  <c r="T52" i="18"/>
  <c r="S52" i="18"/>
  <c r="R52" i="18"/>
  <c r="V51" i="18"/>
  <c r="U51" i="18"/>
  <c r="T51" i="18"/>
  <c r="S51" i="18"/>
  <c r="R51" i="18"/>
  <c r="V50" i="18"/>
  <c r="U50" i="18"/>
  <c r="T50" i="18"/>
  <c r="S50" i="18"/>
  <c r="R50" i="18"/>
  <c r="V49" i="18"/>
  <c r="U49" i="18"/>
  <c r="T49" i="18"/>
  <c r="S49" i="18"/>
  <c r="R49" i="18"/>
  <c r="V48" i="18"/>
  <c r="U48" i="18"/>
  <c r="T48" i="18"/>
  <c r="S48" i="18"/>
  <c r="R48" i="18"/>
  <c r="V47" i="18"/>
  <c r="U47" i="18"/>
  <c r="T47" i="18"/>
  <c r="S47" i="18"/>
  <c r="R47" i="18"/>
  <c r="V46" i="18"/>
  <c r="U46" i="18"/>
  <c r="T46" i="18"/>
  <c r="S46" i="18"/>
  <c r="R46" i="18"/>
  <c r="V45" i="18"/>
  <c r="U45" i="18"/>
  <c r="T45" i="18"/>
  <c r="S45" i="18"/>
  <c r="R45" i="18"/>
  <c r="V44" i="18"/>
  <c r="U44" i="18"/>
  <c r="T44" i="18"/>
  <c r="S44" i="18"/>
  <c r="R44" i="18"/>
  <c r="V43" i="18"/>
  <c r="U43" i="18"/>
  <c r="T43" i="18"/>
  <c r="S43" i="18"/>
  <c r="R43" i="18"/>
  <c r="V42" i="18"/>
  <c r="U42" i="18"/>
  <c r="T42" i="18"/>
  <c r="S42" i="18"/>
  <c r="R42" i="18"/>
  <c r="V41" i="18"/>
  <c r="U41" i="18"/>
  <c r="T41" i="18"/>
  <c r="S41" i="18"/>
  <c r="R41" i="18"/>
  <c r="V40" i="18"/>
  <c r="U40" i="18"/>
  <c r="T40" i="18"/>
  <c r="S40" i="18"/>
  <c r="R40" i="18"/>
  <c r="V39" i="18"/>
  <c r="U39" i="18"/>
  <c r="T39" i="18"/>
  <c r="S39" i="18"/>
  <c r="R39" i="18"/>
  <c r="V38" i="18"/>
  <c r="U38" i="18"/>
  <c r="T38" i="18"/>
  <c r="S38" i="18"/>
  <c r="R38" i="18"/>
  <c r="V37" i="18"/>
  <c r="U37" i="18"/>
  <c r="T37" i="18"/>
  <c r="S37" i="18"/>
  <c r="R37" i="18"/>
  <c r="V36" i="18"/>
  <c r="U36" i="18"/>
  <c r="T36" i="18"/>
  <c r="S36" i="18"/>
  <c r="R36" i="18"/>
  <c r="V35" i="18"/>
  <c r="U35" i="18"/>
  <c r="T35" i="18"/>
  <c r="S35" i="18"/>
  <c r="R35" i="18"/>
  <c r="V34" i="18"/>
  <c r="U34" i="18"/>
  <c r="T34" i="18"/>
  <c r="S34" i="18"/>
  <c r="R34" i="18"/>
  <c r="V33" i="18"/>
  <c r="U33" i="18"/>
  <c r="T33" i="18"/>
  <c r="S33" i="18"/>
  <c r="R33" i="18"/>
  <c r="V32" i="18"/>
  <c r="U32" i="18"/>
  <c r="T32" i="18"/>
  <c r="S32" i="18"/>
  <c r="R32" i="18"/>
  <c r="V31" i="18"/>
  <c r="U31" i="18"/>
  <c r="T31" i="18"/>
  <c r="S31" i="18"/>
  <c r="R31" i="18"/>
  <c r="V30" i="18"/>
  <c r="U30" i="18"/>
  <c r="T30" i="18"/>
  <c r="S30" i="18"/>
  <c r="R30" i="18"/>
  <c r="V29" i="18"/>
  <c r="U29" i="18"/>
  <c r="T29" i="18"/>
  <c r="S29" i="18"/>
  <c r="R29" i="18"/>
  <c r="V28" i="18"/>
  <c r="U28" i="18"/>
  <c r="T28" i="18"/>
  <c r="S28" i="18"/>
  <c r="R28" i="18"/>
  <c r="V27" i="18"/>
  <c r="U27" i="18"/>
  <c r="T27" i="18"/>
  <c r="S27" i="18"/>
  <c r="R27" i="18"/>
  <c r="V26" i="18"/>
  <c r="U26" i="18"/>
  <c r="T26" i="18"/>
  <c r="S26" i="18"/>
  <c r="R26" i="18"/>
  <c r="V24" i="18"/>
  <c r="U24" i="18"/>
  <c r="T24" i="18"/>
  <c r="S24" i="18"/>
  <c r="R24" i="18"/>
  <c r="V23" i="18"/>
  <c r="U23" i="18"/>
  <c r="T23" i="18"/>
  <c r="S23" i="18"/>
  <c r="R23" i="18"/>
  <c r="V22" i="18"/>
  <c r="U22" i="18"/>
  <c r="T22" i="18"/>
  <c r="S22" i="18"/>
  <c r="R22" i="18"/>
  <c r="V19" i="18"/>
  <c r="U19" i="18"/>
  <c r="T19" i="18"/>
  <c r="S19" i="18"/>
  <c r="R19" i="18"/>
  <c r="V18" i="18"/>
  <c r="U18" i="18"/>
  <c r="T18" i="18"/>
  <c r="S18" i="18"/>
  <c r="R18" i="18"/>
  <c r="V17" i="18"/>
  <c r="U17" i="18"/>
  <c r="T17" i="18"/>
  <c r="S17" i="18"/>
  <c r="R17" i="18"/>
  <c r="V16" i="18"/>
  <c r="U16" i="18"/>
  <c r="T16" i="18"/>
  <c r="S16" i="18"/>
  <c r="R16" i="18"/>
  <c r="V15" i="18"/>
  <c r="U15" i="18"/>
  <c r="T15" i="18"/>
  <c r="S15" i="18"/>
  <c r="R15" i="18"/>
  <c r="V14" i="18"/>
  <c r="U14" i="18"/>
  <c r="T14" i="18"/>
  <c r="S14" i="18"/>
  <c r="R14" i="18"/>
  <c r="V13" i="18"/>
  <c r="U13" i="18"/>
  <c r="T13" i="18"/>
  <c r="S13" i="18"/>
  <c r="R13" i="18"/>
  <c r="V12" i="18"/>
  <c r="U12" i="18"/>
  <c r="T12" i="18"/>
  <c r="S12" i="18"/>
  <c r="R12" i="18"/>
  <c r="V11" i="18"/>
  <c r="U11" i="18"/>
  <c r="T11" i="18"/>
  <c r="S11" i="18"/>
  <c r="R11" i="18"/>
  <c r="T10" i="18"/>
  <c r="S10" i="18"/>
  <c r="R10" i="18"/>
  <c r="R7" i="18"/>
  <c r="O14" i="14" l="1"/>
  <c r="O13" i="14"/>
  <c r="O12" i="14"/>
  <c r="O11" i="14"/>
  <c r="O10" i="14"/>
  <c r="H12" i="14"/>
  <c r="H13" i="14" s="1"/>
  <c r="G12" i="14"/>
  <c r="G13" i="14" s="1"/>
  <c r="F12" i="14"/>
  <c r="F13" i="14" s="1"/>
  <c r="E12" i="14"/>
  <c r="E13" i="14" s="1"/>
  <c r="D12" i="14"/>
  <c r="D13" i="14" s="1"/>
  <c r="I11" i="14"/>
  <c r="I10" i="14"/>
  <c r="I12" i="14" s="1"/>
  <c r="O15" i="14" l="1"/>
  <c r="I13" i="14"/>
  <c r="E5" i="14" l="1"/>
  <c r="D5" i="14"/>
  <c r="F5" i="14"/>
  <c r="G5" i="14"/>
  <c r="H5" i="14"/>
  <c r="E4" i="14" l="1"/>
  <c r="E6" i="14" s="1"/>
  <c r="I5" i="14"/>
  <c r="D4" i="14" l="1"/>
  <c r="D6" i="14" l="1"/>
  <c r="G4" i="14" l="1"/>
  <c r="G6" i="14" s="1"/>
  <c r="H4" i="14"/>
  <c r="H6" i="14" s="1"/>
  <c r="F4" i="14"/>
  <c r="F6" i="14" l="1"/>
  <c r="I4" i="14"/>
  <c r="I6" i="14" s="1"/>
  <c r="T56" i="18"/>
  <c r="R56" i="18"/>
  <c r="U56" i="18"/>
  <c r="S56" i="18"/>
  <c r="V56" i="18"/>
  <c r="R59" i="18"/>
  <c r="S59" i="18"/>
  <c r="T59" i="18"/>
  <c r="S57" i="18"/>
  <c r="U59" i="18"/>
  <c r="V59" i="18"/>
  <c r="U57" i="18"/>
  <c r="V57" i="18"/>
  <c r="S60" i="18"/>
  <c r="R58" i="18"/>
  <c r="T60" i="18"/>
  <c r="S58" i="18"/>
  <c r="U58" i="18"/>
  <c r="U60" i="18"/>
  <c r="R57" i="18"/>
  <c r="Q57" i="18"/>
  <c r="T57" i="18"/>
  <c r="T58" i="18"/>
  <c r="Q58" i="18"/>
  <c r="V58" i="18"/>
  <c r="R60" i="18"/>
  <c r="V60" i="18"/>
  <c r="K69" i="18" l="1"/>
  <c r="Q69" i="18" s="1"/>
  <c r="V70" i="18"/>
  <c r="K70" i="18"/>
  <c r="Q70" i="18" s="1"/>
  <c r="V5" i="18" l="1"/>
  <c r="Q6" i="18"/>
  <c r="S6" i="18" l="1"/>
  <c r="S5" i="18" s="1"/>
  <c r="T6" i="18"/>
  <c r="V6" i="18"/>
  <c r="R6" i="18"/>
  <c r="U6" i="18"/>
  <c r="U5" i="18" s="1"/>
  <c r="R5" i="18"/>
  <c r="T5" i="18" l="1"/>
  <c r="W5" i="18" s="1"/>
</calcChain>
</file>

<file path=xl/sharedStrings.xml><?xml version="1.0" encoding="utf-8"?>
<sst xmlns="http://schemas.openxmlformats.org/spreadsheetml/2006/main" count="484" uniqueCount="166">
  <si>
    <t>WBSのサマリ</t>
    <phoneticPr fontId="1"/>
  </si>
  <si>
    <t>時期</t>
    <rPh sb="0" eb="2">
      <t>ジキ</t>
    </rPh>
    <phoneticPr fontId="1"/>
  </si>
  <si>
    <t>清水</t>
    <rPh sb="0" eb="2">
      <t>シミズ</t>
    </rPh>
    <phoneticPr fontId="1"/>
  </si>
  <si>
    <t>平松</t>
    <rPh sb="0" eb="2">
      <t>ヒラマツ</t>
    </rPh>
    <phoneticPr fontId="1"/>
  </si>
  <si>
    <t>菊池</t>
    <rPh sb="0" eb="2">
      <t>キクチ</t>
    </rPh>
    <phoneticPr fontId="1"/>
  </si>
  <si>
    <t>中尾</t>
    <rPh sb="0" eb="2">
      <t>ナカオ</t>
    </rPh>
    <phoneticPr fontId="1"/>
  </si>
  <si>
    <t>TBA</t>
    <phoneticPr fontId="1"/>
  </si>
  <si>
    <t>合計</t>
    <rPh sb="0" eb="2">
      <t>ゴウケイ</t>
    </rPh>
    <phoneticPr fontId="1"/>
  </si>
  <si>
    <t>PJ管理</t>
    <rPh sb="2" eb="4">
      <t>カンリ</t>
    </rPh>
    <phoneticPr fontId="1"/>
  </si>
  <si>
    <t>5,６月</t>
    <rPh sb="3" eb="4">
      <t>ガツ</t>
    </rPh>
    <phoneticPr fontId="1"/>
  </si>
  <si>
    <t>標準設計</t>
    <rPh sb="0" eb="2">
      <t>ヒョウジュン</t>
    </rPh>
    <rPh sb="2" eb="4">
      <t>セッケイ</t>
    </rPh>
    <phoneticPr fontId="1"/>
  </si>
  <si>
    <t>↓</t>
    <phoneticPr fontId="1"/>
  </si>
  <si>
    <t>手動で数字を切りよく変更</t>
    <rPh sb="0" eb="2">
      <t>シュドウ</t>
    </rPh>
    <rPh sb="3" eb="5">
      <t>スウジ</t>
    </rPh>
    <rPh sb="6" eb="7">
      <t>キ</t>
    </rPh>
    <rPh sb="10" eb="12">
      <t>ヘンコウ</t>
    </rPh>
    <phoneticPr fontId="1"/>
  </si>
  <si>
    <t>要員一覧</t>
    <rPh sb="0" eb="2">
      <t>ヨウイン</t>
    </rPh>
    <rPh sb="2" eb="4">
      <t>イチラン</t>
    </rPh>
    <phoneticPr fontId="1"/>
  </si>
  <si>
    <t>TBA(リーダークラス)</t>
    <phoneticPr fontId="1"/>
  </si>
  <si>
    <t>TBA(メンバークラス)</t>
    <phoneticPr fontId="1"/>
  </si>
  <si>
    <t>→</t>
    <phoneticPr fontId="1"/>
  </si>
  <si>
    <t>メンバ</t>
    <phoneticPr fontId="4"/>
  </si>
  <si>
    <t>役割</t>
    <rPh sb="0" eb="2">
      <t>ヤクワリ</t>
    </rPh>
    <phoneticPr fontId="4"/>
  </si>
  <si>
    <t>期間</t>
    <rPh sb="0" eb="2">
      <t>キカン</t>
    </rPh>
    <phoneticPr fontId="4"/>
  </si>
  <si>
    <t>1月あたりの関与</t>
    <rPh sb="1" eb="2">
      <t>ツキ</t>
    </rPh>
    <rPh sb="6" eb="8">
      <t>カンヨ</t>
    </rPh>
    <phoneticPr fontId="4"/>
  </si>
  <si>
    <t>工数</t>
    <rPh sb="0" eb="2">
      <t>コウスウ</t>
    </rPh>
    <phoneticPr fontId="4"/>
  </si>
  <si>
    <t>8,8,10月</t>
    <rPh sb="6" eb="7">
      <t>ガツ</t>
    </rPh>
    <phoneticPr fontId="1"/>
  </si>
  <si>
    <t>PM</t>
    <phoneticPr fontId="1"/>
  </si>
  <si>
    <t>PM補佐</t>
    <rPh sb="2" eb="4">
      <t>ホサ</t>
    </rPh>
    <phoneticPr fontId="1"/>
  </si>
  <si>
    <t>設計・開発</t>
    <rPh sb="0" eb="2">
      <t>セッケイ</t>
    </rPh>
    <rPh sb="3" eb="5">
      <t>カイハツ</t>
    </rPh>
    <phoneticPr fontId="1"/>
  </si>
  <si>
    <t>1月あたり</t>
    <rPh sb="1" eb="2">
      <t>ガツ</t>
    </rPh>
    <phoneticPr fontId="1"/>
  </si>
  <si>
    <t>TBA(リーダークラス)</t>
  </si>
  <si>
    <t>PL</t>
    <phoneticPr fontId="1"/>
  </si>
  <si>
    <t>TBA(メンバークラス)</t>
  </si>
  <si>
    <t>合計</t>
    <rPh sb="0" eb="2">
      <t>ゴウケイ</t>
    </rPh>
    <phoneticPr fontId="4"/>
  </si>
  <si>
    <t>PrimeNavi登録時</t>
  </si>
  <si>
    <t>稼働工数</t>
    <rPh sb="0" eb="2">
      <t>カドウ</t>
    </rPh>
    <rPh sb="2" eb="4">
      <t>コウスウ</t>
    </rPh>
    <phoneticPr fontId="1"/>
  </si>
  <si>
    <t>作業項目</t>
    <rPh sb="0" eb="2">
      <t>サギョウ</t>
    </rPh>
    <rPh sb="2" eb="4">
      <t>コウモク</t>
    </rPh>
    <phoneticPr fontId="1"/>
  </si>
  <si>
    <t>前提・条件</t>
    <rPh sb="0" eb="2">
      <t>ゼンテイ</t>
    </rPh>
    <rPh sb="3" eb="5">
      <t>ジョウケン</t>
    </rPh>
    <phoneticPr fontId="1"/>
  </si>
  <si>
    <t>1回あたりの人時工数</t>
    <rPh sb="1" eb="2">
      <t>カイ</t>
    </rPh>
    <rPh sb="6" eb="7">
      <t>ヒト</t>
    </rPh>
    <rPh sb="7" eb="8">
      <t>ジ</t>
    </rPh>
    <rPh sb="8" eb="10">
      <t>コウスウ</t>
    </rPh>
    <phoneticPr fontId="1"/>
  </si>
  <si>
    <t>回数</t>
    <rPh sb="0" eb="2">
      <t>カイスウ</t>
    </rPh>
    <phoneticPr fontId="1"/>
  </si>
  <si>
    <t>合計人数</t>
    <rPh sb="0" eb="2">
      <t>ゴウケイ</t>
    </rPh>
    <rPh sb="2" eb="4">
      <t>ニンズウ</t>
    </rPh>
    <phoneticPr fontId="1"/>
  </si>
  <si>
    <t>工数合計</t>
    <rPh sb="0" eb="2">
      <t>コウスウ</t>
    </rPh>
    <rPh sb="2" eb="4">
      <t>ゴウケイ</t>
    </rPh>
    <phoneticPr fontId="1"/>
  </si>
  <si>
    <t>0</t>
    <phoneticPr fontId="1"/>
  </si>
  <si>
    <t>管理工数</t>
    <rPh sb="0" eb="2">
      <t>カンリ</t>
    </rPh>
    <rPh sb="2" eb="4">
      <t>コウスウ</t>
    </rPh>
    <phoneticPr fontId="1"/>
  </si>
  <si>
    <t>進捗入力/課題起票/品質入力</t>
    <rPh sb="0" eb="2">
      <t>シンチョク</t>
    </rPh>
    <rPh sb="2" eb="4">
      <t>ニュウリョク</t>
    </rPh>
    <rPh sb="5" eb="7">
      <t>カダイ</t>
    </rPh>
    <rPh sb="7" eb="9">
      <t>キヒョウ</t>
    </rPh>
    <rPh sb="10" eb="12">
      <t>ヒンシツ</t>
    </rPh>
    <rPh sb="12" eb="14">
      <t>ニュウリョク</t>
    </rPh>
    <phoneticPr fontId="1"/>
  </si>
  <si>
    <t>1</t>
    <phoneticPr fontId="1"/>
  </si>
  <si>
    <t>3</t>
  </si>
  <si>
    <t>2</t>
    <phoneticPr fontId="1"/>
  </si>
  <si>
    <t>4</t>
  </si>
  <si>
    <t>5</t>
  </si>
  <si>
    <t>6</t>
  </si>
  <si>
    <t>7</t>
  </si>
  <si>
    <t>3</t>
    <phoneticPr fontId="1"/>
  </si>
  <si>
    <t>4</t>
    <phoneticPr fontId="1"/>
  </si>
  <si>
    <t>５</t>
    <phoneticPr fontId="1"/>
  </si>
  <si>
    <t>2</t>
  </si>
  <si>
    <t>8</t>
  </si>
  <si>
    <t>1</t>
  </si>
  <si>
    <t>フェーズ(Lv1)</t>
    <phoneticPr fontId="1"/>
  </si>
  <si>
    <t>フェーズ(Lv2)</t>
    <phoneticPr fontId="1"/>
  </si>
  <si>
    <t>積上工数</t>
    <rPh sb="0" eb="2">
      <t>ツミア</t>
    </rPh>
    <rPh sb="2" eb="4">
      <t>コウスウ</t>
    </rPh>
    <phoneticPr fontId="1"/>
  </si>
  <si>
    <t>契約工数</t>
    <rPh sb="0" eb="2">
      <t>ケイヤク</t>
    </rPh>
    <rPh sb="2" eb="4">
      <t>コウスウ</t>
    </rPh>
    <phoneticPr fontId="1"/>
  </si>
  <si>
    <t>要件定義</t>
    <rPh sb="0" eb="4">
      <t>ヨウケンテイギ</t>
    </rPh>
    <phoneticPr fontId="1"/>
  </si>
  <si>
    <t>要件定義書作成</t>
    <rPh sb="0" eb="2">
      <t>ヨウケン</t>
    </rPh>
    <rPh sb="2" eb="5">
      <t>テイギショ</t>
    </rPh>
    <rPh sb="5" eb="7">
      <t>サクセイ</t>
    </rPh>
    <phoneticPr fontId="1"/>
  </si>
  <si>
    <t>分析・業務設計</t>
    <rPh sb="0" eb="2">
      <t>ブンセキ</t>
    </rPh>
    <rPh sb="3" eb="5">
      <t>ギョウム</t>
    </rPh>
    <rPh sb="5" eb="7">
      <t>セッケイ</t>
    </rPh>
    <phoneticPr fontId="1"/>
  </si>
  <si>
    <t>要件定義書内部レビュー</t>
    <phoneticPr fontId="1"/>
  </si>
  <si>
    <t>要件定義書内部レビュー後修正</t>
    <phoneticPr fontId="1"/>
  </si>
  <si>
    <t>要件定義書顧客レビュー</t>
    <phoneticPr fontId="1"/>
  </si>
  <si>
    <t>要件定義書顧客レビュー後修正</t>
    <phoneticPr fontId="1"/>
  </si>
  <si>
    <t>開発支援</t>
    <rPh sb="0" eb="2">
      <t>カイハツ</t>
    </rPh>
    <rPh sb="2" eb="4">
      <t>シエン</t>
    </rPh>
    <phoneticPr fontId="1"/>
  </si>
  <si>
    <t>1h×全2回×2人</t>
    <rPh sb="3" eb="4">
      <t>ゼン</t>
    </rPh>
    <rPh sb="5" eb="6">
      <t>カイ</t>
    </rPh>
    <rPh sb="8" eb="9">
      <t>ヒト</t>
    </rPh>
    <phoneticPr fontId="1"/>
  </si>
  <si>
    <t>要件整理・方針検討</t>
    <rPh sb="0" eb="2">
      <t>ヨウケン</t>
    </rPh>
    <rPh sb="2" eb="4">
      <t>セイリ</t>
    </rPh>
    <rPh sb="5" eb="7">
      <t>ホウシン</t>
    </rPh>
    <rPh sb="7" eb="9">
      <t>ケントウ</t>
    </rPh>
    <phoneticPr fontId="1"/>
  </si>
  <si>
    <t>1h×全2回×1人</t>
    <rPh sb="3" eb="4">
      <t>ゼン</t>
    </rPh>
    <rPh sb="5" eb="6">
      <t>カイ</t>
    </rPh>
    <rPh sb="8" eb="9">
      <t>ヒト</t>
    </rPh>
    <phoneticPr fontId="1"/>
  </si>
  <si>
    <t>1h×10ページ×全2回×1人</t>
    <rPh sb="11" eb="12">
      <t>カイ</t>
    </rPh>
    <rPh sb="14" eb="15">
      <t>ニン</t>
    </rPh>
    <phoneticPr fontId="1"/>
  </si>
  <si>
    <t>1h×10ページ×全1回×2人</t>
    <phoneticPr fontId="1"/>
  </si>
  <si>
    <t>全体の10%（メンバの進捗管理：3%、顧客調整：3%、品質管理：4%）</t>
    <rPh sb="0" eb="2">
      <t>ゼンタイ</t>
    </rPh>
    <rPh sb="11" eb="13">
      <t>シンチョク</t>
    </rPh>
    <rPh sb="13" eb="15">
      <t>カンリ</t>
    </rPh>
    <rPh sb="19" eb="21">
      <t>コキャク</t>
    </rPh>
    <rPh sb="21" eb="23">
      <t>チョウセイ</t>
    </rPh>
    <rPh sb="27" eb="29">
      <t>ヒンシツ</t>
    </rPh>
    <rPh sb="29" eb="31">
      <t>カンリ</t>
    </rPh>
    <phoneticPr fontId="1"/>
  </si>
  <si>
    <t>岩瀬</t>
    <rPh sb="0" eb="2">
      <t>イワセ</t>
    </rPh>
    <phoneticPr fontId="1"/>
  </si>
  <si>
    <t>山口　勇
滋賀　泰樹</t>
    <rPh sb="0" eb="2">
      <t>ヤマグチ</t>
    </rPh>
    <rPh sb="3" eb="4">
      <t>イサム</t>
    </rPh>
    <rPh sb="5" eb="7">
      <t>シガ</t>
    </rPh>
    <rPh sb="8" eb="10">
      <t>ヤスキ</t>
    </rPh>
    <phoneticPr fontId="1"/>
  </si>
  <si>
    <t>業務要件定義</t>
    <rPh sb="0" eb="6">
      <t>ギョウムヨウケンテイギ</t>
    </rPh>
    <phoneticPr fontId="1"/>
  </si>
  <si>
    <t>データ戦略確認会</t>
    <rPh sb="3" eb="5">
      <t>センリャク</t>
    </rPh>
    <rPh sb="5" eb="7">
      <t>カクニン</t>
    </rPh>
    <rPh sb="7" eb="8">
      <t>カイ</t>
    </rPh>
    <phoneticPr fontId="1"/>
  </si>
  <si>
    <t>システム要件定義</t>
    <rPh sb="4" eb="6">
      <t>ヨウケン</t>
    </rPh>
    <rPh sb="6" eb="8">
      <t>テイギ</t>
    </rPh>
    <phoneticPr fontId="1"/>
  </si>
  <si>
    <t>データモデリング</t>
    <phoneticPr fontId="1"/>
  </si>
  <si>
    <t>概念データモデリング確認</t>
    <rPh sb="0" eb="2">
      <t>ガイネン</t>
    </rPh>
    <rPh sb="10" eb="12">
      <t>カクニン</t>
    </rPh>
    <phoneticPr fontId="1"/>
  </si>
  <si>
    <t>要件トレーサビリティ整理</t>
    <phoneticPr fontId="1"/>
  </si>
  <si>
    <t>要件トレーサビリティ定義書作成</t>
    <rPh sb="10" eb="13">
      <t>テイギショ</t>
    </rPh>
    <rPh sb="13" eb="15">
      <t>サクセイ</t>
    </rPh>
    <phoneticPr fontId="1"/>
  </si>
  <si>
    <t>要件トレーサビリティ定義書内部レビュー後修正</t>
    <phoneticPr fontId="1"/>
  </si>
  <si>
    <t>要件トレーサビリティ定義書顧客レビュー</t>
    <phoneticPr fontId="1"/>
  </si>
  <si>
    <t>要件トレーサビリティ定義書顧客レビュー後修正</t>
    <phoneticPr fontId="1"/>
  </si>
  <si>
    <t>現状データ分析</t>
    <rPh sb="0" eb="2">
      <t>ゲンジョウ</t>
    </rPh>
    <rPh sb="5" eb="7">
      <t>ブンセキ</t>
    </rPh>
    <phoneticPr fontId="1"/>
  </si>
  <si>
    <t>現状分析（対象システム・テーブル調査）</t>
    <rPh sb="0" eb="2">
      <t>ゲンジョウ</t>
    </rPh>
    <rPh sb="2" eb="4">
      <t>ブンセキ</t>
    </rPh>
    <rPh sb="5" eb="7">
      <t>タイショウ</t>
    </rPh>
    <rPh sb="16" eb="18">
      <t>チョウサ</t>
    </rPh>
    <phoneticPr fontId="1"/>
  </si>
  <si>
    <t>データ品質プロファイリング</t>
    <rPh sb="3" eb="5">
      <t>ヒンシツ</t>
    </rPh>
    <phoneticPr fontId="1"/>
  </si>
  <si>
    <t>課題整理</t>
    <rPh sb="0" eb="2">
      <t>カダイ</t>
    </rPh>
    <rPh sb="2" eb="4">
      <t>セイリ</t>
    </rPh>
    <phoneticPr fontId="1"/>
  </si>
  <si>
    <t>データ整備方針書内部レビュー</t>
    <phoneticPr fontId="1"/>
  </si>
  <si>
    <t>データ整備方針書内部レビュー後修正</t>
    <phoneticPr fontId="1"/>
  </si>
  <si>
    <t>データ整備方針書顧客レビュー</t>
    <phoneticPr fontId="1"/>
  </si>
  <si>
    <t>データ整備方針書顧客レビュー後修正</t>
    <phoneticPr fontId="1"/>
  </si>
  <si>
    <t>３</t>
  </si>
  <si>
    <t>３</t>
    <phoneticPr fontId="1"/>
  </si>
  <si>
    <t>設計</t>
    <rPh sb="0" eb="2">
      <t>セッケイ</t>
    </rPh>
    <phoneticPr fontId="1"/>
  </si>
  <si>
    <t>MDM論理・物理設計</t>
    <phoneticPr fontId="1"/>
  </si>
  <si>
    <t>画面・連携設計</t>
    <rPh sb="0" eb="2">
      <t>ガメン</t>
    </rPh>
    <rPh sb="3" eb="5">
      <t>レンケイ</t>
    </rPh>
    <rPh sb="5" eb="7">
      <t>セッケイ</t>
    </rPh>
    <phoneticPr fontId="1"/>
  </si>
  <si>
    <t>設計書作成</t>
    <rPh sb="0" eb="3">
      <t>セッケイショ</t>
    </rPh>
    <rPh sb="3" eb="5">
      <t>サクセイ</t>
    </rPh>
    <phoneticPr fontId="1"/>
  </si>
  <si>
    <t>４</t>
  </si>
  <si>
    <t>４</t>
    <phoneticPr fontId="1"/>
  </si>
  <si>
    <t>データ移行計画</t>
    <rPh sb="3" eb="5">
      <t>イコウ</t>
    </rPh>
    <rPh sb="5" eb="7">
      <t>ケイカク</t>
    </rPh>
    <phoneticPr fontId="1"/>
  </si>
  <si>
    <t>データ移行計画書作成</t>
    <rPh sb="3" eb="5">
      <t>イコウ</t>
    </rPh>
    <rPh sb="5" eb="7">
      <t>ケイカク</t>
    </rPh>
    <rPh sb="7" eb="8">
      <t>ショ</t>
    </rPh>
    <rPh sb="8" eb="10">
      <t>サクセイ</t>
    </rPh>
    <phoneticPr fontId="1"/>
  </si>
  <si>
    <t>データ移行計画書内部レビュー</t>
    <phoneticPr fontId="1"/>
  </si>
  <si>
    <t>データ移行計画書内部レビュー後修正</t>
    <phoneticPr fontId="1"/>
  </si>
  <si>
    <t>データ移行計画書顧客レビュー</t>
    <phoneticPr fontId="1"/>
  </si>
  <si>
    <t>データ移行計画書顧客レビュー後修正</t>
    <phoneticPr fontId="1"/>
  </si>
  <si>
    <t>TAB</t>
    <phoneticPr fontId="1"/>
  </si>
  <si>
    <t>開発・設定</t>
    <rPh sb="0" eb="2">
      <t>カイハツ</t>
    </rPh>
    <rPh sb="3" eb="5">
      <t>セッテイ</t>
    </rPh>
    <phoneticPr fontId="1"/>
  </si>
  <si>
    <t>Informatica環境構築</t>
    <phoneticPr fontId="1"/>
  </si>
  <si>
    <t>MDM設定・カスタマイズ</t>
    <phoneticPr fontId="1"/>
  </si>
  <si>
    <t>権限・WF設計</t>
    <rPh sb="0" eb="2">
      <t>ケンゲン</t>
    </rPh>
    <rPh sb="5" eb="7">
      <t>セッケイ</t>
    </rPh>
    <phoneticPr fontId="1"/>
  </si>
  <si>
    <t>設計書内部レビュー</t>
    <rPh sb="0" eb="3">
      <t>セッケイショ</t>
    </rPh>
    <phoneticPr fontId="1"/>
  </si>
  <si>
    <t>設計書内部レビュー後修正</t>
    <rPh sb="0" eb="3">
      <t>セッケイショ</t>
    </rPh>
    <phoneticPr fontId="1"/>
  </si>
  <si>
    <t>設計書顧客レビュー</t>
    <rPh sb="0" eb="3">
      <t>セッケイショ</t>
    </rPh>
    <phoneticPr fontId="1"/>
  </si>
  <si>
    <t>設計書顧客レビュー後修正</t>
    <rPh sb="0" eb="3">
      <t>セッケイショ</t>
    </rPh>
    <phoneticPr fontId="1"/>
  </si>
  <si>
    <t>権限・WF設計</t>
    <phoneticPr fontId="1"/>
  </si>
  <si>
    <t>権限・WF設計設計書作成</t>
    <rPh sb="7" eb="10">
      <t>セッケイショ</t>
    </rPh>
    <rPh sb="10" eb="12">
      <t>サクセイ</t>
    </rPh>
    <phoneticPr fontId="1"/>
  </si>
  <si>
    <t>権限・WF設計書顧客レビュー</t>
    <phoneticPr fontId="1"/>
  </si>
  <si>
    <t>権限・WF設計書顧客レビュー後修正</t>
    <phoneticPr fontId="1"/>
  </si>
  <si>
    <t>６</t>
    <phoneticPr fontId="1"/>
  </si>
  <si>
    <t>７</t>
    <phoneticPr fontId="1"/>
  </si>
  <si>
    <t>運用設計</t>
    <rPh sb="0" eb="2">
      <t>ウンヨウ</t>
    </rPh>
    <rPh sb="2" eb="4">
      <t>セッケイ</t>
    </rPh>
    <phoneticPr fontId="1"/>
  </si>
  <si>
    <t>運用プロセス設計</t>
    <phoneticPr fontId="1"/>
  </si>
  <si>
    <t>運用プロセス設計設計書作成</t>
    <rPh sb="8" eb="11">
      <t>セッケイショ</t>
    </rPh>
    <rPh sb="11" eb="13">
      <t>サクセイ</t>
    </rPh>
    <phoneticPr fontId="1"/>
  </si>
  <si>
    <t>運用プロセス設計計書内部レビュー</t>
    <phoneticPr fontId="1"/>
  </si>
  <si>
    <t>権限・WF設計書内部レビュー後修正</t>
    <phoneticPr fontId="1"/>
  </si>
  <si>
    <t>権限・WF設計書内部レビュー</t>
    <phoneticPr fontId="1"/>
  </si>
  <si>
    <t>運用プロセス設計書内部レビュー後修正</t>
    <phoneticPr fontId="1"/>
  </si>
  <si>
    <t>運用プロセス設計書顧客レビュー</t>
    <phoneticPr fontId="1"/>
  </si>
  <si>
    <t>運用プロセス設計書顧客レビュー後修正</t>
    <phoneticPr fontId="1"/>
  </si>
  <si>
    <t>８</t>
    <phoneticPr fontId="1"/>
  </si>
  <si>
    <t>単体・結合テスト</t>
    <rPh sb="0" eb="2">
      <t>タンタイ</t>
    </rPh>
    <rPh sb="3" eb="5">
      <t>ケツゴウ</t>
    </rPh>
    <phoneticPr fontId="1"/>
  </si>
  <si>
    <t>総合テスト</t>
    <rPh sb="0" eb="2">
      <t>ソウゴウ</t>
    </rPh>
    <phoneticPr fontId="1"/>
  </si>
  <si>
    <t>受入支援</t>
    <rPh sb="0" eb="1">
      <t>ウ</t>
    </rPh>
    <rPh sb="1" eb="2">
      <t>イ</t>
    </rPh>
    <rPh sb="2" eb="4">
      <t>シエン</t>
    </rPh>
    <phoneticPr fontId="1"/>
  </si>
  <si>
    <t>本番移行</t>
    <rPh sb="0" eb="4">
      <t>ホンバンイコウ</t>
    </rPh>
    <phoneticPr fontId="1"/>
  </si>
  <si>
    <t>移行リハーサル</t>
    <rPh sb="0" eb="2">
      <t>イコウ</t>
    </rPh>
    <phoneticPr fontId="1"/>
  </si>
  <si>
    <t>本番移行・切替</t>
    <rPh sb="0" eb="2">
      <t>ホンバン</t>
    </rPh>
    <rPh sb="2" eb="4">
      <t>イコウ</t>
    </rPh>
    <rPh sb="5" eb="7">
      <t>キリカエ</t>
    </rPh>
    <phoneticPr fontId="1"/>
  </si>
  <si>
    <t>９</t>
    <phoneticPr fontId="1"/>
  </si>
  <si>
    <t>0</t>
  </si>
  <si>
    <t>定例会参加</t>
  </si>
  <si>
    <t>打ち合わせ参加</t>
  </si>
  <si>
    <t>週次定例会</t>
  </si>
  <si>
    <t>1.5h×週1回×15週×2人（1月中旬～3月末）</t>
    <phoneticPr fontId="1"/>
  </si>
  <si>
    <t>要件トレーサビリティ定義書内部レビュー</t>
    <phoneticPr fontId="1"/>
  </si>
  <si>
    <t>1h×全1回×４人</t>
    <rPh sb="3" eb="4">
      <t>ゼン</t>
    </rPh>
    <rPh sb="5" eb="6">
      <t>カイ</t>
    </rPh>
    <rPh sb="8" eb="9">
      <t>ヒト</t>
    </rPh>
    <phoneticPr fontId="1"/>
  </si>
  <si>
    <t>データ整備方針書作成</t>
    <rPh sb="3" eb="5">
      <t>セイビ</t>
    </rPh>
    <rPh sb="5" eb="7">
      <t>ホウシン</t>
    </rPh>
    <rPh sb="7" eb="10">
      <t>ショサクセイ</t>
    </rPh>
    <phoneticPr fontId="1"/>
  </si>
  <si>
    <t>10h×全1回×1人</t>
    <rPh sb="4" eb="5">
      <t>ゼン</t>
    </rPh>
    <rPh sb="6" eb="7">
      <t>カイ</t>
    </rPh>
    <rPh sb="9" eb="10">
      <t>ニン</t>
    </rPh>
    <phoneticPr fontId="1"/>
  </si>
  <si>
    <t>1h×全1回×５人</t>
    <rPh sb="3" eb="4">
      <t>ゼン</t>
    </rPh>
    <rPh sb="5" eb="6">
      <t>カイ</t>
    </rPh>
    <rPh sb="8" eb="9">
      <t>ヒト</t>
    </rPh>
    <phoneticPr fontId="1"/>
  </si>
  <si>
    <t>10h×全1回×2人</t>
    <rPh sb="4" eb="5">
      <t>ゼン</t>
    </rPh>
    <rPh sb="6" eb="7">
      <t>カイ</t>
    </rPh>
    <rPh sb="9" eb="10">
      <t>ヒト</t>
    </rPh>
    <phoneticPr fontId="1"/>
  </si>
  <si>
    <t>9</t>
    <phoneticPr fontId="1"/>
  </si>
  <si>
    <t>10h×全1回×３人</t>
    <rPh sb="4" eb="5">
      <t>ゼン</t>
    </rPh>
    <rPh sb="6" eb="7">
      <t>カイ</t>
    </rPh>
    <rPh sb="9" eb="10">
      <t>ヒト</t>
    </rPh>
    <phoneticPr fontId="1"/>
  </si>
  <si>
    <t>10h×全１回×2人</t>
    <rPh sb="4" eb="5">
      <t>ゼン</t>
    </rPh>
    <rPh sb="6" eb="7">
      <t>カイ</t>
    </rPh>
    <rPh sb="9" eb="10">
      <t>ヒト</t>
    </rPh>
    <phoneticPr fontId="1"/>
  </si>
  <si>
    <t>伊藤</t>
    <rPh sb="0" eb="2">
      <t>イトウ</t>
    </rPh>
    <phoneticPr fontId="1"/>
  </si>
  <si>
    <t>（SAP）TAB</t>
    <phoneticPr fontId="1"/>
  </si>
  <si>
    <t>伊藤</t>
    <rPh sb="0" eb="2">
      <t>イトウ</t>
    </rPh>
    <phoneticPr fontId="1"/>
  </si>
  <si>
    <t>開発</t>
    <rPh sb="0" eb="2">
      <t>カイハツ</t>
    </rPh>
    <phoneticPr fontId="1"/>
  </si>
  <si>
    <t>運用設計</t>
    <rPh sb="0" eb="4">
      <t>ウンヨウセッケイ</t>
    </rPh>
    <phoneticPr fontId="1"/>
  </si>
  <si>
    <t>10h×全１回×2人</t>
    <rPh sb="4" eb="5">
      <t>ゼン</t>
    </rPh>
    <rPh sb="6" eb="7">
      <t>カイ</t>
    </rPh>
    <rPh sb="9" eb="10">
      <t>ニン</t>
    </rPh>
    <phoneticPr fontId="1"/>
  </si>
  <si>
    <t>Poc結果状況の確認</t>
    <rPh sb="3" eb="5">
      <t>ケッカ</t>
    </rPh>
    <rPh sb="5" eb="7">
      <t>ジョウキョウ</t>
    </rPh>
    <rPh sb="8" eb="10">
      <t>カクニン</t>
    </rPh>
    <phoneticPr fontId="1"/>
  </si>
  <si>
    <t>1</t>
    <phoneticPr fontId="1"/>
  </si>
  <si>
    <t>1h×全2回×５人(データ総研よりレクチャー）</t>
    <rPh sb="3" eb="4">
      <t>ゼン</t>
    </rPh>
    <rPh sb="5" eb="6">
      <t>カイ</t>
    </rPh>
    <rPh sb="8" eb="9">
      <t>ニン</t>
    </rPh>
    <rPh sb="13" eb="15">
      <t>ソウケン</t>
    </rPh>
    <phoneticPr fontId="1"/>
  </si>
  <si>
    <t>1h×全2回×5人（インフォマティカよりレクチャー）</t>
    <rPh sb="3" eb="4">
      <t>ゼン</t>
    </rPh>
    <rPh sb="5" eb="6">
      <t>カイ</t>
    </rPh>
    <rPh sb="8" eb="9">
      <t>ヒト</t>
    </rPh>
    <phoneticPr fontId="1"/>
  </si>
  <si>
    <t>10h×全2回×2人</t>
    <rPh sb="4" eb="5">
      <t>ゼン</t>
    </rPh>
    <rPh sb="6" eb="7">
      <t>カイ</t>
    </rPh>
    <rPh sb="9" eb="10">
      <t>ヒト</t>
    </rPh>
    <phoneticPr fontId="1"/>
  </si>
  <si>
    <t>15h×全2回×2人</t>
    <rPh sb="4" eb="5">
      <t>ゼン</t>
    </rPh>
    <rPh sb="6" eb="7">
      <t>カイ</t>
    </rPh>
    <rPh sb="9" eb="10">
      <t>ヒト</t>
    </rPh>
    <phoneticPr fontId="1"/>
  </si>
  <si>
    <t>10h×全2回×２人</t>
    <rPh sb="4" eb="5">
      <t>ゼン</t>
    </rPh>
    <rPh sb="6" eb="7">
      <t>カイ</t>
    </rPh>
    <rPh sb="9" eb="10">
      <t>ヒト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</si>
</sst>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¥&quot;#,##0;[Red]&quot;¥&quot;\-#,##0"/>
    <numFmt numFmtId="176" formatCode="General&quot;人&quot;&quot;時&quot;"/>
    <numFmt numFmtId="177" formatCode="General&quot;回&quot;"/>
    <numFmt numFmtId="178" formatCode="General&quot;人&quot;"/>
    <numFmt numFmtId="179" formatCode="General&quot;か&quot;&quot;月&quot;"/>
    <numFmt numFmtId="180" formatCode="General&quot;人&quot;&quot;月&quot;"/>
    <numFmt numFmtId="181" formatCode="General&quot;人時&quot;"/>
  </numFmts>
  <fonts count="9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ＭＳ Ｐゴシック"/>
      <family val="2"/>
      <charset val="128"/>
    </font>
    <font>
      <sz val="6"/>
      <name val="Yu Gothic"/>
      <family val="2"/>
      <charset val="128"/>
      <scheme val="minor"/>
    </font>
    <font>
      <sz val="1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sz val="10"/>
      <color rgb="FFFF0000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/>
      <right style="dashed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ashed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dashed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hair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hair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/>
      <right style="dashed">
        <color auto="1"/>
      </right>
      <top/>
      <bottom style="hair">
        <color auto="1"/>
      </bottom>
      <diagonal/>
    </border>
    <border>
      <left style="thin">
        <color auto="1"/>
      </left>
      <right style="dashed">
        <color auto="1"/>
      </right>
      <top/>
      <bottom style="hair">
        <color auto="1"/>
      </bottom>
      <diagonal/>
    </border>
    <border>
      <left style="dashed">
        <color auto="1"/>
      </left>
      <right style="dashed">
        <color auto="1"/>
      </right>
      <top/>
      <bottom style="hair">
        <color auto="1"/>
      </bottom>
      <diagonal/>
    </border>
    <border>
      <left/>
      <right style="dashed">
        <color auto="1"/>
      </right>
      <top style="thin">
        <color auto="1"/>
      </top>
      <bottom/>
      <diagonal/>
    </border>
    <border>
      <left style="thin">
        <color auto="1"/>
      </left>
      <right style="dashed">
        <color auto="1"/>
      </right>
      <top style="thin">
        <color auto="1"/>
      </top>
      <bottom/>
      <diagonal/>
    </border>
    <border>
      <left style="medium">
        <color indexed="64"/>
      </left>
      <right style="dashed">
        <color auto="1"/>
      </right>
      <top style="medium">
        <color indexed="64"/>
      </top>
      <bottom/>
      <diagonal/>
    </border>
    <border>
      <left style="dashed">
        <color auto="1"/>
      </left>
      <right style="dashed">
        <color auto="1"/>
      </right>
      <top style="medium">
        <color indexed="64"/>
      </top>
      <bottom/>
      <diagonal/>
    </border>
    <border>
      <left style="dashed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ashed">
        <color auto="1"/>
      </right>
      <top style="thin">
        <color auto="1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6">
    <xf numFmtId="0" fontId="0" fillId="0" borderId="0"/>
    <xf numFmtId="0" fontId="3" fillId="0" borderId="0">
      <alignment vertical="center"/>
    </xf>
    <xf numFmtId="6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6" fontId="3" fillId="0" borderId="0" applyFont="0" applyFill="0" applyBorder="0" applyAlignment="0" applyProtection="0">
      <alignment vertical="center"/>
    </xf>
  </cellStyleXfs>
  <cellXfs count="105">
    <xf numFmtId="0" fontId="0" fillId="0" borderId="0" xfId="0"/>
    <xf numFmtId="0" fontId="2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49" fontId="2" fillId="2" borderId="3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49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vertical="center"/>
    </xf>
    <xf numFmtId="0" fontId="6" fillId="0" borderId="0" xfId="0" applyFont="1"/>
    <xf numFmtId="0" fontId="6" fillId="0" borderId="4" xfId="0" applyFont="1" applyBorder="1"/>
    <xf numFmtId="0" fontId="6" fillId="4" borderId="4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6" fillId="6" borderId="4" xfId="0" applyFont="1" applyFill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180" fontId="6" fillId="0" borderId="4" xfId="0" applyNumberFormat="1" applyFont="1" applyBorder="1"/>
    <xf numFmtId="180" fontId="6" fillId="6" borderId="4" xfId="0" applyNumberFormat="1" applyFont="1" applyFill="1" applyBorder="1"/>
    <xf numFmtId="0" fontId="6" fillId="6" borderId="4" xfId="0" applyFont="1" applyFill="1" applyBorder="1" applyAlignment="1">
      <alignment vertic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5" borderId="4" xfId="0" applyFont="1" applyFill="1" applyBorder="1" applyAlignment="1">
      <alignment vertical="center"/>
    </xf>
    <xf numFmtId="179" fontId="6" fillId="0" borderId="4" xfId="0" applyNumberFormat="1" applyFont="1" applyBorder="1" applyAlignment="1">
      <alignment vertical="center"/>
    </xf>
    <xf numFmtId="180" fontId="6" fillId="6" borderId="4" xfId="0" applyNumberFormat="1" applyFont="1" applyFill="1" applyBorder="1" applyAlignment="1">
      <alignment vertical="center"/>
    </xf>
    <xf numFmtId="180" fontId="6" fillId="0" borderId="4" xfId="0" applyNumberFormat="1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8" borderId="0" xfId="0" applyFont="1" applyFill="1"/>
    <xf numFmtId="180" fontId="8" fillId="6" borderId="4" xfId="0" applyNumberFormat="1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5" fillId="0" borderId="11" xfId="0" applyFont="1" applyBorder="1" applyAlignment="1">
      <alignment vertical="center" wrapText="1"/>
    </xf>
    <xf numFmtId="49" fontId="2" fillId="0" borderId="13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176" fontId="2" fillId="0" borderId="11" xfId="0" applyNumberFormat="1" applyFont="1" applyBorder="1" applyAlignment="1">
      <alignment vertical="center"/>
    </xf>
    <xf numFmtId="177" fontId="2" fillId="0" borderId="11" xfId="0" applyNumberFormat="1" applyFont="1" applyBorder="1" applyAlignment="1">
      <alignment vertical="center"/>
    </xf>
    <xf numFmtId="178" fontId="2" fillId="0" borderId="11" xfId="0" applyNumberFormat="1" applyFont="1" applyBorder="1" applyAlignment="1">
      <alignment vertical="center"/>
    </xf>
    <xf numFmtId="181" fontId="2" fillId="0" borderId="11" xfId="0" applyNumberFormat="1" applyFont="1" applyBorder="1" applyAlignment="1">
      <alignment vertical="center"/>
    </xf>
    <xf numFmtId="176" fontId="2" fillId="0" borderId="15" xfId="0" applyNumberFormat="1" applyFont="1" applyBorder="1" applyAlignment="1">
      <alignment vertical="center"/>
    </xf>
    <xf numFmtId="177" fontId="2" fillId="0" borderId="15" xfId="0" applyNumberFormat="1" applyFont="1" applyBorder="1" applyAlignment="1">
      <alignment vertical="center"/>
    </xf>
    <xf numFmtId="178" fontId="2" fillId="0" borderId="15" xfId="0" applyNumberFormat="1" applyFont="1" applyBorder="1" applyAlignment="1">
      <alignment vertical="center"/>
    </xf>
    <xf numFmtId="181" fontId="2" fillId="0" borderId="15" xfId="0" applyNumberFormat="1" applyFont="1" applyBorder="1" applyAlignment="1">
      <alignment vertical="center"/>
    </xf>
    <xf numFmtId="49" fontId="2" fillId="0" borderId="19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176" fontId="2" fillId="0" borderId="21" xfId="0" applyNumberFormat="1" applyFont="1" applyBorder="1" applyAlignment="1">
      <alignment vertical="center"/>
    </xf>
    <xf numFmtId="177" fontId="2" fillId="0" borderId="21" xfId="0" applyNumberFormat="1" applyFont="1" applyBorder="1" applyAlignment="1">
      <alignment vertical="center"/>
    </xf>
    <xf numFmtId="178" fontId="2" fillId="0" borderId="21" xfId="0" applyNumberFormat="1" applyFont="1" applyBorder="1" applyAlignment="1">
      <alignment vertical="center"/>
    </xf>
    <xf numFmtId="49" fontId="2" fillId="2" borderId="22" xfId="0" applyNumberFormat="1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7" borderId="16" xfId="0" applyFont="1" applyFill="1" applyBorder="1" applyAlignment="1">
      <alignment vertical="center" wrapText="1"/>
    </xf>
    <xf numFmtId="49" fontId="2" fillId="2" borderId="3" xfId="0" applyNumberFormat="1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Continuous" vertical="center"/>
    </xf>
    <xf numFmtId="0" fontId="2" fillId="5" borderId="24" xfId="0" applyFont="1" applyFill="1" applyBorder="1" applyAlignment="1">
      <alignment horizontal="right" vertical="center" wrapText="1"/>
    </xf>
    <xf numFmtId="0" fontId="2" fillId="5" borderId="25" xfId="0" applyFont="1" applyFill="1" applyBorder="1" applyAlignment="1">
      <alignment horizontal="right" vertical="center" wrapText="1"/>
    </xf>
    <xf numFmtId="0" fontId="2" fillId="5" borderId="26" xfId="0" applyFont="1" applyFill="1" applyBorder="1" applyAlignment="1">
      <alignment horizontal="right" vertical="center" wrapText="1"/>
    </xf>
    <xf numFmtId="0" fontId="2" fillId="5" borderId="27" xfId="0" applyFont="1" applyFill="1" applyBorder="1" applyAlignment="1">
      <alignment horizontal="right" vertical="center" wrapText="1"/>
    </xf>
    <xf numFmtId="180" fontId="2" fillId="5" borderId="28" xfId="0" applyNumberFormat="1" applyFont="1" applyFill="1" applyBorder="1" applyAlignment="1">
      <alignment vertical="center" wrapText="1"/>
    </xf>
    <xf numFmtId="49" fontId="2" fillId="0" borderId="29" xfId="0" applyNumberFormat="1" applyFont="1" applyBorder="1" applyAlignment="1">
      <alignment horizontal="center" vertical="center"/>
    </xf>
    <xf numFmtId="0" fontId="2" fillId="0" borderId="30" xfId="0" applyFont="1" applyBorder="1" applyAlignment="1">
      <alignment vertical="center"/>
    </xf>
    <xf numFmtId="49" fontId="2" fillId="0" borderId="30" xfId="0" applyNumberFormat="1" applyFont="1" applyBorder="1" applyAlignment="1">
      <alignment horizontal="center" vertical="center"/>
    </xf>
    <xf numFmtId="0" fontId="2" fillId="0" borderId="30" xfId="0" applyFont="1" applyBorder="1" applyAlignment="1">
      <alignment vertical="center" wrapText="1"/>
    </xf>
    <xf numFmtId="0" fontId="2" fillId="0" borderId="31" xfId="0" applyFont="1" applyBorder="1" applyAlignment="1">
      <alignment vertical="center" wrapText="1"/>
    </xf>
    <xf numFmtId="49" fontId="2" fillId="0" borderId="32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vertical="center"/>
    </xf>
    <xf numFmtId="49" fontId="2" fillId="0" borderId="33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vertical="center" wrapText="1"/>
    </xf>
    <xf numFmtId="0" fontId="2" fillId="0" borderId="34" xfId="0" applyFont="1" applyBorder="1" applyAlignment="1">
      <alignment vertical="center" wrapText="1"/>
    </xf>
    <xf numFmtId="0" fontId="2" fillId="9" borderId="2" xfId="0" applyFont="1" applyFill="1" applyBorder="1" applyAlignment="1">
      <alignment vertical="center" wrapText="1"/>
    </xf>
    <xf numFmtId="0" fontId="2" fillId="9" borderId="16" xfId="0" applyFont="1" applyFill="1" applyBorder="1" applyAlignment="1">
      <alignment vertical="center" wrapText="1"/>
    </xf>
    <xf numFmtId="49" fontId="2" fillId="0" borderId="35" xfId="0" applyNumberFormat="1" applyFont="1" applyBorder="1" applyAlignment="1">
      <alignment horizontal="center" vertical="center"/>
    </xf>
    <xf numFmtId="0" fontId="2" fillId="0" borderId="35" xfId="0" applyFont="1" applyBorder="1" applyAlignment="1">
      <alignment vertical="center"/>
    </xf>
    <xf numFmtId="0" fontId="2" fillId="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 wrapText="1"/>
    </xf>
    <xf numFmtId="0" fontId="2" fillId="0" borderId="36" xfId="0" applyFont="1" applyBorder="1" applyAlignment="1">
      <alignment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0" xfId="0" applyFont="1" applyAlignment="1">
      <alignment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176" fontId="2" fillId="0" borderId="11" xfId="0" applyNumberFormat="1" applyFont="1" applyBorder="1" applyAlignment="1">
      <alignment vertical="center"/>
    </xf>
    <xf numFmtId="177" fontId="2" fillId="0" borderId="11" xfId="0" applyNumberFormat="1" applyFont="1" applyBorder="1" applyAlignment="1">
      <alignment vertical="center"/>
    </xf>
    <xf numFmtId="178" fontId="2" fillId="0" borderId="11" xfId="0" applyNumberFormat="1" applyFont="1" applyBorder="1" applyAlignment="1">
      <alignment vertical="center"/>
    </xf>
    <xf numFmtId="181" fontId="2" fillId="0" borderId="11" xfId="0" applyNumberFormat="1" applyFont="1" applyBorder="1" applyAlignment="1">
      <alignment vertical="center"/>
    </xf>
    <xf numFmtId="178" fontId="2" fillId="0" borderId="15" xfId="0" applyNumberFormat="1" applyFont="1" applyBorder="1" applyAlignment="1">
      <alignment vertical="center"/>
    </xf>
    <xf numFmtId="176" fontId="2" fillId="0" borderId="21" xfId="0" applyNumberFormat="1" applyFont="1" applyBorder="1" applyAlignment="1">
      <alignment vertical="center"/>
    </xf>
    <xf numFmtId="180" fontId="2" fillId="5" borderId="28" xfId="0" applyNumberFormat="1" applyFont="1" applyFill="1" applyBorder="1" applyAlignment="1">
      <alignment vertical="center" wrapText="1"/>
    </xf>
    <xf numFmtId="180" fontId="2" fillId="0" borderId="0" xfId="0" applyNumberFormat="1" applyFont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</cellXfs>
  <cellStyles count="6">
    <cellStyle name="パーセント 2" xfId="4" xr:uid="{EBB1094A-A017-45EB-B927-0A9F32488170}"/>
    <cellStyle name="桁区切り 2" xfId="3" xr:uid="{2D559648-8641-43C0-9177-1A24EABCC2D0}"/>
    <cellStyle name="通貨 2" xfId="2" xr:uid="{3D380C65-DA76-454E-BB5C-317B815AF11B}"/>
    <cellStyle name="通貨 2 2" xfId="5" xr:uid="{437B1D4A-AFCC-4998-A4B4-AC43643E08A2}"/>
    <cellStyle name="標準" xfId="0" builtinId="0"/>
    <cellStyle name="標準 2" xfId="1" xr:uid="{CC1FD8D6-2A39-476F-95C2-F99C038AE87B}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40DFA-1DE9-4233-8D6A-93B6E77D789C}">
  <dimension ref="A2:O33"/>
  <sheetViews>
    <sheetView showGridLines="0" topLeftCell="I2" zoomScale="205" zoomScaleNormal="205" workbookViewId="0">
      <selection activeCell="N13" sqref="N13:N14"/>
    </sheetView>
  </sheetViews>
  <sheetFormatPr defaultColWidth="9" defaultRowHeight="14.25"/>
  <cols>
    <col min="1" max="1" width="9" style="7"/>
    <col min="2" max="2" width="19.875" style="7" customWidth="1"/>
    <col min="3" max="3" width="18.875" style="7" customWidth="1"/>
    <col min="4" max="4" width="17.875" style="7" customWidth="1"/>
    <col min="5" max="5" width="15.625" style="7" customWidth="1"/>
    <col min="6" max="6" width="13" style="7" customWidth="1"/>
    <col min="7" max="7" width="15.75" style="7" customWidth="1"/>
    <col min="8" max="8" width="18" style="7" customWidth="1"/>
    <col min="9" max="9" width="20.375" style="7" customWidth="1"/>
    <col min="10" max="10" width="5.625" style="7" customWidth="1"/>
    <col min="11" max="11" width="15.75" style="7" customWidth="1"/>
    <col min="12" max="12" width="17.375" style="7" customWidth="1"/>
    <col min="13" max="13" width="9.125" style="7" bestFit="1" customWidth="1"/>
    <col min="14" max="14" width="17.875" style="7" customWidth="1"/>
    <col min="15" max="16384" width="9" style="7"/>
  </cols>
  <sheetData>
    <row r="2" spans="1:15">
      <c r="A2" s="7" t="s">
        <v>0</v>
      </c>
    </row>
    <row r="3" spans="1:15">
      <c r="B3" s="8"/>
      <c r="C3" s="9" t="s">
        <v>1</v>
      </c>
      <c r="D3" s="10" t="s">
        <v>2</v>
      </c>
      <c r="E3" s="10" t="s">
        <v>3</v>
      </c>
      <c r="F3" s="10" t="s">
        <v>4</v>
      </c>
      <c r="G3" s="10" t="s">
        <v>5</v>
      </c>
      <c r="H3" s="10" t="s">
        <v>6</v>
      </c>
      <c r="I3" s="11" t="s">
        <v>7</v>
      </c>
    </row>
    <row r="4" spans="1:15">
      <c r="B4" s="12" t="s">
        <v>8</v>
      </c>
      <c r="C4" s="12" t="s">
        <v>9</v>
      </c>
      <c r="D4" s="13" t="e">
        <f>SUMIF(#REF!,'工数サマリ (2)'!$B4,#REF!)/160</f>
        <v>#REF!</v>
      </c>
      <c r="E4" s="13" t="e">
        <f>SUMIF(#REF!,'工数サマリ (2)'!$B4,#REF!)/160</f>
        <v>#REF!</v>
      </c>
      <c r="F4" s="13" t="e">
        <f>SUMIF(#REF!,'工数サマリ (2)'!$B4,#REF!)/160</f>
        <v>#REF!</v>
      </c>
      <c r="G4" s="13" t="e">
        <f>SUMIF(#REF!,'工数サマリ (2)'!$B4,#REF!)/160</f>
        <v>#REF!</v>
      </c>
      <c r="H4" s="13" t="e">
        <f>SUMIF(#REF!,'工数サマリ (2)'!$B4,#REF!)/160</f>
        <v>#REF!</v>
      </c>
      <c r="I4" s="14" t="e">
        <f>SUM(D4:H4)</f>
        <v>#REF!</v>
      </c>
      <c r="J4" s="16"/>
    </row>
    <row r="5" spans="1:15">
      <c r="B5" s="12" t="s">
        <v>10</v>
      </c>
      <c r="C5" s="12" t="s">
        <v>9</v>
      </c>
      <c r="D5" s="13" t="e">
        <f>SUMIF(#REF!,'工数サマリ (2)'!$B5,#REF!)/160</f>
        <v>#REF!</v>
      </c>
      <c r="E5" s="13" t="e">
        <f>SUMIF(#REF!,'工数サマリ (2)'!$B5,#REF!)/160</f>
        <v>#REF!</v>
      </c>
      <c r="F5" s="13" t="e">
        <f>SUMIF(#REF!,'工数サマリ (2)'!$B5,#REF!)/160</f>
        <v>#REF!</v>
      </c>
      <c r="G5" s="13" t="e">
        <f>SUMIF(#REF!,'工数サマリ (2)'!$B5,#REF!)/160</f>
        <v>#REF!</v>
      </c>
      <c r="H5" s="13" t="e">
        <f>SUMIF(#REF!,'工数サマリ (2)'!$B5,#REF!)/160</f>
        <v>#REF!</v>
      </c>
      <c r="I5" s="14" t="e">
        <f t="shared" ref="I5" si="0">SUM(D5:H5)</f>
        <v>#REF!</v>
      </c>
    </row>
    <row r="6" spans="1:15">
      <c r="B6" s="15" t="s">
        <v>7</v>
      </c>
      <c r="C6" s="15"/>
      <c r="D6" s="14" t="e">
        <f t="shared" ref="D6:I6" si="1">SUM(D4:D5)</f>
        <v>#REF!</v>
      </c>
      <c r="E6" s="14" t="e">
        <f t="shared" si="1"/>
        <v>#REF!</v>
      </c>
      <c r="F6" s="14" t="e">
        <f t="shared" si="1"/>
        <v>#REF!</v>
      </c>
      <c r="G6" s="14" t="e">
        <f t="shared" si="1"/>
        <v>#REF!</v>
      </c>
      <c r="H6" s="14" t="e">
        <f t="shared" si="1"/>
        <v>#REF!</v>
      </c>
      <c r="I6" s="14" t="e">
        <f t="shared" si="1"/>
        <v>#REF!</v>
      </c>
      <c r="J6" s="16"/>
    </row>
    <row r="7" spans="1:15">
      <c r="E7" s="16" t="s">
        <v>11</v>
      </c>
    </row>
    <row r="8" spans="1:15">
      <c r="A8" s="7" t="s">
        <v>12</v>
      </c>
      <c r="J8" s="16"/>
      <c r="K8" s="16"/>
      <c r="L8" s="17" t="s">
        <v>13</v>
      </c>
      <c r="M8" s="17"/>
      <c r="N8" s="17"/>
    </row>
    <row r="9" spans="1:15">
      <c r="B9" s="8"/>
      <c r="C9" s="9" t="s">
        <v>1</v>
      </c>
      <c r="D9" s="10" t="s">
        <v>2</v>
      </c>
      <c r="E9" s="10" t="s">
        <v>3</v>
      </c>
      <c r="F9" s="10" t="s">
        <v>4</v>
      </c>
      <c r="G9" s="10" t="s">
        <v>14</v>
      </c>
      <c r="H9" s="10" t="s">
        <v>15</v>
      </c>
      <c r="I9" s="11" t="s">
        <v>7</v>
      </c>
      <c r="J9" s="16" t="s">
        <v>16</v>
      </c>
      <c r="K9" s="19" t="s">
        <v>17</v>
      </c>
      <c r="L9" s="19" t="s">
        <v>18</v>
      </c>
      <c r="M9" s="19" t="s">
        <v>19</v>
      </c>
      <c r="N9" s="19" t="s">
        <v>20</v>
      </c>
      <c r="O9" s="19" t="s">
        <v>21</v>
      </c>
    </row>
    <row r="10" spans="1:15">
      <c r="B10" s="12" t="s">
        <v>8</v>
      </c>
      <c r="C10" s="12" t="s">
        <v>22</v>
      </c>
      <c r="D10" s="13">
        <v>0.5</v>
      </c>
      <c r="E10" s="13">
        <v>0.1</v>
      </c>
      <c r="F10" s="13">
        <v>0.2</v>
      </c>
      <c r="G10" s="13">
        <v>0.2</v>
      </c>
      <c r="H10" s="13">
        <v>0.3</v>
      </c>
      <c r="I10" s="14">
        <f>SUM(D10:H10)</f>
        <v>1.3</v>
      </c>
      <c r="J10" s="16" t="s">
        <v>16</v>
      </c>
      <c r="K10" s="12" t="s">
        <v>2</v>
      </c>
      <c r="L10" s="12" t="s">
        <v>23</v>
      </c>
      <c r="M10" s="20">
        <v>3</v>
      </c>
      <c r="N10" s="21">
        <v>0.5</v>
      </c>
      <c r="O10" s="22">
        <f>N10*M10</f>
        <v>1.5</v>
      </c>
    </row>
    <row r="11" spans="1:15">
      <c r="B11" s="12" t="s">
        <v>10</v>
      </c>
      <c r="C11" s="12" t="s">
        <v>9</v>
      </c>
      <c r="D11" s="13">
        <v>0.9</v>
      </c>
      <c r="E11" s="13">
        <v>0.1</v>
      </c>
      <c r="F11" s="13">
        <v>0.8</v>
      </c>
      <c r="G11" s="13">
        <v>0.4</v>
      </c>
      <c r="H11" s="13">
        <v>1.3</v>
      </c>
      <c r="I11" s="14">
        <f>SUM(D11:H11)</f>
        <v>3.5</v>
      </c>
      <c r="J11" s="16" t="s">
        <v>16</v>
      </c>
      <c r="K11" s="12" t="s">
        <v>3</v>
      </c>
      <c r="L11" s="12" t="s">
        <v>24</v>
      </c>
      <c r="M11" s="20">
        <v>3</v>
      </c>
      <c r="N11" s="21">
        <v>0.1</v>
      </c>
      <c r="O11" s="22">
        <f>N11*M11</f>
        <v>0.30000000000000004</v>
      </c>
    </row>
    <row r="12" spans="1:15">
      <c r="B12" s="15" t="s">
        <v>7</v>
      </c>
      <c r="C12" s="15"/>
      <c r="D12" s="14">
        <f t="shared" ref="D12:I12" si="2">SUM(D10:D11)</f>
        <v>1.4</v>
      </c>
      <c r="E12" s="14">
        <f t="shared" si="2"/>
        <v>0.2</v>
      </c>
      <c r="F12" s="14">
        <f t="shared" si="2"/>
        <v>1</v>
      </c>
      <c r="G12" s="14">
        <f t="shared" si="2"/>
        <v>0.60000000000000009</v>
      </c>
      <c r="H12" s="14">
        <f t="shared" si="2"/>
        <v>1.6</v>
      </c>
      <c r="I12" s="14">
        <f t="shared" si="2"/>
        <v>4.8</v>
      </c>
      <c r="J12" s="16" t="s">
        <v>16</v>
      </c>
      <c r="K12" s="12" t="s">
        <v>4</v>
      </c>
      <c r="L12" s="12" t="s">
        <v>25</v>
      </c>
      <c r="M12" s="20">
        <v>3</v>
      </c>
      <c r="N12" s="21">
        <v>0.5</v>
      </c>
      <c r="O12" s="22">
        <f>N12*M12</f>
        <v>1.5</v>
      </c>
    </row>
    <row r="13" spans="1:15">
      <c r="B13" s="12" t="s">
        <v>26</v>
      </c>
      <c r="C13" s="12">
        <v>2</v>
      </c>
      <c r="D13" s="13">
        <f>D12/$C$13</f>
        <v>0.7</v>
      </c>
      <c r="E13" s="13">
        <f t="shared" ref="E13:H13" si="3">E12/$C$13</f>
        <v>0.1</v>
      </c>
      <c r="F13" s="13">
        <f t="shared" si="3"/>
        <v>0.5</v>
      </c>
      <c r="G13" s="13">
        <f t="shared" si="3"/>
        <v>0.30000000000000004</v>
      </c>
      <c r="H13" s="13">
        <f t="shared" si="3"/>
        <v>0.8</v>
      </c>
      <c r="I13" s="14">
        <f>SUM(D13:H13)</f>
        <v>2.4</v>
      </c>
      <c r="J13" s="16" t="s">
        <v>16</v>
      </c>
      <c r="K13" s="23" t="s">
        <v>27</v>
      </c>
      <c r="L13" s="12" t="s">
        <v>28</v>
      </c>
      <c r="M13" s="20">
        <v>3</v>
      </c>
      <c r="N13" s="21">
        <v>0.5</v>
      </c>
      <c r="O13" s="22">
        <f>N13*M13</f>
        <v>1.5</v>
      </c>
    </row>
    <row r="14" spans="1:15">
      <c r="K14" s="23" t="s">
        <v>29</v>
      </c>
      <c r="L14" s="12" t="s">
        <v>25</v>
      </c>
      <c r="M14" s="20">
        <v>3</v>
      </c>
      <c r="N14" s="21">
        <v>1</v>
      </c>
      <c r="O14" s="22">
        <f>N14*M14</f>
        <v>3</v>
      </c>
    </row>
    <row r="15" spans="1:15">
      <c r="L15" s="98" t="s">
        <v>30</v>
      </c>
      <c r="M15" s="99"/>
      <c r="N15" s="100"/>
      <c r="O15" s="22">
        <f>SUM(O10:O14)</f>
        <v>7.8</v>
      </c>
    </row>
    <row r="17" spans="11:14">
      <c r="K17" s="24" t="s">
        <v>31</v>
      </c>
    </row>
    <row r="18" spans="11:14">
      <c r="K18" s="19" t="s">
        <v>17</v>
      </c>
      <c r="L18" s="19" t="s">
        <v>18</v>
      </c>
      <c r="M18" s="19" t="s">
        <v>19</v>
      </c>
      <c r="N18" s="19" t="s">
        <v>20</v>
      </c>
    </row>
    <row r="19" spans="11:14">
      <c r="K19" s="12" t="s">
        <v>2</v>
      </c>
      <c r="L19" s="12" t="s">
        <v>23</v>
      </c>
      <c r="M19" s="20">
        <v>3</v>
      </c>
      <c r="N19" s="25">
        <v>0.7</v>
      </c>
    </row>
    <row r="20" spans="11:14">
      <c r="K20" s="12" t="s">
        <v>3</v>
      </c>
      <c r="L20" s="12" t="s">
        <v>24</v>
      </c>
      <c r="M20" s="20">
        <v>3</v>
      </c>
      <c r="N20" s="21">
        <v>0.1</v>
      </c>
    </row>
    <row r="21" spans="11:14">
      <c r="K21" s="12" t="s">
        <v>4</v>
      </c>
      <c r="L21" s="12" t="s">
        <v>25</v>
      </c>
      <c r="M21" s="20">
        <v>3</v>
      </c>
      <c r="N21" s="25">
        <v>0.6</v>
      </c>
    </row>
    <row r="22" spans="11:14">
      <c r="K22" s="12" t="s">
        <v>27</v>
      </c>
      <c r="L22" s="12" t="s">
        <v>28</v>
      </c>
      <c r="M22" s="20">
        <v>3</v>
      </c>
      <c r="N22" s="21">
        <v>0.7</v>
      </c>
    </row>
    <row r="23" spans="11:14">
      <c r="K23" s="12" t="s">
        <v>29</v>
      </c>
      <c r="L23" s="12" t="s">
        <v>25</v>
      </c>
      <c r="M23" s="20">
        <v>3</v>
      </c>
      <c r="N23" s="21">
        <v>0.8</v>
      </c>
    </row>
    <row r="24" spans="11:14">
      <c r="L24" s="98" t="s">
        <v>30</v>
      </c>
      <c r="M24" s="99"/>
      <c r="N24" s="100"/>
    </row>
    <row r="25" spans="11:14">
      <c r="N25" s="19" t="s">
        <v>17</v>
      </c>
    </row>
    <row r="26" spans="11:14">
      <c r="N26" s="12" t="s">
        <v>2</v>
      </c>
    </row>
    <row r="27" spans="11:14">
      <c r="N27" s="12" t="s">
        <v>3</v>
      </c>
    </row>
    <row r="28" spans="11:14">
      <c r="L28" s="18"/>
      <c r="N28" s="12" t="s">
        <v>4</v>
      </c>
    </row>
    <row r="29" spans="11:14">
      <c r="L29" s="18"/>
      <c r="N29" s="12" t="s">
        <v>27</v>
      </c>
    </row>
    <row r="30" spans="11:14">
      <c r="L30" s="18"/>
      <c r="N30" s="12" t="s">
        <v>29</v>
      </c>
    </row>
    <row r="31" spans="11:14">
      <c r="L31" s="18"/>
    </row>
    <row r="32" spans="11:14">
      <c r="L32" s="18"/>
    </row>
    <row r="33" spans="12:12">
      <c r="L33" s="18"/>
    </row>
  </sheetData>
  <mergeCells count="2">
    <mergeCell ref="L15:N15"/>
    <mergeCell ref="L24:N24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55716-5424-42FF-8BE2-D968D2BB6905}">
  <dimension ref="A1:Y73"/>
  <sheetViews>
    <sheetView showGridLines="0" tabSelected="1" zoomScale="85" zoomScaleNormal="85" workbookViewId="0">
      <pane ySplit="5" topLeftCell="A6" activePane="bottomLeft" state="frozen"/>
      <selection pane="bottomLeft" activeCell="F9" sqref="F9"/>
    </sheetView>
  </sheetViews>
  <sheetFormatPr defaultColWidth="8.75" defaultRowHeight="15.75"/>
  <cols>
    <col min="1" max="1" width="2.75" style="5" customWidth="1"/>
    <col min="2" max="2" width="18.75" style="1" customWidth="1"/>
    <col min="3" max="3" width="2.75" style="5" customWidth="1"/>
    <col min="4" max="4" width="13.5" style="1" bestFit="1" customWidth="1"/>
    <col min="5" max="5" width="3.75" style="5" customWidth="1"/>
    <col min="6" max="6" width="38.75" style="1" customWidth="1"/>
    <col min="7" max="7" width="63.5" style="1" bestFit="1" customWidth="1"/>
    <col min="8" max="8" width="4" style="1" customWidth="1"/>
    <col min="9" max="9" width="10" style="1" bestFit="1" customWidth="1"/>
    <col min="10" max="10" width="5.875" style="1" bestFit="1" customWidth="1"/>
    <col min="11" max="11" width="8.75" style="1" bestFit="1" customWidth="1"/>
    <col min="12" max="16" width="7.625" style="1" customWidth="1"/>
    <col min="17" max="17" width="8.75" style="1" bestFit="1" customWidth="1"/>
    <col min="18" max="22" width="9" style="1" customWidth="1"/>
    <col min="23" max="24" width="9.375" style="1" bestFit="1" customWidth="1"/>
    <col min="25" max="16384" width="8.75" style="1"/>
  </cols>
  <sheetData>
    <row r="1" spans="1:24">
      <c r="A1" s="75"/>
      <c r="B1" s="76"/>
      <c r="C1" s="75"/>
      <c r="D1" s="76"/>
      <c r="E1" s="75"/>
      <c r="F1" s="76"/>
      <c r="G1" s="76"/>
      <c r="H1" s="26"/>
      <c r="I1" s="2"/>
      <c r="J1" s="2"/>
      <c r="K1" s="2"/>
      <c r="L1" s="101"/>
      <c r="M1" s="102"/>
      <c r="N1" s="102"/>
      <c r="O1" s="102"/>
      <c r="P1" s="102"/>
      <c r="Q1" s="2"/>
      <c r="R1" s="103" t="s">
        <v>32</v>
      </c>
      <c r="S1" s="104"/>
      <c r="T1" s="104"/>
      <c r="U1" s="104"/>
      <c r="V1" s="104"/>
    </row>
    <row r="2" spans="1:24" ht="63">
      <c r="A2" s="56"/>
      <c r="B2" s="57" t="s">
        <v>55</v>
      </c>
      <c r="C2" s="56"/>
      <c r="D2" s="57" t="s">
        <v>56</v>
      </c>
      <c r="E2" s="3"/>
      <c r="F2" s="4" t="s">
        <v>33</v>
      </c>
      <c r="G2" s="4" t="s">
        <v>34</v>
      </c>
      <c r="H2" s="35"/>
      <c r="I2" s="73" t="s">
        <v>35</v>
      </c>
      <c r="J2" s="73" t="s">
        <v>36</v>
      </c>
      <c r="K2" s="73" t="s">
        <v>37</v>
      </c>
      <c r="L2" s="77" t="s">
        <v>153</v>
      </c>
      <c r="M2" s="77" t="s">
        <v>73</v>
      </c>
      <c r="N2" s="77" t="s">
        <v>74</v>
      </c>
      <c r="O2" s="77" t="s">
        <v>154</v>
      </c>
      <c r="P2" s="77" t="s">
        <v>107</v>
      </c>
      <c r="Q2" s="77" t="s">
        <v>38</v>
      </c>
      <c r="R2" s="78" t="s">
        <v>155</v>
      </c>
      <c r="S2" s="78" t="s">
        <v>73</v>
      </c>
      <c r="T2" s="78" t="s">
        <v>74</v>
      </c>
      <c r="U2" s="78" t="s">
        <v>154</v>
      </c>
      <c r="V2" s="78" t="s">
        <v>107</v>
      </c>
    </row>
    <row r="3" spans="1:24" ht="9.6" customHeight="1" thickBot="1">
      <c r="A3" s="52"/>
      <c r="B3" s="53"/>
      <c r="C3" s="52"/>
      <c r="D3" s="53"/>
      <c r="E3" s="52"/>
      <c r="F3" s="54"/>
      <c r="G3" s="54"/>
      <c r="H3" s="36"/>
      <c r="I3" s="74"/>
      <c r="J3" s="74"/>
      <c r="K3" s="74"/>
      <c r="L3" s="74"/>
      <c r="M3" s="74"/>
      <c r="N3" s="74"/>
      <c r="O3" s="74"/>
      <c r="P3" s="74"/>
      <c r="Q3" s="74"/>
      <c r="R3" s="55"/>
      <c r="S3" s="55"/>
      <c r="T3" s="55"/>
      <c r="U3" s="55"/>
      <c r="V3" s="55"/>
    </row>
    <row r="4" spans="1:24">
      <c r="A4" s="63"/>
      <c r="B4" s="64"/>
      <c r="C4" s="65"/>
      <c r="D4" s="64"/>
      <c r="E4" s="65"/>
      <c r="F4" s="64"/>
      <c r="G4" s="64"/>
      <c r="H4" s="64"/>
      <c r="I4" s="66"/>
      <c r="J4" s="66"/>
      <c r="K4" s="66"/>
      <c r="L4" s="66"/>
      <c r="M4" s="66"/>
      <c r="N4" s="66"/>
      <c r="O4" s="66"/>
      <c r="P4" s="67"/>
      <c r="Q4" s="58" t="s">
        <v>58</v>
      </c>
      <c r="R4" s="59">
        <v>0.5</v>
      </c>
      <c r="S4" s="59">
        <v>0.3</v>
      </c>
      <c r="T4" s="59">
        <v>0.5</v>
      </c>
      <c r="U4" s="59">
        <v>0.5</v>
      </c>
      <c r="V4" s="60">
        <v>1</v>
      </c>
      <c r="W4" s="97">
        <f>SUM(R4:V4)</f>
        <v>2.8</v>
      </c>
    </row>
    <row r="5" spans="1:24" ht="16.5" thickBot="1">
      <c r="A5" s="68"/>
      <c r="B5" s="69"/>
      <c r="C5" s="70"/>
      <c r="D5" s="69"/>
      <c r="E5" s="70"/>
      <c r="F5" s="69"/>
      <c r="G5" s="69"/>
      <c r="H5" s="69"/>
      <c r="I5" s="71"/>
      <c r="J5" s="71"/>
      <c r="K5" s="71"/>
      <c r="L5" s="71"/>
      <c r="M5" s="71"/>
      <c r="N5" s="71"/>
      <c r="O5" s="71"/>
      <c r="P5" s="72"/>
      <c r="Q5" s="61" t="s">
        <v>57</v>
      </c>
      <c r="R5" s="62">
        <f>(SUM(R7:R71)+R6)/160</f>
        <v>1.2870312500000001</v>
      </c>
      <c r="S5" s="62">
        <f>(SUM(S7:S71)+S6)/160</f>
        <v>0.76365625000000004</v>
      </c>
      <c r="T5" s="62">
        <f>(SUM(T7:T71)+T6)/160</f>
        <v>1.0449062499999999</v>
      </c>
      <c r="U5" s="96">
        <f>(SUM(U7:U71)+U6)/160</f>
        <v>1.26990625</v>
      </c>
      <c r="V5" s="62">
        <f>SUM(V7:V71)/160</f>
        <v>2.171875</v>
      </c>
      <c r="W5" s="97">
        <f>SUM(R5:V5)</f>
        <v>6.5373749999999999</v>
      </c>
      <c r="X5" s="97"/>
    </row>
    <row r="6" spans="1:24">
      <c r="A6" s="46" t="s">
        <v>39</v>
      </c>
      <c r="B6" s="47" t="s">
        <v>8</v>
      </c>
      <c r="C6" s="46" t="s">
        <v>39</v>
      </c>
      <c r="D6" s="47" t="s">
        <v>40</v>
      </c>
      <c r="E6" s="46" t="s">
        <v>39</v>
      </c>
      <c r="F6" s="48" t="s">
        <v>41</v>
      </c>
      <c r="G6" s="48" t="s">
        <v>72</v>
      </c>
      <c r="H6" s="36"/>
      <c r="I6" s="49"/>
      <c r="J6" s="50"/>
      <c r="K6" s="51"/>
      <c r="L6" s="51"/>
      <c r="M6" s="51"/>
      <c r="N6" s="51"/>
      <c r="O6" s="51"/>
      <c r="P6" s="51"/>
      <c r="Q6" s="49">
        <f>SUM(Q7:Q71)*0.1</f>
        <v>96.850000000000009</v>
      </c>
      <c r="R6" s="95">
        <f>Q6*0.5</f>
        <v>48.425000000000004</v>
      </c>
      <c r="S6" s="49">
        <f>Q6*0.1</f>
        <v>9.6850000000000023</v>
      </c>
      <c r="T6" s="95">
        <f>Q6*0.1</f>
        <v>9.6850000000000023</v>
      </c>
      <c r="U6" s="95">
        <f>Q6*0.1</f>
        <v>9.6850000000000023</v>
      </c>
      <c r="V6" s="49">
        <f>Q6*0.2</f>
        <v>19.370000000000005</v>
      </c>
    </row>
    <row r="7" spans="1:24">
      <c r="A7" s="82" t="s">
        <v>139</v>
      </c>
      <c r="B7" s="83" t="s">
        <v>140</v>
      </c>
      <c r="C7" s="82" t="s">
        <v>139</v>
      </c>
      <c r="D7" s="83" t="s">
        <v>141</v>
      </c>
      <c r="E7" s="82" t="s">
        <v>54</v>
      </c>
      <c r="F7" s="84" t="s">
        <v>142</v>
      </c>
      <c r="G7" s="84" t="s">
        <v>143</v>
      </c>
      <c r="H7" s="36"/>
      <c r="I7" s="38">
        <v>0.5</v>
      </c>
      <c r="J7" s="39">
        <v>11</v>
      </c>
      <c r="K7" s="40">
        <f>SUM(L7:P7)</f>
        <v>5</v>
      </c>
      <c r="L7" s="40">
        <v>1</v>
      </c>
      <c r="M7" s="92">
        <v>1</v>
      </c>
      <c r="N7" s="92">
        <v>1</v>
      </c>
      <c r="O7" s="92">
        <v>1</v>
      </c>
      <c r="P7" s="92">
        <v>1</v>
      </c>
      <c r="Q7" s="38">
        <f>I7*J7*K7</f>
        <v>27.5</v>
      </c>
      <c r="R7" s="41">
        <f>IF(($I7*$J7*L7)=0,"",($I7*$J7*L7))</f>
        <v>5.5</v>
      </c>
      <c r="S7" s="93">
        <f t="shared" ref="S7" si="0">IF(($I7*$J7*M7)=0,"",($I7*$J7*M7))</f>
        <v>5.5</v>
      </c>
      <c r="T7" s="93">
        <f t="shared" ref="T7" si="1">IF(($I7*$J7*N7)=0,"",($I7*$J7*N7))</f>
        <v>5.5</v>
      </c>
      <c r="U7" s="93">
        <f t="shared" ref="U7" si="2">IF(($I7*$J7*O7)=0,"",($I7*$J7*O7))</f>
        <v>5.5</v>
      </c>
      <c r="V7" s="93">
        <f t="shared" ref="V7" si="3">IF(($I7*$J7*P7)=0,"",($I7*$J7*P7))</f>
        <v>5.5</v>
      </c>
    </row>
    <row r="8" spans="1:24">
      <c r="A8" s="27"/>
      <c r="B8" s="28"/>
      <c r="C8" s="27"/>
      <c r="D8" s="79"/>
      <c r="E8" s="27"/>
      <c r="F8" s="29"/>
      <c r="G8" s="29"/>
      <c r="H8" s="36"/>
      <c r="I8" s="38"/>
      <c r="J8" s="39"/>
      <c r="K8" s="92"/>
      <c r="L8" s="40"/>
      <c r="M8" s="40"/>
      <c r="N8" s="92"/>
      <c r="O8" s="40"/>
      <c r="P8" s="40"/>
      <c r="Q8" s="38"/>
      <c r="R8" s="41"/>
      <c r="S8" s="41"/>
      <c r="T8" s="41"/>
      <c r="U8" s="41"/>
      <c r="V8" s="41"/>
    </row>
    <row r="9" spans="1:24" s="85" customFormat="1">
      <c r="A9" s="86" t="s">
        <v>52</v>
      </c>
      <c r="B9" s="88" t="s">
        <v>77</v>
      </c>
      <c r="C9" s="86" t="s">
        <v>44</v>
      </c>
      <c r="D9" s="87" t="s">
        <v>59</v>
      </c>
      <c r="E9" s="86" t="s">
        <v>42</v>
      </c>
      <c r="F9" s="87" t="s">
        <v>159</v>
      </c>
      <c r="G9" s="87" t="s">
        <v>162</v>
      </c>
      <c r="H9" s="89"/>
      <c r="I9" s="90">
        <v>1</v>
      </c>
      <c r="J9" s="91">
        <v>2</v>
      </c>
      <c r="K9" s="92">
        <f t="shared" ref="K9" si="4">SUM(L9:P9)</f>
        <v>5</v>
      </c>
      <c r="L9" s="92">
        <v>1</v>
      </c>
      <c r="M9" s="92">
        <v>1</v>
      </c>
      <c r="N9" s="92">
        <v>1</v>
      </c>
      <c r="O9" s="92">
        <v>1</v>
      </c>
      <c r="P9" s="92">
        <v>1</v>
      </c>
      <c r="Q9" s="90">
        <f t="shared" ref="Q9" si="5">I9*J9*K9</f>
        <v>10</v>
      </c>
      <c r="R9" s="93">
        <f>IF(($I9*$J9*L9)=0,"",($I9*$J9*L9))</f>
        <v>2</v>
      </c>
      <c r="S9" s="93">
        <f>IF(($I9*$J9*M9)=0,"",($I9*$J9*M9))</f>
        <v>2</v>
      </c>
      <c r="T9" s="93">
        <f>IF(($I9*$J9*N9)=0,"",($I9*$J9*N9))</f>
        <v>2</v>
      </c>
      <c r="U9" s="93">
        <f>IF(($I9*$J9*O9)=0,"",($I9*$J9*O9))</f>
        <v>2</v>
      </c>
      <c r="V9" s="93">
        <f>IF(($I9*$J9*P9)=0,"",($I9*$J9*P9))</f>
        <v>2</v>
      </c>
    </row>
    <row r="10" spans="1:24">
      <c r="A10" s="27" t="s">
        <v>54</v>
      </c>
      <c r="B10" s="30" t="s">
        <v>75</v>
      </c>
      <c r="C10" s="27" t="s">
        <v>42</v>
      </c>
      <c r="D10" s="29" t="s">
        <v>59</v>
      </c>
      <c r="E10" s="86" t="s">
        <v>52</v>
      </c>
      <c r="F10" s="29" t="s">
        <v>76</v>
      </c>
      <c r="G10" s="29" t="s">
        <v>161</v>
      </c>
      <c r="H10" s="36"/>
      <c r="I10" s="38">
        <v>1</v>
      </c>
      <c r="J10" s="39">
        <v>2</v>
      </c>
      <c r="K10" s="92">
        <f t="shared" ref="K10:K70" si="6">SUM(L10:P10)</f>
        <v>5</v>
      </c>
      <c r="L10" s="40">
        <v>1</v>
      </c>
      <c r="M10" s="40">
        <v>1</v>
      </c>
      <c r="N10" s="92">
        <v>1</v>
      </c>
      <c r="O10" s="40">
        <v>1</v>
      </c>
      <c r="P10" s="40">
        <v>1</v>
      </c>
      <c r="Q10" s="38">
        <f t="shared" ref="Q10:Q16" si="7">I10*J10*K10</f>
        <v>10</v>
      </c>
      <c r="R10" s="41">
        <f>IF(($I10*$J10*L10)=0,"",($I10*$J10*L10))</f>
        <v>2</v>
      </c>
      <c r="S10" s="41">
        <f t="shared" ref="S10:S71" si="8">IF(($I10*$J10*M10)=0,"",($I10*$J10*M10))</f>
        <v>2</v>
      </c>
      <c r="T10" s="41">
        <f t="shared" ref="T10:T71" si="9">IF(($I10*$J10*N10)=0,"",($I10*$J10*N10))</f>
        <v>2</v>
      </c>
      <c r="U10" s="41">
        <f>IF(($I10*$J10*O10)=0,"",($I10*$J10*O10))</f>
        <v>2</v>
      </c>
      <c r="V10" s="41">
        <f>IF(($I10*$J10*P10)=0,"",($I10*$J10*P10))</f>
        <v>2</v>
      </c>
    </row>
    <row r="11" spans="1:24">
      <c r="A11" s="27" t="s">
        <v>54</v>
      </c>
      <c r="B11" s="30" t="s">
        <v>75</v>
      </c>
      <c r="C11" s="27" t="s">
        <v>42</v>
      </c>
      <c r="D11" s="29" t="s">
        <v>59</v>
      </c>
      <c r="E11" s="86" t="s">
        <v>43</v>
      </c>
      <c r="F11" s="29" t="s">
        <v>68</v>
      </c>
      <c r="G11" s="29" t="s">
        <v>158</v>
      </c>
      <c r="H11" s="36"/>
      <c r="I11" s="38">
        <v>10</v>
      </c>
      <c r="J11" s="39">
        <v>1</v>
      </c>
      <c r="K11" s="92">
        <f t="shared" si="6"/>
        <v>3</v>
      </c>
      <c r="L11" s="40">
        <v>0.5</v>
      </c>
      <c r="M11" s="92">
        <v>0.5</v>
      </c>
      <c r="N11" s="92">
        <v>0.5</v>
      </c>
      <c r="O11" s="40">
        <v>0.5</v>
      </c>
      <c r="P11" s="40">
        <v>1</v>
      </c>
      <c r="Q11" s="38">
        <f t="shared" si="7"/>
        <v>30</v>
      </c>
      <c r="R11" s="41">
        <f t="shared" ref="R11:R71" si="10">IF(($I11*$J11*L11)=0,"",($I11*$J11*L11))</f>
        <v>5</v>
      </c>
      <c r="S11" s="41">
        <f t="shared" si="8"/>
        <v>5</v>
      </c>
      <c r="T11" s="41">
        <f t="shared" si="9"/>
        <v>5</v>
      </c>
      <c r="U11" s="41">
        <f t="shared" ref="U11:U71" si="11">IF(($I11*$J11*O11)=0,"",($I11*$J11*O11))</f>
        <v>5</v>
      </c>
      <c r="V11" s="41">
        <f t="shared" ref="V11:V71" si="12">IF(($I11*$J11*P11)=0,"",($I11*$J11*P11))</f>
        <v>10</v>
      </c>
    </row>
    <row r="12" spans="1:24">
      <c r="A12" s="27" t="s">
        <v>54</v>
      </c>
      <c r="B12" s="30" t="s">
        <v>75</v>
      </c>
      <c r="C12" s="27" t="s">
        <v>42</v>
      </c>
      <c r="D12" s="29" t="s">
        <v>59</v>
      </c>
      <c r="E12" s="86" t="s">
        <v>45</v>
      </c>
      <c r="F12" s="29" t="s">
        <v>60</v>
      </c>
      <c r="G12" s="29" t="s">
        <v>70</v>
      </c>
      <c r="H12" s="36"/>
      <c r="I12" s="38">
        <v>10</v>
      </c>
      <c r="J12" s="39">
        <v>2</v>
      </c>
      <c r="K12" s="92">
        <f t="shared" si="6"/>
        <v>2</v>
      </c>
      <c r="L12" s="92">
        <v>0.5</v>
      </c>
      <c r="M12" s="92"/>
      <c r="N12" s="92"/>
      <c r="O12" s="92">
        <v>0.5</v>
      </c>
      <c r="P12" s="40">
        <v>1</v>
      </c>
      <c r="Q12" s="38">
        <f t="shared" si="7"/>
        <v>40</v>
      </c>
      <c r="R12" s="41">
        <f t="shared" si="10"/>
        <v>10</v>
      </c>
      <c r="S12" s="41" t="str">
        <f t="shared" si="8"/>
        <v/>
      </c>
      <c r="T12" s="41" t="str">
        <f t="shared" si="9"/>
        <v/>
      </c>
      <c r="U12" s="41">
        <f t="shared" si="11"/>
        <v>10</v>
      </c>
      <c r="V12" s="41">
        <f t="shared" si="12"/>
        <v>20</v>
      </c>
    </row>
    <row r="13" spans="1:24" ht="15" customHeight="1">
      <c r="A13" s="27" t="s">
        <v>54</v>
      </c>
      <c r="B13" s="30" t="s">
        <v>75</v>
      </c>
      <c r="C13" s="27" t="s">
        <v>42</v>
      </c>
      <c r="D13" s="29" t="s">
        <v>59</v>
      </c>
      <c r="E13" s="86" t="s">
        <v>46</v>
      </c>
      <c r="F13" s="29" t="s">
        <v>62</v>
      </c>
      <c r="G13" s="29" t="s">
        <v>67</v>
      </c>
      <c r="H13" s="36"/>
      <c r="I13" s="38">
        <v>1</v>
      </c>
      <c r="J13" s="39">
        <v>2</v>
      </c>
      <c r="K13" s="92">
        <f t="shared" si="6"/>
        <v>5</v>
      </c>
      <c r="L13" s="40">
        <v>1</v>
      </c>
      <c r="M13" s="92">
        <v>1</v>
      </c>
      <c r="N13" s="92">
        <v>1</v>
      </c>
      <c r="O13" s="40">
        <v>1</v>
      </c>
      <c r="P13" s="40">
        <v>1</v>
      </c>
      <c r="Q13" s="38">
        <f t="shared" si="7"/>
        <v>10</v>
      </c>
      <c r="R13" s="41">
        <f t="shared" si="10"/>
        <v>2</v>
      </c>
      <c r="S13" s="41">
        <f t="shared" si="8"/>
        <v>2</v>
      </c>
      <c r="T13" s="41">
        <f t="shared" si="9"/>
        <v>2</v>
      </c>
      <c r="U13" s="41">
        <f t="shared" si="11"/>
        <v>2</v>
      </c>
      <c r="V13" s="41">
        <f t="shared" si="12"/>
        <v>2</v>
      </c>
    </row>
    <row r="14" spans="1:24" ht="15" customHeight="1">
      <c r="A14" s="27" t="s">
        <v>54</v>
      </c>
      <c r="B14" s="30" t="s">
        <v>75</v>
      </c>
      <c r="C14" s="27" t="s">
        <v>42</v>
      </c>
      <c r="D14" s="29" t="s">
        <v>59</v>
      </c>
      <c r="E14" s="86" t="s">
        <v>47</v>
      </c>
      <c r="F14" s="29" t="s">
        <v>63</v>
      </c>
      <c r="G14" s="29" t="s">
        <v>69</v>
      </c>
      <c r="H14" s="36"/>
      <c r="I14" s="38">
        <v>1</v>
      </c>
      <c r="J14" s="39">
        <v>2</v>
      </c>
      <c r="K14" s="92">
        <f t="shared" si="6"/>
        <v>2</v>
      </c>
      <c r="L14" s="92"/>
      <c r="M14" s="40"/>
      <c r="N14" s="92"/>
      <c r="O14" s="40">
        <v>1</v>
      </c>
      <c r="P14" s="40">
        <v>1</v>
      </c>
      <c r="Q14" s="38">
        <f t="shared" si="7"/>
        <v>4</v>
      </c>
      <c r="R14" s="41" t="str">
        <f t="shared" si="10"/>
        <v/>
      </c>
      <c r="S14" s="41" t="str">
        <f t="shared" si="8"/>
        <v/>
      </c>
      <c r="T14" s="41" t="str">
        <f t="shared" si="9"/>
        <v/>
      </c>
      <c r="U14" s="41">
        <f t="shared" si="11"/>
        <v>2</v>
      </c>
      <c r="V14" s="41">
        <f t="shared" si="12"/>
        <v>2</v>
      </c>
    </row>
    <row r="15" spans="1:24" ht="15" customHeight="1">
      <c r="A15" s="27" t="s">
        <v>54</v>
      </c>
      <c r="B15" s="30" t="s">
        <v>75</v>
      </c>
      <c r="C15" s="27" t="s">
        <v>42</v>
      </c>
      <c r="D15" s="29" t="s">
        <v>59</v>
      </c>
      <c r="E15" s="86" t="s">
        <v>48</v>
      </c>
      <c r="F15" s="29" t="s">
        <v>64</v>
      </c>
      <c r="G15" s="29" t="s">
        <v>69</v>
      </c>
      <c r="H15" s="36"/>
      <c r="I15" s="38">
        <v>1</v>
      </c>
      <c r="J15" s="39">
        <v>2</v>
      </c>
      <c r="K15" s="92">
        <f t="shared" si="6"/>
        <v>5</v>
      </c>
      <c r="L15" s="40">
        <v>1</v>
      </c>
      <c r="M15" s="92">
        <v>1</v>
      </c>
      <c r="N15" s="92">
        <v>1</v>
      </c>
      <c r="O15" s="92">
        <v>1</v>
      </c>
      <c r="P15" s="40">
        <v>1</v>
      </c>
      <c r="Q15" s="38">
        <f t="shared" si="7"/>
        <v>10</v>
      </c>
      <c r="R15" s="41">
        <f t="shared" si="10"/>
        <v>2</v>
      </c>
      <c r="S15" s="41">
        <f t="shared" si="8"/>
        <v>2</v>
      </c>
      <c r="T15" s="41">
        <f t="shared" si="9"/>
        <v>2</v>
      </c>
      <c r="U15" s="41">
        <f t="shared" si="11"/>
        <v>2</v>
      </c>
      <c r="V15" s="41">
        <f t="shared" si="12"/>
        <v>2</v>
      </c>
    </row>
    <row r="16" spans="1:24" ht="15.75" customHeight="1">
      <c r="A16" s="27" t="s">
        <v>54</v>
      </c>
      <c r="B16" s="30" t="s">
        <v>75</v>
      </c>
      <c r="C16" s="27" t="s">
        <v>42</v>
      </c>
      <c r="D16" s="29" t="s">
        <v>59</v>
      </c>
      <c r="E16" s="86" t="s">
        <v>53</v>
      </c>
      <c r="F16" s="29" t="s">
        <v>65</v>
      </c>
      <c r="G16" s="29" t="s">
        <v>69</v>
      </c>
      <c r="H16" s="36"/>
      <c r="I16" s="38">
        <v>1</v>
      </c>
      <c r="J16" s="39">
        <v>2</v>
      </c>
      <c r="K16" s="92">
        <f t="shared" si="6"/>
        <v>1</v>
      </c>
      <c r="L16" s="40"/>
      <c r="M16" s="40"/>
      <c r="N16" s="92"/>
      <c r="O16" s="40"/>
      <c r="P16" s="40">
        <v>1</v>
      </c>
      <c r="Q16" s="38">
        <f t="shared" si="7"/>
        <v>2</v>
      </c>
      <c r="R16" s="41" t="str">
        <f t="shared" si="10"/>
        <v/>
      </c>
      <c r="S16" s="41" t="str">
        <f t="shared" si="8"/>
        <v/>
      </c>
      <c r="T16" s="41" t="str">
        <f t="shared" si="9"/>
        <v/>
      </c>
      <c r="U16" s="41" t="str">
        <f t="shared" si="11"/>
        <v/>
      </c>
      <c r="V16" s="41">
        <f t="shared" si="12"/>
        <v>2</v>
      </c>
    </row>
    <row r="17" spans="1:25">
      <c r="A17" s="27"/>
      <c r="B17" s="30"/>
      <c r="C17" s="27"/>
      <c r="D17" s="29"/>
      <c r="E17" s="27"/>
      <c r="F17" s="29"/>
      <c r="G17" s="29"/>
      <c r="H17" s="36"/>
      <c r="I17" s="38"/>
      <c r="J17" s="39"/>
      <c r="K17" s="92"/>
      <c r="L17" s="40"/>
      <c r="M17" s="40"/>
      <c r="N17" s="92"/>
      <c r="O17" s="40"/>
      <c r="P17" s="40"/>
      <c r="Q17" s="38"/>
      <c r="R17" s="41" t="str">
        <f t="shared" si="10"/>
        <v/>
      </c>
      <c r="S17" s="41" t="str">
        <f t="shared" si="8"/>
        <v/>
      </c>
      <c r="T17" s="41" t="str">
        <f t="shared" si="9"/>
        <v/>
      </c>
      <c r="U17" s="41" t="str">
        <f t="shared" si="11"/>
        <v/>
      </c>
      <c r="V17" s="41" t="str">
        <f t="shared" si="12"/>
        <v/>
      </c>
    </row>
    <row r="18" spans="1:25">
      <c r="A18" s="27" t="s">
        <v>52</v>
      </c>
      <c r="B18" s="30" t="s">
        <v>77</v>
      </c>
      <c r="C18" s="27" t="s">
        <v>44</v>
      </c>
      <c r="D18" s="29" t="s">
        <v>78</v>
      </c>
      <c r="E18" s="86" t="s">
        <v>160</v>
      </c>
      <c r="F18" s="29" t="s">
        <v>79</v>
      </c>
      <c r="G18" s="87" t="s">
        <v>67</v>
      </c>
      <c r="H18" s="36"/>
      <c r="I18" s="38">
        <v>1</v>
      </c>
      <c r="J18" s="39">
        <v>2</v>
      </c>
      <c r="K18" s="92">
        <f t="shared" si="6"/>
        <v>3</v>
      </c>
      <c r="L18" s="92">
        <v>0.5</v>
      </c>
      <c r="M18" s="92">
        <v>0.5</v>
      </c>
      <c r="N18" s="92">
        <v>0.5</v>
      </c>
      <c r="O18" s="92">
        <v>0.5</v>
      </c>
      <c r="P18" s="40">
        <v>1</v>
      </c>
      <c r="Q18" s="38">
        <f t="shared" ref="Q18:Q24" si="13">I18*J18*K18</f>
        <v>6</v>
      </c>
      <c r="R18" s="41">
        <f t="shared" si="10"/>
        <v>1</v>
      </c>
      <c r="S18" s="41">
        <f t="shared" si="8"/>
        <v>1</v>
      </c>
      <c r="T18" s="41">
        <f t="shared" si="9"/>
        <v>1</v>
      </c>
      <c r="U18" s="41">
        <f t="shared" si="11"/>
        <v>1</v>
      </c>
      <c r="V18" s="41">
        <f t="shared" si="12"/>
        <v>2</v>
      </c>
    </row>
    <row r="19" spans="1:25" ht="15" customHeight="1">
      <c r="A19" s="27" t="s">
        <v>52</v>
      </c>
      <c r="B19" s="30" t="s">
        <v>77</v>
      </c>
      <c r="C19" s="27" t="s">
        <v>44</v>
      </c>
      <c r="D19" s="29" t="s">
        <v>78</v>
      </c>
      <c r="E19" s="86" t="s">
        <v>52</v>
      </c>
      <c r="F19" s="29" t="s">
        <v>80</v>
      </c>
      <c r="G19" s="29" t="s">
        <v>67</v>
      </c>
      <c r="H19" s="36"/>
      <c r="I19" s="38">
        <v>1</v>
      </c>
      <c r="J19" s="39">
        <v>2</v>
      </c>
      <c r="K19" s="92">
        <f t="shared" si="6"/>
        <v>3</v>
      </c>
      <c r="L19" s="92">
        <v>0.5</v>
      </c>
      <c r="M19" s="92">
        <v>0.5</v>
      </c>
      <c r="N19" s="92">
        <v>0.5</v>
      </c>
      <c r="O19" s="92">
        <v>0.5</v>
      </c>
      <c r="P19" s="40">
        <v>1</v>
      </c>
      <c r="Q19" s="38">
        <f t="shared" si="13"/>
        <v>6</v>
      </c>
      <c r="R19" s="41">
        <f t="shared" si="10"/>
        <v>1</v>
      </c>
      <c r="S19" s="41">
        <f t="shared" si="8"/>
        <v>1</v>
      </c>
      <c r="T19" s="41">
        <f t="shared" si="9"/>
        <v>1</v>
      </c>
      <c r="U19" s="41">
        <f t="shared" si="11"/>
        <v>1</v>
      </c>
      <c r="V19" s="41">
        <f t="shared" si="12"/>
        <v>2</v>
      </c>
    </row>
    <row r="20" spans="1:25" ht="15" customHeight="1">
      <c r="A20" s="27" t="s">
        <v>52</v>
      </c>
      <c r="B20" s="30" t="s">
        <v>77</v>
      </c>
      <c r="C20" s="27" t="s">
        <v>44</v>
      </c>
      <c r="D20" s="29" t="s">
        <v>78</v>
      </c>
      <c r="E20" s="86" t="s">
        <v>43</v>
      </c>
      <c r="F20" s="29" t="s">
        <v>81</v>
      </c>
      <c r="G20" s="87" t="s">
        <v>70</v>
      </c>
      <c r="H20" s="36"/>
      <c r="I20" s="90">
        <v>10</v>
      </c>
      <c r="J20" s="91">
        <v>2</v>
      </c>
      <c r="K20" s="92">
        <f t="shared" si="6"/>
        <v>2</v>
      </c>
      <c r="L20" s="92">
        <v>0.5</v>
      </c>
      <c r="M20" s="92"/>
      <c r="N20" s="92"/>
      <c r="O20" s="92">
        <v>0.5</v>
      </c>
      <c r="P20" s="92">
        <v>1</v>
      </c>
      <c r="Q20" s="90">
        <f t="shared" si="13"/>
        <v>40</v>
      </c>
      <c r="R20" s="93">
        <f t="shared" ref="R20:R21" si="14">IF(($I20*$J20*L20)=0,"",($I20*$J20*L20))</f>
        <v>10</v>
      </c>
      <c r="S20" s="93" t="str">
        <f t="shared" ref="S20:S21" si="15">IF(($I20*$J20*M20)=0,"",($I20*$J20*M20))</f>
        <v/>
      </c>
      <c r="T20" s="93" t="str">
        <f t="shared" ref="T20:T21" si="16">IF(($I20*$J20*N20)=0,"",($I20*$J20*N20))</f>
        <v/>
      </c>
      <c r="U20" s="93">
        <f t="shared" ref="U20:U21" si="17">IF(($I20*$J20*O20)=0,"",($I20*$J20*O20))</f>
        <v>10</v>
      </c>
      <c r="V20" s="93">
        <f t="shared" ref="V20:V21" si="18">IF(($I20*$J20*P20)=0,"",($I20*$J20*P20))</f>
        <v>20</v>
      </c>
    </row>
    <row r="21" spans="1:25" s="85" customFormat="1" ht="15" customHeight="1">
      <c r="A21" s="86" t="s">
        <v>99</v>
      </c>
      <c r="B21" s="88" t="s">
        <v>77</v>
      </c>
      <c r="C21" s="86" t="s">
        <v>43</v>
      </c>
      <c r="D21" s="87" t="s">
        <v>78</v>
      </c>
      <c r="E21" s="86" t="s">
        <v>45</v>
      </c>
      <c r="F21" s="87" t="s">
        <v>144</v>
      </c>
      <c r="G21" s="87" t="s">
        <v>145</v>
      </c>
      <c r="H21" s="89"/>
      <c r="I21" s="90">
        <v>1</v>
      </c>
      <c r="J21" s="91">
        <v>1</v>
      </c>
      <c r="K21" s="92">
        <f t="shared" si="6"/>
        <v>5</v>
      </c>
      <c r="L21" s="92">
        <v>1</v>
      </c>
      <c r="M21" s="92">
        <v>1</v>
      </c>
      <c r="N21" s="92">
        <v>1</v>
      </c>
      <c r="O21" s="92">
        <v>1</v>
      </c>
      <c r="P21" s="92">
        <v>1</v>
      </c>
      <c r="Q21" s="90">
        <f t="shared" si="13"/>
        <v>5</v>
      </c>
      <c r="R21" s="93">
        <f t="shared" si="14"/>
        <v>1</v>
      </c>
      <c r="S21" s="93">
        <f t="shared" si="15"/>
        <v>1</v>
      </c>
      <c r="T21" s="93">
        <f t="shared" si="16"/>
        <v>1</v>
      </c>
      <c r="U21" s="93">
        <f t="shared" si="17"/>
        <v>1</v>
      </c>
      <c r="V21" s="93">
        <f t="shared" si="18"/>
        <v>1</v>
      </c>
    </row>
    <row r="22" spans="1:25" ht="15" customHeight="1">
      <c r="A22" s="27" t="s">
        <v>52</v>
      </c>
      <c r="B22" s="30" t="s">
        <v>77</v>
      </c>
      <c r="C22" s="27" t="s">
        <v>44</v>
      </c>
      <c r="D22" s="29" t="s">
        <v>78</v>
      </c>
      <c r="E22" s="86" t="s">
        <v>46</v>
      </c>
      <c r="F22" s="29" t="s">
        <v>82</v>
      </c>
      <c r="G22" s="29" t="s">
        <v>69</v>
      </c>
      <c r="H22" s="36"/>
      <c r="I22" s="38">
        <v>1</v>
      </c>
      <c r="J22" s="39">
        <v>2</v>
      </c>
      <c r="K22" s="92">
        <f t="shared" si="6"/>
        <v>2</v>
      </c>
      <c r="L22" s="40"/>
      <c r="M22" s="40"/>
      <c r="N22" s="92"/>
      <c r="O22" s="40">
        <v>1</v>
      </c>
      <c r="P22" s="40">
        <v>1</v>
      </c>
      <c r="Q22" s="38">
        <f t="shared" si="13"/>
        <v>4</v>
      </c>
      <c r="R22" s="41" t="str">
        <f t="shared" si="10"/>
        <v/>
      </c>
      <c r="S22" s="41" t="str">
        <f t="shared" si="8"/>
        <v/>
      </c>
      <c r="T22" s="41" t="str">
        <f t="shared" si="9"/>
        <v/>
      </c>
      <c r="U22" s="41">
        <f t="shared" si="11"/>
        <v>2</v>
      </c>
      <c r="V22" s="41">
        <f t="shared" si="12"/>
        <v>2</v>
      </c>
    </row>
    <row r="23" spans="1:25" ht="15" customHeight="1">
      <c r="A23" s="27" t="s">
        <v>52</v>
      </c>
      <c r="B23" s="30" t="s">
        <v>77</v>
      </c>
      <c r="C23" s="27" t="s">
        <v>52</v>
      </c>
      <c r="D23" s="29" t="s">
        <v>78</v>
      </c>
      <c r="E23" s="86" t="s">
        <v>47</v>
      </c>
      <c r="F23" s="29" t="s">
        <v>83</v>
      </c>
      <c r="G23" s="87" t="s">
        <v>148</v>
      </c>
      <c r="H23" s="36"/>
      <c r="I23" s="38">
        <v>1</v>
      </c>
      <c r="J23" s="39">
        <v>1</v>
      </c>
      <c r="K23" s="92">
        <f t="shared" si="6"/>
        <v>5</v>
      </c>
      <c r="L23" s="40">
        <v>1</v>
      </c>
      <c r="M23" s="92">
        <v>1</v>
      </c>
      <c r="N23" s="92">
        <v>1</v>
      </c>
      <c r="O23" s="92">
        <v>1</v>
      </c>
      <c r="P23" s="40">
        <v>1</v>
      </c>
      <c r="Q23" s="38">
        <f t="shared" si="13"/>
        <v>5</v>
      </c>
      <c r="R23" s="41">
        <f t="shared" si="10"/>
        <v>1</v>
      </c>
      <c r="S23" s="41">
        <f t="shared" si="8"/>
        <v>1</v>
      </c>
      <c r="T23" s="41">
        <f t="shared" si="9"/>
        <v>1</v>
      </c>
      <c r="U23" s="41">
        <f t="shared" si="11"/>
        <v>1</v>
      </c>
      <c r="V23" s="41">
        <f t="shared" si="12"/>
        <v>1</v>
      </c>
    </row>
    <row r="24" spans="1:25" ht="15" customHeight="1">
      <c r="A24" s="27" t="s">
        <v>52</v>
      </c>
      <c r="B24" s="30" t="s">
        <v>77</v>
      </c>
      <c r="C24" s="27" t="s">
        <v>52</v>
      </c>
      <c r="D24" s="29" t="s">
        <v>78</v>
      </c>
      <c r="E24" s="86" t="s">
        <v>48</v>
      </c>
      <c r="F24" s="29" t="s">
        <v>84</v>
      </c>
      <c r="G24" s="29" t="s">
        <v>69</v>
      </c>
      <c r="H24" s="36"/>
      <c r="I24" s="38">
        <v>1</v>
      </c>
      <c r="J24" s="39">
        <v>2</v>
      </c>
      <c r="K24" s="92">
        <f t="shared" si="6"/>
        <v>2</v>
      </c>
      <c r="L24" s="40"/>
      <c r="M24" s="40"/>
      <c r="N24" s="92"/>
      <c r="O24" s="40">
        <v>1</v>
      </c>
      <c r="P24" s="40">
        <v>1</v>
      </c>
      <c r="Q24" s="38">
        <f t="shared" si="13"/>
        <v>4</v>
      </c>
      <c r="R24" s="41" t="str">
        <f t="shared" si="10"/>
        <v/>
      </c>
      <c r="S24" s="41" t="str">
        <f t="shared" si="8"/>
        <v/>
      </c>
      <c r="T24" s="41" t="str">
        <f t="shared" si="9"/>
        <v/>
      </c>
      <c r="U24" s="41">
        <f t="shared" si="11"/>
        <v>2</v>
      </c>
      <c r="V24" s="41">
        <f t="shared" si="12"/>
        <v>2</v>
      </c>
    </row>
    <row r="25" spans="1:25">
      <c r="A25" s="27"/>
      <c r="B25" s="28"/>
      <c r="C25" s="27"/>
      <c r="D25" s="28"/>
      <c r="E25" s="27"/>
      <c r="F25" s="31"/>
      <c r="G25" s="29"/>
      <c r="H25" s="36"/>
      <c r="I25" s="38"/>
      <c r="J25" s="39"/>
      <c r="K25" s="92"/>
      <c r="L25" s="40"/>
      <c r="M25" s="40"/>
      <c r="N25" s="92"/>
      <c r="O25" s="40"/>
      <c r="P25" s="40"/>
      <c r="Q25" s="38"/>
      <c r="R25" s="41" t="str">
        <f t="shared" si="10"/>
        <v/>
      </c>
      <c r="S25" s="41" t="str">
        <f t="shared" si="8"/>
        <v/>
      </c>
      <c r="T25" s="41" t="str">
        <f t="shared" si="9"/>
        <v/>
      </c>
      <c r="U25" s="41" t="str">
        <f t="shared" si="11"/>
        <v/>
      </c>
      <c r="V25" s="41" t="str">
        <f t="shared" si="12"/>
        <v/>
      </c>
    </row>
    <row r="26" spans="1:25">
      <c r="A26" s="27" t="s">
        <v>93</v>
      </c>
      <c r="B26" s="30" t="s">
        <v>85</v>
      </c>
      <c r="C26" s="27" t="s">
        <v>94</v>
      </c>
      <c r="D26" s="29" t="s">
        <v>66</v>
      </c>
      <c r="E26" s="27" t="s">
        <v>42</v>
      </c>
      <c r="F26" s="31" t="s">
        <v>86</v>
      </c>
      <c r="G26" s="87" t="s">
        <v>149</v>
      </c>
      <c r="H26" s="36"/>
      <c r="I26" s="38">
        <v>10</v>
      </c>
      <c r="J26" s="39">
        <v>1</v>
      </c>
      <c r="K26" s="92">
        <f t="shared" si="6"/>
        <v>3</v>
      </c>
      <c r="L26" s="92">
        <v>0.5</v>
      </c>
      <c r="M26" s="92">
        <v>0.5</v>
      </c>
      <c r="N26" s="92">
        <v>0.5</v>
      </c>
      <c r="O26" s="92">
        <v>0.5</v>
      </c>
      <c r="P26" s="40">
        <v>1</v>
      </c>
      <c r="Q26" s="38">
        <f t="shared" ref="Q26:Q33" si="19">I26*J26*K26</f>
        <v>30</v>
      </c>
      <c r="R26" s="41">
        <f t="shared" si="10"/>
        <v>5</v>
      </c>
      <c r="S26" s="41">
        <f t="shared" si="8"/>
        <v>5</v>
      </c>
      <c r="T26" s="41">
        <f t="shared" si="9"/>
        <v>5</v>
      </c>
      <c r="U26" s="41">
        <f t="shared" si="11"/>
        <v>5</v>
      </c>
      <c r="V26" s="41">
        <f t="shared" si="12"/>
        <v>10</v>
      </c>
    </row>
    <row r="27" spans="1:25">
      <c r="A27" s="27" t="s">
        <v>93</v>
      </c>
      <c r="B27" s="30" t="s">
        <v>85</v>
      </c>
      <c r="C27" s="27" t="s">
        <v>94</v>
      </c>
      <c r="D27" s="29" t="s">
        <v>66</v>
      </c>
      <c r="E27" s="27" t="s">
        <v>44</v>
      </c>
      <c r="F27" s="31" t="s">
        <v>87</v>
      </c>
      <c r="G27" s="87" t="s">
        <v>149</v>
      </c>
      <c r="H27" s="36"/>
      <c r="I27" s="90">
        <v>10</v>
      </c>
      <c r="J27" s="39">
        <v>1</v>
      </c>
      <c r="K27" s="92">
        <f>SUM(L27:P27)</f>
        <v>3</v>
      </c>
      <c r="L27" s="92">
        <v>0.5</v>
      </c>
      <c r="M27" s="92">
        <v>0.5</v>
      </c>
      <c r="N27" s="92">
        <v>0.5</v>
      </c>
      <c r="O27" s="92">
        <v>0.5</v>
      </c>
      <c r="P27" s="40">
        <v>1</v>
      </c>
      <c r="Q27" s="38">
        <f>I27*J27*K27</f>
        <v>30</v>
      </c>
      <c r="R27" s="41">
        <f t="shared" si="10"/>
        <v>5</v>
      </c>
      <c r="S27" s="41">
        <f t="shared" si="8"/>
        <v>5</v>
      </c>
      <c r="T27" s="41">
        <f t="shared" si="9"/>
        <v>5</v>
      </c>
      <c r="U27" s="41">
        <f t="shared" si="11"/>
        <v>5</v>
      </c>
      <c r="V27" s="41">
        <f t="shared" si="12"/>
        <v>10</v>
      </c>
    </row>
    <row r="28" spans="1:25">
      <c r="A28" s="27" t="s">
        <v>93</v>
      </c>
      <c r="B28" s="30" t="s">
        <v>85</v>
      </c>
      <c r="C28" s="27" t="s">
        <v>94</v>
      </c>
      <c r="D28" s="29" t="s">
        <v>66</v>
      </c>
      <c r="E28" s="27" t="s">
        <v>49</v>
      </c>
      <c r="F28" s="31" t="s">
        <v>88</v>
      </c>
      <c r="G28" s="87" t="s">
        <v>149</v>
      </c>
      <c r="H28" s="36"/>
      <c r="I28" s="90">
        <v>10</v>
      </c>
      <c r="J28" s="39">
        <v>1</v>
      </c>
      <c r="K28" s="92">
        <f t="shared" si="6"/>
        <v>3</v>
      </c>
      <c r="L28" s="92">
        <v>0.5</v>
      </c>
      <c r="M28" s="92">
        <v>0.5</v>
      </c>
      <c r="N28" s="92">
        <v>0.5</v>
      </c>
      <c r="O28" s="92">
        <v>0.5</v>
      </c>
      <c r="P28" s="40">
        <v>1</v>
      </c>
      <c r="Q28" s="38">
        <f t="shared" si="19"/>
        <v>30</v>
      </c>
      <c r="R28" s="41">
        <f t="shared" si="10"/>
        <v>5</v>
      </c>
      <c r="S28" s="41">
        <f t="shared" si="8"/>
        <v>5</v>
      </c>
      <c r="T28" s="41">
        <f t="shared" si="9"/>
        <v>5</v>
      </c>
      <c r="U28" s="41">
        <f t="shared" si="11"/>
        <v>5</v>
      </c>
      <c r="V28" s="41">
        <f t="shared" si="12"/>
        <v>10</v>
      </c>
    </row>
    <row r="29" spans="1:25">
      <c r="A29" s="27" t="s">
        <v>93</v>
      </c>
      <c r="B29" s="30" t="s">
        <v>85</v>
      </c>
      <c r="C29" s="27" t="s">
        <v>94</v>
      </c>
      <c r="D29" s="29" t="s">
        <v>66</v>
      </c>
      <c r="E29" s="27" t="s">
        <v>50</v>
      </c>
      <c r="F29" s="31" t="s">
        <v>146</v>
      </c>
      <c r="G29" s="87" t="s">
        <v>70</v>
      </c>
      <c r="H29" s="36"/>
      <c r="I29" s="90">
        <v>10</v>
      </c>
      <c r="J29" s="39">
        <v>2</v>
      </c>
      <c r="K29" s="92">
        <f t="shared" si="6"/>
        <v>2</v>
      </c>
      <c r="L29" s="92">
        <v>0.5</v>
      </c>
      <c r="M29" s="40"/>
      <c r="N29" s="92"/>
      <c r="O29" s="92">
        <v>0.5</v>
      </c>
      <c r="P29" s="40">
        <v>1</v>
      </c>
      <c r="Q29" s="38">
        <f t="shared" si="19"/>
        <v>40</v>
      </c>
      <c r="R29" s="41">
        <f t="shared" si="10"/>
        <v>10</v>
      </c>
      <c r="S29" s="41" t="str">
        <f t="shared" si="8"/>
        <v/>
      </c>
      <c r="T29" s="41" t="str">
        <f t="shared" si="9"/>
        <v/>
      </c>
      <c r="U29" s="41">
        <f t="shared" si="11"/>
        <v>10</v>
      </c>
      <c r="V29" s="41">
        <f t="shared" si="12"/>
        <v>20</v>
      </c>
      <c r="W29" s="6"/>
      <c r="X29" s="6"/>
      <c r="Y29" s="6"/>
    </row>
    <row r="30" spans="1:25" ht="15" customHeight="1">
      <c r="A30" s="27" t="s">
        <v>93</v>
      </c>
      <c r="B30" s="30" t="s">
        <v>85</v>
      </c>
      <c r="C30" s="27" t="s">
        <v>94</v>
      </c>
      <c r="D30" s="87" t="s">
        <v>66</v>
      </c>
      <c r="E30" s="27" t="s">
        <v>44</v>
      </c>
      <c r="F30" s="29" t="s">
        <v>89</v>
      </c>
      <c r="G30" s="87" t="s">
        <v>145</v>
      </c>
      <c r="H30" s="89"/>
      <c r="I30" s="90">
        <v>1</v>
      </c>
      <c r="J30" s="91">
        <v>1</v>
      </c>
      <c r="K30" s="92">
        <f t="shared" si="6"/>
        <v>5</v>
      </c>
      <c r="L30" s="92">
        <v>1</v>
      </c>
      <c r="M30" s="92">
        <v>1</v>
      </c>
      <c r="N30" s="92">
        <v>1</v>
      </c>
      <c r="O30" s="92">
        <v>1</v>
      </c>
      <c r="P30" s="40">
        <v>1</v>
      </c>
      <c r="Q30" s="38">
        <f t="shared" si="19"/>
        <v>5</v>
      </c>
      <c r="R30" s="41">
        <f t="shared" si="10"/>
        <v>1</v>
      </c>
      <c r="S30" s="41">
        <f t="shared" si="8"/>
        <v>1</v>
      </c>
      <c r="T30" s="41">
        <f t="shared" si="9"/>
        <v>1</v>
      </c>
      <c r="U30" s="41">
        <f t="shared" si="11"/>
        <v>1</v>
      </c>
      <c r="V30" s="41">
        <f t="shared" si="12"/>
        <v>1</v>
      </c>
    </row>
    <row r="31" spans="1:25" ht="15" customHeight="1">
      <c r="A31" s="27" t="s">
        <v>93</v>
      </c>
      <c r="B31" s="30" t="s">
        <v>85</v>
      </c>
      <c r="C31" s="27" t="s">
        <v>94</v>
      </c>
      <c r="D31" s="87" t="s">
        <v>66</v>
      </c>
      <c r="E31" s="27" t="s">
        <v>49</v>
      </c>
      <c r="F31" s="29" t="s">
        <v>90</v>
      </c>
      <c r="G31" s="87" t="s">
        <v>69</v>
      </c>
      <c r="H31" s="89"/>
      <c r="I31" s="90">
        <v>1</v>
      </c>
      <c r="J31" s="91">
        <v>2</v>
      </c>
      <c r="K31" s="92">
        <f t="shared" si="6"/>
        <v>2</v>
      </c>
      <c r="L31" s="92"/>
      <c r="M31" s="92"/>
      <c r="N31" s="92"/>
      <c r="O31" s="92">
        <v>1</v>
      </c>
      <c r="P31" s="40">
        <v>1</v>
      </c>
      <c r="Q31" s="38">
        <f t="shared" si="19"/>
        <v>4</v>
      </c>
      <c r="R31" s="41" t="str">
        <f t="shared" si="10"/>
        <v/>
      </c>
      <c r="S31" s="41" t="str">
        <f t="shared" si="8"/>
        <v/>
      </c>
      <c r="T31" s="41" t="str">
        <f t="shared" si="9"/>
        <v/>
      </c>
      <c r="U31" s="41">
        <f t="shared" si="11"/>
        <v>2</v>
      </c>
      <c r="V31" s="41">
        <f t="shared" si="12"/>
        <v>2</v>
      </c>
    </row>
    <row r="32" spans="1:25" ht="15" customHeight="1">
      <c r="A32" s="27" t="s">
        <v>93</v>
      </c>
      <c r="B32" s="30" t="s">
        <v>85</v>
      </c>
      <c r="C32" s="27" t="s">
        <v>94</v>
      </c>
      <c r="D32" s="87" t="s">
        <v>66</v>
      </c>
      <c r="E32" s="27" t="s">
        <v>45</v>
      </c>
      <c r="F32" s="29" t="s">
        <v>91</v>
      </c>
      <c r="G32" s="87" t="s">
        <v>148</v>
      </c>
      <c r="H32" s="89"/>
      <c r="I32" s="90">
        <v>1</v>
      </c>
      <c r="J32" s="91">
        <v>1</v>
      </c>
      <c r="K32" s="92">
        <f t="shared" si="6"/>
        <v>5</v>
      </c>
      <c r="L32" s="92">
        <v>1</v>
      </c>
      <c r="M32" s="92">
        <v>1</v>
      </c>
      <c r="N32" s="92">
        <v>1</v>
      </c>
      <c r="O32" s="92">
        <v>1</v>
      </c>
      <c r="P32" s="40">
        <v>1</v>
      </c>
      <c r="Q32" s="38">
        <f t="shared" si="19"/>
        <v>5</v>
      </c>
      <c r="R32" s="41">
        <f t="shared" si="10"/>
        <v>1</v>
      </c>
      <c r="S32" s="41">
        <f t="shared" si="8"/>
        <v>1</v>
      </c>
      <c r="T32" s="41">
        <f t="shared" si="9"/>
        <v>1</v>
      </c>
      <c r="U32" s="41">
        <f t="shared" si="11"/>
        <v>1</v>
      </c>
      <c r="V32" s="41">
        <f t="shared" si="12"/>
        <v>1</v>
      </c>
    </row>
    <row r="33" spans="1:22" ht="15" customHeight="1">
      <c r="A33" s="27" t="s">
        <v>93</v>
      </c>
      <c r="B33" s="30" t="s">
        <v>85</v>
      </c>
      <c r="C33" s="27" t="s">
        <v>94</v>
      </c>
      <c r="D33" s="87" t="s">
        <v>66</v>
      </c>
      <c r="E33" s="27" t="s">
        <v>46</v>
      </c>
      <c r="F33" s="29" t="s">
        <v>92</v>
      </c>
      <c r="G33" s="87" t="s">
        <v>69</v>
      </c>
      <c r="H33" s="89"/>
      <c r="I33" s="90">
        <v>1</v>
      </c>
      <c r="J33" s="91">
        <v>2</v>
      </c>
      <c r="K33" s="92">
        <f t="shared" si="6"/>
        <v>2</v>
      </c>
      <c r="L33" s="92"/>
      <c r="M33" s="92"/>
      <c r="N33" s="92"/>
      <c r="O33" s="92">
        <v>1</v>
      </c>
      <c r="P33" s="40">
        <v>1</v>
      </c>
      <c r="Q33" s="38">
        <f t="shared" si="19"/>
        <v>4</v>
      </c>
      <c r="R33" s="41" t="str">
        <f t="shared" si="10"/>
        <v/>
      </c>
      <c r="S33" s="41" t="str">
        <f t="shared" si="8"/>
        <v/>
      </c>
      <c r="T33" s="41" t="str">
        <f t="shared" si="9"/>
        <v/>
      </c>
      <c r="U33" s="41">
        <f t="shared" si="11"/>
        <v>2</v>
      </c>
      <c r="V33" s="41">
        <f t="shared" si="12"/>
        <v>2</v>
      </c>
    </row>
    <row r="34" spans="1:22">
      <c r="A34" s="27"/>
      <c r="B34" s="30"/>
      <c r="C34" s="27"/>
      <c r="D34" s="80"/>
      <c r="E34" s="27"/>
      <c r="F34" s="29"/>
      <c r="G34" s="29"/>
      <c r="H34" s="36"/>
      <c r="I34" s="38"/>
      <c r="J34" s="39"/>
      <c r="K34" s="92"/>
      <c r="L34" s="40"/>
      <c r="M34" s="40"/>
      <c r="N34" s="92"/>
      <c r="O34" s="40"/>
      <c r="P34" s="40"/>
      <c r="Q34" s="38"/>
      <c r="R34" s="41" t="str">
        <f t="shared" si="10"/>
        <v/>
      </c>
      <c r="S34" s="41" t="str">
        <f t="shared" si="8"/>
        <v/>
      </c>
      <c r="T34" s="41" t="str">
        <f t="shared" si="9"/>
        <v/>
      </c>
      <c r="U34" s="41" t="str">
        <f t="shared" si="11"/>
        <v/>
      </c>
      <c r="V34" s="41" t="str">
        <f t="shared" si="12"/>
        <v/>
      </c>
    </row>
    <row r="35" spans="1:22">
      <c r="A35" s="27" t="s">
        <v>99</v>
      </c>
      <c r="B35" s="30" t="s">
        <v>95</v>
      </c>
      <c r="C35" s="27" t="s">
        <v>100</v>
      </c>
      <c r="D35" s="87" t="s">
        <v>61</v>
      </c>
      <c r="E35" s="27" t="s">
        <v>42</v>
      </c>
      <c r="F35" s="29" t="s">
        <v>96</v>
      </c>
      <c r="G35" s="87" t="s">
        <v>152</v>
      </c>
      <c r="H35" s="89"/>
      <c r="I35" s="90">
        <v>10</v>
      </c>
      <c r="J35" s="39">
        <v>1</v>
      </c>
      <c r="K35" s="92">
        <f t="shared" si="6"/>
        <v>3</v>
      </c>
      <c r="L35" s="92">
        <v>0.5</v>
      </c>
      <c r="M35" s="92">
        <v>0.5</v>
      </c>
      <c r="N35" s="92">
        <v>0.5</v>
      </c>
      <c r="O35" s="92">
        <v>0.5</v>
      </c>
      <c r="P35" s="40">
        <v>1</v>
      </c>
      <c r="Q35" s="38">
        <f t="shared" ref="Q35:Q41" si="20">I35*J35*K35</f>
        <v>30</v>
      </c>
      <c r="R35" s="41">
        <f t="shared" si="10"/>
        <v>5</v>
      </c>
      <c r="S35" s="41">
        <f t="shared" si="8"/>
        <v>5</v>
      </c>
      <c r="T35" s="41">
        <f t="shared" si="9"/>
        <v>5</v>
      </c>
      <c r="U35" s="41">
        <f t="shared" si="11"/>
        <v>5</v>
      </c>
      <c r="V35" s="41">
        <f t="shared" si="12"/>
        <v>10</v>
      </c>
    </row>
    <row r="36" spans="1:22">
      <c r="A36" s="27" t="s">
        <v>99</v>
      </c>
      <c r="B36" s="30" t="s">
        <v>95</v>
      </c>
      <c r="C36" s="27" t="s">
        <v>100</v>
      </c>
      <c r="D36" s="87" t="s">
        <v>61</v>
      </c>
      <c r="E36" s="27" t="s">
        <v>44</v>
      </c>
      <c r="F36" s="29" t="s">
        <v>97</v>
      </c>
      <c r="G36" s="87" t="s">
        <v>152</v>
      </c>
      <c r="H36" s="89"/>
      <c r="I36" s="90">
        <v>10</v>
      </c>
      <c r="J36" s="39">
        <v>1</v>
      </c>
      <c r="K36" s="92">
        <f t="shared" si="6"/>
        <v>3</v>
      </c>
      <c r="L36" s="92">
        <v>0.5</v>
      </c>
      <c r="M36" s="92">
        <v>0.5</v>
      </c>
      <c r="N36" s="92">
        <v>0.5</v>
      </c>
      <c r="O36" s="92">
        <v>0.5</v>
      </c>
      <c r="P36" s="92">
        <v>1</v>
      </c>
      <c r="Q36" s="38">
        <f t="shared" si="20"/>
        <v>30</v>
      </c>
      <c r="R36" s="41">
        <f t="shared" si="10"/>
        <v>5</v>
      </c>
      <c r="S36" s="41">
        <f t="shared" si="8"/>
        <v>5</v>
      </c>
      <c r="T36" s="41">
        <f t="shared" si="9"/>
        <v>5</v>
      </c>
      <c r="U36" s="41">
        <f t="shared" si="11"/>
        <v>5</v>
      </c>
      <c r="V36" s="41">
        <f t="shared" si="12"/>
        <v>10</v>
      </c>
    </row>
    <row r="37" spans="1:22">
      <c r="A37" s="27" t="s">
        <v>99</v>
      </c>
      <c r="B37" s="30" t="s">
        <v>95</v>
      </c>
      <c r="C37" s="27" t="s">
        <v>100</v>
      </c>
      <c r="D37" s="87" t="s">
        <v>61</v>
      </c>
      <c r="E37" s="27" t="s">
        <v>43</v>
      </c>
      <c r="F37" s="29" t="s">
        <v>98</v>
      </c>
      <c r="G37" s="29" t="s">
        <v>71</v>
      </c>
      <c r="H37" s="36"/>
      <c r="I37" s="38">
        <v>10</v>
      </c>
      <c r="J37" s="39">
        <v>1</v>
      </c>
      <c r="K37" s="92">
        <f t="shared" si="6"/>
        <v>3</v>
      </c>
      <c r="L37" s="92">
        <v>0.5</v>
      </c>
      <c r="M37" s="40"/>
      <c r="N37" s="92">
        <v>1</v>
      </c>
      <c r="O37" s="92">
        <v>0.5</v>
      </c>
      <c r="P37" s="40">
        <v>1</v>
      </c>
      <c r="Q37" s="38">
        <f t="shared" si="20"/>
        <v>30</v>
      </c>
      <c r="R37" s="41">
        <f t="shared" si="10"/>
        <v>5</v>
      </c>
      <c r="S37" s="41" t="str">
        <f t="shared" si="8"/>
        <v/>
      </c>
      <c r="T37" s="41">
        <f t="shared" si="9"/>
        <v>10</v>
      </c>
      <c r="U37" s="41">
        <f t="shared" si="11"/>
        <v>5</v>
      </c>
      <c r="V37" s="41">
        <f t="shared" si="12"/>
        <v>10</v>
      </c>
    </row>
    <row r="38" spans="1:22" ht="15" customHeight="1">
      <c r="A38" s="27" t="s">
        <v>99</v>
      </c>
      <c r="B38" s="30" t="s">
        <v>95</v>
      </c>
      <c r="C38" s="27" t="s">
        <v>100</v>
      </c>
      <c r="D38" s="87" t="s">
        <v>61</v>
      </c>
      <c r="E38" s="27" t="s">
        <v>45</v>
      </c>
      <c r="F38" s="29" t="s">
        <v>112</v>
      </c>
      <c r="G38" s="87" t="s">
        <v>145</v>
      </c>
      <c r="H38" s="89"/>
      <c r="I38" s="90">
        <v>1</v>
      </c>
      <c r="J38" s="91">
        <v>1</v>
      </c>
      <c r="K38" s="92">
        <f t="shared" si="6"/>
        <v>5</v>
      </c>
      <c r="L38" s="92">
        <v>1</v>
      </c>
      <c r="M38" s="92">
        <v>1</v>
      </c>
      <c r="N38" s="92">
        <v>1</v>
      </c>
      <c r="O38" s="92">
        <v>1</v>
      </c>
      <c r="P38" s="40">
        <v>1</v>
      </c>
      <c r="Q38" s="38">
        <f t="shared" si="20"/>
        <v>5</v>
      </c>
      <c r="R38" s="41">
        <f t="shared" si="10"/>
        <v>1</v>
      </c>
      <c r="S38" s="41">
        <f t="shared" si="8"/>
        <v>1</v>
      </c>
      <c r="T38" s="41">
        <f t="shared" si="9"/>
        <v>1</v>
      </c>
      <c r="U38" s="41">
        <f t="shared" si="11"/>
        <v>1</v>
      </c>
      <c r="V38" s="41">
        <f t="shared" si="12"/>
        <v>1</v>
      </c>
    </row>
    <row r="39" spans="1:22" ht="15" customHeight="1">
      <c r="A39" s="27" t="s">
        <v>99</v>
      </c>
      <c r="B39" s="30" t="s">
        <v>95</v>
      </c>
      <c r="C39" s="27" t="s">
        <v>100</v>
      </c>
      <c r="D39" s="87" t="s">
        <v>61</v>
      </c>
      <c r="E39" s="27" t="s">
        <v>46</v>
      </c>
      <c r="F39" s="29" t="s">
        <v>113</v>
      </c>
      <c r="G39" s="87" t="s">
        <v>69</v>
      </c>
      <c r="H39" s="89"/>
      <c r="I39" s="90">
        <v>1</v>
      </c>
      <c r="J39" s="91">
        <v>2</v>
      </c>
      <c r="K39" s="92">
        <f t="shared" si="6"/>
        <v>2</v>
      </c>
      <c r="L39" s="92"/>
      <c r="M39" s="92"/>
      <c r="N39" s="92"/>
      <c r="O39" s="92">
        <v>1</v>
      </c>
      <c r="P39" s="40">
        <v>1</v>
      </c>
      <c r="Q39" s="38">
        <f t="shared" si="20"/>
        <v>4</v>
      </c>
      <c r="R39" s="41" t="str">
        <f t="shared" si="10"/>
        <v/>
      </c>
      <c r="S39" s="41" t="str">
        <f t="shared" si="8"/>
        <v/>
      </c>
      <c r="T39" s="41" t="str">
        <f t="shared" si="9"/>
        <v/>
      </c>
      <c r="U39" s="41">
        <f t="shared" si="11"/>
        <v>2</v>
      </c>
      <c r="V39" s="41">
        <f t="shared" si="12"/>
        <v>2</v>
      </c>
    </row>
    <row r="40" spans="1:22" ht="15" customHeight="1">
      <c r="A40" s="27" t="s">
        <v>99</v>
      </c>
      <c r="B40" s="30" t="s">
        <v>95</v>
      </c>
      <c r="C40" s="27" t="s">
        <v>100</v>
      </c>
      <c r="D40" s="87" t="s">
        <v>61</v>
      </c>
      <c r="E40" s="27" t="s">
        <v>47</v>
      </c>
      <c r="F40" s="29" t="s">
        <v>114</v>
      </c>
      <c r="G40" s="87" t="s">
        <v>145</v>
      </c>
      <c r="H40" s="89"/>
      <c r="I40" s="90">
        <v>1</v>
      </c>
      <c r="J40" s="91">
        <v>1</v>
      </c>
      <c r="K40" s="92">
        <f t="shared" si="6"/>
        <v>5</v>
      </c>
      <c r="L40" s="92">
        <v>1</v>
      </c>
      <c r="M40" s="92">
        <v>1</v>
      </c>
      <c r="N40" s="92">
        <v>1</v>
      </c>
      <c r="O40" s="92">
        <v>1</v>
      </c>
      <c r="P40" s="40">
        <v>1</v>
      </c>
      <c r="Q40" s="38">
        <f t="shared" si="20"/>
        <v>5</v>
      </c>
      <c r="R40" s="41">
        <f t="shared" si="10"/>
        <v>1</v>
      </c>
      <c r="S40" s="41">
        <f t="shared" si="8"/>
        <v>1</v>
      </c>
      <c r="T40" s="41">
        <f t="shared" si="9"/>
        <v>1</v>
      </c>
      <c r="U40" s="41">
        <f t="shared" si="11"/>
        <v>1</v>
      </c>
      <c r="V40" s="41">
        <f t="shared" si="12"/>
        <v>1</v>
      </c>
    </row>
    <row r="41" spans="1:22" ht="15.75" customHeight="1">
      <c r="A41" s="27" t="s">
        <v>99</v>
      </c>
      <c r="B41" s="30" t="s">
        <v>95</v>
      </c>
      <c r="C41" s="27" t="s">
        <v>100</v>
      </c>
      <c r="D41" s="87" t="s">
        <v>61</v>
      </c>
      <c r="E41" s="27" t="s">
        <v>48</v>
      </c>
      <c r="F41" s="29" t="s">
        <v>115</v>
      </c>
      <c r="G41" s="87" t="s">
        <v>69</v>
      </c>
      <c r="H41" s="89"/>
      <c r="I41" s="90">
        <v>1</v>
      </c>
      <c r="J41" s="91">
        <v>2</v>
      </c>
      <c r="K41" s="92">
        <f t="shared" si="6"/>
        <v>2</v>
      </c>
      <c r="L41" s="92"/>
      <c r="M41" s="92"/>
      <c r="N41" s="92"/>
      <c r="O41" s="92">
        <v>1</v>
      </c>
      <c r="P41" s="40">
        <v>1</v>
      </c>
      <c r="Q41" s="38">
        <f t="shared" si="20"/>
        <v>4</v>
      </c>
      <c r="R41" s="41" t="str">
        <f t="shared" si="10"/>
        <v/>
      </c>
      <c r="S41" s="41" t="str">
        <f t="shared" si="8"/>
        <v/>
      </c>
      <c r="T41" s="41" t="str">
        <f t="shared" si="9"/>
        <v/>
      </c>
      <c r="U41" s="41">
        <f t="shared" si="11"/>
        <v>2</v>
      </c>
      <c r="V41" s="41">
        <f t="shared" si="12"/>
        <v>2</v>
      </c>
    </row>
    <row r="42" spans="1:22">
      <c r="A42" s="27"/>
      <c r="B42" s="28"/>
      <c r="C42" s="27"/>
      <c r="D42" s="28"/>
      <c r="E42" s="27"/>
      <c r="F42" s="29"/>
      <c r="G42" s="29"/>
      <c r="H42" s="36"/>
      <c r="I42" s="38"/>
      <c r="J42" s="39"/>
      <c r="K42" s="92"/>
      <c r="L42" s="40"/>
      <c r="M42" s="40"/>
      <c r="N42" s="92"/>
      <c r="O42" s="40"/>
      <c r="P42" s="40"/>
      <c r="Q42" s="38"/>
      <c r="R42" s="41" t="str">
        <f t="shared" si="10"/>
        <v/>
      </c>
      <c r="S42" s="41" t="str">
        <f t="shared" si="8"/>
        <v/>
      </c>
      <c r="T42" s="41" t="str">
        <f t="shared" si="9"/>
        <v/>
      </c>
      <c r="U42" s="41" t="str">
        <f t="shared" si="11"/>
        <v/>
      </c>
      <c r="V42" s="41" t="str">
        <f t="shared" si="12"/>
        <v/>
      </c>
    </row>
    <row r="43" spans="1:22">
      <c r="A43" s="27" t="s">
        <v>51</v>
      </c>
      <c r="B43" s="30" t="s">
        <v>101</v>
      </c>
      <c r="C43" s="27" t="s">
        <v>51</v>
      </c>
      <c r="D43" s="29" t="s">
        <v>61</v>
      </c>
      <c r="E43" s="27" t="s">
        <v>42</v>
      </c>
      <c r="F43" s="29" t="s">
        <v>102</v>
      </c>
      <c r="G43" s="29" t="s">
        <v>71</v>
      </c>
      <c r="H43" s="36"/>
      <c r="I43" s="38">
        <v>10</v>
      </c>
      <c r="J43" s="39">
        <v>1</v>
      </c>
      <c r="K43" s="92">
        <f t="shared" si="6"/>
        <v>3</v>
      </c>
      <c r="L43" s="92">
        <v>0.5</v>
      </c>
      <c r="M43" s="92">
        <v>0.5</v>
      </c>
      <c r="N43" s="92">
        <v>0.5</v>
      </c>
      <c r="O43" s="92">
        <v>0.5</v>
      </c>
      <c r="P43" s="92">
        <v>1</v>
      </c>
      <c r="Q43" s="38">
        <f t="shared" ref="Q43:Q47" si="21">I43*J43*K43</f>
        <v>30</v>
      </c>
      <c r="R43" s="41">
        <f t="shared" si="10"/>
        <v>5</v>
      </c>
      <c r="S43" s="41">
        <f t="shared" si="8"/>
        <v>5</v>
      </c>
      <c r="T43" s="41">
        <f t="shared" si="9"/>
        <v>5</v>
      </c>
      <c r="U43" s="41">
        <f t="shared" si="11"/>
        <v>5</v>
      </c>
      <c r="V43" s="41">
        <f t="shared" si="12"/>
        <v>10</v>
      </c>
    </row>
    <row r="44" spans="1:22" ht="15" customHeight="1">
      <c r="A44" s="27" t="s">
        <v>51</v>
      </c>
      <c r="B44" s="30" t="s">
        <v>101</v>
      </c>
      <c r="C44" s="27" t="s">
        <v>51</v>
      </c>
      <c r="D44" s="29" t="s">
        <v>61</v>
      </c>
      <c r="E44" s="27" t="s">
        <v>44</v>
      </c>
      <c r="F44" s="29" t="s">
        <v>103</v>
      </c>
      <c r="G44" s="87" t="s">
        <v>145</v>
      </c>
      <c r="H44" s="89"/>
      <c r="I44" s="90">
        <v>1</v>
      </c>
      <c r="J44" s="91">
        <v>1</v>
      </c>
      <c r="K44" s="92">
        <f t="shared" si="6"/>
        <v>5</v>
      </c>
      <c r="L44" s="92">
        <v>1</v>
      </c>
      <c r="M44" s="92">
        <v>1</v>
      </c>
      <c r="N44" s="92">
        <v>1</v>
      </c>
      <c r="O44" s="92">
        <v>1</v>
      </c>
      <c r="P44" s="40">
        <v>1</v>
      </c>
      <c r="Q44" s="38">
        <f t="shared" si="21"/>
        <v>5</v>
      </c>
      <c r="R44" s="41">
        <f t="shared" si="10"/>
        <v>1</v>
      </c>
      <c r="S44" s="41">
        <f t="shared" si="8"/>
        <v>1</v>
      </c>
      <c r="T44" s="41">
        <f t="shared" si="9"/>
        <v>1</v>
      </c>
      <c r="U44" s="41">
        <f t="shared" si="11"/>
        <v>1</v>
      </c>
      <c r="V44" s="41">
        <f t="shared" si="12"/>
        <v>1</v>
      </c>
    </row>
    <row r="45" spans="1:22" ht="15" customHeight="1">
      <c r="A45" s="27" t="s">
        <v>51</v>
      </c>
      <c r="B45" s="30" t="s">
        <v>101</v>
      </c>
      <c r="C45" s="27" t="s">
        <v>51</v>
      </c>
      <c r="D45" s="29" t="s">
        <v>61</v>
      </c>
      <c r="E45" s="27" t="s">
        <v>49</v>
      </c>
      <c r="F45" s="29" t="s">
        <v>104</v>
      </c>
      <c r="G45" s="87" t="s">
        <v>69</v>
      </c>
      <c r="H45" s="89"/>
      <c r="I45" s="90">
        <v>1</v>
      </c>
      <c r="J45" s="91">
        <v>2</v>
      </c>
      <c r="K45" s="92">
        <f t="shared" si="6"/>
        <v>2</v>
      </c>
      <c r="L45" s="92"/>
      <c r="M45" s="92"/>
      <c r="N45" s="92"/>
      <c r="O45" s="92">
        <v>1</v>
      </c>
      <c r="P45" s="40">
        <v>1</v>
      </c>
      <c r="Q45" s="38">
        <f t="shared" si="21"/>
        <v>4</v>
      </c>
      <c r="R45" s="41" t="str">
        <f t="shared" si="10"/>
        <v/>
      </c>
      <c r="S45" s="41" t="str">
        <f t="shared" si="8"/>
        <v/>
      </c>
      <c r="T45" s="41" t="str">
        <f t="shared" si="9"/>
        <v/>
      </c>
      <c r="U45" s="41">
        <f t="shared" si="11"/>
        <v>2</v>
      </c>
      <c r="V45" s="41">
        <f t="shared" si="12"/>
        <v>2</v>
      </c>
    </row>
    <row r="46" spans="1:22" ht="15" customHeight="1">
      <c r="A46" s="27" t="s">
        <v>51</v>
      </c>
      <c r="B46" s="30" t="s">
        <v>101</v>
      </c>
      <c r="C46" s="27" t="s">
        <v>51</v>
      </c>
      <c r="D46" s="29" t="s">
        <v>61</v>
      </c>
      <c r="E46" s="27" t="s">
        <v>45</v>
      </c>
      <c r="F46" s="29" t="s">
        <v>105</v>
      </c>
      <c r="G46" s="87" t="s">
        <v>148</v>
      </c>
      <c r="H46" s="89"/>
      <c r="I46" s="90">
        <v>1</v>
      </c>
      <c r="J46" s="91">
        <v>1</v>
      </c>
      <c r="K46" s="92">
        <f t="shared" si="6"/>
        <v>5</v>
      </c>
      <c r="L46" s="92">
        <v>1</v>
      </c>
      <c r="M46" s="92">
        <v>1</v>
      </c>
      <c r="N46" s="92">
        <v>1</v>
      </c>
      <c r="O46" s="92">
        <v>1</v>
      </c>
      <c r="P46" s="40">
        <v>1</v>
      </c>
      <c r="Q46" s="38">
        <f t="shared" si="21"/>
        <v>5</v>
      </c>
      <c r="R46" s="41">
        <f t="shared" si="10"/>
        <v>1</v>
      </c>
      <c r="S46" s="41">
        <f t="shared" si="8"/>
        <v>1</v>
      </c>
      <c r="T46" s="41">
        <f t="shared" si="9"/>
        <v>1</v>
      </c>
      <c r="U46" s="41">
        <f t="shared" si="11"/>
        <v>1</v>
      </c>
      <c r="V46" s="41">
        <f t="shared" si="12"/>
        <v>1</v>
      </c>
    </row>
    <row r="47" spans="1:22" ht="15" customHeight="1">
      <c r="A47" s="27" t="s">
        <v>51</v>
      </c>
      <c r="B47" s="30" t="s">
        <v>101</v>
      </c>
      <c r="C47" s="27" t="s">
        <v>51</v>
      </c>
      <c r="D47" s="29" t="s">
        <v>61</v>
      </c>
      <c r="E47" s="27" t="s">
        <v>46</v>
      </c>
      <c r="F47" s="29" t="s">
        <v>106</v>
      </c>
      <c r="G47" s="87" t="s">
        <v>69</v>
      </c>
      <c r="H47" s="89"/>
      <c r="I47" s="90">
        <v>1</v>
      </c>
      <c r="J47" s="91">
        <v>2</v>
      </c>
      <c r="K47" s="92">
        <f t="shared" si="6"/>
        <v>2</v>
      </c>
      <c r="L47" s="92"/>
      <c r="M47" s="92"/>
      <c r="N47" s="92"/>
      <c r="O47" s="92">
        <v>1</v>
      </c>
      <c r="P47" s="40">
        <v>1</v>
      </c>
      <c r="Q47" s="38">
        <f t="shared" si="21"/>
        <v>4</v>
      </c>
      <c r="R47" s="41" t="str">
        <f t="shared" si="10"/>
        <v/>
      </c>
      <c r="S47" s="41" t="str">
        <f t="shared" si="8"/>
        <v/>
      </c>
      <c r="T47" s="41" t="str">
        <f t="shared" si="9"/>
        <v/>
      </c>
      <c r="U47" s="41">
        <f t="shared" si="11"/>
        <v>2</v>
      </c>
      <c r="V47" s="41">
        <f t="shared" si="12"/>
        <v>2</v>
      </c>
    </row>
    <row r="48" spans="1:22" ht="15" customHeight="1">
      <c r="A48" s="27"/>
      <c r="B48" s="30"/>
      <c r="C48" s="27"/>
      <c r="D48" s="29"/>
      <c r="E48" s="27"/>
      <c r="F48" s="29"/>
      <c r="G48" s="29"/>
      <c r="H48" s="36"/>
      <c r="I48" s="38"/>
      <c r="J48" s="39"/>
      <c r="K48" s="92"/>
      <c r="L48" s="40"/>
      <c r="M48" s="40"/>
      <c r="N48" s="92"/>
      <c r="O48" s="40"/>
      <c r="P48" s="40"/>
      <c r="Q48" s="38"/>
      <c r="R48" s="41" t="str">
        <f t="shared" si="10"/>
        <v/>
      </c>
      <c r="S48" s="41" t="str">
        <f t="shared" si="8"/>
        <v/>
      </c>
      <c r="T48" s="41" t="str">
        <f t="shared" si="9"/>
        <v/>
      </c>
      <c r="U48" s="41" t="str">
        <f t="shared" si="11"/>
        <v/>
      </c>
      <c r="V48" s="41" t="str">
        <f t="shared" si="12"/>
        <v/>
      </c>
    </row>
    <row r="49" spans="1:25">
      <c r="A49" s="27" t="s">
        <v>120</v>
      </c>
      <c r="B49" s="30" t="s">
        <v>111</v>
      </c>
      <c r="C49" s="27" t="s">
        <v>120</v>
      </c>
      <c r="D49" s="29" t="s">
        <v>111</v>
      </c>
      <c r="E49" s="27" t="s">
        <v>42</v>
      </c>
      <c r="F49" s="29" t="s">
        <v>116</v>
      </c>
      <c r="G49" s="87" t="s">
        <v>149</v>
      </c>
      <c r="H49" s="36"/>
      <c r="I49" s="38">
        <v>10</v>
      </c>
      <c r="J49" s="39">
        <v>1</v>
      </c>
      <c r="K49" s="92">
        <f t="shared" si="6"/>
        <v>3</v>
      </c>
      <c r="L49" s="92">
        <v>0.5</v>
      </c>
      <c r="M49" s="92">
        <v>0.5</v>
      </c>
      <c r="N49" s="92">
        <v>0.5</v>
      </c>
      <c r="O49" s="92">
        <v>0.5</v>
      </c>
      <c r="P49" s="92">
        <v>1</v>
      </c>
      <c r="Q49" s="38">
        <f t="shared" ref="Q49:Q54" si="22">I49*J49*K49</f>
        <v>30</v>
      </c>
      <c r="R49" s="41">
        <f t="shared" si="10"/>
        <v>5</v>
      </c>
      <c r="S49" s="41">
        <f t="shared" si="8"/>
        <v>5</v>
      </c>
      <c r="T49" s="41">
        <f t="shared" si="9"/>
        <v>5</v>
      </c>
      <c r="U49" s="41">
        <f>IF(($I49*$J49*O49)=0,"",($I49*$J49*O49))</f>
        <v>5</v>
      </c>
      <c r="V49" s="41">
        <f t="shared" si="12"/>
        <v>10</v>
      </c>
    </row>
    <row r="50" spans="1:25">
      <c r="A50" s="27" t="s">
        <v>120</v>
      </c>
      <c r="B50" s="30" t="s">
        <v>111</v>
      </c>
      <c r="C50" s="27" t="s">
        <v>120</v>
      </c>
      <c r="D50" s="29" t="s">
        <v>111</v>
      </c>
      <c r="E50" s="86" t="s">
        <v>52</v>
      </c>
      <c r="F50" s="29" t="s">
        <v>117</v>
      </c>
      <c r="G50" s="29" t="s">
        <v>71</v>
      </c>
      <c r="H50" s="36"/>
      <c r="I50" s="38">
        <v>10</v>
      </c>
      <c r="J50" s="39">
        <v>1</v>
      </c>
      <c r="K50" s="92">
        <f t="shared" si="6"/>
        <v>3</v>
      </c>
      <c r="L50" s="92">
        <v>0.5</v>
      </c>
      <c r="M50" s="40"/>
      <c r="N50" s="92">
        <v>1</v>
      </c>
      <c r="O50" s="92">
        <v>0.5</v>
      </c>
      <c r="P50" s="40">
        <v>1</v>
      </c>
      <c r="Q50" s="38">
        <f t="shared" si="22"/>
        <v>30</v>
      </c>
      <c r="R50" s="41">
        <f t="shared" si="10"/>
        <v>5</v>
      </c>
      <c r="S50" s="41" t="str">
        <f t="shared" si="8"/>
        <v/>
      </c>
      <c r="T50" s="41">
        <f t="shared" si="9"/>
        <v>10</v>
      </c>
      <c r="U50" s="41">
        <f>IF(($I50*$J50*O50)=0,"",($I50*$J50*O50))</f>
        <v>5</v>
      </c>
      <c r="V50" s="41">
        <f t="shared" si="12"/>
        <v>10</v>
      </c>
    </row>
    <row r="51" spans="1:25" ht="15" customHeight="1">
      <c r="A51" s="27" t="s">
        <v>120</v>
      </c>
      <c r="B51" s="30" t="s">
        <v>111</v>
      </c>
      <c r="C51" s="27" t="s">
        <v>120</v>
      </c>
      <c r="D51" s="29" t="s">
        <v>111</v>
      </c>
      <c r="E51" s="86" t="s">
        <v>43</v>
      </c>
      <c r="F51" s="29" t="s">
        <v>127</v>
      </c>
      <c r="G51" s="87" t="s">
        <v>145</v>
      </c>
      <c r="H51" s="89"/>
      <c r="I51" s="90">
        <v>1</v>
      </c>
      <c r="J51" s="91">
        <v>1</v>
      </c>
      <c r="K51" s="92">
        <f t="shared" si="6"/>
        <v>5</v>
      </c>
      <c r="L51" s="92">
        <v>1</v>
      </c>
      <c r="M51" s="92">
        <v>1</v>
      </c>
      <c r="N51" s="92">
        <v>1</v>
      </c>
      <c r="O51" s="92">
        <v>1</v>
      </c>
      <c r="P51" s="40">
        <v>1</v>
      </c>
      <c r="Q51" s="38">
        <f t="shared" si="22"/>
        <v>5</v>
      </c>
      <c r="R51" s="41">
        <f t="shared" si="10"/>
        <v>1</v>
      </c>
      <c r="S51" s="41">
        <f t="shared" si="8"/>
        <v>1</v>
      </c>
      <c r="T51" s="41">
        <f t="shared" si="9"/>
        <v>1</v>
      </c>
      <c r="U51" s="41">
        <f t="shared" si="11"/>
        <v>1</v>
      </c>
      <c r="V51" s="41">
        <f t="shared" si="12"/>
        <v>1</v>
      </c>
    </row>
    <row r="52" spans="1:25" ht="15" customHeight="1">
      <c r="A52" s="27" t="s">
        <v>120</v>
      </c>
      <c r="B52" s="30" t="s">
        <v>111</v>
      </c>
      <c r="C52" s="27" t="s">
        <v>120</v>
      </c>
      <c r="D52" s="29" t="s">
        <v>111</v>
      </c>
      <c r="E52" s="86" t="s">
        <v>45</v>
      </c>
      <c r="F52" s="29" t="s">
        <v>126</v>
      </c>
      <c r="G52" s="87" t="s">
        <v>69</v>
      </c>
      <c r="H52" s="89"/>
      <c r="I52" s="90">
        <v>1</v>
      </c>
      <c r="J52" s="91">
        <v>2</v>
      </c>
      <c r="K52" s="92">
        <f t="shared" si="6"/>
        <v>2</v>
      </c>
      <c r="L52" s="92"/>
      <c r="M52" s="92"/>
      <c r="N52" s="92"/>
      <c r="O52" s="92">
        <v>1</v>
      </c>
      <c r="P52" s="40">
        <v>1</v>
      </c>
      <c r="Q52" s="38">
        <f t="shared" si="22"/>
        <v>4</v>
      </c>
      <c r="R52" s="41" t="str">
        <f t="shared" si="10"/>
        <v/>
      </c>
      <c r="S52" s="41" t="str">
        <f t="shared" si="8"/>
        <v/>
      </c>
      <c r="T52" s="41" t="str">
        <f t="shared" si="9"/>
        <v/>
      </c>
      <c r="U52" s="41">
        <f t="shared" si="11"/>
        <v>2</v>
      </c>
      <c r="V52" s="41">
        <f t="shared" si="12"/>
        <v>2</v>
      </c>
    </row>
    <row r="53" spans="1:25" ht="15" customHeight="1">
      <c r="A53" s="27" t="s">
        <v>120</v>
      </c>
      <c r="B53" s="30" t="s">
        <v>111</v>
      </c>
      <c r="C53" s="27" t="s">
        <v>120</v>
      </c>
      <c r="D53" s="29" t="s">
        <v>111</v>
      </c>
      <c r="E53" s="86" t="s">
        <v>46</v>
      </c>
      <c r="F53" s="29" t="s">
        <v>118</v>
      </c>
      <c r="G53" s="87" t="s">
        <v>148</v>
      </c>
      <c r="H53" s="89"/>
      <c r="I53" s="90">
        <v>1</v>
      </c>
      <c r="J53" s="91">
        <v>1</v>
      </c>
      <c r="K53" s="92">
        <f t="shared" si="6"/>
        <v>5</v>
      </c>
      <c r="L53" s="92">
        <v>1</v>
      </c>
      <c r="M53" s="92">
        <v>1</v>
      </c>
      <c r="N53" s="92">
        <v>1</v>
      </c>
      <c r="O53" s="92">
        <v>1</v>
      </c>
      <c r="P53" s="40">
        <v>1</v>
      </c>
      <c r="Q53" s="38">
        <f t="shared" si="22"/>
        <v>5</v>
      </c>
      <c r="R53" s="41">
        <f t="shared" si="10"/>
        <v>1</v>
      </c>
      <c r="S53" s="41">
        <f t="shared" si="8"/>
        <v>1</v>
      </c>
      <c r="T53" s="41">
        <f t="shared" si="9"/>
        <v>1</v>
      </c>
      <c r="U53" s="41">
        <f t="shared" si="11"/>
        <v>1</v>
      </c>
      <c r="V53" s="41">
        <f t="shared" si="12"/>
        <v>1</v>
      </c>
    </row>
    <row r="54" spans="1:25" ht="15.75" customHeight="1">
      <c r="A54" s="27" t="s">
        <v>120</v>
      </c>
      <c r="B54" s="30" t="s">
        <v>111</v>
      </c>
      <c r="C54" s="27" t="s">
        <v>120</v>
      </c>
      <c r="D54" s="29" t="s">
        <v>111</v>
      </c>
      <c r="E54" s="86" t="s">
        <v>47</v>
      </c>
      <c r="F54" s="29" t="s">
        <v>119</v>
      </c>
      <c r="G54" s="87" t="s">
        <v>69</v>
      </c>
      <c r="H54" s="89"/>
      <c r="I54" s="90">
        <v>1</v>
      </c>
      <c r="J54" s="91">
        <v>2</v>
      </c>
      <c r="K54" s="92">
        <f t="shared" si="6"/>
        <v>2</v>
      </c>
      <c r="L54" s="92"/>
      <c r="M54" s="92"/>
      <c r="N54" s="92"/>
      <c r="O54" s="92">
        <v>1</v>
      </c>
      <c r="P54" s="40">
        <v>1</v>
      </c>
      <c r="Q54" s="38">
        <f t="shared" si="22"/>
        <v>4</v>
      </c>
      <c r="R54" s="41" t="str">
        <f t="shared" si="10"/>
        <v/>
      </c>
      <c r="S54" s="41" t="str">
        <f t="shared" si="8"/>
        <v/>
      </c>
      <c r="T54" s="41" t="str">
        <f t="shared" si="9"/>
        <v/>
      </c>
      <c r="U54" s="41">
        <f t="shared" si="11"/>
        <v>2</v>
      </c>
      <c r="V54" s="41">
        <f t="shared" si="12"/>
        <v>2</v>
      </c>
    </row>
    <row r="55" spans="1:25" ht="15.75" customHeight="1">
      <c r="A55" s="27"/>
      <c r="B55" s="30"/>
      <c r="C55" s="27"/>
      <c r="D55" s="81"/>
      <c r="E55" s="27"/>
      <c r="F55" s="29"/>
      <c r="G55" s="29"/>
      <c r="H55" s="36"/>
      <c r="I55" s="38"/>
      <c r="J55" s="39"/>
      <c r="K55" s="92"/>
      <c r="L55" s="40"/>
      <c r="M55" s="40"/>
      <c r="N55" s="92"/>
      <c r="O55" s="40"/>
      <c r="P55" s="40"/>
      <c r="Q55" s="38"/>
      <c r="R55" s="41" t="str">
        <f t="shared" si="10"/>
        <v/>
      </c>
      <c r="S55" s="41" t="str">
        <f t="shared" si="8"/>
        <v/>
      </c>
      <c r="T55" s="41" t="str">
        <f t="shared" si="9"/>
        <v/>
      </c>
      <c r="U55" s="41" t="str">
        <f t="shared" si="11"/>
        <v/>
      </c>
      <c r="V55" s="41" t="str">
        <f t="shared" si="12"/>
        <v/>
      </c>
    </row>
    <row r="56" spans="1:25" ht="15" customHeight="1">
      <c r="A56" s="27" t="s">
        <v>121</v>
      </c>
      <c r="B56" s="30" t="s">
        <v>108</v>
      </c>
      <c r="C56" s="27" t="s">
        <v>121</v>
      </c>
      <c r="D56" s="30" t="s">
        <v>156</v>
      </c>
      <c r="E56" s="27" t="s">
        <v>42</v>
      </c>
      <c r="F56" s="29" t="s">
        <v>109</v>
      </c>
      <c r="G56" s="87" t="s">
        <v>164</v>
      </c>
      <c r="H56" s="89"/>
      <c r="I56" s="90">
        <v>15</v>
      </c>
      <c r="J56" s="91">
        <v>2</v>
      </c>
      <c r="K56" s="92">
        <f t="shared" si="6"/>
        <v>3</v>
      </c>
      <c r="L56" s="92">
        <v>0.5</v>
      </c>
      <c r="M56" s="92">
        <v>0.5</v>
      </c>
      <c r="N56" s="92">
        <v>0.5</v>
      </c>
      <c r="O56" s="92">
        <v>0.5</v>
      </c>
      <c r="P56" s="92">
        <v>1</v>
      </c>
      <c r="Q56" s="38">
        <f>I56*J56*K56</f>
        <v>90</v>
      </c>
      <c r="R56" s="41">
        <f t="shared" si="10"/>
        <v>15</v>
      </c>
      <c r="S56" s="41">
        <f t="shared" si="8"/>
        <v>15</v>
      </c>
      <c r="T56" s="41">
        <f t="shared" si="9"/>
        <v>15</v>
      </c>
      <c r="U56" s="41">
        <f t="shared" si="11"/>
        <v>15</v>
      </c>
      <c r="V56" s="41">
        <f t="shared" si="12"/>
        <v>30</v>
      </c>
    </row>
    <row r="57" spans="1:25" ht="15.75" customHeight="1">
      <c r="A57" s="27" t="s">
        <v>121</v>
      </c>
      <c r="B57" s="30" t="s">
        <v>108</v>
      </c>
      <c r="C57" s="27" t="s">
        <v>121</v>
      </c>
      <c r="D57" s="88" t="s">
        <v>156</v>
      </c>
      <c r="E57" s="27" t="s">
        <v>52</v>
      </c>
      <c r="F57" s="29" t="s">
        <v>110</v>
      </c>
      <c r="G57" s="87" t="s">
        <v>163</v>
      </c>
      <c r="H57" s="89"/>
      <c r="I57" s="90">
        <v>10</v>
      </c>
      <c r="J57" s="91">
        <v>2</v>
      </c>
      <c r="K57" s="92">
        <f t="shared" si="6"/>
        <v>2.5</v>
      </c>
      <c r="L57" s="92"/>
      <c r="M57" s="92">
        <v>0.5</v>
      </c>
      <c r="N57" s="92">
        <v>0.5</v>
      </c>
      <c r="O57" s="92">
        <v>0.5</v>
      </c>
      <c r="P57" s="92">
        <v>1</v>
      </c>
      <c r="Q57" s="38">
        <f t="shared" ref="Q57:Q58" si="23">I57*J57*K57</f>
        <v>50</v>
      </c>
      <c r="R57" s="41" t="str">
        <f t="shared" si="10"/>
        <v/>
      </c>
      <c r="S57" s="41">
        <f t="shared" si="8"/>
        <v>10</v>
      </c>
      <c r="T57" s="41">
        <f t="shared" si="9"/>
        <v>10</v>
      </c>
      <c r="U57" s="41">
        <f t="shared" si="11"/>
        <v>10</v>
      </c>
      <c r="V57" s="41">
        <f t="shared" si="12"/>
        <v>20</v>
      </c>
    </row>
    <row r="58" spans="1:25" ht="15" customHeight="1">
      <c r="A58" s="27" t="s">
        <v>121</v>
      </c>
      <c r="B58" s="30" t="s">
        <v>108</v>
      </c>
      <c r="C58" s="27" t="s">
        <v>121</v>
      </c>
      <c r="D58" s="88" t="s">
        <v>156</v>
      </c>
      <c r="E58" s="27" t="s">
        <v>43</v>
      </c>
      <c r="F58" s="28" t="s">
        <v>132</v>
      </c>
      <c r="G58" s="87" t="s">
        <v>147</v>
      </c>
      <c r="H58" s="89"/>
      <c r="I58" s="90">
        <v>10</v>
      </c>
      <c r="J58" s="91">
        <v>1</v>
      </c>
      <c r="K58" s="92">
        <f t="shared" si="6"/>
        <v>1</v>
      </c>
      <c r="L58" s="92"/>
      <c r="M58" s="92"/>
      <c r="N58" s="92"/>
      <c r="O58" s="92"/>
      <c r="P58" s="92">
        <v>1</v>
      </c>
      <c r="Q58" s="38">
        <f t="shared" si="23"/>
        <v>10</v>
      </c>
      <c r="R58" s="41" t="str">
        <f t="shared" si="10"/>
        <v/>
      </c>
      <c r="S58" s="41" t="str">
        <f t="shared" si="8"/>
        <v/>
      </c>
      <c r="T58" s="41" t="str">
        <f t="shared" si="9"/>
        <v/>
      </c>
      <c r="U58" s="41" t="str">
        <f t="shared" si="11"/>
        <v/>
      </c>
      <c r="V58" s="41">
        <f t="shared" si="12"/>
        <v>10</v>
      </c>
      <c r="W58" s="6"/>
      <c r="X58" s="6"/>
      <c r="Y58" s="6"/>
    </row>
    <row r="59" spans="1:25" ht="15" customHeight="1">
      <c r="A59" s="27" t="s">
        <v>121</v>
      </c>
      <c r="B59" s="30" t="s">
        <v>108</v>
      </c>
      <c r="C59" s="27" t="s">
        <v>121</v>
      </c>
      <c r="D59" s="88" t="s">
        <v>156</v>
      </c>
      <c r="E59" s="27" t="s">
        <v>45</v>
      </c>
      <c r="F59" s="28" t="s">
        <v>133</v>
      </c>
      <c r="G59" s="87" t="s">
        <v>147</v>
      </c>
      <c r="H59" s="89"/>
      <c r="I59" s="90">
        <v>10</v>
      </c>
      <c r="J59" s="91">
        <v>1</v>
      </c>
      <c r="K59" s="92">
        <f t="shared" si="6"/>
        <v>3</v>
      </c>
      <c r="L59" s="92">
        <v>1</v>
      </c>
      <c r="M59" s="92"/>
      <c r="N59" s="92">
        <v>1</v>
      </c>
      <c r="O59" s="92"/>
      <c r="P59" s="92">
        <v>1</v>
      </c>
      <c r="Q59" s="38">
        <f>I59*J59*K59</f>
        <v>30</v>
      </c>
      <c r="R59" s="41">
        <f t="shared" si="10"/>
        <v>10</v>
      </c>
      <c r="S59" s="41" t="str">
        <f t="shared" si="8"/>
        <v/>
      </c>
      <c r="T59" s="41">
        <f t="shared" si="9"/>
        <v>10</v>
      </c>
      <c r="U59" s="41" t="str">
        <f t="shared" si="11"/>
        <v/>
      </c>
      <c r="V59" s="41">
        <f t="shared" si="12"/>
        <v>10</v>
      </c>
    </row>
    <row r="60" spans="1:25" ht="15" customHeight="1">
      <c r="A60" s="27"/>
      <c r="B60" s="30" t="s">
        <v>108</v>
      </c>
      <c r="C60" s="27" t="s">
        <v>121</v>
      </c>
      <c r="D60" s="88" t="s">
        <v>156</v>
      </c>
      <c r="E60" s="27" t="s">
        <v>46</v>
      </c>
      <c r="F60" s="79" t="s">
        <v>134</v>
      </c>
      <c r="G60" s="87" t="s">
        <v>147</v>
      </c>
      <c r="H60" s="89"/>
      <c r="I60" s="90">
        <v>10</v>
      </c>
      <c r="J60" s="91">
        <v>1</v>
      </c>
      <c r="K60" s="92">
        <f t="shared" si="6"/>
        <v>2</v>
      </c>
      <c r="L60" s="92"/>
      <c r="M60" s="92"/>
      <c r="N60" s="92">
        <v>1</v>
      </c>
      <c r="O60" s="92"/>
      <c r="P60" s="92">
        <v>1</v>
      </c>
      <c r="Q60" s="90">
        <f>I60*J60*K60</f>
        <v>20</v>
      </c>
      <c r="R60" s="41" t="str">
        <f t="shared" si="10"/>
        <v/>
      </c>
      <c r="S60" s="41" t="str">
        <f t="shared" si="8"/>
        <v/>
      </c>
      <c r="T60" s="41">
        <f t="shared" si="9"/>
        <v>10</v>
      </c>
      <c r="U60" s="41" t="str">
        <f t="shared" si="11"/>
        <v/>
      </c>
      <c r="V60" s="41">
        <f t="shared" si="12"/>
        <v>10</v>
      </c>
      <c r="W60" s="6"/>
      <c r="X60" s="6"/>
      <c r="Y60" s="6"/>
    </row>
    <row r="61" spans="1:25">
      <c r="A61" s="27"/>
      <c r="B61" s="30"/>
      <c r="C61" s="27"/>
      <c r="D61" s="28"/>
      <c r="E61" s="27"/>
      <c r="F61" s="29"/>
      <c r="G61" s="29"/>
      <c r="H61" s="36"/>
      <c r="I61" s="38"/>
      <c r="J61" s="39"/>
      <c r="K61" s="92"/>
      <c r="L61" s="40"/>
      <c r="M61" s="40"/>
      <c r="N61" s="92"/>
      <c r="O61" s="40"/>
      <c r="P61" s="40"/>
      <c r="Q61" s="38"/>
      <c r="R61" s="41" t="str">
        <f t="shared" si="10"/>
        <v/>
      </c>
      <c r="S61" s="41" t="str">
        <f t="shared" si="8"/>
        <v/>
      </c>
      <c r="T61" s="41" t="str">
        <f t="shared" si="9"/>
        <v/>
      </c>
      <c r="U61" s="41" t="str">
        <f t="shared" si="11"/>
        <v/>
      </c>
      <c r="V61" s="41" t="str">
        <f t="shared" si="12"/>
        <v/>
      </c>
    </row>
    <row r="62" spans="1:25">
      <c r="A62" s="27" t="s">
        <v>131</v>
      </c>
      <c r="B62" s="30" t="s">
        <v>122</v>
      </c>
      <c r="C62" s="27" t="s">
        <v>131</v>
      </c>
      <c r="D62" s="29" t="s">
        <v>157</v>
      </c>
      <c r="E62" s="27" t="s">
        <v>42</v>
      </c>
      <c r="F62" s="29" t="s">
        <v>123</v>
      </c>
      <c r="G62" s="87" t="s">
        <v>149</v>
      </c>
      <c r="H62" s="89"/>
      <c r="I62" s="90">
        <v>10</v>
      </c>
      <c r="J62" s="91">
        <v>1</v>
      </c>
      <c r="K62" s="92">
        <f t="shared" si="6"/>
        <v>3</v>
      </c>
      <c r="L62" s="92">
        <v>0.5</v>
      </c>
      <c r="M62" s="92">
        <v>0.5</v>
      </c>
      <c r="N62" s="92">
        <v>0.5</v>
      </c>
      <c r="O62" s="92">
        <v>0.5</v>
      </c>
      <c r="P62" s="92">
        <v>1</v>
      </c>
      <c r="Q62" s="38">
        <f t="shared" ref="Q62:Q67" si="24">I62*J62*K62</f>
        <v>30</v>
      </c>
      <c r="R62" s="41">
        <f t="shared" si="10"/>
        <v>5</v>
      </c>
      <c r="S62" s="41">
        <f t="shared" si="8"/>
        <v>5</v>
      </c>
      <c r="T62" s="41">
        <f>IF(($I62*$J62*O63)=0,"",($I62*$J62*O63))</f>
        <v>5</v>
      </c>
      <c r="U62" s="41">
        <f t="shared" si="11"/>
        <v>5</v>
      </c>
      <c r="V62" s="41">
        <f t="shared" si="12"/>
        <v>10</v>
      </c>
    </row>
    <row r="63" spans="1:25">
      <c r="A63" s="27" t="s">
        <v>131</v>
      </c>
      <c r="B63" s="30" t="s">
        <v>122</v>
      </c>
      <c r="C63" s="27" t="s">
        <v>131</v>
      </c>
      <c r="D63" s="87" t="s">
        <v>157</v>
      </c>
      <c r="E63" s="86" t="s">
        <v>52</v>
      </c>
      <c r="F63" s="29" t="s">
        <v>124</v>
      </c>
      <c r="G63" s="29" t="s">
        <v>71</v>
      </c>
      <c r="H63" s="36"/>
      <c r="I63" s="38">
        <v>10</v>
      </c>
      <c r="J63" s="39">
        <v>1</v>
      </c>
      <c r="K63" s="92">
        <f t="shared" si="6"/>
        <v>2.5</v>
      </c>
      <c r="L63" s="92">
        <v>0.5</v>
      </c>
      <c r="M63" s="40"/>
      <c r="N63" s="92">
        <v>0.5</v>
      </c>
      <c r="O63" s="92">
        <v>0.5</v>
      </c>
      <c r="P63" s="40">
        <v>1</v>
      </c>
      <c r="Q63" s="38">
        <f t="shared" si="24"/>
        <v>25</v>
      </c>
      <c r="R63" s="41">
        <f t="shared" si="10"/>
        <v>5</v>
      </c>
      <c r="S63" s="41" t="str">
        <f t="shared" si="8"/>
        <v/>
      </c>
      <c r="T63" s="41">
        <f t="shared" si="9"/>
        <v>5</v>
      </c>
      <c r="U63" s="93">
        <f t="shared" si="11"/>
        <v>5</v>
      </c>
      <c r="V63" s="41">
        <f t="shared" si="12"/>
        <v>10</v>
      </c>
    </row>
    <row r="64" spans="1:25" ht="15" customHeight="1">
      <c r="A64" s="27" t="s">
        <v>131</v>
      </c>
      <c r="B64" s="30" t="s">
        <v>122</v>
      </c>
      <c r="C64" s="27" t="s">
        <v>131</v>
      </c>
      <c r="D64" s="87" t="s">
        <v>157</v>
      </c>
      <c r="E64" s="86" t="s">
        <v>43</v>
      </c>
      <c r="F64" s="29" t="s">
        <v>125</v>
      </c>
      <c r="G64" s="87" t="s">
        <v>145</v>
      </c>
      <c r="H64" s="89"/>
      <c r="I64" s="90">
        <v>1</v>
      </c>
      <c r="J64" s="91">
        <v>1</v>
      </c>
      <c r="K64" s="92">
        <f t="shared" si="6"/>
        <v>5</v>
      </c>
      <c r="L64" s="92">
        <v>1</v>
      </c>
      <c r="M64" s="92">
        <v>1</v>
      </c>
      <c r="N64" s="92">
        <v>1</v>
      </c>
      <c r="O64" s="92">
        <v>1</v>
      </c>
      <c r="P64" s="40">
        <v>1</v>
      </c>
      <c r="Q64" s="38">
        <f t="shared" si="24"/>
        <v>5</v>
      </c>
      <c r="R64" s="41">
        <f t="shared" si="10"/>
        <v>1</v>
      </c>
      <c r="S64" s="41">
        <f t="shared" si="8"/>
        <v>1</v>
      </c>
      <c r="T64" s="41">
        <f t="shared" si="9"/>
        <v>1</v>
      </c>
      <c r="U64" s="41">
        <f t="shared" si="11"/>
        <v>1</v>
      </c>
      <c r="V64" s="41">
        <f t="shared" si="12"/>
        <v>1</v>
      </c>
    </row>
    <row r="65" spans="1:22" ht="15" customHeight="1">
      <c r="A65" s="27" t="s">
        <v>131</v>
      </c>
      <c r="B65" s="30" t="s">
        <v>122</v>
      </c>
      <c r="C65" s="27" t="s">
        <v>131</v>
      </c>
      <c r="D65" s="87" t="s">
        <v>157</v>
      </c>
      <c r="E65" s="86" t="s">
        <v>45</v>
      </c>
      <c r="F65" s="29" t="s">
        <v>128</v>
      </c>
      <c r="G65" s="87" t="s">
        <v>69</v>
      </c>
      <c r="H65" s="89"/>
      <c r="I65" s="90">
        <v>1</v>
      </c>
      <c r="J65" s="91">
        <v>2</v>
      </c>
      <c r="K65" s="92">
        <f t="shared" si="6"/>
        <v>2</v>
      </c>
      <c r="L65" s="92"/>
      <c r="M65" s="92"/>
      <c r="N65" s="92"/>
      <c r="O65" s="92">
        <v>1</v>
      </c>
      <c r="P65" s="40">
        <v>1</v>
      </c>
      <c r="Q65" s="38">
        <f t="shared" si="24"/>
        <v>4</v>
      </c>
      <c r="R65" s="41" t="str">
        <f t="shared" si="10"/>
        <v/>
      </c>
      <c r="S65" s="41" t="str">
        <f t="shared" si="8"/>
        <v/>
      </c>
      <c r="T65" s="41" t="str">
        <f t="shared" si="9"/>
        <v/>
      </c>
      <c r="U65" s="41">
        <f t="shared" si="11"/>
        <v>2</v>
      </c>
      <c r="V65" s="41">
        <f t="shared" si="12"/>
        <v>2</v>
      </c>
    </row>
    <row r="66" spans="1:22" ht="15" customHeight="1">
      <c r="A66" s="27" t="s">
        <v>131</v>
      </c>
      <c r="B66" s="30" t="s">
        <v>122</v>
      </c>
      <c r="C66" s="27" t="s">
        <v>131</v>
      </c>
      <c r="D66" s="87" t="s">
        <v>157</v>
      </c>
      <c r="E66" s="86" t="s">
        <v>46</v>
      </c>
      <c r="F66" s="29" t="s">
        <v>129</v>
      </c>
      <c r="G66" s="87" t="s">
        <v>148</v>
      </c>
      <c r="H66" s="89"/>
      <c r="I66" s="90">
        <v>1</v>
      </c>
      <c r="J66" s="91">
        <v>1</v>
      </c>
      <c r="K66" s="92">
        <f t="shared" si="6"/>
        <v>5</v>
      </c>
      <c r="L66" s="92">
        <v>1</v>
      </c>
      <c r="M66" s="92">
        <v>1</v>
      </c>
      <c r="N66" s="92">
        <v>1</v>
      </c>
      <c r="O66" s="92">
        <v>1</v>
      </c>
      <c r="P66" s="40">
        <v>1</v>
      </c>
      <c r="Q66" s="38">
        <f t="shared" si="24"/>
        <v>5</v>
      </c>
      <c r="R66" s="41">
        <f t="shared" si="10"/>
        <v>1</v>
      </c>
      <c r="S66" s="41">
        <f t="shared" si="8"/>
        <v>1</v>
      </c>
      <c r="T66" s="41">
        <f t="shared" si="9"/>
        <v>1</v>
      </c>
      <c r="U66" s="41">
        <f t="shared" si="11"/>
        <v>1</v>
      </c>
      <c r="V66" s="41">
        <f t="shared" si="12"/>
        <v>1</v>
      </c>
    </row>
    <row r="67" spans="1:22" ht="15.75" customHeight="1">
      <c r="A67" s="27" t="s">
        <v>131</v>
      </c>
      <c r="B67" s="30" t="s">
        <v>122</v>
      </c>
      <c r="C67" s="27" t="s">
        <v>131</v>
      </c>
      <c r="D67" s="87" t="s">
        <v>157</v>
      </c>
      <c r="E67" s="86" t="s">
        <v>47</v>
      </c>
      <c r="F67" s="29" t="s">
        <v>130</v>
      </c>
      <c r="G67" s="87" t="s">
        <v>69</v>
      </c>
      <c r="H67" s="89"/>
      <c r="I67" s="90">
        <v>1</v>
      </c>
      <c r="J67" s="91">
        <v>2</v>
      </c>
      <c r="K67" s="92">
        <f t="shared" si="6"/>
        <v>2</v>
      </c>
      <c r="L67" s="92"/>
      <c r="M67" s="92"/>
      <c r="N67" s="92"/>
      <c r="O67" s="92">
        <v>1</v>
      </c>
      <c r="P67" s="40">
        <v>1</v>
      </c>
      <c r="Q67" s="38">
        <f t="shared" si="24"/>
        <v>4</v>
      </c>
      <c r="R67" s="41" t="str">
        <f t="shared" si="10"/>
        <v/>
      </c>
      <c r="S67" s="41" t="str">
        <f t="shared" si="8"/>
        <v/>
      </c>
      <c r="T67" s="41" t="str">
        <f t="shared" si="9"/>
        <v/>
      </c>
      <c r="U67" s="41">
        <f t="shared" si="11"/>
        <v>2</v>
      </c>
      <c r="V67" s="41">
        <f t="shared" si="12"/>
        <v>2</v>
      </c>
    </row>
    <row r="68" spans="1:22" ht="14.25" customHeight="1">
      <c r="A68" s="27"/>
      <c r="B68" s="30"/>
      <c r="C68" s="27"/>
      <c r="D68" s="28"/>
      <c r="E68" s="27"/>
      <c r="F68" s="29"/>
      <c r="G68" s="29"/>
      <c r="H68" s="36"/>
      <c r="I68" s="38"/>
      <c r="J68" s="39"/>
      <c r="K68" s="92"/>
      <c r="L68" s="40"/>
      <c r="M68" s="40"/>
      <c r="N68" s="92"/>
      <c r="O68" s="40"/>
      <c r="P68" s="40"/>
      <c r="Q68" s="38"/>
      <c r="R68" s="41" t="str">
        <f t="shared" si="10"/>
        <v/>
      </c>
      <c r="S68" s="41" t="str">
        <f t="shared" si="8"/>
        <v/>
      </c>
      <c r="T68" s="41" t="str">
        <f t="shared" si="9"/>
        <v/>
      </c>
      <c r="U68" s="93" t="str">
        <f t="shared" si="11"/>
        <v/>
      </c>
      <c r="V68" s="93" t="str">
        <f t="shared" si="12"/>
        <v/>
      </c>
    </row>
    <row r="69" spans="1:22" ht="15" customHeight="1">
      <c r="A69" s="27" t="s">
        <v>138</v>
      </c>
      <c r="B69" s="30" t="s">
        <v>135</v>
      </c>
      <c r="C69" s="27" t="s">
        <v>150</v>
      </c>
      <c r="D69" s="29" t="s">
        <v>136</v>
      </c>
      <c r="E69" s="27" t="s">
        <v>42</v>
      </c>
      <c r="F69" s="29" t="s">
        <v>136</v>
      </c>
      <c r="G69" s="87" t="s">
        <v>165</v>
      </c>
      <c r="H69" s="89"/>
      <c r="I69" s="90">
        <v>10</v>
      </c>
      <c r="J69" s="91">
        <v>2</v>
      </c>
      <c r="K69" s="92">
        <f t="shared" si="6"/>
        <v>3.5</v>
      </c>
      <c r="L69" s="92">
        <v>0.5</v>
      </c>
      <c r="M69" s="92">
        <v>0.5</v>
      </c>
      <c r="N69" s="92">
        <v>0.5</v>
      </c>
      <c r="O69" s="92">
        <v>1</v>
      </c>
      <c r="P69" s="92">
        <v>1</v>
      </c>
      <c r="Q69" s="90">
        <f t="shared" ref="Q69:Q70" si="25">I69*J69*K69</f>
        <v>70</v>
      </c>
      <c r="R69" s="41">
        <f>IF(($I69*$J69*L69)=0,"",($I69*$J69*L69))</f>
        <v>10</v>
      </c>
      <c r="S69" s="41">
        <f>IF(($I69*$J69*M69)=0,"",($I69*$J69*M69))</f>
        <v>10</v>
      </c>
      <c r="T69" s="41">
        <f>IF(($I69*$J69*N69)=0,"",($I69*$J69*N69))</f>
        <v>10</v>
      </c>
      <c r="U69" s="93">
        <f>IF(($I69*$J69*O69)=0,"",($I69*$J69*O69))</f>
        <v>20</v>
      </c>
      <c r="V69" s="93">
        <f>IF(($I69*$J69*P69)=0,"",($I69*$J69*P69))</f>
        <v>20</v>
      </c>
    </row>
    <row r="70" spans="1:22" ht="15.75" customHeight="1">
      <c r="A70" s="27" t="s">
        <v>138</v>
      </c>
      <c r="B70" s="30" t="s">
        <v>135</v>
      </c>
      <c r="C70" s="27" t="s">
        <v>150</v>
      </c>
      <c r="D70" s="29" t="s">
        <v>135</v>
      </c>
      <c r="E70" s="27" t="s">
        <v>44</v>
      </c>
      <c r="F70" s="29" t="s">
        <v>137</v>
      </c>
      <c r="G70" s="87" t="s">
        <v>151</v>
      </c>
      <c r="H70" s="89"/>
      <c r="I70" s="90">
        <v>10</v>
      </c>
      <c r="J70" s="91">
        <v>1</v>
      </c>
      <c r="K70" s="92">
        <f t="shared" si="6"/>
        <v>3</v>
      </c>
      <c r="L70" s="92">
        <v>0.5</v>
      </c>
      <c r="M70" s="92">
        <v>0.5</v>
      </c>
      <c r="N70" s="92">
        <v>0.5</v>
      </c>
      <c r="O70" s="92">
        <v>0.5</v>
      </c>
      <c r="P70" s="92">
        <v>1</v>
      </c>
      <c r="Q70" s="90">
        <f t="shared" si="25"/>
        <v>30</v>
      </c>
      <c r="R70" s="93">
        <f t="shared" ref="R70" si="26">IF(($I70*$J70*L70)=0,"",($I70*$J70*L70))</f>
        <v>5</v>
      </c>
      <c r="S70" s="93">
        <f t="shared" ref="S70" si="27">IF(($I70*$J70*M70)=0,"",($I70*$J70*M70))</f>
        <v>5</v>
      </c>
      <c r="T70" s="41">
        <f t="shared" si="9"/>
        <v>5</v>
      </c>
      <c r="U70" s="93">
        <f>IF(($I70*$J70*O70)=0,"",($I70*$J70*O70))</f>
        <v>5</v>
      </c>
      <c r="V70" s="93">
        <f t="shared" si="12"/>
        <v>10</v>
      </c>
    </row>
    <row r="71" spans="1:22">
      <c r="A71" s="32"/>
      <c r="B71" s="33"/>
      <c r="C71" s="32"/>
      <c r="D71" s="33"/>
      <c r="E71" s="32"/>
      <c r="F71" s="34"/>
      <c r="G71" s="34"/>
      <c r="H71" s="37"/>
      <c r="I71" s="42"/>
      <c r="J71" s="43"/>
      <c r="K71" s="44"/>
      <c r="L71" s="44"/>
      <c r="M71" s="44"/>
      <c r="N71" s="94"/>
      <c r="O71" s="44"/>
      <c r="P71" s="44"/>
      <c r="Q71" s="42"/>
      <c r="R71" s="45" t="str">
        <f t="shared" si="10"/>
        <v/>
      </c>
      <c r="S71" s="45" t="str">
        <f t="shared" si="8"/>
        <v/>
      </c>
      <c r="T71" s="45" t="str">
        <f t="shared" si="9"/>
        <v/>
      </c>
      <c r="U71" s="93" t="str">
        <f t="shared" si="11"/>
        <v/>
      </c>
      <c r="V71" s="93" t="str">
        <f t="shared" si="12"/>
        <v/>
      </c>
    </row>
    <row r="72" spans="1:22">
      <c r="Q72" s="6"/>
    </row>
    <row r="73" spans="1:22">
      <c r="Q73" s="6"/>
    </row>
  </sheetData>
  <autoFilter ref="A3:V71" xr:uid="{FE8C9EB1-14B9-4E3A-B7D7-11FC4E9CE70D}"/>
  <mergeCells count="2">
    <mergeCell ref="L1:P1"/>
    <mergeCell ref="R1:V1"/>
  </mergeCells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c07930f-9a65-4e8e-a9ee-3323c11bd589">
      <Terms xmlns="http://schemas.microsoft.com/office/infopath/2007/PartnerControls"/>
    </lcf76f155ced4ddcb4097134ff3c332f>
    <TaxCatchAll xmlns="dcfcef33-8a7e-49fa-a6a9-e6acaf5031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1A3424606A615478EAC718D252E4E17" ma:contentTypeVersion="15" ma:contentTypeDescription="新しいドキュメントを作成します。" ma:contentTypeScope="" ma:versionID="c1b06b141403b0bfe388b61020d369d1">
  <xsd:schema xmlns:xsd="http://www.w3.org/2001/XMLSchema" xmlns:xs="http://www.w3.org/2001/XMLSchema" xmlns:p="http://schemas.microsoft.com/office/2006/metadata/properties" xmlns:ns2="1c07930f-9a65-4e8e-a9ee-3323c11bd589" xmlns:ns3="dcfcef33-8a7e-49fa-a6a9-e6acaf5031ad" targetNamespace="http://schemas.microsoft.com/office/2006/metadata/properties" ma:root="true" ma:fieldsID="b2ff8d1cc6683d579df5389308ab8002" ns2:_="" ns3:_="">
    <xsd:import namespace="1c07930f-9a65-4e8e-a9ee-3323c11bd589"/>
    <xsd:import namespace="dcfcef33-8a7e-49fa-a6a9-e6acaf5031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7930f-9a65-4e8e-a9ee-3323c11bd5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6bc6290a-8cd6-4a27-9e67-61465016fc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fcef33-8a7e-49fa-a6a9-e6acaf5031a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234498f-4407-4c7e-801b-effe08f2d3f1}" ma:internalName="TaxCatchAll" ma:showField="CatchAllData" ma:web="dcfcef33-8a7e-49fa-a6a9-e6acaf5031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0CD69A-8DC7-4CFD-8C70-FED26B58F71A}">
  <ds:schemaRefs>
    <ds:schemaRef ds:uri="dcfcef33-8a7e-49fa-a6a9-e6acaf5031ad"/>
    <ds:schemaRef ds:uri="http://purl.org/dc/dcmitype/"/>
    <ds:schemaRef ds:uri="1c07930f-9a65-4e8e-a9ee-3323c11bd589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2254BF8C-D4D7-4CAC-865E-42DADC2282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A08F3E-BFC2-4D9D-A2B8-A3FAA1B2CB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07930f-9a65-4e8e-a9ee-3323c11bd589"/>
    <ds:schemaRef ds:uri="dcfcef33-8a7e-49fa-a6a9-e6acaf5031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工数サマリ (2)</vt:lpstr>
      <vt:lpstr>WBS・見積もりフォーム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富川　和幸</dc:creator>
  <cp:keywords/>
  <dc:description/>
  <cp:lastModifiedBy>鈴木　晴勝</cp:lastModifiedBy>
  <cp:revision/>
  <dcterms:created xsi:type="dcterms:W3CDTF">2015-06-05T18:19:34Z</dcterms:created>
  <dcterms:modified xsi:type="dcterms:W3CDTF">2026-01-08T02:50:38Z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bool>false</vt:bool>
  </property>
  <property fmtid="{D5CDD505-2E9C-101B-9397-08002B2CF9AE}" pid="3" name="xd_Prog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TemplateUrl">
    <vt:lpwstr/>
  </property>
  <property fmtid="{D5CDD505-2E9C-101B-9397-08002B2CF9AE}" pid="7" name="MediaServiceImageTags">
    <vt:lpwstr/>
  </property>
  <property fmtid="{D5CDD505-2E9C-101B-9397-08002B2CF9AE}" pid="8" name="ContentTypeId">
    <vt:lpwstr>0x01010081A3424606A615478EAC718D252E4E17</vt:lpwstr>
  </property>
  <property fmtid="{D5CDD505-2E9C-101B-9397-08002B2CF9AE}" pid="9" name="ComplianceAssetId">
    <vt:lpwstr/>
  </property>
  <property fmtid="{D5CDD505-2E9C-101B-9397-08002B2CF9AE}" pid="10" name="MSIP_Label_babb27ca-7868-470c-8d5b-74df37759162_Enabled">
    <vt:lpwstr>true</vt:lpwstr>
  </property>
  <property fmtid="{D5CDD505-2E9C-101B-9397-08002B2CF9AE}" pid="11" name="MSIP_Label_babb27ca-7868-470c-8d5b-74df37759162_SetDate">
    <vt:lpwstr>2026-01-08T00:48:18Z</vt:lpwstr>
  </property>
  <property fmtid="{D5CDD505-2E9C-101B-9397-08002B2CF9AE}" pid="12" name="MSIP_Label_babb27ca-7868-470c-8d5b-74df37759162_Method">
    <vt:lpwstr>Privileged</vt:lpwstr>
  </property>
  <property fmtid="{D5CDD505-2E9C-101B-9397-08002B2CF9AE}" pid="13" name="MSIP_Label_babb27ca-7868-470c-8d5b-74df37759162_Name">
    <vt:lpwstr>babb27ca-7868-470c-8d5b-74df37759162</vt:lpwstr>
  </property>
  <property fmtid="{D5CDD505-2E9C-101B-9397-08002B2CF9AE}" pid="14" name="MSIP_Label_babb27ca-7868-470c-8d5b-74df37759162_SiteId">
    <vt:lpwstr>bdda4ca5-4ffd-4f47-9e0d-ce56ad194b37</vt:lpwstr>
  </property>
  <property fmtid="{D5CDD505-2E9C-101B-9397-08002B2CF9AE}" pid="15" name="MSIP_Label_babb27ca-7868-470c-8d5b-74df37759162_ActionId">
    <vt:lpwstr>13c77240-7fef-44fa-ab32-2bd847816228</vt:lpwstr>
  </property>
  <property fmtid="{D5CDD505-2E9C-101B-9397-08002B2CF9AE}" pid="16" name="MSIP_Label_babb27ca-7868-470c-8d5b-74df37759162_ContentBits">
    <vt:lpwstr>0</vt:lpwstr>
  </property>
  <property fmtid="{D5CDD505-2E9C-101B-9397-08002B2CF9AE}" pid="17" name="MSIP_Label_babb27ca-7868-470c-8d5b-74df37759162_Tag">
    <vt:lpwstr>10, 0, 1, 1</vt:lpwstr>
  </property>
</Properties>
</file>