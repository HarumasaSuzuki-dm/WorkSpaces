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showInkAnnotation="0" codeName="ThisWorkbook"/>
  <mc:AlternateContent xmlns:mc="http://schemas.openxmlformats.org/markup-compatibility/2006">
    <mc:Choice Requires="x15">
      <x15ac:absPath xmlns:x15ac="http://schemas.microsoft.com/office/spreadsheetml/2010/11/ac" url="C:\Users\z5j7202\WorkSpaces\08.Pteron\01.CTC\MDM\ファイル\"/>
    </mc:Choice>
  </mc:AlternateContent>
  <xr:revisionPtr revIDLastSave="0" documentId="13_ncr:101_{7BCD2AD5-76D2-4B99-AB93-C4531C537BD0}" xr6:coauthVersionLast="47" xr6:coauthVersionMax="47" xr10:uidLastSave="{00000000-0000-0000-0000-000000000000}"/>
  <bookViews>
    <workbookView xWindow="-120" yWindow="-120" windowWidth="29040" windowHeight="15720" activeTab="2" xr2:uid="{4ACE9B8A-B066-4428-AA89-9755836AE3A3}"/>
  </bookViews>
  <sheets>
    <sheet name="案件チェックリスト運用説明 " sheetId="16" r:id="rId1"/>
    <sheet name="案件チェックリスト" sheetId="9" r:id="rId2"/>
    <sheet name="リスク管理計画シート" sheetId="30" r:id="rId3"/>
    <sheet name="リスク管理計画立案手順ガイド" sheetId="29" r:id="rId4"/>
    <sheet name="リスク管理計画シート（原本）" sheetId="23" r:id="rId5"/>
    <sheet name="リスク管理計画シート (ワークグループ) 成果物" sheetId="28" r:id="rId6"/>
    <sheet name="【参考】非機能一覧(開発見積用）" sheetId="12" r:id="rId7"/>
    <sheet name="【参考】リスク分析シート" sheetId="1" r:id="rId8"/>
    <sheet name="ワークシート（他案件のリスクを集約）" sheetId="26" r:id="rId9"/>
    <sheet name="リスク管理計画シート (ワークグループバックアップ)" sheetId="27" r:id="rId10"/>
    <sheet name="改訂履歴" sheetId="15" r:id="rId11"/>
    <sheet name="分類" sheetId="5" state="hidden" r:id="rId12"/>
  </sheets>
  <definedNames>
    <definedName name="_xlnm._FilterDatabase" localSheetId="6" hidden="1">'【参考】非機能一覧(開発見積用）'!#REF!</definedName>
    <definedName name="_xlnm._FilterDatabase" localSheetId="2" hidden="1">リスク管理計画シート!$A$6:$X$61</definedName>
    <definedName name="_xlnm._FilterDatabase" localSheetId="5" hidden="1">'リスク管理計画シート (ワークグループ) 成果物'!$A$6:$X$61</definedName>
    <definedName name="_xlnm._FilterDatabase" localSheetId="9" hidden="1">'リスク管理計画シート (ワークグループバックアップ)'!$A$3:$V$3</definedName>
    <definedName name="_xlnm._FilterDatabase" localSheetId="4" hidden="1">'リスク管理計画シート（原本）'!$A$9:$V$9</definedName>
    <definedName name="_xlnm._FilterDatabase" localSheetId="3" hidden="1">リスク管理計画立案手順ガイド!$A$12:$U$12</definedName>
    <definedName name="_xlnm._FilterDatabase" localSheetId="1" hidden="1">案件チェックリスト!$A$5:$H$37</definedName>
    <definedName name="①スコープ定義">分類!$B$1:$G$1</definedName>
    <definedName name="②要件洗い出し">分類!$B$2:$I$2</definedName>
    <definedName name="③作業洗い出し">分類!$B$3:$D$3</definedName>
    <definedName name="④工数見積">分類!$B$4</definedName>
    <definedName name="⑤要員計画">分類!$B$5:$G$5</definedName>
    <definedName name="⑥作業計画">分類!$B$6</definedName>
    <definedName name="⑦全体コスト見積">分類!$B$7</definedName>
    <definedName name="all" localSheetId="2">リスク管理計画シート!$A$10:$X$56</definedName>
    <definedName name="all" localSheetId="5">'リスク管理計画シート (ワークグループ) 成果物'!$A$10:$X$56</definedName>
    <definedName name="all" localSheetId="9">'リスク管理計画シート (ワークグループバックアップ)'!$A$5:$V$46</definedName>
    <definedName name="all" localSheetId="4">'リスク管理計画シート（原本）'!$A$11:$V$33</definedName>
    <definedName name="all" localSheetId="3">リスク管理計画立案手順ガイド!$A$13:$U$26</definedName>
    <definedName name="all" localSheetId="1">#REF!</definedName>
    <definedName name="all" localSheetId="0">#REF!</definedName>
    <definedName name="all" localSheetId="10">#REF!</definedName>
    <definedName name="all">#REF!</definedName>
    <definedName name="_xlnm.Print_Area" localSheetId="6">'【参考】非機能一覧(開発見積用）'!$A$1:$I$49</definedName>
    <definedName name="_xlnm.Print_Area" localSheetId="2">リスク管理計画シート!$A$5:$X$70</definedName>
    <definedName name="_xlnm.Print_Area" localSheetId="5">'リスク管理計画シート (ワークグループ) 成果物'!$A$5:$X$70</definedName>
    <definedName name="_xlnm.Print_Area" localSheetId="9">'リスク管理計画シート (ワークグループバックアップ)'!$A$2:$V$56</definedName>
    <definedName name="_xlnm.Print_Area" localSheetId="4">'リスク管理計画シート（原本）'!$A$1:$V$43</definedName>
    <definedName name="_xlnm.Print_Area" localSheetId="3">リスク管理計画立案手順ガイド!$A$1:$U$63</definedName>
    <definedName name="_xlnm.Print_Area" localSheetId="1">案件チェックリスト!$A$1:$H$59</definedName>
    <definedName name="_xlnm.Print_Area" localSheetId="0">'案件チェックリスト運用説明 '!$A$1:$B$18</definedName>
    <definedName name="_xlnm.Print_Titles" localSheetId="7">【参考】リスク分析シート!$2:$2</definedName>
    <definedName name="_xlnm.Print_Titles" localSheetId="6">'【参考】非機能一覧(開発見積用）'!$1:$2</definedName>
    <definedName name="_xlnm.Print_Titles" localSheetId="2">リスク管理計画シート!$6:$6</definedName>
    <definedName name="_xlnm.Print_Titles" localSheetId="5">'リスク管理計画シート (ワークグループ) 成果物'!$6:$6</definedName>
    <definedName name="_xlnm.Print_Titles" localSheetId="9">'リスク管理計画シート (ワークグループバックアップ)'!$3:$3</definedName>
    <definedName name="_xlnm.Print_Titles" localSheetId="4">'リスク管理計画シート（原本）'!$9:$9</definedName>
    <definedName name="_xlnm.Print_Titles" localSheetId="3">リスク管理計画立案手順ガイド!$12:$12</definedName>
    <definedName name="_xlnm.Print_Titles" localSheetId="1">案件チェックリスト!$1:$5</definedName>
    <definedName name="Z_948AD6F2_AD99_4F35_BCF6_12F355172F31_.wvu.FilterData" localSheetId="2" hidden="1">リスク管理計画シート!$A$6:$X$56</definedName>
    <definedName name="Z_948AD6F2_AD99_4F35_BCF6_12F355172F31_.wvu.FilterData" localSheetId="5" hidden="1">'リスク管理計画シート (ワークグループ) 成果物'!$A$6:$X$56</definedName>
    <definedName name="Z_948AD6F2_AD99_4F35_BCF6_12F355172F31_.wvu.FilterData" localSheetId="9" hidden="1">'リスク管理計画シート (ワークグループバックアップ)'!$A$3:$V$46</definedName>
    <definedName name="Z_948AD6F2_AD99_4F35_BCF6_12F355172F31_.wvu.FilterData" localSheetId="4" hidden="1">'リスク管理計画シート（原本）'!$A$9:$V$33</definedName>
    <definedName name="Z_948AD6F2_AD99_4F35_BCF6_12F355172F31_.wvu.FilterData" localSheetId="3" hidden="1">リスク管理計画立案手順ガイド!$A$12:$U$26</definedName>
    <definedName name="Z_948AD6F2_AD99_4F35_BCF6_12F355172F31_.wvu.PrintArea" localSheetId="2" hidden="1">リスク管理計画シート!$A$5:$X$56</definedName>
    <definedName name="Z_948AD6F2_AD99_4F35_BCF6_12F355172F31_.wvu.PrintArea" localSheetId="5" hidden="1">'リスク管理計画シート (ワークグループ) 成果物'!$A$5:$X$56</definedName>
    <definedName name="Z_948AD6F2_AD99_4F35_BCF6_12F355172F31_.wvu.PrintArea" localSheetId="9" hidden="1">'リスク管理計画シート (ワークグループバックアップ)'!$A$2:$V$46</definedName>
    <definedName name="Z_948AD6F2_AD99_4F35_BCF6_12F355172F31_.wvu.PrintArea" localSheetId="4" hidden="1">'リスク管理計画シート（原本）'!$A$1:$V$33</definedName>
    <definedName name="Z_948AD6F2_AD99_4F35_BCF6_12F355172F31_.wvu.PrintArea" localSheetId="3" hidden="1">リスク管理計画立案手順ガイド!$A$11:$U$26</definedName>
    <definedName name="Z_948AD6F2_AD99_4F35_BCF6_12F355172F31_.wvu.PrintTitles" localSheetId="7" hidden="1">【参考】リスク分析シート!$2:$2</definedName>
    <definedName name="Z_948AD6F2_AD99_4F35_BCF6_12F355172F31_.wvu.PrintTitles" localSheetId="2" hidden="1">リスク管理計画シート!$6:$6</definedName>
    <definedName name="Z_948AD6F2_AD99_4F35_BCF6_12F355172F31_.wvu.PrintTitles" localSheetId="5" hidden="1">'リスク管理計画シート (ワークグループ) 成果物'!$6:$6</definedName>
    <definedName name="Z_948AD6F2_AD99_4F35_BCF6_12F355172F31_.wvu.PrintTitles" localSheetId="9" hidden="1">'リスク管理計画シート (ワークグループバックアップ)'!$3:$3</definedName>
    <definedName name="Z_948AD6F2_AD99_4F35_BCF6_12F355172F31_.wvu.PrintTitles" localSheetId="4" hidden="1">'リスク管理計画シート（原本）'!$9:$9</definedName>
    <definedName name="Z_948AD6F2_AD99_4F35_BCF6_12F355172F31_.wvu.PrintTitles" localSheetId="3" hidden="1">リスク管理計画立案手順ガイド!$12:$12</definedName>
    <definedName name="スコープ定義" localSheetId="3">#REF!</definedName>
    <definedName name="スコープ定義">#REF!</definedName>
    <definedName name="その他">分類!$B$8</definedName>
    <definedName name="対応方針の説明">リスク管理計画立案手順ガイド!$L$48</definedName>
    <definedName name="大項目">分類!$A$1:$A$8</definedName>
    <definedName name="分類一覧">分類!$A$1:$J$8</definedName>
  </definedNames>
  <calcPr calcId="191028"/>
  <customWorkbookViews>
    <customWorkbookView name="馬渕　和紀 - 個人用ビュー" guid="{948AD6F2-AD99-4F35-BCF6-12F355172F31}" mergeInterval="0" personalView="1" maximized="1" xWindow="1" yWindow="1" windowWidth="906" windowHeight="524" tabRatio="5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9" i="30" l="1"/>
  <c r="H17" i="30"/>
  <c r="I27" i="30"/>
  <c r="H10" i="30" l="1"/>
  <c r="H15" i="30"/>
  <c r="H59" i="30"/>
  <c r="H58" i="30"/>
  <c r="H53" i="30"/>
  <c r="H47" i="30"/>
  <c r="H38" i="30"/>
  <c r="H35" i="30"/>
  <c r="H31" i="30"/>
  <c r="H30" i="30"/>
  <c r="H29" i="30"/>
  <c r="H28" i="30"/>
  <c r="H25" i="30"/>
  <c r="H23" i="30"/>
  <c r="H21" i="30"/>
  <c r="H20" i="30"/>
  <c r="H18" i="30"/>
  <c r="H16" i="30"/>
  <c r="H14" i="30"/>
  <c r="H13" i="30"/>
  <c r="H12" i="30"/>
  <c r="H11" i="30"/>
  <c r="R26" i="30" l="1"/>
  <c r="I16" i="30"/>
  <c r="R16" i="30" s="1"/>
  <c r="I58" i="30"/>
  <c r="R58" i="30" s="1"/>
  <c r="I14" i="30"/>
  <c r="R14" i="30" s="1"/>
  <c r="I35" i="30"/>
  <c r="R35" i="30" s="1"/>
  <c r="I30" i="30" l="1"/>
  <c r="I38" i="30" l="1"/>
  <c r="R38" i="30" s="1"/>
  <c r="I26" i="30"/>
  <c r="I25" i="30"/>
  <c r="I17" i="30"/>
  <c r="I13" i="30"/>
  <c r="I11" i="30"/>
  <c r="I10" i="30"/>
  <c r="R10" i="30" s="1"/>
  <c r="I60" i="30"/>
  <c r="I56" i="30"/>
  <c r="I55" i="30"/>
  <c r="I53" i="30"/>
  <c r="R53" i="30" s="1"/>
  <c r="I52" i="30"/>
  <c r="I47" i="30"/>
  <c r="R47" i="30" s="1"/>
  <c r="I48" i="30"/>
  <c r="I49" i="30"/>
  <c r="I50" i="30"/>
  <c r="I46" i="30"/>
  <c r="I28" i="30"/>
  <c r="R28" i="30" s="1"/>
  <c r="I29" i="30"/>
  <c r="I31" i="30"/>
  <c r="R31" i="30" s="1"/>
  <c r="I32" i="30"/>
  <c r="I33" i="30"/>
  <c r="I34" i="30"/>
  <c r="I36" i="30"/>
  <c r="I37" i="30"/>
  <c r="I39" i="30"/>
  <c r="I40" i="30"/>
  <c r="I41" i="30"/>
  <c r="I42" i="30"/>
  <c r="I43" i="30"/>
  <c r="I44" i="30"/>
  <c r="I23" i="30"/>
  <c r="I12" i="30"/>
  <c r="I15" i="30"/>
  <c r="H61" i="30" l="1"/>
  <c r="I22" i="30"/>
  <c r="I21" i="30"/>
  <c r="I20" i="30"/>
  <c r="I19" i="30"/>
  <c r="I18" i="30"/>
  <c r="A11" i="30"/>
  <c r="A12" i="30" s="1"/>
  <c r="A13" i="30" s="1"/>
  <c r="A14" i="30" s="1"/>
  <c r="A15" i="30" s="1"/>
  <c r="A16" i="30" s="1"/>
  <c r="A17" i="30" s="1"/>
  <c r="A18" i="30" s="1"/>
  <c r="A19" i="30" s="1"/>
  <c r="A20" i="30" s="1"/>
  <c r="A21" i="30" s="1"/>
  <c r="A22" i="30" s="1"/>
  <c r="A23" i="30" s="1"/>
  <c r="A25" i="30" s="1"/>
  <c r="A26" i="30" s="1"/>
  <c r="A27" i="30" s="1"/>
  <c r="A28" i="30" s="1"/>
  <c r="A29" i="30" s="1"/>
  <c r="A30" i="30" s="1"/>
  <c r="A31" i="30" s="1"/>
  <c r="A32" i="30" s="1"/>
  <c r="A33" i="30" s="1"/>
  <c r="A34" i="30" s="1"/>
  <c r="A35" i="30" s="1"/>
  <c r="A36" i="30" s="1"/>
  <c r="A37" i="30" s="1"/>
  <c r="A38" i="30" s="1"/>
  <c r="A39" i="30" s="1"/>
  <c r="A40" i="30" s="1"/>
  <c r="A41" i="30" s="1"/>
  <c r="A42" i="30" s="1"/>
  <c r="A43" i="30" s="1"/>
  <c r="A44" i="30" s="1"/>
  <c r="A46" i="30" s="1"/>
  <c r="A47" i="30" s="1"/>
  <c r="A48" i="30" s="1"/>
  <c r="A49" i="30" s="1"/>
  <c r="A50" i="30" s="1"/>
  <c r="A52" i="30" s="1"/>
  <c r="A53" i="30" s="1"/>
  <c r="A55" i="30" s="1"/>
  <c r="A56" i="30" s="1"/>
  <c r="A58" i="30" s="1"/>
  <c r="A59" i="30" s="1"/>
  <c r="A60" i="30" s="1"/>
  <c r="A11" i="28"/>
  <c r="A12" i="28" s="1"/>
  <c r="A13" i="28" s="1"/>
  <c r="A14" i="28" s="1"/>
  <c r="A15" i="28" s="1"/>
  <c r="A16" i="28" s="1"/>
  <c r="A17" i="28" s="1"/>
  <c r="A18" i="28" s="1"/>
  <c r="A19" i="28" s="1"/>
  <c r="A20" i="28" s="1"/>
  <c r="A21" i="28" s="1"/>
  <c r="A22" i="28" s="1"/>
  <c r="A23" i="28" s="1"/>
  <c r="A25" i="28" s="1"/>
  <c r="A26" i="28" s="1"/>
  <c r="A27" i="28" s="1"/>
  <c r="A28" i="28" s="1"/>
  <c r="A29" i="28" s="1"/>
  <c r="A30" i="28" s="1"/>
  <c r="A31" i="28" s="1"/>
  <c r="A32" i="28" s="1"/>
  <c r="A33" i="28" s="1"/>
  <c r="A34" i="28" s="1"/>
  <c r="A35" i="28" s="1"/>
  <c r="A36" i="28" s="1"/>
  <c r="A37" i="28" s="1"/>
  <c r="A38" i="28" s="1"/>
  <c r="A39" i="28" s="1"/>
  <c r="A40" i="28" s="1"/>
  <c r="A41" i="28" s="1"/>
  <c r="A42" i="28" s="1"/>
  <c r="A43" i="28" s="1"/>
  <c r="A44" i="28" s="1"/>
  <c r="A46" i="28" s="1"/>
  <c r="A47" i="28" s="1"/>
  <c r="A48" i="28" s="1"/>
  <c r="A49" i="28" s="1"/>
  <c r="A50" i="28" s="1"/>
  <c r="A52" i="28" s="1"/>
  <c r="A53" i="28" s="1"/>
  <c r="A55" i="28" s="1"/>
  <c r="A56" i="28" s="1"/>
  <c r="A58" i="28" s="1"/>
  <c r="A59" i="28" s="1"/>
  <c r="A60" i="28" s="1"/>
  <c r="R20" i="30" l="1"/>
  <c r="R61" i="30" s="1"/>
  <c r="I61" i="30"/>
  <c r="I20" i="28"/>
  <c r="I19" i="28"/>
  <c r="I12" i="28" l="1"/>
  <c r="I18" i="28" l="1"/>
  <c r="I21" i="28"/>
  <c r="I29" i="28"/>
  <c r="I30" i="28"/>
  <c r="I26" i="28" l="1"/>
  <c r="I22" i="28" l="1"/>
  <c r="R61" i="28"/>
  <c r="H61" i="28"/>
  <c r="I27" i="28"/>
  <c r="I11" i="28"/>
  <c r="I10" i="28"/>
  <c r="P47" i="27"/>
  <c r="O47" i="27"/>
  <c r="G47" i="27"/>
  <c r="H46" i="27"/>
  <c r="H45" i="27"/>
  <c r="H44" i="27"/>
  <c r="H43" i="27"/>
  <c r="H42" i="27"/>
  <c r="H41" i="27"/>
  <c r="H40" i="27"/>
  <c r="H39" i="27"/>
  <c r="H38" i="27"/>
  <c r="H37" i="27"/>
  <c r="H36" i="27"/>
  <c r="H35" i="27"/>
  <c r="H34" i="27"/>
  <c r="H33" i="27"/>
  <c r="H32" i="27"/>
  <c r="H12" i="27"/>
  <c r="H11" i="27"/>
  <c r="H10" i="27"/>
  <c r="H9" i="27"/>
  <c r="H8" i="27"/>
  <c r="H7" i="27"/>
  <c r="H6" i="27"/>
  <c r="H5" i="27"/>
  <c r="H31" i="26"/>
  <c r="H30" i="26"/>
  <c r="H29" i="26"/>
  <c r="H28" i="26"/>
  <c r="H27" i="26"/>
  <c r="O27" i="26" s="1"/>
  <c r="H26" i="26"/>
  <c r="I61" i="28" l="1"/>
  <c r="H47" i="27"/>
  <c r="H23" i="26"/>
  <c r="O23" i="26" s="1"/>
  <c r="H22" i="26"/>
  <c r="H21" i="26"/>
  <c r="O21" i="26" s="1"/>
  <c r="O20" i="26"/>
  <c r="H20" i="26"/>
  <c r="O19" i="26"/>
  <c r="H19" i="26"/>
  <c r="O18" i="26"/>
  <c r="H18" i="26"/>
  <c r="O17" i="26"/>
  <c r="H17" i="26"/>
  <c r="H14" i="26" l="1"/>
  <c r="O14" i="26" s="1"/>
  <c r="H11" i="26" l="1"/>
  <c r="E10" i="26"/>
  <c r="H10" i="26" s="1"/>
  <c r="O10" i="26" s="1"/>
  <c r="E9" i="26"/>
  <c r="H9" i="26" s="1"/>
  <c r="O9" i="26" s="1"/>
  <c r="G8" i="26"/>
  <c r="E8" i="26"/>
  <c r="E7" i="26"/>
  <c r="H7" i="26" s="1"/>
  <c r="O7" i="26" s="1"/>
  <c r="E6" i="26"/>
  <c r="H6" i="26" s="1"/>
  <c r="E5" i="26"/>
  <c r="H5" i="26" s="1"/>
  <c r="O5" i="26" s="1"/>
  <c r="G4" i="26"/>
  <c r="H4" i="26" s="1"/>
  <c r="H8" i="26" l="1"/>
  <c r="O8" i="26" s="1"/>
  <c r="H32" i="23" l="1"/>
  <c r="H31" i="23"/>
  <c r="H30" i="23"/>
  <c r="H12" i="23"/>
  <c r="H13" i="23"/>
  <c r="H14" i="23"/>
  <c r="H15" i="23"/>
  <c r="H16" i="23"/>
  <c r="H17" i="23"/>
  <c r="H18" i="23"/>
  <c r="H19" i="23"/>
  <c r="H20" i="23"/>
  <c r="H21" i="23"/>
  <c r="H22" i="23"/>
  <c r="H23" i="23"/>
  <c r="H24" i="23"/>
  <c r="H25" i="23"/>
  <c r="H26" i="23"/>
  <c r="H27" i="23"/>
  <c r="H28" i="23"/>
  <c r="H29" i="23"/>
  <c r="H33" i="23"/>
  <c r="H11" i="23"/>
  <c r="O34" i="23"/>
  <c r="P34" i="23"/>
  <c r="G34" i="23"/>
  <c r="A8" i="9"/>
  <c r="A9" i="9" s="1"/>
  <c r="A10" i="9" s="1"/>
  <c r="A11" i="9" s="1"/>
  <c r="A13" i="9" s="1"/>
  <c r="A14" i="9" s="1"/>
  <c r="A15" i="9" s="1"/>
  <c r="A16" i="9" s="1"/>
  <c r="A17" i="9" s="1"/>
  <c r="A18" i="9" s="1"/>
  <c r="A19" i="9" s="1"/>
  <c r="A20" i="9" s="1"/>
  <c r="A22" i="9" s="1"/>
  <c r="A23" i="9" s="1"/>
  <c r="A24" i="9" s="1"/>
  <c r="A27" i="9" s="1"/>
  <c r="A28" i="9" s="1"/>
  <c r="A29" i="9" s="1"/>
  <c r="A30" i="9" s="1"/>
  <c r="A31" i="9" s="1"/>
  <c r="A32" i="9" s="1"/>
  <c r="A33" i="9" s="1"/>
  <c r="A35" i="9" s="1"/>
  <c r="J1" i="5"/>
  <c r="J2" i="5"/>
  <c r="J3" i="5"/>
  <c r="J4" i="5"/>
  <c r="J5" i="5"/>
  <c r="J6" i="5"/>
  <c r="J7" i="5"/>
  <c r="J8" i="5"/>
  <c r="H34" i="23" l="1"/>
  <c r="I59" i="3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土屋　和幸</author>
  </authors>
  <commentList>
    <comment ref="C6" authorId="0" shapeId="0" xr:uid="{CE682D68-5A6F-4B83-A906-841A8BEC9896}">
      <text>
        <r>
          <rPr>
            <sz val="9"/>
            <color indexed="10"/>
            <rFont val="Meiryo UI"/>
            <family val="3"/>
            <charset val="128"/>
          </rPr>
          <t>リスクが顕在化した場合、プロジェクトに与える
ダメージと対応コストを記載(算出根拠も記載)</t>
        </r>
      </text>
    </comment>
    <comment ref="K6" authorId="0" shapeId="0" xr:uid="{F900901F-8264-457D-B098-4030E1D60D33}">
      <text>
        <r>
          <rPr>
            <sz val="9"/>
            <color indexed="10"/>
            <rFont val="Meiryo UI"/>
            <family val="3"/>
            <charset val="128"/>
          </rPr>
          <t>対応方針別の対策ポイント
　1)回避について(対応策を実施することでリスクを回避できる場合)
　　実現可能な回避策を具体的に記載する。
　　(例)前提条件との紐付け。
　　★どのような契約が望ましいかを事前に検討。
　　マイルストンを定義して顧客承認を得る。
　2)転嫁について(第3者に負担してももらうべきコスト)
　　(例①)対ベンダーの場合見積依頼書に責任範囲等を遵守させる。
　　(例②)対顧客の場合前提条件との紐付け。
　　　　　　マイルストンを定義して顧客承認を得る。
　3)軽減について
　　実現可能な対策を具体的に記載する。
　4)受容について
　　リスクを受け入れる方が有利なのか否かを考え、有利であれば
　　そのままリスクを受け入れる。</t>
        </r>
      </text>
    </comment>
    <comment ref="M6" authorId="0" shapeId="0" xr:uid="{EDEA58E9-85C7-43C3-9E50-B3839A4C4D55}">
      <text>
        <r>
          <rPr>
            <sz val="9"/>
            <color indexed="10"/>
            <rFont val="Meiryo UI"/>
            <family val="3"/>
            <charset val="128"/>
          </rPr>
          <t>対応期限を設定。
例)外部設計終了まで/PJ完了まで</t>
        </r>
      </text>
    </comment>
    <comment ref="N6" authorId="0" shapeId="0" xr:uid="{8DA542F9-E9AB-4025-8C3F-34EE4440A319}">
      <text>
        <r>
          <rPr>
            <sz val="9"/>
            <color indexed="10"/>
            <rFont val="Meiryo UI"/>
            <family val="3"/>
            <charset val="128"/>
          </rPr>
          <t>対応方針に従い、対応策を策定。
※方針と紐づく具体的な対応策を記載。
　NGワード：精神論はNG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C4" authorId="0" shapeId="0" xr:uid="{518C6143-995F-441D-9D5F-BD4F1C510666}">
      <text>
        <r>
          <rPr>
            <b/>
            <sz val="9"/>
            <color indexed="81"/>
            <rFont val="ＭＳ Ｐゴシック"/>
            <family val="3"/>
            <charset val="128"/>
          </rPr>
          <t>PJNAVIに登録されているSI案件コードを記入してください。</t>
        </r>
      </text>
    </comment>
    <comment ref="F4" authorId="0" shapeId="0" xr:uid="{89358E5A-5CAF-467E-A836-144EE77194DF}">
      <text>
        <r>
          <rPr>
            <b/>
            <sz val="9"/>
            <color indexed="81"/>
            <rFont val="ＭＳ Ｐゴシック"/>
            <family val="3"/>
            <charset val="128"/>
          </rPr>
          <t>・プロジェクトコードを記入してください。
・プロジェクトコードが確定していない場合には、確定した段階で記入してください。
・プロジェクトコードが複数ある場合には、複数記入してください。</t>
        </r>
      </text>
    </comment>
    <comment ref="C6" authorId="0" shapeId="0" xr:uid="{0C48A436-E9A3-40D2-9F38-CBE9E25FD3BA}">
      <text>
        <r>
          <rPr>
            <b/>
            <sz val="9"/>
            <color indexed="81"/>
            <rFont val="MS P ゴシック"/>
            <family val="3"/>
            <charset val="128"/>
          </rPr>
          <t>リスク見直しの予定(フェーズ、タイミング)を記入してください。</t>
        </r>
      </text>
    </comment>
    <comment ref="D6" authorId="0" shapeId="0" xr:uid="{0F94E318-2A1A-48ED-81D8-59A24855E065}">
      <text>
        <r>
          <rPr>
            <b/>
            <sz val="9"/>
            <color indexed="81"/>
            <rFont val="MS P ゴシック"/>
            <family val="3"/>
            <charset val="128"/>
          </rPr>
          <t>リスク見直しの予定に対する実績の日付を記入してください。</t>
        </r>
      </text>
    </comment>
    <comment ref="F6" authorId="0" shapeId="0" xr:uid="{7B9E94C4-43EC-4A61-B4F3-7F900490DC52}">
      <text>
        <r>
          <rPr>
            <b/>
            <sz val="9"/>
            <color indexed="81"/>
            <rFont val="MS P ゴシック"/>
            <family val="3"/>
            <charset val="128"/>
          </rPr>
          <t>リスク見直し結果のサマリとして、リスク計画の変更有無を記入してください。
有の場合には、その変更内容を下の表内に更新または新規追加してください。</t>
        </r>
      </text>
    </comment>
    <comment ref="B12" authorId="0" shapeId="0" xr:uid="{73299CCD-EAF0-4720-B5A3-7C7AC4656CDF}">
      <text>
        <r>
          <rPr>
            <b/>
            <sz val="10"/>
            <color indexed="81"/>
            <rFont val="ＭＳ Ｐゴシック"/>
            <family val="3"/>
            <charset val="128"/>
          </rPr>
          <t>当該行の記入日付を記入します。一度作成した行は削除せず、グレーアウトします。</t>
        </r>
      </text>
    </comment>
    <comment ref="C12" authorId="0" shapeId="0" xr:uid="{9CD815D1-3240-4446-B0A8-B8400F2519FD}">
      <text>
        <r>
          <rPr>
            <b/>
            <sz val="9"/>
            <color indexed="81"/>
            <rFont val="ＭＳ Ｐゴシック"/>
            <family val="3"/>
            <charset val="128"/>
          </rPr>
          <t>リスクの要因とその影響による
現象を記入します。</t>
        </r>
      </text>
    </comment>
    <comment ref="D12" authorId="0" shapeId="0" xr:uid="{F35C827C-7F5E-4624-A3A1-8AB4A7AAFE3F}">
      <text>
        <r>
          <rPr>
            <b/>
            <sz val="9"/>
            <color indexed="81"/>
            <rFont val="ＭＳ Ｐゴシック"/>
            <family val="3"/>
            <charset val="128"/>
          </rPr>
          <t>案件チェックリストで「リスクあり」となった項目のリスク観点を選択します。
案件チェックリストで洗い出したリスクでなければ、「該当なし」を選択します。</t>
        </r>
      </text>
    </comment>
    <comment ref="E12" authorId="0" shapeId="0" xr:uid="{35943E73-E628-4421-BF3F-B7774ECF03A6}">
      <text>
        <r>
          <rPr>
            <b/>
            <sz val="10"/>
            <color indexed="81"/>
            <rFont val="ＭＳ Ｐゴシック"/>
            <family val="3"/>
            <charset val="128"/>
          </rPr>
          <t>リスクが顕在化する確率を記載します。
※確率は、リスクの査定をするためのものです。
対応策をとる前の発生確率を記載してください。</t>
        </r>
      </text>
    </comment>
    <comment ref="F12" authorId="0" shapeId="0" xr:uid="{76A51172-A9EC-4D1E-9158-2340F30A81F9}">
      <text>
        <r>
          <rPr>
            <b/>
            <sz val="9"/>
            <color indexed="81"/>
            <rFont val="ＭＳ Ｐゴシック"/>
            <family val="3"/>
            <charset val="128"/>
          </rPr>
          <t>リスクが顕在化した場合のプロジェクトへのダメージ内容を記載します。金額を算出するための根拠となる数値も記入してください。</t>
        </r>
      </text>
    </comment>
    <comment ref="G12" authorId="0" shapeId="0" xr:uid="{684D5A6C-D73B-4859-B8FE-63952397F4C3}">
      <text>
        <r>
          <rPr>
            <b/>
            <sz val="9"/>
            <color indexed="81"/>
            <rFont val="ＭＳ Ｐゴシック"/>
            <family val="3"/>
            <charset val="128"/>
          </rPr>
          <t>リスクが顕在化した場合に、必要となる対応コストの金額を見積り、記載します。</t>
        </r>
      </text>
    </comment>
    <comment ref="H12" authorId="0" shapeId="0" xr:uid="{14FEFEE8-A7A9-4882-87C1-1420471D3118}">
      <text>
        <r>
          <rPr>
            <b/>
            <sz val="9"/>
            <color indexed="81"/>
            <rFont val="ＭＳ Ｐゴシック"/>
            <family val="3"/>
            <charset val="128"/>
          </rPr>
          <t>予測値＝リスクインパクト（金額）×確率
※予測値は、リスクの順位付け、対応策の検討、コンティンジェンシー予備費の検討に使用します。</t>
        </r>
      </text>
    </comment>
    <comment ref="I12" authorId="0" shapeId="0" xr:uid="{932A3851-FF5D-4976-BC53-59F0D4E2C0D1}">
      <text>
        <r>
          <rPr>
            <b/>
            <sz val="9"/>
            <color indexed="81"/>
            <rFont val="ＭＳ Ｐゴシック"/>
            <family val="3"/>
            <charset val="128"/>
          </rPr>
          <t>・原則、予測値の大きいものから順位付けします。ただし、社会的信用の失墜等コストに換算できないリスクは、プロジェクトマネージャーの判断で順位を付番してください。
・上位20位のリスクを対応対象としていますが、対応数は、プロジェクトマネージャ(責任者)の判断で増減してください。</t>
        </r>
      </text>
    </comment>
    <comment ref="J12" authorId="0" shapeId="0" xr:uid="{FCD516E1-7E32-4B36-8F07-05E8F9FA2FAE}">
      <text>
        <r>
          <rPr>
            <b/>
            <sz val="10"/>
            <color indexed="81"/>
            <rFont val="ＭＳ Ｐゴシック"/>
            <family val="3"/>
            <charset val="128"/>
          </rPr>
          <t>リスクの対応方針をリストから選択します。
・回避
・転嫁
・軽減
・受容</t>
        </r>
      </text>
    </comment>
    <comment ref="K12" authorId="0" shapeId="0" xr:uid="{7674956B-0FC1-48FF-BB25-3292074CA767}">
      <text>
        <r>
          <rPr>
            <b/>
            <sz val="9"/>
            <color indexed="81"/>
            <rFont val="ＭＳ Ｐゴシック"/>
            <family val="3"/>
            <charset val="128"/>
          </rPr>
          <t>リスクを顕在化させないための対応策を、対応方針に従い、記入してください。</t>
        </r>
      </text>
    </comment>
    <comment ref="L12" authorId="0" shapeId="0" xr:uid="{D7DA9F86-70F7-4E65-91EC-77BFB5A5282C}">
      <text>
        <r>
          <rPr>
            <b/>
            <sz val="9"/>
            <color indexed="81"/>
            <rFont val="ＭＳ Ｐゴシック"/>
            <family val="3"/>
            <charset val="128"/>
          </rPr>
          <t>リスク対応策の実施期限を記入します。</t>
        </r>
      </text>
    </comment>
    <comment ref="M12" authorId="0" shapeId="0" xr:uid="{EC0EB80F-A9C9-47A5-982F-10443CBC230A}">
      <text>
        <r>
          <rPr>
            <b/>
            <sz val="9"/>
            <color indexed="81"/>
            <rFont val="ＭＳ Ｐゴシック"/>
            <family val="3"/>
            <charset val="128"/>
          </rPr>
          <t>リスク対応策の対応責任者を記載します。</t>
        </r>
      </text>
    </comment>
    <comment ref="N12" authorId="0" shapeId="0" xr:uid="{9693E1B8-5FFF-41F9-9CA5-2E8CAA8B746D}">
      <text>
        <r>
          <rPr>
            <b/>
            <sz val="9"/>
            <color indexed="81"/>
            <rFont val="ＭＳ Ｐゴシック"/>
            <family val="3"/>
            <charset val="128"/>
          </rPr>
          <t xml:space="preserve">リスク対応策について実施完了した日付を記載します。
</t>
        </r>
      </text>
    </comment>
    <comment ref="O12" authorId="0" shapeId="0" xr:uid="{98508886-A414-4CDA-B1DB-B81056E2AD06}">
      <text>
        <r>
          <rPr>
            <b/>
            <sz val="10"/>
            <color indexed="81"/>
            <rFont val="ＭＳ Ｐゴシック"/>
            <family val="3"/>
            <charset val="128"/>
          </rPr>
          <t>コンティンジェンシーを確保した場合に該当金額を記載します。</t>
        </r>
      </text>
    </comment>
    <comment ref="P12" authorId="0" shapeId="0" xr:uid="{BB9B845A-B3FC-47A5-BD00-0EB19DB18CE0}">
      <text>
        <r>
          <rPr>
            <b/>
            <sz val="9"/>
            <color indexed="81"/>
            <rFont val="ＭＳ Ｐゴシック"/>
            <family val="3"/>
            <charset val="128"/>
          </rPr>
          <t>リスクの監視期限を
記入します。</t>
        </r>
        <r>
          <rPr>
            <sz val="9"/>
            <color indexed="81"/>
            <rFont val="ＭＳ Ｐゴシック"/>
            <family val="3"/>
            <charset val="128"/>
          </rPr>
          <t xml:space="preserve">
 例) 基本設計完了まで</t>
        </r>
      </text>
    </comment>
    <comment ref="Q12" authorId="0" shapeId="0" xr:uid="{ECF4D0CB-19B2-4385-B8F4-FD38DFCF4211}">
      <text>
        <r>
          <rPr>
            <b/>
            <sz val="9"/>
            <color indexed="81"/>
            <rFont val="ＭＳ Ｐゴシック"/>
            <family val="3"/>
            <charset val="128"/>
          </rPr>
          <t>リスクが顕在化したことを認識する現象を
記入します。例えば、工程遅延が1ヶ月等。</t>
        </r>
      </text>
    </comment>
    <comment ref="R12" authorId="0" shapeId="0" xr:uid="{5E458956-1518-4022-9767-2ED51F10D802}">
      <text>
        <r>
          <rPr>
            <b/>
            <sz val="9"/>
            <color indexed="81"/>
            <rFont val="ＭＳ Ｐゴシック"/>
            <family val="3"/>
            <charset val="128"/>
          </rPr>
          <t>リスクが顕在化した場合に想定される
取るべき処置を記入します。</t>
        </r>
      </text>
    </comment>
    <comment ref="S12" authorId="0" shapeId="0" xr:uid="{3252A152-D872-4F44-B137-A0F83B280510}">
      <text>
        <r>
          <rPr>
            <b/>
            <sz val="9"/>
            <color indexed="81"/>
            <rFont val="ＭＳ Ｐゴシック"/>
            <family val="3"/>
            <charset val="128"/>
          </rPr>
          <t>リスク状況(監視継続/顕在化/消滅)を確認した日付を記入します。</t>
        </r>
      </text>
    </comment>
    <comment ref="T12" authorId="0" shapeId="0" xr:uid="{A7AF87CF-C8A0-4AB8-9329-057BD3BD00D0}">
      <text>
        <r>
          <rPr>
            <b/>
            <sz val="9"/>
            <color indexed="81"/>
            <rFont val="ＭＳ Ｐゴシック"/>
            <family val="3"/>
            <charset val="128"/>
          </rPr>
          <t xml:space="preserve">確認結果を選択します。
(監視継続/顕在化/消滅)
※新たなリスクが発生した場合には、別行にリスクを追加します。
</t>
        </r>
      </text>
    </comment>
    <comment ref="U12" authorId="0" shapeId="0" xr:uid="{CA7DA8F9-3E7C-434D-BAE7-ED350A80FA63}">
      <text>
        <r>
          <rPr>
            <b/>
            <sz val="10"/>
            <color indexed="81"/>
            <rFont val="ＭＳ Ｐゴシック"/>
            <family val="3"/>
            <charset val="128"/>
          </rPr>
          <t xml:space="preserve">リスクが"消滅"となった場合には、消滅の根拠を記載します。
リスクが"顕在化"した場合には、顕在化したリスクに対して行った対策内容を記載します。
</t>
        </r>
      </text>
    </comment>
    <comment ref="V12" authorId="0" shapeId="0" xr:uid="{0B8F26B2-C419-4213-89AF-A841ABE629EB}">
      <text>
        <r>
          <rPr>
            <b/>
            <sz val="10"/>
            <color indexed="81"/>
            <rFont val="ＭＳ Ｐゴシック"/>
            <family val="3"/>
            <charset val="128"/>
          </rPr>
          <t>リスクが顕在化した場合に、使用した費用の実績を記載します。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山城　圭吾</author>
  </authors>
  <commentList>
    <comment ref="C2" authorId="0" shapeId="0" xr:uid="{00000000-0006-0000-0300-000001000000}">
      <text>
        <r>
          <rPr>
            <b/>
            <sz val="9"/>
            <color indexed="81"/>
            <rFont val="ＭＳ Ｐゴシック"/>
            <family val="3"/>
            <charset val="128"/>
          </rPr>
          <t>PJNAVIに登録されているSI案件コードを記載してください。</t>
        </r>
      </text>
    </comment>
    <comment ref="G2" authorId="0" shapeId="0" xr:uid="{00000000-0006-0000-0300-000002000000}">
      <text>
        <r>
          <rPr>
            <b/>
            <sz val="9"/>
            <color indexed="81"/>
            <rFont val="ＭＳ Ｐゴシック"/>
            <family val="3"/>
            <charset val="128"/>
          </rPr>
          <t>・プロジェクトコードを記載してください。
・プロジェクトコードが確定していない場合には、確定した段階で記載してください。
・プロジェクトコードが複数ある場合には、複数記載してください。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土屋　和幸</author>
  </authors>
  <commentList>
    <comment ref="C6" authorId="0" shapeId="0" xr:uid="{3EF4573A-C416-4A0D-AC88-67A442CE0431}">
      <text>
        <r>
          <rPr>
            <sz val="9"/>
            <color indexed="10"/>
            <rFont val="Meiryo UI"/>
            <family val="3"/>
            <charset val="128"/>
          </rPr>
          <t>リスクが顕在化した場合、プロジェクトに与える
ダメージと対応コストを記載(算出根拠も記載)</t>
        </r>
      </text>
    </comment>
    <comment ref="K6" authorId="0" shapeId="0" xr:uid="{05291F2F-F431-47C7-A3F1-EC96643DA6C2}">
      <text>
        <r>
          <rPr>
            <sz val="9"/>
            <color indexed="10"/>
            <rFont val="Meiryo UI"/>
            <family val="3"/>
            <charset val="128"/>
          </rPr>
          <t>対応方針別の対策ポイント
　1)回避について(対応策を実施することでリスクを回避できる場合)
　　実現可能な回避策を具体的に記載する。
　　(例)前提条件との紐付け。
　　★どのような契約が望ましいかを事前に検討。
　　マイルストンを定義して顧客承認を得る。
　2)転嫁について(第3者に負担してももらうべきコスト)
　　(例①)対ベンダーの場合見積依頼書に責任範囲等を遵守させる。
　　(例②)対顧客の場合前提条件との紐付け。
　　　　　　マイルストンを定義して顧客承認を得る。
　3)軽減について
　　実現可能な対策を具体的に記載する。
　4)受容について
　　リスクを受け入れる方が有利なのか否かを考え、有利であれば
　　そのままリスクを受け入れる。</t>
        </r>
      </text>
    </comment>
    <comment ref="M6" authorId="0" shapeId="0" xr:uid="{D6BD8E21-717C-45CB-99F7-B15A435810CA}">
      <text>
        <r>
          <rPr>
            <sz val="9"/>
            <color indexed="10"/>
            <rFont val="Meiryo UI"/>
            <family val="3"/>
            <charset val="128"/>
          </rPr>
          <t>対応期限を設定。
例)外部設計終了まで/PJ完了まで</t>
        </r>
      </text>
    </comment>
    <comment ref="N6" authorId="0" shapeId="0" xr:uid="{6AA7459E-D99A-4F3F-9AB4-0FCCBC92E351}">
      <text>
        <r>
          <rPr>
            <sz val="9"/>
            <color indexed="10"/>
            <rFont val="Meiryo UI"/>
            <family val="3"/>
            <charset val="128"/>
          </rPr>
          <t>対応方針に従い、対応策を策定。
※方針と紐づく具体的な対応策を記載。
　NGワード：精神論はNG</t>
        </r>
      </text>
    </comment>
  </commentList>
</comments>
</file>

<file path=xl/sharedStrings.xml><?xml version="1.0" encoding="utf-8"?>
<sst xmlns="http://schemas.openxmlformats.org/spreadsheetml/2006/main" count="2471" uniqueCount="1150">
  <si>
    <t>■案件チェックリスト運用説明</t>
    <phoneticPr fontId="2"/>
  </si>
  <si>
    <t>目的</t>
    <rPh sb="0" eb="2">
      <t>モクテキ</t>
    </rPh>
    <phoneticPr fontId="2"/>
  </si>
  <si>
    <t>本チェックリストは、各案件におけるリスクを洗出し、プロジェクトメンバでリスクを共有することを目的とする。
共有したリスクはリスク管理計画シートに記載し、対応策とコンティンジェンシー予備費を計画する。</t>
    <rPh sb="0" eb="1">
      <t>ホン</t>
    </rPh>
    <rPh sb="46" eb="48">
      <t>モクテキ</t>
    </rPh>
    <rPh sb="90" eb="92">
      <t>ヨビ</t>
    </rPh>
    <rPh sb="92" eb="93">
      <t>ヒ</t>
    </rPh>
    <rPh sb="94" eb="96">
      <t>ケイカク</t>
    </rPh>
    <phoneticPr fontId="2"/>
  </si>
  <si>
    <t>チェックリスト説明</t>
    <rPh sb="7" eb="9">
      <t>セツメイ</t>
    </rPh>
    <phoneticPr fontId="2"/>
  </si>
  <si>
    <t>本チェックリストは、従来の「案件受注評価チェックリスト」「プロジェクト計画評価チェックリスト」「パッケージ評価チェックリスト」の3つのチェックリストを統合し、以下の点を改善している。
　　　◆チェック内容の補足説明（具体的な事象）を記載し、チェック内容の真の意図・背景をチェック実施者に伝える。
　　　◆各チェックリストで重複していたチェック内容を解消。</t>
    <rPh sb="0" eb="1">
      <t>ホン</t>
    </rPh>
    <rPh sb="10" eb="12">
      <t>ジュウライ</t>
    </rPh>
    <rPh sb="14" eb="16">
      <t>アンケン</t>
    </rPh>
    <rPh sb="16" eb="18">
      <t>ジュチュウ</t>
    </rPh>
    <rPh sb="35" eb="37">
      <t>ケイカク</t>
    </rPh>
    <rPh sb="37" eb="39">
      <t>ヒョウカ</t>
    </rPh>
    <rPh sb="53" eb="55">
      <t>ヒョウカ</t>
    </rPh>
    <rPh sb="75" eb="77">
      <t>トウゴウ</t>
    </rPh>
    <rPh sb="79" eb="81">
      <t>イカ</t>
    </rPh>
    <rPh sb="82" eb="83">
      <t>テン</t>
    </rPh>
    <rPh sb="84" eb="86">
      <t>カイゼン</t>
    </rPh>
    <rPh sb="108" eb="111">
      <t>グタイテキ</t>
    </rPh>
    <rPh sb="112" eb="114">
      <t>ジショウ</t>
    </rPh>
    <rPh sb="116" eb="118">
      <t>キサイ</t>
    </rPh>
    <rPh sb="124" eb="126">
      <t>ナイヨウ</t>
    </rPh>
    <rPh sb="127" eb="128">
      <t>シン</t>
    </rPh>
    <rPh sb="129" eb="131">
      <t>イト</t>
    </rPh>
    <rPh sb="132" eb="134">
      <t>ハイケイ</t>
    </rPh>
    <rPh sb="139" eb="141">
      <t>ジッシ</t>
    </rPh>
    <rPh sb="141" eb="142">
      <t>シャ</t>
    </rPh>
    <rPh sb="143" eb="144">
      <t>ツタ</t>
    </rPh>
    <rPh sb="152" eb="153">
      <t>カク</t>
    </rPh>
    <rPh sb="161" eb="163">
      <t>チョウフク</t>
    </rPh>
    <rPh sb="171" eb="173">
      <t>ナイヨウ</t>
    </rPh>
    <rPh sb="174" eb="176">
      <t>カイショウ</t>
    </rPh>
    <phoneticPr fontId="2"/>
  </si>
  <si>
    <t>使用方法</t>
    <rPh sb="0" eb="2">
      <t>シヨウ</t>
    </rPh>
    <rPh sb="2" eb="4">
      <t>ホウホウ</t>
    </rPh>
    <phoneticPr fontId="2"/>
  </si>
  <si>
    <r>
      <t xml:space="preserve">案件の概算・正式見積提示前の段階で、案件を成功に導くために必要な事柄について、総合的なチェック・検証を行う。
</t>
    </r>
    <r>
      <rPr>
        <sz val="12"/>
        <color indexed="12"/>
        <rFont val="ＭＳ Ｐゴシック"/>
        <family val="3"/>
        <charset val="128"/>
      </rPr>
      <t xml:space="preserve">　◆ 「案件規模」項目のフィルタ機能を用い、当該プロジェクトの案件規模に応じてチェック対象項目を選択する。
      3000万円を超える案件については、「全案件」「3000万円以上」両方の項目を選択する。 
      3000万円以下の案件については、「全案件」の項目のみ、「3000万円以上」の項目のチェックを外す。 
</t>
    </r>
    <r>
      <rPr>
        <sz val="12"/>
        <rFont val="ＭＳ Ｐゴシック"/>
        <family val="3"/>
        <charset val="128"/>
      </rPr>
      <t xml:space="preserve">　◆ 概算・正式見積提示前の段階で、本チェックリストをSE・営業の双方が協議して実施し、リスクが高いと思われる事象を見つける。
　◆ チェック実施結果よりリスク高となった項目を基に、リスクイベント・リスクインパクト・トリガー・対応策などを検討し、
　　　リスク管理計画シートに記載する。
  </t>
    </r>
    <r>
      <rPr>
        <b/>
        <sz val="12"/>
        <color indexed="10"/>
        <rFont val="ＭＳ Ｐゴシック"/>
        <family val="3"/>
        <charset val="128"/>
      </rPr>
      <t>◆ 本チェックリストで「リスク有り」として洗い出されたリスクは、リスク管理計画シートに記入する。
      （その際、リスク管理計画シートの「リスク観点」項目にて 「リスク有り」のリスク項目と紐づけること）</t>
    </r>
    <r>
      <rPr>
        <sz val="12"/>
        <rFont val="ＭＳ Ｐゴシック"/>
        <family val="3"/>
        <charset val="128"/>
      </rPr>
      <t xml:space="preserve">
  ◆ チェック実施結果、リスク管理計画シートをプロジェクトオーナー、プロジェクト管理責任者の双方より承認してもらう。
　　 （押印はチェック実施結果のみ。リスク管理計画シートに押印は不要。）
当初計画に見直しが発生する場合は、チェック項目を再確認し、新たなリスクがないかを確認する。</t>
    </r>
    <rPh sb="59" eb="61">
      <t>アンケン</t>
    </rPh>
    <rPh sb="61" eb="63">
      <t>キボ</t>
    </rPh>
    <rPh sb="64" eb="66">
      <t>コウモク</t>
    </rPh>
    <rPh sb="71" eb="73">
      <t>キノウ</t>
    </rPh>
    <rPh sb="74" eb="75">
      <t>モチ</t>
    </rPh>
    <rPh sb="77" eb="79">
      <t>トウガイ</t>
    </rPh>
    <rPh sb="86" eb="88">
      <t>アンケン</t>
    </rPh>
    <rPh sb="88" eb="90">
      <t>キボ</t>
    </rPh>
    <rPh sb="91" eb="92">
      <t>オウ</t>
    </rPh>
    <rPh sb="98" eb="100">
      <t>タイショウ</t>
    </rPh>
    <rPh sb="100" eb="102">
      <t>コウモク</t>
    </rPh>
    <rPh sb="103" eb="105">
      <t>センタク</t>
    </rPh>
    <rPh sb="119" eb="121">
      <t>マンエン</t>
    </rPh>
    <rPh sb="122" eb="123">
      <t>コ</t>
    </rPh>
    <rPh sb="125" eb="127">
      <t>アンケン</t>
    </rPh>
    <rPh sb="134" eb="135">
      <t>ゼン</t>
    </rPh>
    <rPh sb="135" eb="137">
      <t>アンケン</t>
    </rPh>
    <rPh sb="143" eb="147">
      <t>マンエンイジョウ</t>
    </rPh>
    <rPh sb="148" eb="150">
      <t>リョウホウ</t>
    </rPh>
    <rPh sb="151" eb="153">
      <t>コウモク</t>
    </rPh>
    <rPh sb="154" eb="156">
      <t>センタク</t>
    </rPh>
    <rPh sb="173" eb="175">
      <t>イカ</t>
    </rPh>
    <rPh sb="190" eb="192">
      <t>コウモク</t>
    </rPh>
    <rPh sb="214" eb="215">
      <t>ハズ</t>
    </rPh>
    <rPh sb="386" eb="387">
      <t>アラ</t>
    </rPh>
    <rPh sb="388" eb="389">
      <t>ダ</t>
    </rPh>
    <rPh sb="408" eb="410">
      <t>キニュウ</t>
    </rPh>
    <rPh sb="423" eb="424">
      <t>サイ</t>
    </rPh>
    <rPh sb="443" eb="445">
      <t>コウモク</t>
    </rPh>
    <rPh sb="462" eb="463">
      <t>ヒモ</t>
    </rPh>
    <rPh sb="511" eb="513">
      <t>カンリ</t>
    </rPh>
    <rPh sb="567" eb="569">
      <t>トウショ</t>
    </rPh>
    <rPh sb="569" eb="571">
      <t>ケイカク</t>
    </rPh>
    <rPh sb="572" eb="574">
      <t>ミナオ</t>
    </rPh>
    <rPh sb="576" eb="578">
      <t>ハッセイ</t>
    </rPh>
    <rPh sb="580" eb="582">
      <t>バアイ</t>
    </rPh>
    <rPh sb="588" eb="590">
      <t>コウモク</t>
    </rPh>
    <rPh sb="591" eb="592">
      <t>サイ</t>
    </rPh>
    <rPh sb="592" eb="594">
      <t>カクニン</t>
    </rPh>
    <rPh sb="596" eb="597">
      <t>アラ</t>
    </rPh>
    <rPh sb="607" eb="609">
      <t>カクニン</t>
    </rPh>
    <phoneticPr fontId="2"/>
  </si>
  <si>
    <t>作成者</t>
    <rPh sb="0" eb="3">
      <t>サクセイシャ</t>
    </rPh>
    <phoneticPr fontId="2"/>
  </si>
  <si>
    <t>◆ 担当営業、PM（SE）両者で意見調整を行い、協力して作成する。
　　営業とPMが一体となり、意識を合わせてプロジェクト推進することが必要。各々の部長以上のレビュー・承認を行う。</t>
    <rPh sb="2" eb="4">
      <t>タントウ</t>
    </rPh>
    <rPh sb="36" eb="38">
      <t>エイギョウ</t>
    </rPh>
    <phoneticPr fontId="2"/>
  </si>
  <si>
    <t>承認者</t>
    <rPh sb="0" eb="2">
      <t>ショウニン</t>
    </rPh>
    <rPh sb="2" eb="3">
      <t>シャ</t>
    </rPh>
    <phoneticPr fontId="2"/>
  </si>
  <si>
    <t>プロジェクトオーナー（営業部長）とプロジェクト管理責任者（SE部長）　
採算原価見積金額が5000万円以上の案件は本部長承認を必要とする。</t>
    <rPh sb="36" eb="44">
      <t>サイサンゲンカミツモリキンガク</t>
    </rPh>
    <rPh sb="49" eb="53">
      <t>マンエンイジョウ</t>
    </rPh>
    <rPh sb="63" eb="65">
      <t>ヒツヨウ</t>
    </rPh>
    <phoneticPr fontId="2"/>
  </si>
  <si>
    <t>作成・承認タイミング</t>
    <rPh sb="0" eb="2">
      <t>サクセイ</t>
    </rPh>
    <rPh sb="3" eb="5">
      <t>ショウニン</t>
    </rPh>
    <phoneticPr fontId="2"/>
  </si>
  <si>
    <t>顧客への見積・提案書提示前までに作成～承認を完了しておく。
RA・見積レビュー対象案件の場合、RA・見積レビュー実施前までに承認を完了しておく。</t>
    <rPh sb="4" eb="6">
      <t>ミツモリ</t>
    </rPh>
    <rPh sb="22" eb="24">
      <t>カンリョウ</t>
    </rPh>
    <rPh sb="33" eb="35">
      <t>ミツモリ</t>
    </rPh>
    <rPh sb="39" eb="41">
      <t>タイショウ</t>
    </rPh>
    <rPh sb="41" eb="43">
      <t>アンケン</t>
    </rPh>
    <rPh sb="44" eb="46">
      <t>バアイ</t>
    </rPh>
    <rPh sb="56" eb="58">
      <t>ジッシ</t>
    </rPh>
    <rPh sb="58" eb="59">
      <t>マエ</t>
    </rPh>
    <rPh sb="62" eb="64">
      <t>ショウニン</t>
    </rPh>
    <rPh sb="65" eb="67">
      <t>カンリョウ</t>
    </rPh>
    <phoneticPr fontId="2"/>
  </si>
  <si>
    <t>提出タイミング</t>
    <rPh sb="0" eb="2">
      <t>テイシュツ</t>
    </rPh>
    <phoneticPr fontId="2"/>
  </si>
  <si>
    <t>採算原価見積金額が5000万円以上の案件は、RA・見積レビュー開催時にレビュー資料として提示する必要がある。
採算原価見積表の添付資料であり、品質計画書（開発・インフラ）の添付資料である。</t>
    <rPh sb="18" eb="20">
      <t>アンケン</t>
    </rPh>
    <rPh sb="55" eb="57">
      <t>サイサン</t>
    </rPh>
    <rPh sb="57" eb="59">
      <t>ゲンカ</t>
    </rPh>
    <rPh sb="59" eb="61">
      <t>ミツモリ</t>
    </rPh>
    <rPh sb="61" eb="62">
      <t>ヒョウ</t>
    </rPh>
    <rPh sb="63" eb="65">
      <t>テンプ</t>
    </rPh>
    <rPh sb="65" eb="67">
      <t>シリョウ</t>
    </rPh>
    <rPh sb="71" eb="73">
      <t>ヒンシツ</t>
    </rPh>
    <rPh sb="77" eb="79">
      <t>カイハツ</t>
    </rPh>
    <phoneticPr fontId="2"/>
  </si>
  <si>
    <t>関連規格・資料</t>
    <rPh sb="0" eb="2">
      <t>カンレン</t>
    </rPh>
    <rPh sb="2" eb="4">
      <t>キカク</t>
    </rPh>
    <rPh sb="5" eb="7">
      <t>シリョウ</t>
    </rPh>
    <phoneticPr fontId="2"/>
  </si>
  <si>
    <t>見積レビューガイドライン
（チェックリストに記載されている各帯の名称（例：1.スコープ定義）は、見積レビューガイドライン概要編(P5)に定義されている
 見積プロセスの名称と対応している）</t>
    <rPh sb="0" eb="2">
      <t>ミツモリ</t>
    </rPh>
    <rPh sb="22" eb="24">
      <t>キサイ</t>
    </rPh>
    <rPh sb="29" eb="30">
      <t>カク</t>
    </rPh>
    <rPh sb="30" eb="31">
      <t>オビ</t>
    </rPh>
    <rPh sb="32" eb="34">
      <t>メイショウ</t>
    </rPh>
    <rPh sb="35" eb="36">
      <t>レイ</t>
    </rPh>
    <rPh sb="48" eb="50">
      <t>ミツモリ</t>
    </rPh>
    <rPh sb="68" eb="70">
      <t>テイギ</t>
    </rPh>
    <rPh sb="77" eb="79">
      <t>ミツモリ</t>
    </rPh>
    <rPh sb="84" eb="86">
      <t>メイショウ</t>
    </rPh>
    <rPh sb="87" eb="89">
      <t>タイオウ</t>
    </rPh>
    <phoneticPr fontId="2"/>
  </si>
  <si>
    <t>顧客名：トヨタ自動車</t>
    <rPh sb="0" eb="2">
      <t>コキャク</t>
    </rPh>
    <rPh sb="2" eb="3">
      <t>メイ</t>
    </rPh>
    <rPh sb="7" eb="10">
      <t>ジドウシャ</t>
    </rPh>
    <phoneticPr fontId="2"/>
  </si>
  <si>
    <t>案件名：VISTA環境活用支援</t>
    <rPh sb="0" eb="2">
      <t>アンケン</t>
    </rPh>
    <rPh sb="2" eb="3">
      <t>メイ</t>
    </rPh>
    <rPh sb="9" eb="11">
      <t>カンキョウ</t>
    </rPh>
    <rPh sb="11" eb="13">
      <t>カツヨウ</t>
    </rPh>
    <rPh sb="13" eb="15">
      <t>シエン</t>
    </rPh>
    <phoneticPr fontId="2"/>
  </si>
  <si>
    <t>日付：2025/6/1</t>
    <rPh sb="0" eb="2">
      <t>ヒヅケ</t>
    </rPh>
    <phoneticPr fontId="2"/>
  </si>
  <si>
    <t>№</t>
    <phoneticPr fontId="2"/>
  </si>
  <si>
    <t>案件
規模</t>
    <rPh sb="0" eb="2">
      <t>アンケン</t>
    </rPh>
    <rPh sb="3" eb="5">
      <t>キボ</t>
    </rPh>
    <phoneticPr fontId="2"/>
  </si>
  <si>
    <t>リスク観点</t>
    <rPh sb="3" eb="5">
      <t>カンテン</t>
    </rPh>
    <phoneticPr fontId="2"/>
  </si>
  <si>
    <t>チェック項目</t>
    <rPh sb="4" eb="6">
      <t>コウモク</t>
    </rPh>
    <phoneticPr fontId="2"/>
  </si>
  <si>
    <t>回答</t>
    <rPh sb="0" eb="2">
      <t>カイトウ</t>
    </rPh>
    <phoneticPr fontId="2"/>
  </si>
  <si>
    <t>説明</t>
    <rPh sb="0" eb="2">
      <t>セツメイ</t>
    </rPh>
    <phoneticPr fontId="2"/>
  </si>
  <si>
    <t>リスク有無</t>
    <rPh sb="3" eb="5">
      <t>ウム</t>
    </rPh>
    <phoneticPr fontId="2"/>
  </si>
  <si>
    <t>1.スコープ定義</t>
    <rPh sb="6" eb="8">
      <t>テイギ</t>
    </rPh>
    <phoneticPr fontId="2"/>
  </si>
  <si>
    <t>3000万円以上</t>
    <rPh sb="4" eb="6">
      <t>マンエン</t>
    </rPh>
    <rPh sb="6" eb="8">
      <t>イジョウ</t>
    </rPh>
    <phoneticPr fontId="2"/>
  </si>
  <si>
    <t>顧客</t>
    <rPh sb="0" eb="2">
      <t>コキャク</t>
    </rPh>
    <phoneticPr fontId="2"/>
  </si>
  <si>
    <t>顧客はプロジェクトの主体性をもっているか。</t>
    <phoneticPr fontId="2"/>
  </si>
  <si>
    <t>該当せず</t>
  </si>
  <si>
    <t>主体性を持っている場合YES</t>
    <rPh sb="0" eb="3">
      <t>シュタイセイ</t>
    </rPh>
    <phoneticPr fontId="2"/>
  </si>
  <si>
    <r>
      <t xml:space="preserve">顧客に主体性がないと要件や仕様などの決定・判断が遅れ、プロジェクト全体のスケジュールに影響を及ぼす。
</t>
    </r>
    <r>
      <rPr>
        <sz val="12"/>
        <rFont val="ＭＳ Ｐゴシック"/>
        <family val="3"/>
        <charset val="128"/>
      </rPr>
      <t xml:space="preserve">
</t>
    </r>
    <r>
      <rPr>
        <sz val="12"/>
        <color indexed="12"/>
        <rFont val="ＭＳ Ｐゴシック"/>
        <family val="3"/>
        <charset val="128"/>
      </rPr>
      <t xml:space="preserve">　《YES回答に該当するか否かの判断条件例》
　・仕様などの決定者が予め規定されている場合
　・仕様・運用などの決定に、エンドユーザーやステークホルダーの参画が見込まれる場合
　・選任チームの構築など、顧客側が主体性を持って臨んでいる場合
</t>
    </r>
    <rPh sb="0" eb="2">
      <t>コキャク</t>
    </rPh>
    <rPh sb="3" eb="6">
      <t>シュタイセイ</t>
    </rPh>
    <rPh sb="10" eb="12">
      <t>ヨウケン</t>
    </rPh>
    <rPh sb="13" eb="15">
      <t>シヨウ</t>
    </rPh>
    <rPh sb="18" eb="20">
      <t>ケッテイ</t>
    </rPh>
    <rPh sb="21" eb="23">
      <t>ハンダン</t>
    </rPh>
    <rPh sb="24" eb="25">
      <t>オク</t>
    </rPh>
    <rPh sb="33" eb="35">
      <t>ゼンタイ</t>
    </rPh>
    <rPh sb="43" eb="45">
      <t>エイキョウ</t>
    </rPh>
    <rPh sb="46" eb="47">
      <t>オヨ</t>
    </rPh>
    <rPh sb="86" eb="87">
      <t>アラカジ</t>
    </rPh>
    <rPh sb="100" eb="102">
      <t>シヨウ</t>
    </rPh>
    <rPh sb="103" eb="105">
      <t>ウンヨウ</t>
    </rPh>
    <rPh sb="108" eb="110">
      <t>ケッテイ</t>
    </rPh>
    <rPh sb="129" eb="131">
      <t>サンカク</t>
    </rPh>
    <rPh sb="132" eb="134">
      <t>ミコ</t>
    </rPh>
    <rPh sb="137" eb="139">
      <t>バアイ</t>
    </rPh>
    <rPh sb="142" eb="144">
      <t>センニン</t>
    </rPh>
    <rPh sb="148" eb="150">
      <t>コウチク</t>
    </rPh>
    <rPh sb="153" eb="155">
      <t>コキャク</t>
    </rPh>
    <rPh sb="155" eb="156">
      <t>ガワ</t>
    </rPh>
    <rPh sb="157" eb="160">
      <t>シュタイセイ</t>
    </rPh>
    <rPh sb="161" eb="162">
      <t>モ</t>
    </rPh>
    <rPh sb="164" eb="165">
      <t>ノゾ</t>
    </rPh>
    <rPh sb="169" eb="171">
      <t>バアイ</t>
    </rPh>
    <phoneticPr fontId="2"/>
  </si>
  <si>
    <t>No
の場合リスク有</t>
    <rPh sb="4" eb="6">
      <t>バアイ</t>
    </rPh>
    <rPh sb="9" eb="10">
      <t>アリ</t>
    </rPh>
    <phoneticPr fontId="2"/>
  </si>
  <si>
    <t>Yes</t>
    <phoneticPr fontId="2"/>
  </si>
  <si>
    <t>顧客・体制</t>
    <rPh sb="0" eb="2">
      <t>コキャク</t>
    </rPh>
    <rPh sb="3" eb="5">
      <t>タイセイ</t>
    </rPh>
    <phoneticPr fontId="2"/>
  </si>
  <si>
    <t>顧客体制の大きな変更が予想されるか。</t>
    <rPh sb="11" eb="13">
      <t>ヨソウ</t>
    </rPh>
    <phoneticPr fontId="2"/>
  </si>
  <si>
    <t>変更が予想される場合YES</t>
    <phoneticPr fontId="2"/>
  </si>
  <si>
    <r>
      <t>顧客体制にてキーマンが変更になる場合は、これまでの決定事項や課題などを再度説明したり、決定事項を反故にされる可能性がある。</t>
    </r>
    <r>
      <rPr>
        <sz val="12"/>
        <rFont val="ＭＳ Ｐゴシック"/>
        <family val="3"/>
        <charset val="128"/>
      </rPr>
      <t xml:space="preserve">
</t>
    </r>
    <r>
      <rPr>
        <sz val="12"/>
        <color indexed="12"/>
        <rFont val="ＭＳ Ｐゴシック"/>
        <family val="3"/>
        <charset val="128"/>
      </rPr>
      <t xml:space="preserve">　《YES回答に該当するか否かの判断条件例》
　・プロジェクトが長期間（1年以上）に渡る場合
　・期をまたぐスケジュールである場合
　・機構変更などが発生すると一気に体制が変更になる可能性がある場合
</t>
    </r>
    <rPh sb="0" eb="2">
      <t>コキャク</t>
    </rPh>
    <rPh sb="2" eb="4">
      <t>タイセイ</t>
    </rPh>
    <rPh sb="11" eb="13">
      <t>ヘンコウ</t>
    </rPh>
    <rPh sb="16" eb="18">
      <t>バアイ</t>
    </rPh>
    <rPh sb="25" eb="27">
      <t>ケッテイ</t>
    </rPh>
    <rPh sb="27" eb="29">
      <t>ジコウ</t>
    </rPh>
    <rPh sb="30" eb="32">
      <t>カダイ</t>
    </rPh>
    <rPh sb="35" eb="37">
      <t>サイド</t>
    </rPh>
    <rPh sb="37" eb="39">
      <t>セツメイ</t>
    </rPh>
    <rPh sb="43" eb="45">
      <t>ケッテイ</t>
    </rPh>
    <rPh sb="45" eb="47">
      <t>ジコウ</t>
    </rPh>
    <rPh sb="48" eb="50">
      <t>ホゴ</t>
    </rPh>
    <rPh sb="54" eb="57">
      <t>カノウセイ</t>
    </rPh>
    <rPh sb="131" eb="133">
      <t>キコウ</t>
    </rPh>
    <rPh sb="133" eb="135">
      <t>ヘンコウ</t>
    </rPh>
    <rPh sb="138" eb="140">
      <t>ハッセイ</t>
    </rPh>
    <rPh sb="143" eb="145">
      <t>イッキ</t>
    </rPh>
    <rPh sb="146" eb="148">
      <t>タイセイ</t>
    </rPh>
    <rPh sb="149" eb="151">
      <t>ヘンコウ</t>
    </rPh>
    <rPh sb="154" eb="157">
      <t>カノウセイ</t>
    </rPh>
    <rPh sb="160" eb="162">
      <t>バアイ</t>
    </rPh>
    <phoneticPr fontId="2"/>
  </si>
  <si>
    <t>Yes
の場合リスク有</t>
    <rPh sb="5" eb="7">
      <t>バアイ</t>
    </rPh>
    <rPh sb="10" eb="11">
      <t>アリ</t>
    </rPh>
    <phoneticPr fontId="2"/>
  </si>
  <si>
    <t>No</t>
    <phoneticPr fontId="2"/>
  </si>
  <si>
    <t>全案件</t>
    <rPh sb="0" eb="1">
      <t>ゼン</t>
    </rPh>
    <rPh sb="1" eb="3">
      <t>アンケン</t>
    </rPh>
    <phoneticPr fontId="2"/>
  </si>
  <si>
    <t>顧客・契約</t>
    <rPh sb="0" eb="2">
      <t>コキャク</t>
    </rPh>
    <rPh sb="3" eb="5">
      <t>ケイヤク</t>
    </rPh>
    <phoneticPr fontId="2"/>
  </si>
  <si>
    <t>顧客との契約において、不要な責任を負うことを回避できているか。</t>
    <rPh sb="11" eb="13">
      <t>フヨウ</t>
    </rPh>
    <rPh sb="14" eb="16">
      <t>セキニン</t>
    </rPh>
    <rPh sb="17" eb="18">
      <t>オ</t>
    </rPh>
    <rPh sb="22" eb="24">
      <t>カイヒ</t>
    </rPh>
    <phoneticPr fontId="2"/>
  </si>
  <si>
    <t>回避できている場合
YES</t>
    <rPh sb="0" eb="2">
      <t>カイヒ</t>
    </rPh>
    <rPh sb="7" eb="9">
      <t>バアイ</t>
    </rPh>
    <phoneticPr fontId="2"/>
  </si>
  <si>
    <r>
      <t xml:space="preserve">責任範囲が曖昧な契約は、想定していない損害賠償責任を負う可能性がある。交渉の際にも、不利な条件を受け入れざるを得ないリスクを負う。
</t>
    </r>
    <r>
      <rPr>
        <sz val="12"/>
        <rFont val="ＭＳ Ｐゴシック"/>
        <family val="3"/>
        <charset val="128"/>
      </rPr>
      <t xml:space="preserve">
</t>
    </r>
    <r>
      <rPr>
        <sz val="12"/>
        <color indexed="12"/>
        <rFont val="ＭＳ Ｐゴシック"/>
        <family val="3"/>
        <charset val="128"/>
      </rPr>
      <t xml:space="preserve">　《YES回答に該当するか否かの判断条件例》
  ・請負契約とすべできない作業を準委任契約にしている場合
  ・CTCの免責条件が明記され、明確である場合
  ・権利帰属、知的財産権侵害に関する条項が存在し、明確である場合
  ・オープンソースを利用する場合、基本契約書、或いは、覚書によって不要な責任を負わないことを明確にしている場合
</t>
    </r>
    <rPh sb="5" eb="7">
      <t>アイマイ</t>
    </rPh>
    <rPh sb="8" eb="10">
      <t>ケイヤク</t>
    </rPh>
    <rPh sb="62" eb="63">
      <t>オ</t>
    </rPh>
    <rPh sb="93" eb="95">
      <t>ウケオイ</t>
    </rPh>
    <rPh sb="95" eb="97">
      <t>ケイヤク</t>
    </rPh>
    <rPh sb="104" eb="106">
      <t>サギョウ</t>
    </rPh>
    <rPh sb="117" eb="119">
      <t>バアイ</t>
    </rPh>
    <rPh sb="127" eb="129">
      <t>メンセキ</t>
    </rPh>
    <rPh sb="129" eb="131">
      <t>ジョウケン</t>
    </rPh>
    <rPh sb="132" eb="134">
      <t>メイキ</t>
    </rPh>
    <rPh sb="142" eb="144">
      <t>バアイ</t>
    </rPh>
    <rPh sb="148" eb="150">
      <t>ケンリ</t>
    </rPh>
    <rPh sb="150" eb="152">
      <t>キゾク</t>
    </rPh>
    <rPh sb="157" eb="158">
      <t>ケン</t>
    </rPh>
    <rPh sb="161" eb="162">
      <t>カン</t>
    </rPh>
    <rPh sb="164" eb="166">
      <t>ジョウコウ</t>
    </rPh>
    <rPh sb="167" eb="169">
      <t>ソンザイ</t>
    </rPh>
    <rPh sb="176" eb="178">
      <t>バアイ</t>
    </rPh>
    <rPh sb="190" eb="192">
      <t>リヨウ</t>
    </rPh>
    <rPh sb="194" eb="196">
      <t>バアイ</t>
    </rPh>
    <rPh sb="197" eb="199">
      <t>キホン</t>
    </rPh>
    <rPh sb="199" eb="202">
      <t>ケイヤクショ</t>
    </rPh>
    <rPh sb="203" eb="204">
      <t>アル</t>
    </rPh>
    <rPh sb="207" eb="209">
      <t>オボエガキ</t>
    </rPh>
    <rPh sb="213" eb="215">
      <t>フヨウ</t>
    </rPh>
    <rPh sb="216" eb="218">
      <t>セキニン</t>
    </rPh>
    <rPh sb="219" eb="220">
      <t>オ</t>
    </rPh>
    <rPh sb="226" eb="228">
      <t>メイカク</t>
    </rPh>
    <rPh sb="233" eb="235">
      <t>バアイ</t>
    </rPh>
    <phoneticPr fontId="2"/>
  </si>
  <si>
    <t>社内・体制</t>
    <rPh sb="0" eb="2">
      <t>シャナイ</t>
    </rPh>
    <rPh sb="3" eb="5">
      <t>タイセイ</t>
    </rPh>
    <phoneticPr fontId="2"/>
  </si>
  <si>
    <t>社内体制の大きな変更が予想されるか。</t>
    <rPh sb="0" eb="2">
      <t>シャナイ</t>
    </rPh>
    <rPh sb="2" eb="4">
      <t>タイセイ</t>
    </rPh>
    <rPh sb="5" eb="6">
      <t>オオ</t>
    </rPh>
    <rPh sb="8" eb="10">
      <t>ヘンコウ</t>
    </rPh>
    <rPh sb="11" eb="13">
      <t>ヨソウ</t>
    </rPh>
    <phoneticPr fontId="2"/>
  </si>
  <si>
    <r>
      <t>社内体制にてキーマンが変更になる場合は、引継ぎ・立上がり工数の発生や変更になったメンバのスキルアンマッチといったことが想定される。</t>
    </r>
    <r>
      <rPr>
        <sz val="12"/>
        <rFont val="ＭＳ Ｐゴシック"/>
        <family val="3"/>
        <charset val="128"/>
      </rPr>
      <t xml:space="preserve">
</t>
    </r>
    <r>
      <rPr>
        <sz val="12"/>
        <color indexed="12"/>
        <rFont val="ＭＳ Ｐゴシック"/>
        <family val="3"/>
        <charset val="128"/>
      </rPr>
      <t xml:space="preserve">　《YES回答に該当するか否かの判断条件例》
　・プロジェクトが長期間（1年以上）に渡る場合
　・期をまたぐスケジュールである場合
</t>
    </r>
    <rPh sb="0" eb="2">
      <t>シャナイ</t>
    </rPh>
    <rPh sb="2" eb="4">
      <t>タイセイ</t>
    </rPh>
    <rPh sb="11" eb="13">
      <t>ヘンコウ</t>
    </rPh>
    <rPh sb="16" eb="18">
      <t>バアイ</t>
    </rPh>
    <rPh sb="20" eb="22">
      <t>ヒキツ</t>
    </rPh>
    <rPh sb="24" eb="26">
      <t>タチア</t>
    </rPh>
    <rPh sb="28" eb="30">
      <t>コウスウ</t>
    </rPh>
    <rPh sb="31" eb="33">
      <t>ハッセイ</t>
    </rPh>
    <rPh sb="34" eb="36">
      <t>ヘンコウ</t>
    </rPh>
    <rPh sb="59" eb="61">
      <t>ソウテイ</t>
    </rPh>
    <rPh sb="75" eb="77">
      <t>ガイトウ</t>
    </rPh>
    <rPh sb="80" eb="81">
      <t>イナ</t>
    </rPh>
    <rPh sb="83" eb="85">
      <t>ハンダン</t>
    </rPh>
    <rPh sb="85" eb="87">
      <t>ジョウケン</t>
    </rPh>
    <rPh sb="87" eb="88">
      <t>レイ</t>
    </rPh>
    <rPh sb="99" eb="102">
      <t>チョウキカン</t>
    </rPh>
    <rPh sb="109" eb="110">
      <t>ワタ</t>
    </rPh>
    <rPh sb="111" eb="113">
      <t>バアイ</t>
    </rPh>
    <rPh sb="116" eb="117">
      <t>キ</t>
    </rPh>
    <rPh sb="130" eb="132">
      <t>バアイ</t>
    </rPh>
    <phoneticPr fontId="2"/>
  </si>
  <si>
    <t>工期・納期</t>
    <rPh sb="0" eb="2">
      <t>コウキ</t>
    </rPh>
    <rPh sb="3" eb="5">
      <t>ノウキ</t>
    </rPh>
    <phoneticPr fontId="2"/>
  </si>
  <si>
    <t>根拠に基づいた適正な工期を確保しているか。</t>
    <rPh sb="0" eb="2">
      <t>コンキョ</t>
    </rPh>
    <rPh sb="3" eb="4">
      <t>モト</t>
    </rPh>
    <rPh sb="7" eb="9">
      <t>テキセイ</t>
    </rPh>
    <rPh sb="10" eb="12">
      <t>コウキ</t>
    </rPh>
    <rPh sb="13" eb="15">
      <t>カクホ</t>
    </rPh>
    <phoneticPr fontId="2"/>
  </si>
  <si>
    <t>根拠に基づいている場合YES</t>
    <phoneticPr fontId="2"/>
  </si>
  <si>
    <r>
      <t xml:space="preserve">適正な工期を正しく確保せず短納期となる場合、作業品質の劣化・レビューの省略・課題の先送りなどにつながり、納期が間延びしている場合、不要なコスト増につながる。
</t>
    </r>
    <r>
      <rPr>
        <sz val="12"/>
        <rFont val="ＭＳ Ｐゴシック"/>
        <family val="3"/>
        <charset val="128"/>
      </rPr>
      <t xml:space="preserve">
</t>
    </r>
    <r>
      <rPr>
        <sz val="12"/>
        <color indexed="12"/>
        <rFont val="ＭＳ Ｐゴシック"/>
        <family val="3"/>
        <charset val="128"/>
      </rPr>
      <t xml:space="preserve">　《YES回答に該当するか否かの判断条件例》
　・標準工期に比べて長すぎたり、短すぎたりしていない場合
　・各工程の工期比率が適正である場合
　・実現性のあるマイルストーン、クリティカルパスが設定されている場合
</t>
    </r>
    <rPh sb="0" eb="2">
      <t>テキセイ</t>
    </rPh>
    <rPh sb="6" eb="7">
      <t>タダ</t>
    </rPh>
    <rPh sb="9" eb="11">
      <t>カクホ</t>
    </rPh>
    <rPh sb="13" eb="16">
      <t>タンノウキ</t>
    </rPh>
    <rPh sb="19" eb="21">
      <t>バアイ</t>
    </rPh>
    <rPh sb="22" eb="24">
      <t>サギョウ</t>
    </rPh>
    <rPh sb="24" eb="26">
      <t>ヒンシツ</t>
    </rPh>
    <rPh sb="27" eb="29">
      <t>レッカ</t>
    </rPh>
    <rPh sb="35" eb="37">
      <t>ショウリャク</t>
    </rPh>
    <rPh sb="38" eb="40">
      <t>カダイ</t>
    </rPh>
    <rPh sb="41" eb="43">
      <t>サキオク</t>
    </rPh>
    <rPh sb="52" eb="54">
      <t>ノウキ</t>
    </rPh>
    <rPh sb="55" eb="57">
      <t>マノ</t>
    </rPh>
    <rPh sb="62" eb="64">
      <t>バアイ</t>
    </rPh>
    <rPh sb="65" eb="67">
      <t>フヨウ</t>
    </rPh>
    <rPh sb="71" eb="72">
      <t>ゾウ</t>
    </rPh>
    <rPh sb="105" eb="107">
      <t>ヒョウジュン</t>
    </rPh>
    <rPh sb="107" eb="109">
      <t>コウキ</t>
    </rPh>
    <rPh sb="110" eb="111">
      <t>クラ</t>
    </rPh>
    <rPh sb="113" eb="114">
      <t>ナガ</t>
    </rPh>
    <rPh sb="119" eb="120">
      <t>ミジカ</t>
    </rPh>
    <rPh sb="129" eb="131">
      <t>バアイ</t>
    </rPh>
    <rPh sb="134" eb="137">
      <t>カクコウテイ</t>
    </rPh>
    <rPh sb="138" eb="140">
      <t>コウキ</t>
    </rPh>
    <rPh sb="140" eb="142">
      <t>ヒリツ</t>
    </rPh>
    <rPh sb="143" eb="145">
      <t>テキセイ</t>
    </rPh>
    <rPh sb="148" eb="150">
      <t>バアイ</t>
    </rPh>
    <phoneticPr fontId="2"/>
  </si>
  <si>
    <t>2.要件洗い出し</t>
    <rPh sb="2" eb="4">
      <t>ヨウケン</t>
    </rPh>
    <rPh sb="4" eb="5">
      <t>アラ</t>
    </rPh>
    <rPh sb="6" eb="7">
      <t>ダ</t>
    </rPh>
    <phoneticPr fontId="2"/>
  </si>
  <si>
    <t>役割・責任</t>
    <rPh sb="0" eb="2">
      <t>ヤクワリ</t>
    </rPh>
    <rPh sb="3" eb="5">
      <t>セキニン</t>
    </rPh>
    <phoneticPr fontId="2"/>
  </si>
  <si>
    <t>顧客・CTC・委託先の役割・責任範囲は明確になっているか。</t>
    <rPh sb="0" eb="2">
      <t>コキャク</t>
    </rPh>
    <rPh sb="7" eb="10">
      <t>イタクサキ</t>
    </rPh>
    <rPh sb="11" eb="13">
      <t>ヤクワリ</t>
    </rPh>
    <rPh sb="14" eb="16">
      <t>セキニン</t>
    </rPh>
    <rPh sb="16" eb="18">
      <t>ハンイ</t>
    </rPh>
    <rPh sb="19" eb="21">
      <t>メイカク</t>
    </rPh>
    <phoneticPr fontId="2"/>
  </si>
  <si>
    <t>Yes</t>
  </si>
  <si>
    <t>明確な場合YES</t>
    <phoneticPr fontId="2"/>
  </si>
  <si>
    <r>
      <t xml:space="preserve">役割・責任範囲を明確にしないと、見積範囲外の作業についても要求される可能性がある。プロジェクトの進捗に支障が出てくると、Sierに任せた事を強調し作業を押しつけてくる顧客もいる。
</t>
    </r>
    <r>
      <rPr>
        <sz val="12"/>
        <rFont val="ＭＳ Ｐゴシック"/>
        <family val="3"/>
        <charset val="128"/>
      </rPr>
      <t xml:space="preserve">
</t>
    </r>
    <r>
      <rPr>
        <sz val="12"/>
        <color indexed="12"/>
        <rFont val="ＭＳ Ｐゴシック"/>
        <family val="3"/>
        <charset val="128"/>
      </rPr>
      <t xml:space="preserve">　《YES回答に該当するか否かの判断条件例》
　・ロールと役割分担が顧客：CTC：委託先間で定義されている場合
　・受託した工程・作業に対する役割が明確である場合
</t>
    </r>
    <rPh sb="5" eb="7">
      <t>ハンイ</t>
    </rPh>
    <rPh sb="8" eb="10">
      <t>メイカク</t>
    </rPh>
    <rPh sb="16" eb="18">
      <t>ミツ</t>
    </rPh>
    <rPh sb="18" eb="20">
      <t>ハンイ</t>
    </rPh>
    <rPh sb="20" eb="21">
      <t>ガイ</t>
    </rPh>
    <rPh sb="22" eb="24">
      <t>サギョウ</t>
    </rPh>
    <rPh sb="29" eb="31">
      <t>ヨウキュウ</t>
    </rPh>
    <rPh sb="34" eb="37">
      <t>カノウセイ</t>
    </rPh>
    <rPh sb="48" eb="50">
      <t>シンチョク</t>
    </rPh>
    <rPh sb="51" eb="53">
      <t>シショウ</t>
    </rPh>
    <rPh sb="54" eb="55">
      <t>デ</t>
    </rPh>
    <rPh sb="65" eb="66">
      <t>マカ</t>
    </rPh>
    <rPh sb="68" eb="69">
      <t>コト</t>
    </rPh>
    <rPh sb="70" eb="72">
      <t>キョウチョウ</t>
    </rPh>
    <rPh sb="73" eb="75">
      <t>サギョウ</t>
    </rPh>
    <rPh sb="76" eb="77">
      <t>オ</t>
    </rPh>
    <rPh sb="83" eb="85">
      <t>コキャク</t>
    </rPh>
    <rPh sb="120" eb="122">
      <t>ヤクワリ</t>
    </rPh>
    <rPh sb="122" eb="124">
      <t>ブンタン</t>
    </rPh>
    <rPh sb="125" eb="127">
      <t>コキャク</t>
    </rPh>
    <rPh sb="132" eb="135">
      <t>イタクサキ</t>
    </rPh>
    <rPh sb="135" eb="136">
      <t>カン</t>
    </rPh>
    <rPh sb="144" eb="146">
      <t>バアイ</t>
    </rPh>
    <phoneticPr fontId="2"/>
  </si>
  <si>
    <t>コミュニケーション</t>
    <phoneticPr fontId="2"/>
  </si>
  <si>
    <t>顧客・委託先との会議体・窓口などのコミュニケーションルートは明確か。</t>
    <rPh sb="0" eb="2">
      <t>コキャク</t>
    </rPh>
    <rPh sb="3" eb="6">
      <t>イタクサキ</t>
    </rPh>
    <rPh sb="8" eb="10">
      <t>カイギ</t>
    </rPh>
    <rPh sb="10" eb="11">
      <t>タイ</t>
    </rPh>
    <rPh sb="12" eb="13">
      <t>マド</t>
    </rPh>
    <rPh sb="13" eb="14">
      <t>クチ</t>
    </rPh>
    <rPh sb="30" eb="32">
      <t>メイカク</t>
    </rPh>
    <phoneticPr fontId="2"/>
  </si>
  <si>
    <r>
      <t xml:space="preserve">会議体やコミュニケーション・ルートが確立されていないと、情報が適切に伝達されず、決定事項が覆る可能性がある。また、問題発生時に、迅速かつ適切な判断・意思決定ができなくなる。
</t>
    </r>
    <r>
      <rPr>
        <sz val="12"/>
        <rFont val="ＭＳ Ｐゴシック"/>
        <family val="3"/>
        <charset val="128"/>
      </rPr>
      <t xml:space="preserve">
</t>
    </r>
    <r>
      <rPr>
        <sz val="12"/>
        <color indexed="12"/>
        <rFont val="ＭＳ Ｐゴシック"/>
        <family val="3"/>
        <charset val="128"/>
      </rPr>
      <t xml:space="preserve">　《YES回答に該当するか否かの判断条件例》
　・顧客や委託先との会議体が定義・共有されている場合
　・顧客や委託先とのコミュニケーションパス（IPT図）が定義・共有されている場合
</t>
    </r>
    <rPh sb="0" eb="2">
      <t>カイギ</t>
    </rPh>
    <rPh sb="2" eb="3">
      <t>タイ</t>
    </rPh>
    <rPh sb="18" eb="20">
      <t>カクリツ</t>
    </rPh>
    <rPh sb="40" eb="42">
      <t>ケッテイ</t>
    </rPh>
    <rPh sb="42" eb="44">
      <t>ジコウ</t>
    </rPh>
    <rPh sb="45" eb="46">
      <t>クツガエ</t>
    </rPh>
    <rPh sb="47" eb="50">
      <t>カノウセイ</t>
    </rPh>
    <rPh sb="71" eb="73">
      <t>ハンダン</t>
    </rPh>
    <rPh sb="113" eb="115">
      <t>コキャク</t>
    </rPh>
    <rPh sb="116" eb="119">
      <t>イタクサキ</t>
    </rPh>
    <rPh sb="121" eb="123">
      <t>カイギ</t>
    </rPh>
    <rPh sb="123" eb="124">
      <t>タイ</t>
    </rPh>
    <rPh sb="125" eb="127">
      <t>テイギ</t>
    </rPh>
    <rPh sb="128" eb="130">
      <t>キョウユウ</t>
    </rPh>
    <rPh sb="135" eb="137">
      <t>バアイ</t>
    </rPh>
    <rPh sb="163" eb="164">
      <t>ズ</t>
    </rPh>
    <phoneticPr fontId="2"/>
  </si>
  <si>
    <t>要求・要件</t>
    <rPh sb="0" eb="2">
      <t>ヨウキュウ</t>
    </rPh>
    <rPh sb="3" eb="5">
      <t>ヨウケン</t>
    </rPh>
    <phoneticPr fontId="2"/>
  </si>
  <si>
    <t>顧客要求を思い込みや想定で、判断していないか。</t>
    <rPh sb="2" eb="4">
      <t>ヨウキュウ</t>
    </rPh>
    <rPh sb="14" eb="16">
      <t>ハンダン</t>
    </rPh>
    <phoneticPr fontId="2"/>
  </si>
  <si>
    <t>No</t>
  </si>
  <si>
    <t>思い込みや想定で判断していない場合YES</t>
    <phoneticPr fontId="2"/>
  </si>
  <si>
    <r>
      <t xml:space="preserve">顧客要求を理解しているつもりであっても、認識・理解が相違している場合がある。特に、システムの重要度（性能・信頼性）やシステムの利用範囲（利用対象国，機密情報・個人情報取扱の有無）などの非機能要件については差異が生じやすい。プロジェクト開始後に認識の差異が発生し発覚した場合、顧客との調整に期間を要し、合意が得られない場合にはスケジュール変更や、追加の設計のためのリソース追加が発生するリスクが生じる。
</t>
    </r>
    <r>
      <rPr>
        <sz val="12"/>
        <rFont val="ＭＳ Ｐゴシック"/>
        <family val="3"/>
        <charset val="128"/>
      </rPr>
      <t xml:space="preserve">
</t>
    </r>
    <r>
      <rPr>
        <sz val="12"/>
        <color indexed="12"/>
        <rFont val="ＭＳ Ｐゴシック"/>
        <family val="3"/>
        <charset val="128"/>
      </rPr>
      <t xml:space="preserve">　《YES回答に該当するか否かの判断条件例》
　・顧客要求を元に、要件を明文化している場合
　・実装できない部分や対象外となる機能を明文化している場合
　・ベンダ／メーカーや委託先の見解を鵜呑みにせず、しっかり裏どりしている場合
  ・「現行維持」要求に対して、現行システムを十分に調査している場合
</t>
    </r>
    <r>
      <rPr>
        <sz val="12"/>
        <rFont val="ＭＳ Ｐゴシック"/>
        <family val="3"/>
        <charset val="128"/>
      </rPr>
      <t xml:space="preserve">
※アプリケーション開発の非機能要件の抜け漏れ確認には、本ファイル内の「【参考】非機能一覧(開発見積用）」シートをご活用ください。</t>
    </r>
    <rPh sb="38" eb="39">
      <t>トク</t>
    </rPh>
    <rPh sb="92" eb="93">
      <t>ヒ</t>
    </rPh>
    <rPh sb="93" eb="95">
      <t>キノウ</t>
    </rPh>
    <rPh sb="95" eb="97">
      <t>ヨウケン</t>
    </rPh>
    <rPh sb="102" eb="104">
      <t>サイ</t>
    </rPh>
    <rPh sb="105" eb="106">
      <t>ショウ</t>
    </rPh>
    <rPh sb="134" eb="136">
      <t>バアイ</t>
    </rPh>
    <rPh sb="137" eb="139">
      <t>コキャク</t>
    </rPh>
    <rPh sb="141" eb="143">
      <t>チョウセイ</t>
    </rPh>
    <rPh sb="144" eb="146">
      <t>キカン</t>
    </rPh>
    <rPh sb="147" eb="148">
      <t>ヨウ</t>
    </rPh>
    <rPh sb="150" eb="152">
      <t>ゴウイ</t>
    </rPh>
    <rPh sb="153" eb="154">
      <t>エ</t>
    </rPh>
    <rPh sb="158" eb="160">
      <t>バアイ</t>
    </rPh>
    <rPh sb="168" eb="170">
      <t>ヘンコウ</t>
    </rPh>
    <rPh sb="172" eb="174">
      <t>ツイカ</t>
    </rPh>
    <rPh sb="175" eb="177">
      <t>セッケイ</t>
    </rPh>
    <rPh sb="185" eb="187">
      <t>ツイカ</t>
    </rPh>
    <rPh sb="188" eb="190">
      <t>ハッセイ</t>
    </rPh>
    <rPh sb="196" eb="197">
      <t>ショウ</t>
    </rPh>
    <rPh sb="235" eb="237">
      <t>ヨウケン</t>
    </rPh>
    <rPh sb="238" eb="241">
      <t>メイブンカ</t>
    </rPh>
    <rPh sb="362" eb="364">
      <t>カイハツ</t>
    </rPh>
    <rPh sb="380" eb="381">
      <t>ホン</t>
    </rPh>
    <rPh sb="385" eb="386">
      <t>ナイ</t>
    </rPh>
    <rPh sb="389" eb="391">
      <t>サンコウ</t>
    </rPh>
    <phoneticPr fontId="2"/>
  </si>
  <si>
    <t>RFP、ヒアリング等で顧客要求が具体的でなく、要求変更につながる曖昧な部分があるか。</t>
    <phoneticPr fontId="2"/>
  </si>
  <si>
    <t>具体的でなく曖昧な部分がある場合YES</t>
    <phoneticPr fontId="2"/>
  </si>
  <si>
    <r>
      <t>顧客要求の不明確さ、曖昧さは手戻りやトラブルになりやすく、コスト増加だけでなくプロジェクトの成否も左右しかねない。また、顧客要求を実現するための要件として定義する場合、この要件を基に見積を実施することになる為、曖昧な定義や具体化されていない定義は、見積がぶれやすくなる。</t>
    </r>
    <r>
      <rPr>
        <sz val="12"/>
        <rFont val="ＭＳ Ｐゴシック"/>
        <family val="3"/>
        <charset val="128"/>
      </rPr>
      <t xml:space="preserve">
</t>
    </r>
    <r>
      <rPr>
        <sz val="12"/>
        <color indexed="12"/>
        <rFont val="ＭＳ Ｐゴシック"/>
        <family val="3"/>
        <charset val="128"/>
      </rPr>
      <t xml:space="preserve">　《YES回答に該当するか否かの判断条件例》
　・要求を満たすためにどのような業務改善をするのか5W2Hなどで具体化されていない場合
　・業務要件を満たすためにどのような技術・製品を利用するのか、非機能面でも定量的に記載がなく、システム要件として具体化されていない場合
　・不明確な部分について明確化するための、要件定義工程、事前検証などが実施できない場合
</t>
    </r>
    <r>
      <rPr>
        <b/>
        <sz val="12"/>
        <color indexed="12"/>
        <rFont val="ＭＳ Ｐゴシック"/>
        <family val="3"/>
        <charset val="128"/>
      </rPr>
      <t>　</t>
    </r>
    <r>
      <rPr>
        <sz val="12"/>
        <color indexed="12"/>
        <rFont val="ＭＳ Ｐゴシック"/>
        <family val="3"/>
        <charset val="128"/>
      </rPr>
      <t xml:space="preserve">・変更プロセス等を明文化していない場合
</t>
    </r>
    <r>
      <rPr>
        <sz val="12"/>
        <rFont val="ＭＳ Ｐゴシック"/>
        <family val="3"/>
        <charset val="128"/>
      </rPr>
      <t xml:space="preserve">
※アプリケーション開発の非機能要件の抜け漏れ確認には、本ファイル内の「【参考】非機能一覧(開発見積用）」シートをご活用ください。</t>
    </r>
    <rPh sb="32" eb="34">
      <t>ゾウカ</t>
    </rPh>
    <rPh sb="60" eb="62">
      <t>コキャク</t>
    </rPh>
    <rPh sb="62" eb="64">
      <t>ヨウキュウ</t>
    </rPh>
    <rPh sb="65" eb="67">
      <t>ジツゲン</t>
    </rPh>
    <rPh sb="72" eb="74">
      <t>ヨウケン</t>
    </rPh>
    <rPh sb="77" eb="79">
      <t>テイギ</t>
    </rPh>
    <rPh sb="81" eb="83">
      <t>バアイ</t>
    </rPh>
    <rPh sb="86" eb="88">
      <t>ヨウケン</t>
    </rPh>
    <rPh sb="89" eb="90">
      <t>モト</t>
    </rPh>
    <rPh sb="91" eb="93">
      <t>ミツモリ</t>
    </rPh>
    <rPh sb="94" eb="96">
      <t>ジッシ</t>
    </rPh>
    <rPh sb="103" eb="104">
      <t>タメ</t>
    </rPh>
    <rPh sb="105" eb="107">
      <t>アイマイ</t>
    </rPh>
    <rPh sb="108" eb="110">
      <t>テイギ</t>
    </rPh>
    <rPh sb="111" eb="114">
      <t>グタイカ</t>
    </rPh>
    <rPh sb="120" eb="122">
      <t>テイギ</t>
    </rPh>
    <rPh sb="124" eb="126">
      <t>ミツモリ</t>
    </rPh>
    <rPh sb="162" eb="164">
      <t>ヨウキュウ</t>
    </rPh>
    <rPh sb="165" eb="166">
      <t>ミ</t>
    </rPh>
    <rPh sb="176" eb="178">
      <t>ギョウム</t>
    </rPh>
    <rPh sb="178" eb="180">
      <t>カイゼン</t>
    </rPh>
    <rPh sb="192" eb="195">
      <t>グタイカ</t>
    </rPh>
    <rPh sb="201" eb="203">
      <t>バアイ</t>
    </rPh>
    <rPh sb="206" eb="208">
      <t>ギョウム</t>
    </rPh>
    <rPh sb="208" eb="210">
      <t>ヨウケン</t>
    </rPh>
    <rPh sb="211" eb="212">
      <t>ミ</t>
    </rPh>
    <rPh sb="222" eb="224">
      <t>ギジュツ</t>
    </rPh>
    <rPh sb="225" eb="227">
      <t>セイヒン</t>
    </rPh>
    <rPh sb="228" eb="230">
      <t>リヨウ</t>
    </rPh>
    <rPh sb="235" eb="236">
      <t>ヒ</t>
    </rPh>
    <rPh sb="236" eb="238">
      <t>キノウ</t>
    </rPh>
    <rPh sb="238" eb="239">
      <t>メン</t>
    </rPh>
    <rPh sb="241" eb="244">
      <t>テイリョウテキ</t>
    </rPh>
    <rPh sb="245" eb="247">
      <t>キサイ</t>
    </rPh>
    <rPh sb="255" eb="257">
      <t>ヨウケン</t>
    </rPh>
    <rPh sb="269" eb="271">
      <t>バアイ</t>
    </rPh>
    <rPh sb="274" eb="277">
      <t>フメイカク</t>
    </rPh>
    <rPh sb="278" eb="280">
      <t>ブブン</t>
    </rPh>
    <rPh sb="284" eb="287">
      <t>メイカクカ</t>
    </rPh>
    <rPh sb="293" eb="295">
      <t>ヨウケン</t>
    </rPh>
    <rPh sb="295" eb="297">
      <t>テイギ</t>
    </rPh>
    <rPh sb="297" eb="299">
      <t>コウテイ</t>
    </rPh>
    <rPh sb="300" eb="302">
      <t>ジゼン</t>
    </rPh>
    <rPh sb="302" eb="304">
      <t>ケンショウ</t>
    </rPh>
    <rPh sb="307" eb="309">
      <t>ジッシ</t>
    </rPh>
    <rPh sb="313" eb="315">
      <t>バアイ</t>
    </rPh>
    <rPh sb="326" eb="329">
      <t>メイブンカ</t>
    </rPh>
    <rPh sb="334" eb="336">
      <t>バアイ</t>
    </rPh>
    <phoneticPr fontId="2"/>
  </si>
  <si>
    <t>見積の変動要素となる要件を抜け漏れなく定義できているか。</t>
    <rPh sb="0" eb="2">
      <t>ミツ</t>
    </rPh>
    <rPh sb="13" eb="14">
      <t>ヌ</t>
    </rPh>
    <rPh sb="15" eb="16">
      <t>モ</t>
    </rPh>
    <rPh sb="19" eb="21">
      <t>テイギ</t>
    </rPh>
    <phoneticPr fontId="2"/>
  </si>
  <si>
    <t>漏れがない場合YES</t>
    <phoneticPr fontId="2"/>
  </si>
  <si>
    <r>
      <t>システムの機能要件、非機能要件の実現方式、付帯サービスに抜け漏れがあると、追加のドキュメント作成や仕様変更を飲まざるを得なくなり、手戻りによる納期遅延や工数増加が発生する。</t>
    </r>
    <r>
      <rPr>
        <sz val="12"/>
        <rFont val="ＭＳ Ｐゴシック"/>
        <family val="3"/>
        <charset val="128"/>
      </rPr>
      <t xml:space="preserve">
</t>
    </r>
    <r>
      <rPr>
        <sz val="12"/>
        <color indexed="12"/>
        <rFont val="ＭＳ Ｐゴシック"/>
        <family val="3"/>
        <charset val="128"/>
      </rPr>
      <t xml:space="preserve">　《YES回答に該当するか否かの判断条件例》
　・提供するシステム機能・作成するドキュメントの記載範囲・記載粒度・承認プロセスなどが明確である場合
　・性能・信頼性の要件を丸呑みしておらず、実現方法・前提条件を明らかにしている場合
　・利用者向け教育・マニュアルの作成や稼動後の顧客サポートなどの付帯サービスが明確である場合
</t>
    </r>
    <r>
      <rPr>
        <sz val="12"/>
        <color indexed="10"/>
        <rFont val="ＭＳ Ｐゴシック"/>
        <family val="3"/>
        <charset val="128"/>
      </rPr>
      <t xml:space="preserve">
</t>
    </r>
    <r>
      <rPr>
        <sz val="12"/>
        <rFont val="ＭＳ Ｐゴシック"/>
        <family val="3"/>
        <charset val="128"/>
      </rPr>
      <t>※アプリケーション開発の非機能要件の抜け漏れ確認には、本ファイル内の「【参考】非機能一覧(開発見積用）」シートをご活用ください。</t>
    </r>
    <rPh sb="5" eb="7">
      <t>キノウ</t>
    </rPh>
    <rPh sb="7" eb="9">
      <t>ヨウケン</t>
    </rPh>
    <rPh sb="16" eb="18">
      <t>ジツゲン</t>
    </rPh>
    <rPh sb="18" eb="20">
      <t>ホウシキ</t>
    </rPh>
    <rPh sb="21" eb="23">
      <t>フタイ</t>
    </rPh>
    <rPh sb="28" eb="29">
      <t>ヌ</t>
    </rPh>
    <rPh sb="30" eb="31">
      <t>モ</t>
    </rPh>
    <rPh sb="124" eb="126">
      <t>サクセイ</t>
    </rPh>
    <rPh sb="135" eb="137">
      <t>キサイ</t>
    </rPh>
    <rPh sb="137" eb="139">
      <t>ハンイ</t>
    </rPh>
    <rPh sb="140" eb="142">
      <t>キサイ</t>
    </rPh>
    <rPh sb="142" eb="144">
      <t>リュウド</t>
    </rPh>
    <rPh sb="145" eb="147">
      <t>ショウニン</t>
    </rPh>
    <rPh sb="154" eb="156">
      <t>メイカク</t>
    </rPh>
    <rPh sb="159" eb="161">
      <t>バアイ</t>
    </rPh>
    <rPh sb="171" eb="173">
      <t>ヨウケン</t>
    </rPh>
    <rPh sb="174" eb="176">
      <t>マルノ</t>
    </rPh>
    <rPh sb="183" eb="185">
      <t>ジツゲン</t>
    </rPh>
    <rPh sb="185" eb="187">
      <t>ホウホウ</t>
    </rPh>
    <rPh sb="188" eb="190">
      <t>ゼンテイ</t>
    </rPh>
    <rPh sb="190" eb="192">
      <t>ジョウケン</t>
    </rPh>
    <rPh sb="193" eb="194">
      <t>アキ</t>
    </rPh>
    <rPh sb="201" eb="203">
      <t>バアイ</t>
    </rPh>
    <rPh sb="206" eb="209">
      <t>リヨウシャ</t>
    </rPh>
    <rPh sb="209" eb="210">
      <t>ム</t>
    </rPh>
    <rPh sb="220" eb="222">
      <t>サクセイ</t>
    </rPh>
    <rPh sb="223" eb="225">
      <t>カドウ</t>
    </rPh>
    <rPh sb="225" eb="226">
      <t>ゴ</t>
    </rPh>
    <rPh sb="227" eb="229">
      <t>コキャク</t>
    </rPh>
    <rPh sb="236" eb="238">
      <t>フタイ</t>
    </rPh>
    <rPh sb="248" eb="250">
      <t>バアイ</t>
    </rPh>
    <phoneticPr fontId="2"/>
  </si>
  <si>
    <t>要件・難易度</t>
    <rPh sb="0" eb="2">
      <t>ヨウケン</t>
    </rPh>
    <rPh sb="3" eb="6">
      <t>ナンイド</t>
    </rPh>
    <phoneticPr fontId="2"/>
  </si>
  <si>
    <t>要件に対する案件の（業務的・技術的）難易度を把握しているか。</t>
    <rPh sb="0" eb="2">
      <t>ヨウケン</t>
    </rPh>
    <rPh sb="3" eb="4">
      <t>タイ</t>
    </rPh>
    <rPh sb="6" eb="7">
      <t>アン</t>
    </rPh>
    <rPh sb="7" eb="8">
      <t>ケン</t>
    </rPh>
    <rPh sb="18" eb="21">
      <t>ナンイド</t>
    </rPh>
    <rPh sb="22" eb="24">
      <t>ハアク</t>
    </rPh>
    <phoneticPr fontId="2"/>
  </si>
  <si>
    <t>難易度を把握している場合YES</t>
    <rPh sb="0" eb="3">
      <t>ナンイド</t>
    </rPh>
    <rPh sb="4" eb="6">
      <t>ハアク</t>
    </rPh>
    <rPh sb="10" eb="12">
      <t>バアイ</t>
    </rPh>
    <phoneticPr fontId="2"/>
  </si>
  <si>
    <r>
      <t xml:space="preserve">顧客要求実現に向けた業務領域の新規性、システムに求められる性能・信頼性レベルを把握しているか否かは、見積もり精度に特に影響を及ぼす。
</t>
    </r>
    <r>
      <rPr>
        <sz val="12"/>
        <rFont val="ＭＳ Ｐゴシック"/>
        <family val="3"/>
        <charset val="128"/>
      </rPr>
      <t xml:space="preserve">
</t>
    </r>
    <r>
      <rPr>
        <sz val="12"/>
        <color indexed="12"/>
        <rFont val="ＭＳ Ｐゴシック"/>
        <family val="3"/>
        <charset val="128"/>
      </rPr>
      <t xml:space="preserve">　《YES回答に該当するか否かの判断条件例》
　・業務要求に対して顧客自体が明確な解を持っている場合
　・CTC社内に参考に出来る同類の案件が存在する場合
　・特別な法律や会計方式など、要件を実現する専門知識を有している場合
  ・性能やUI等に実現困難な要件が隠れていないことを確認している場合
</t>
    </r>
    <rPh sb="0" eb="2">
      <t>コキャク</t>
    </rPh>
    <rPh sb="2" eb="4">
      <t>ヨウキュウ</t>
    </rPh>
    <rPh sb="4" eb="6">
      <t>ジツゲン</t>
    </rPh>
    <rPh sb="7" eb="8">
      <t>ム</t>
    </rPh>
    <rPh sb="10" eb="11">
      <t>ギョウ</t>
    </rPh>
    <rPh sb="11" eb="12">
      <t>ム</t>
    </rPh>
    <rPh sb="12" eb="14">
      <t>リョウイキ</t>
    </rPh>
    <rPh sb="15" eb="18">
      <t>シンキセイ</t>
    </rPh>
    <rPh sb="24" eb="25">
      <t>モト</t>
    </rPh>
    <rPh sb="39" eb="41">
      <t>ハアク</t>
    </rPh>
    <rPh sb="46" eb="47">
      <t>イナ</t>
    </rPh>
    <rPh sb="50" eb="52">
      <t>ミツ</t>
    </rPh>
    <rPh sb="54" eb="56">
      <t>セイド</t>
    </rPh>
    <rPh sb="59" eb="61">
      <t>エイキョウ</t>
    </rPh>
    <rPh sb="62" eb="63">
      <t>オヨ</t>
    </rPh>
    <phoneticPr fontId="2"/>
  </si>
  <si>
    <t>要件・コンプライアンス</t>
    <rPh sb="0" eb="2">
      <t>ヨウケン</t>
    </rPh>
    <phoneticPr fontId="2"/>
  </si>
  <si>
    <t>顧客要求/要件が法律、法令、コンプライアンスに抵触していないか。</t>
    <rPh sb="0" eb="2">
      <t>コキャク</t>
    </rPh>
    <rPh sb="2" eb="4">
      <t>ヨウキュウ</t>
    </rPh>
    <rPh sb="5" eb="7">
      <t>ヨウケン</t>
    </rPh>
    <rPh sb="23" eb="25">
      <t>テイショク</t>
    </rPh>
    <phoneticPr fontId="2"/>
  </si>
  <si>
    <t>抵触していない場合YES</t>
    <rPh sb="0" eb="2">
      <t>テイショク</t>
    </rPh>
    <rPh sb="7" eb="9">
      <t>バアイ</t>
    </rPh>
    <phoneticPr fontId="2"/>
  </si>
  <si>
    <r>
      <t>顧客要求、機能の実現方式、顧客への提供方法などが、コンプライアンスに抵触する場合は、法令違反になる可能性があり、社会的信頼を失墜するなど重大な損失につながる。</t>
    </r>
    <r>
      <rPr>
        <sz val="12"/>
        <rFont val="ＭＳ Ｐゴシック"/>
        <family val="3"/>
        <charset val="128"/>
      </rPr>
      <t xml:space="preserve">
</t>
    </r>
    <r>
      <rPr>
        <sz val="12"/>
        <color indexed="12"/>
        <rFont val="ＭＳ Ｐゴシック"/>
        <family val="3"/>
        <charset val="128"/>
      </rPr>
      <t xml:space="preserve">　《YES回答に該当するか否かの判断条件例》
　・提供するシステムサービスが各種法令違反やコンプライアンスに抵触していない場合
　　（民法、会社法、独占禁止法、不正競争防止法、労働法、消費者保護法、知的財産権法など）
</t>
    </r>
    <rPh sb="0" eb="2">
      <t>コキャク</t>
    </rPh>
    <rPh sb="2" eb="4">
      <t>ヨウキュウ</t>
    </rPh>
    <rPh sb="5" eb="7">
      <t>キノウ</t>
    </rPh>
    <rPh sb="8" eb="10">
      <t>ジツゲン</t>
    </rPh>
    <rPh sb="10" eb="12">
      <t>ホウシキ</t>
    </rPh>
    <rPh sb="13" eb="15">
      <t>コキャク</t>
    </rPh>
    <rPh sb="17" eb="19">
      <t>テイキョウ</t>
    </rPh>
    <rPh sb="19" eb="21">
      <t>ホウホウ</t>
    </rPh>
    <rPh sb="34" eb="36">
      <t>テイショク</t>
    </rPh>
    <rPh sb="38" eb="40">
      <t>バアイ</t>
    </rPh>
    <rPh sb="42" eb="44">
      <t>ホウレイ</t>
    </rPh>
    <rPh sb="44" eb="46">
      <t>イハン</t>
    </rPh>
    <rPh sb="49" eb="52">
      <t>カノウセイ</t>
    </rPh>
    <rPh sb="56" eb="59">
      <t>シャカイテキ</t>
    </rPh>
    <rPh sb="59" eb="61">
      <t>シンライ</t>
    </rPh>
    <rPh sb="62" eb="64">
      <t>シッツイ</t>
    </rPh>
    <rPh sb="71" eb="73">
      <t>ソンシツ</t>
    </rPh>
    <rPh sb="119" eb="121">
      <t>カクシュ</t>
    </rPh>
    <rPh sb="121" eb="123">
      <t>ホウレイ</t>
    </rPh>
    <rPh sb="123" eb="125">
      <t>イハン</t>
    </rPh>
    <rPh sb="135" eb="137">
      <t>テイショク</t>
    </rPh>
    <rPh sb="142" eb="144">
      <t>バアイ</t>
    </rPh>
    <rPh sb="180" eb="182">
      <t>チテキ</t>
    </rPh>
    <rPh sb="182" eb="185">
      <t>ザイサンケン</t>
    </rPh>
    <rPh sb="185" eb="186">
      <t>ホウ</t>
    </rPh>
    <phoneticPr fontId="2"/>
  </si>
  <si>
    <t>パッケージ・製品</t>
    <rPh sb="6" eb="8">
      <t>セイヒン</t>
    </rPh>
    <phoneticPr fontId="2"/>
  </si>
  <si>
    <t>選定したパッケージや製品は顧客要求・要件を満たしているか。</t>
    <rPh sb="0" eb="2">
      <t>センテイ</t>
    </rPh>
    <rPh sb="10" eb="12">
      <t>セイヒン</t>
    </rPh>
    <rPh sb="13" eb="15">
      <t>コキャク</t>
    </rPh>
    <rPh sb="15" eb="17">
      <t>ヨウキュウ</t>
    </rPh>
    <rPh sb="18" eb="20">
      <t>ヨウケン</t>
    </rPh>
    <rPh sb="21" eb="22">
      <t>ミ</t>
    </rPh>
    <phoneticPr fontId="2"/>
  </si>
  <si>
    <t>要求・要件を満たしている場合YES</t>
    <rPh sb="0" eb="2">
      <t>ヨウキュウ</t>
    </rPh>
    <rPh sb="3" eb="5">
      <t>ヨウケン</t>
    </rPh>
    <rPh sb="6" eb="7">
      <t>ミ</t>
    </rPh>
    <rPh sb="12" eb="14">
      <t>バアイ</t>
    </rPh>
    <phoneticPr fontId="2"/>
  </si>
  <si>
    <r>
      <t>選定したパッケージソフトウェアが顧客要求・要件を満たしていない場合、後々スクラッチ部分の拡大、パッケージのカスタマイズ、再選定等により、スケジュール遅延、コスト超過等を引き起こす。インフラ製品も同様である。</t>
    </r>
    <r>
      <rPr>
        <b/>
        <sz val="12"/>
        <color indexed="10"/>
        <rFont val="ＭＳ Ｐゴシック"/>
        <family val="3"/>
        <charset val="128"/>
      </rPr>
      <t xml:space="preserve">
</t>
    </r>
    <r>
      <rPr>
        <b/>
        <sz val="12"/>
        <rFont val="ＭＳ Ｐゴシック"/>
        <family val="3"/>
        <charset val="128"/>
      </rPr>
      <t xml:space="preserve">
</t>
    </r>
    <r>
      <rPr>
        <sz val="12"/>
        <color indexed="12"/>
        <rFont val="ＭＳ Ｐゴシック"/>
        <family val="3"/>
        <charset val="128"/>
      </rPr>
      <t xml:space="preserve">　《YES回答に該当するか否かの判断条件例》
　・以下の項目が確認できており、顧客と合意できている場合
　　・顧客要求・要件との整合性
　　　　- 機能整合性（機能レベルでのFit&amp;Gap）
　　　　- カスタマイズが前提である場合、機能拡張性やカスタマイズ可否
　　　　- 顧客使用条件（ユーザ数、アクセス頻度、拠点数、同時アクセス、ピークトラフィック　など）への対応可否
　　　　- 外部システムとの接続がある場合の対向性、親和性
　　　　- 可用性／品質／性能／耐障害性／セキュリティの脆弱性／保守性
　　　　- その他制限事項
　　・製品の導入実績（社内、国内、海外）が豊富にあり製品の信頼性が高い場合
　　・アップグレードポリシー
　　・ライセンス／保守期限
　　・費用対効果
　　・選定したパッケージが顧客要件を満たさない場合の代替製品への切替方法
</t>
    </r>
    <rPh sb="31" eb="33">
      <t>バアイ</t>
    </rPh>
    <rPh sb="94" eb="96">
      <t>セイヒン</t>
    </rPh>
    <rPh sb="97" eb="99">
      <t>ドウヨウ</t>
    </rPh>
    <rPh sb="376" eb="378">
      <t>セイヒン</t>
    </rPh>
    <rPh sb="399" eb="401">
      <t>セイヒン</t>
    </rPh>
    <rPh sb="435" eb="437">
      <t>ホシュ</t>
    </rPh>
    <rPh sb="437" eb="439">
      <t>キゲン</t>
    </rPh>
    <phoneticPr fontId="2"/>
  </si>
  <si>
    <t>3.作業洗い出し(WBS)</t>
    <rPh sb="2" eb="4">
      <t>サギョウ</t>
    </rPh>
    <rPh sb="4" eb="5">
      <t>アラ</t>
    </rPh>
    <rPh sb="6" eb="7">
      <t>ダ</t>
    </rPh>
    <phoneticPr fontId="2"/>
  </si>
  <si>
    <t>成果物、タスク</t>
    <rPh sb="0" eb="2">
      <t>セイカ</t>
    </rPh>
    <rPh sb="2" eb="3">
      <t>モノ</t>
    </rPh>
    <phoneticPr fontId="2"/>
  </si>
  <si>
    <t>必要なタスク／成果物に抜け漏れが無いか。</t>
    <rPh sb="0" eb="2">
      <t>ヒツヨウ</t>
    </rPh>
    <rPh sb="7" eb="9">
      <t>セイカ</t>
    </rPh>
    <rPh sb="9" eb="10">
      <t>ブツ</t>
    </rPh>
    <rPh sb="11" eb="12">
      <t>ヌ</t>
    </rPh>
    <rPh sb="13" eb="14">
      <t>モ</t>
    </rPh>
    <rPh sb="16" eb="17">
      <t>ナ</t>
    </rPh>
    <phoneticPr fontId="2"/>
  </si>
  <si>
    <t>抜け漏れがない場合YES</t>
    <rPh sb="0" eb="1">
      <t>ヌ</t>
    </rPh>
    <rPh sb="2" eb="3">
      <t>モ</t>
    </rPh>
    <rPh sb="7" eb="9">
      <t>バアイ</t>
    </rPh>
    <phoneticPr fontId="2"/>
  </si>
  <si>
    <r>
      <t>重要なタスク・成果物の抜け漏れがあるとタスク追加が発生し、コスト超過・スケジュール遅延を起こす可能性がある。</t>
    </r>
    <r>
      <rPr>
        <sz val="12"/>
        <rFont val="ＭＳ Ｐゴシック"/>
        <family val="3"/>
        <charset val="128"/>
      </rPr>
      <t xml:space="preserve">
</t>
    </r>
    <r>
      <rPr>
        <sz val="12"/>
        <color indexed="12"/>
        <rFont val="ＭＳ Ｐゴシック"/>
        <family val="3"/>
        <charset val="128"/>
      </rPr>
      <t xml:space="preserve">　《YES回答に該当するか否かの判断条件例》
　・RFPに定義された成果物と比較して抜け漏れ確認を行っている場合
　・SINAVIの標準WBSと比較して抜け漏れ確認を行っている場合
　・有識者によるWBSのレビューを受けている場合
</t>
    </r>
    <rPh sb="0" eb="2">
      <t>ジュウヨウ</t>
    </rPh>
    <rPh sb="7" eb="9">
      <t>セイカ</t>
    </rPh>
    <rPh sb="9" eb="10">
      <t>ブツ</t>
    </rPh>
    <rPh sb="11" eb="12">
      <t>ヌ</t>
    </rPh>
    <rPh sb="13" eb="14">
      <t>モ</t>
    </rPh>
    <rPh sb="22" eb="24">
      <t>ツイカ</t>
    </rPh>
    <rPh sb="25" eb="27">
      <t>ハッセイ</t>
    </rPh>
    <rPh sb="32" eb="34">
      <t>チョウカ</t>
    </rPh>
    <rPh sb="41" eb="43">
      <t>チエン</t>
    </rPh>
    <rPh sb="44" eb="45">
      <t>オ</t>
    </rPh>
    <rPh sb="47" eb="50">
      <t>カノウセイ</t>
    </rPh>
    <rPh sb="85" eb="87">
      <t>テイギ</t>
    </rPh>
    <rPh sb="90" eb="92">
      <t>セイカ</t>
    </rPh>
    <rPh sb="92" eb="93">
      <t>ブツ</t>
    </rPh>
    <rPh sb="122" eb="124">
      <t>ヒョウジュン</t>
    </rPh>
    <rPh sb="128" eb="130">
      <t>ヒカク</t>
    </rPh>
    <rPh sb="132" eb="133">
      <t>ヌ</t>
    </rPh>
    <rPh sb="134" eb="135">
      <t>モ</t>
    </rPh>
    <rPh sb="136" eb="138">
      <t>カクニン</t>
    </rPh>
    <rPh sb="139" eb="140">
      <t>オコナ</t>
    </rPh>
    <rPh sb="144" eb="146">
      <t>バアイ</t>
    </rPh>
    <rPh sb="149" eb="152">
      <t>ユウシキシャ</t>
    </rPh>
    <phoneticPr fontId="2"/>
  </si>
  <si>
    <t>選定したパッケージや製品に対して事前の検証作業が計画されているか。</t>
    <rPh sb="0" eb="2">
      <t>センテイ</t>
    </rPh>
    <rPh sb="10" eb="12">
      <t>セイヒン</t>
    </rPh>
    <rPh sb="13" eb="14">
      <t>タイ</t>
    </rPh>
    <rPh sb="16" eb="18">
      <t>ジゼン</t>
    </rPh>
    <rPh sb="19" eb="21">
      <t>ケンショウ</t>
    </rPh>
    <rPh sb="21" eb="23">
      <t>サギョウ</t>
    </rPh>
    <rPh sb="24" eb="26">
      <t>ケイカク</t>
    </rPh>
    <phoneticPr fontId="2"/>
  </si>
  <si>
    <t>検証されいる場合YES</t>
    <rPh sb="0" eb="2">
      <t>ケンショウ</t>
    </rPh>
    <rPh sb="6" eb="8">
      <t>バアイ</t>
    </rPh>
    <phoneticPr fontId="2"/>
  </si>
  <si>
    <r>
      <t xml:space="preserve">パッケージソフトウェアを利用する上で、事前の機能検証やFit&amp;Gapが出来ていない場合、後々スクラッチ部分の拡大、パッケージのカスタマイズ、再選定等により、スケジュール遅延、コスト超過等を引き起こす。インフラ製品は事前の組み合わせ検証が不足していると、後々製品問題を引き起こす可能性がある。
</t>
    </r>
    <r>
      <rPr>
        <sz val="12"/>
        <rFont val="ＭＳ Ｐゴシック"/>
        <family val="3"/>
        <charset val="128"/>
      </rPr>
      <t xml:space="preserve">
</t>
    </r>
    <r>
      <rPr>
        <sz val="12"/>
        <color indexed="12"/>
        <rFont val="ＭＳ Ｐゴシック"/>
        <family val="3"/>
        <charset val="128"/>
      </rPr>
      <t xml:space="preserve">　《YES回答に該当するか否かの判断条件例》
　・以下の事前検証作業等をタスク・スケジュール化できている場合
　　　　- 事前機能検証
　　　　- Fit&amp;Gapの整理作業
　　　　- ユーザ側でのトライアル検証
　　　　- 外部システムとの接続試験
　　　　- セキュリティ診断
　　　　- 性能検証作業
         - 組み合わせ機能検証
</t>
    </r>
    <rPh sb="12" eb="14">
      <t>リヨウ</t>
    </rPh>
    <rPh sb="16" eb="17">
      <t>ウエ</t>
    </rPh>
    <rPh sb="19" eb="21">
      <t>ジゼン</t>
    </rPh>
    <rPh sb="22" eb="24">
      <t>キノウ</t>
    </rPh>
    <rPh sb="24" eb="26">
      <t>ケンショウ</t>
    </rPh>
    <rPh sb="35" eb="37">
      <t>デキ</t>
    </rPh>
    <rPh sb="41" eb="43">
      <t>バアイ</t>
    </rPh>
    <rPh sb="73" eb="74">
      <t>トウ</t>
    </rPh>
    <rPh sb="107" eb="109">
      <t>ジゼン</t>
    </rPh>
    <rPh sb="110" eb="111">
      <t>ク</t>
    </rPh>
    <rPh sb="112" eb="113">
      <t>ア</t>
    </rPh>
    <rPh sb="115" eb="117">
      <t>ケンショウ</t>
    </rPh>
    <rPh sb="118" eb="120">
      <t>フソク</t>
    </rPh>
    <rPh sb="126" eb="128">
      <t>アトアト</t>
    </rPh>
    <rPh sb="128" eb="130">
      <t>セイヒン</t>
    </rPh>
    <rPh sb="130" eb="132">
      <t>モンダイ</t>
    </rPh>
    <rPh sb="133" eb="134">
      <t>ヒ</t>
    </rPh>
    <rPh sb="135" eb="136">
      <t>オ</t>
    </rPh>
    <rPh sb="138" eb="141">
      <t>カノウセイ</t>
    </rPh>
    <rPh sb="172" eb="174">
      <t>イカ</t>
    </rPh>
    <rPh sb="181" eb="182">
      <t>トウ</t>
    </rPh>
    <rPh sb="210" eb="212">
      <t>キノウ</t>
    </rPh>
    <rPh sb="212" eb="214">
      <t>ケンショウ</t>
    </rPh>
    <rPh sb="229" eb="231">
      <t>セイリ</t>
    </rPh>
    <rPh sb="231" eb="233">
      <t>サギョウ</t>
    </rPh>
    <rPh sb="243" eb="244">
      <t>ガワ</t>
    </rPh>
    <rPh sb="251" eb="253">
      <t>ケンショウ</t>
    </rPh>
    <rPh sb="260" eb="262">
      <t>ガイブ</t>
    </rPh>
    <rPh sb="268" eb="270">
      <t>セツゾク</t>
    </rPh>
    <rPh sb="270" eb="272">
      <t>シケン</t>
    </rPh>
    <rPh sb="285" eb="287">
      <t>シンダン</t>
    </rPh>
    <rPh sb="296" eb="298">
      <t>ケンショウ</t>
    </rPh>
    <rPh sb="298" eb="300">
      <t>サギョウ</t>
    </rPh>
    <rPh sb="312" eb="313">
      <t>ク</t>
    </rPh>
    <rPh sb="314" eb="315">
      <t>ア</t>
    </rPh>
    <rPh sb="317" eb="319">
      <t>キノウ</t>
    </rPh>
    <rPh sb="319" eb="321">
      <t>ケンショウ</t>
    </rPh>
    <phoneticPr fontId="2"/>
  </si>
  <si>
    <t>オフショア</t>
    <phoneticPr fontId="2"/>
  </si>
  <si>
    <t>オフショア特有の作業や経費を考慮しているか。</t>
    <phoneticPr fontId="2"/>
  </si>
  <si>
    <t>考慮している場合YES</t>
    <rPh sb="0" eb="2">
      <t>コウリョ</t>
    </rPh>
    <rPh sb="6" eb="8">
      <t>バアイ</t>
    </rPh>
    <phoneticPr fontId="2"/>
  </si>
  <si>
    <r>
      <t xml:space="preserve">オフショア特有の作業や経費を考慮していない場合、認識合わせのための渡航費の増加やテイクオーバーのミスによる品質悪化の可能性がある。
</t>
    </r>
    <r>
      <rPr>
        <sz val="12"/>
        <rFont val="ＭＳ Ｐゴシック"/>
        <family val="3"/>
        <charset val="128"/>
      </rPr>
      <t xml:space="preserve">
</t>
    </r>
    <r>
      <rPr>
        <sz val="12"/>
        <color indexed="12"/>
        <rFont val="ＭＳ Ｐゴシック"/>
        <family val="3"/>
        <charset val="128"/>
      </rPr>
      <t xml:space="preserve">　《チェックに該当するか否かの判断条件例》
　・BridgeSEの工数を加算している場合
　・オーバーラップ分の工数を見込んでいる場合
　・出張費、通信費、通訳費用などを見込んでいる場合
</t>
    </r>
    <rPh sb="5" eb="7">
      <t>トクユウ</t>
    </rPh>
    <rPh sb="8" eb="10">
      <t>サギョウ</t>
    </rPh>
    <rPh sb="11" eb="13">
      <t>ケイヒ</t>
    </rPh>
    <rPh sb="14" eb="16">
      <t>コウリョ</t>
    </rPh>
    <rPh sb="21" eb="23">
      <t>バアイ</t>
    </rPh>
    <rPh sb="24" eb="26">
      <t>ニンシキ</t>
    </rPh>
    <rPh sb="26" eb="27">
      <t>ア</t>
    </rPh>
    <rPh sb="33" eb="36">
      <t>トコウヒ</t>
    </rPh>
    <rPh sb="37" eb="39">
      <t>ゾウカ</t>
    </rPh>
    <rPh sb="53" eb="55">
      <t>ヒンシツ</t>
    </rPh>
    <rPh sb="55" eb="57">
      <t>アッカ</t>
    </rPh>
    <rPh sb="58" eb="61">
      <t>カノウセイ</t>
    </rPh>
    <rPh sb="100" eb="102">
      <t>コウスウ</t>
    </rPh>
    <rPh sb="103" eb="105">
      <t>カサン</t>
    </rPh>
    <rPh sb="109" eb="111">
      <t>バアイ</t>
    </rPh>
    <rPh sb="126" eb="128">
      <t>ミコ</t>
    </rPh>
    <rPh sb="132" eb="134">
      <t>バアイ</t>
    </rPh>
    <rPh sb="147" eb="149">
      <t>ヒヨウ</t>
    </rPh>
    <rPh sb="152" eb="154">
      <t>ミコ</t>
    </rPh>
    <rPh sb="158" eb="160">
      <t>バアイ</t>
    </rPh>
    <phoneticPr fontId="2"/>
  </si>
  <si>
    <t>4.工数見積</t>
    <rPh sb="2" eb="4">
      <t>コウスウ</t>
    </rPh>
    <rPh sb="4" eb="6">
      <t>ミツモリ</t>
    </rPh>
    <phoneticPr fontId="2"/>
  </si>
  <si>
    <t>5.要員計画</t>
    <rPh sb="2" eb="4">
      <t>ヨウイン</t>
    </rPh>
    <rPh sb="4" eb="6">
      <t>ケイカク</t>
    </rPh>
    <phoneticPr fontId="2"/>
  </si>
  <si>
    <t>PM</t>
    <phoneticPr fontId="2"/>
  </si>
  <si>
    <t>PMは当該プロジェクトと同等の業務・規模の経験を有しているか。</t>
    <rPh sb="3" eb="5">
      <t>トウガイ</t>
    </rPh>
    <rPh sb="12" eb="14">
      <t>ドウトウ</t>
    </rPh>
    <rPh sb="15" eb="17">
      <t>ギョウム</t>
    </rPh>
    <rPh sb="18" eb="20">
      <t>キボ</t>
    </rPh>
    <rPh sb="21" eb="23">
      <t>ケイケン</t>
    </rPh>
    <rPh sb="24" eb="25">
      <t>ユウ</t>
    </rPh>
    <phoneticPr fontId="2"/>
  </si>
  <si>
    <t>経験がある場合YES</t>
    <rPh sb="0" eb="2">
      <t>ケイケン</t>
    </rPh>
    <rPh sb="5" eb="7">
      <t>バアイ</t>
    </rPh>
    <phoneticPr fontId="2"/>
  </si>
  <si>
    <r>
      <t>PMの統率力・知識・経験が不足していると、プロジェクトの遂行が難しくなる。</t>
    </r>
    <r>
      <rPr>
        <sz val="12"/>
        <color indexed="8"/>
        <rFont val="ＭＳ Ｐゴシック"/>
        <family val="3"/>
        <charset val="128"/>
      </rPr>
      <t xml:space="preserve">
　《YES回答に該当するか否かの判断条件例》
　・PMが同等の業務システムの知識・経験がある場合
　・PMが同等の規模に対する統率力やマネジメント経験がある場合
</t>
    </r>
    <rPh sb="3" eb="6">
      <t>トウソツリョク</t>
    </rPh>
    <rPh sb="7" eb="9">
      <t>チシキ</t>
    </rPh>
    <rPh sb="10" eb="12">
      <t>ケイケン</t>
    </rPh>
    <rPh sb="13" eb="15">
      <t>フソク</t>
    </rPh>
    <rPh sb="28" eb="30">
      <t>スイコウ</t>
    </rPh>
    <rPh sb="31" eb="32">
      <t>ムズカ</t>
    </rPh>
    <rPh sb="44" eb="46">
      <t>カイトウ</t>
    </rPh>
    <rPh sb="67" eb="69">
      <t>ドウトウ</t>
    </rPh>
    <rPh sb="70" eb="72">
      <t>ギョウム</t>
    </rPh>
    <rPh sb="77" eb="79">
      <t>チシキ</t>
    </rPh>
    <rPh sb="80" eb="82">
      <t>ケイケン</t>
    </rPh>
    <rPh sb="85" eb="87">
      <t>バアイ</t>
    </rPh>
    <rPh sb="96" eb="98">
      <t>キボ</t>
    </rPh>
    <rPh sb="99" eb="100">
      <t>タイ</t>
    </rPh>
    <rPh sb="112" eb="114">
      <t>ケイケン</t>
    </rPh>
    <rPh sb="117" eb="119">
      <t>バアイ</t>
    </rPh>
    <phoneticPr fontId="2"/>
  </si>
  <si>
    <t>プロジェクトで求められるスキルを有した要員確保の目処は立っているか。</t>
    <rPh sb="7" eb="8">
      <t>モト</t>
    </rPh>
    <rPh sb="16" eb="17">
      <t>ユウ</t>
    </rPh>
    <rPh sb="19" eb="21">
      <t>ヨウイン</t>
    </rPh>
    <rPh sb="21" eb="23">
      <t>カクホ</t>
    </rPh>
    <rPh sb="24" eb="26">
      <t>メド</t>
    </rPh>
    <rPh sb="27" eb="28">
      <t>タ</t>
    </rPh>
    <phoneticPr fontId="2"/>
  </si>
  <si>
    <t>目途が立っている場合YES</t>
    <rPh sb="0" eb="2">
      <t>メド</t>
    </rPh>
    <rPh sb="3" eb="4">
      <t>タ</t>
    </rPh>
    <rPh sb="8" eb="10">
      <t>バアイ</t>
    </rPh>
    <phoneticPr fontId="2"/>
  </si>
  <si>
    <r>
      <t>PM、PLやプロジェクトのキーとなる要素（業務、製品、要素技術など）に関するスキルや知見を有した要員を確保できていないと、見積精度の悪化やマネジメント欠如、成果物品質の悪化、リスクが見通せないなどプロジェクト遂行にあたり大きな問題となる。</t>
    </r>
    <r>
      <rPr>
        <sz val="12"/>
        <rFont val="ＭＳ Ｐゴシック"/>
        <family val="3"/>
        <charset val="128"/>
      </rPr>
      <t xml:space="preserve">
</t>
    </r>
    <r>
      <rPr>
        <sz val="12"/>
        <color indexed="12"/>
        <rFont val="ＭＳ Ｐゴシック"/>
        <family val="3"/>
        <charset val="128"/>
      </rPr>
      <t xml:space="preserve">　《YES回答に該当するか否かの判断条件例》
　・PMやアーキテクト、適用するパッケージの有識者などのキーマンが専任である場合
　・プロジェクトピーク時に必要となる要員数を把握できている場合
</t>
    </r>
    <rPh sb="126" eb="128">
      <t>カイトウ</t>
    </rPh>
    <rPh sb="156" eb="158">
      <t>テキヨウ</t>
    </rPh>
    <rPh sb="166" eb="169">
      <t>ユウシキシャ</t>
    </rPh>
    <rPh sb="177" eb="179">
      <t>センニン</t>
    </rPh>
    <rPh sb="182" eb="184">
      <t>バアイ</t>
    </rPh>
    <rPh sb="196" eb="197">
      <t>ジ</t>
    </rPh>
    <rPh sb="198" eb="200">
      <t>ヒツヨウ</t>
    </rPh>
    <rPh sb="203" eb="206">
      <t>ヨウインスウ</t>
    </rPh>
    <rPh sb="207" eb="209">
      <t>ハアク</t>
    </rPh>
    <rPh sb="214" eb="216">
      <t>バアイ</t>
    </rPh>
    <phoneticPr fontId="2"/>
  </si>
  <si>
    <t>社内・組織支援</t>
    <rPh sb="0" eb="2">
      <t>シャナイ</t>
    </rPh>
    <rPh sb="3" eb="5">
      <t>ソシキ</t>
    </rPh>
    <rPh sb="5" eb="7">
      <t>シエン</t>
    </rPh>
    <phoneticPr fontId="2"/>
  </si>
  <si>
    <t>組織の支援体制が計画されているか。</t>
    <rPh sb="0" eb="2">
      <t>ソシキ</t>
    </rPh>
    <rPh sb="3" eb="5">
      <t>シエン</t>
    </rPh>
    <rPh sb="5" eb="7">
      <t>タイセイ</t>
    </rPh>
    <rPh sb="8" eb="10">
      <t>ケイカク</t>
    </rPh>
    <phoneticPr fontId="2"/>
  </si>
  <si>
    <t>計画されている場合YES</t>
    <rPh sb="0" eb="2">
      <t>ケイカク</t>
    </rPh>
    <rPh sb="7" eb="9">
      <t>バアイ</t>
    </rPh>
    <phoneticPr fontId="2"/>
  </si>
  <si>
    <r>
      <t xml:space="preserve">組織の支援体制が確立されていないと、問題発生時に組織としての増員や顧客申入などの判断・対応が後手に回る。
</t>
    </r>
    <r>
      <rPr>
        <sz val="12"/>
        <rFont val="ＭＳ Ｐゴシック"/>
        <family val="3"/>
        <charset val="128"/>
      </rPr>
      <t xml:space="preserve">
</t>
    </r>
    <r>
      <rPr>
        <sz val="12"/>
        <color indexed="12"/>
        <rFont val="ＭＳ Ｐゴシック"/>
        <family val="3"/>
        <charset val="128"/>
      </rPr>
      <t xml:space="preserve">　《YES回答に該当するか否かの判断条件例》
　・プロジェクト責任者／ライン長の役割が定義されている場合
　・プロジェクト責任者／ライン長への報告の場が計画されている場合
</t>
    </r>
    <rPh sb="0" eb="2">
      <t>ソシキ</t>
    </rPh>
    <rPh sb="3" eb="5">
      <t>シエン</t>
    </rPh>
    <rPh sb="5" eb="7">
      <t>タイセイ</t>
    </rPh>
    <rPh sb="8" eb="10">
      <t>カクリツ</t>
    </rPh>
    <rPh sb="18" eb="20">
      <t>モンダイ</t>
    </rPh>
    <rPh sb="20" eb="22">
      <t>ハッセイ</t>
    </rPh>
    <rPh sb="22" eb="23">
      <t>ジ</t>
    </rPh>
    <rPh sb="24" eb="26">
      <t>ソシキ</t>
    </rPh>
    <rPh sb="30" eb="32">
      <t>ゾウイン</t>
    </rPh>
    <rPh sb="33" eb="35">
      <t>コキャク</t>
    </rPh>
    <rPh sb="35" eb="36">
      <t>モウ</t>
    </rPh>
    <rPh sb="36" eb="37">
      <t>イ</t>
    </rPh>
    <rPh sb="40" eb="42">
      <t>ハンダン</t>
    </rPh>
    <rPh sb="43" eb="45">
      <t>タイオウ</t>
    </rPh>
    <rPh sb="46" eb="48">
      <t>ゴテ</t>
    </rPh>
    <rPh sb="49" eb="50">
      <t>マワ</t>
    </rPh>
    <rPh sb="85" eb="88">
      <t>セキニンシャ</t>
    </rPh>
    <rPh sb="92" eb="93">
      <t>チョウ</t>
    </rPh>
    <rPh sb="94" eb="96">
      <t>ヤクワリ</t>
    </rPh>
    <rPh sb="97" eb="99">
      <t>テイギ</t>
    </rPh>
    <rPh sb="104" eb="106">
      <t>バアイ</t>
    </rPh>
    <rPh sb="125" eb="127">
      <t>ホウコク</t>
    </rPh>
    <rPh sb="128" eb="129">
      <t>バ</t>
    </rPh>
    <rPh sb="130" eb="132">
      <t>ケイカク</t>
    </rPh>
    <rPh sb="137" eb="139">
      <t>バアイ</t>
    </rPh>
    <phoneticPr fontId="2"/>
  </si>
  <si>
    <t>委託先・見積</t>
    <rPh sb="0" eb="2">
      <t>イタク</t>
    </rPh>
    <rPh sb="2" eb="3">
      <t>サキ</t>
    </rPh>
    <rPh sb="4" eb="6">
      <t>ミツモリ</t>
    </rPh>
    <phoneticPr fontId="2"/>
  </si>
  <si>
    <t>委託先の見積が適正な範囲であり、見積根拠は妥当であるか。</t>
  </si>
  <si>
    <t>適正且妥当な場合YES</t>
    <rPh sb="0" eb="2">
      <t>テキセイ</t>
    </rPh>
    <rPh sb="2" eb="3">
      <t>カツ</t>
    </rPh>
    <rPh sb="3" eb="5">
      <t>ダトウ</t>
    </rPh>
    <rPh sb="6" eb="8">
      <t>バアイ</t>
    </rPh>
    <phoneticPr fontId="2"/>
  </si>
  <si>
    <r>
      <t xml:space="preserve">委託先の見積の妥当性を確認していないと、過剰見積の場合、失注リスクとなり、過少見積の場合、スケジュール遅延・品質悪化などの問題が発生する。
</t>
    </r>
    <r>
      <rPr>
        <sz val="12"/>
        <rFont val="ＭＳ Ｐゴシック"/>
        <family val="3"/>
        <charset val="128"/>
      </rPr>
      <t xml:space="preserve">
</t>
    </r>
    <r>
      <rPr>
        <sz val="12"/>
        <color indexed="12"/>
        <rFont val="ＭＳ Ｐゴシック"/>
        <family val="3"/>
        <charset val="128"/>
      </rPr>
      <t xml:space="preserve">　《YES回答に該当するか否かの判断条件例》
　・見積手法、算出根拠が明確であり、過去の委託実績や他社と比べて適正である場合
　・遵守する規定や標準が見積条件に記載されている場合
　・品質管理方法が明確であり、品質作業の実施が提示されている場合
</t>
    </r>
    <rPh sb="0" eb="3">
      <t>イタクサキ</t>
    </rPh>
    <rPh sb="4" eb="6">
      <t>ミツモリ</t>
    </rPh>
    <rPh sb="7" eb="10">
      <t>ダトウセイ</t>
    </rPh>
    <rPh sb="11" eb="13">
      <t>カクニン</t>
    </rPh>
    <rPh sb="20" eb="22">
      <t>カジョウ</t>
    </rPh>
    <rPh sb="22" eb="24">
      <t>ミツモリ</t>
    </rPh>
    <rPh sb="25" eb="27">
      <t>バアイ</t>
    </rPh>
    <rPh sb="28" eb="29">
      <t>シッ</t>
    </rPh>
    <rPh sb="29" eb="30">
      <t>チュウ</t>
    </rPh>
    <rPh sb="37" eb="39">
      <t>カショウ</t>
    </rPh>
    <rPh sb="39" eb="41">
      <t>ミツモリ</t>
    </rPh>
    <rPh sb="42" eb="44">
      <t>バアイ</t>
    </rPh>
    <rPh sb="51" eb="53">
      <t>チエン</t>
    </rPh>
    <rPh sb="54" eb="56">
      <t>ヒンシツ</t>
    </rPh>
    <rPh sb="56" eb="58">
      <t>アッカ</t>
    </rPh>
    <rPh sb="61" eb="63">
      <t>モンダイ</t>
    </rPh>
    <rPh sb="64" eb="66">
      <t>ハッセイ</t>
    </rPh>
    <rPh sb="106" eb="108">
      <t>メイカク</t>
    </rPh>
    <rPh sb="131" eb="133">
      <t>バアイ</t>
    </rPh>
    <rPh sb="136" eb="138">
      <t>ジュンシュ</t>
    </rPh>
    <rPh sb="140" eb="142">
      <t>キテイ</t>
    </rPh>
    <rPh sb="143" eb="145">
      <t>ヒョウジュン</t>
    </rPh>
    <rPh sb="148" eb="150">
      <t>ジョウケン</t>
    </rPh>
    <rPh sb="151" eb="153">
      <t>キサイ</t>
    </rPh>
    <rPh sb="158" eb="160">
      <t>バアイ</t>
    </rPh>
    <rPh sb="163" eb="165">
      <t>ヒンシツ</t>
    </rPh>
    <rPh sb="165" eb="167">
      <t>カンリ</t>
    </rPh>
    <rPh sb="167" eb="169">
      <t>ホウホウ</t>
    </rPh>
    <rPh sb="170" eb="172">
      <t>メイカク</t>
    </rPh>
    <rPh sb="176" eb="178">
      <t>ヒンシツ</t>
    </rPh>
    <rPh sb="178" eb="180">
      <t>サギョウ</t>
    </rPh>
    <rPh sb="181" eb="183">
      <t>ジッシ</t>
    </rPh>
    <rPh sb="184" eb="186">
      <t>テイジ</t>
    </rPh>
    <rPh sb="191" eb="193">
      <t>バアイ</t>
    </rPh>
    <phoneticPr fontId="2"/>
  </si>
  <si>
    <t>委託先・動員力</t>
    <rPh sb="0" eb="3">
      <t>イタクサキ</t>
    </rPh>
    <rPh sb="4" eb="7">
      <t>ドウインリョク</t>
    </rPh>
    <phoneticPr fontId="2"/>
  </si>
  <si>
    <t>委託先は専任のアサイン、緊急時の要員の追加など柔軟に対応可能か。</t>
    <rPh sb="0" eb="3">
      <t>イタクサキ</t>
    </rPh>
    <rPh sb="12" eb="15">
      <t>キンキュウジ</t>
    </rPh>
    <rPh sb="16" eb="18">
      <t>ヨウイン</t>
    </rPh>
    <rPh sb="19" eb="21">
      <t>ツイカ</t>
    </rPh>
    <rPh sb="23" eb="25">
      <t>ジュウナン</t>
    </rPh>
    <rPh sb="26" eb="28">
      <t>タイオウ</t>
    </rPh>
    <rPh sb="28" eb="30">
      <t>カノウ</t>
    </rPh>
    <phoneticPr fontId="2"/>
  </si>
  <si>
    <t>対応可能な場合YES</t>
    <rPh sb="0" eb="2">
      <t>タイオウ</t>
    </rPh>
    <rPh sb="2" eb="4">
      <t>カノウ</t>
    </rPh>
    <rPh sb="5" eb="7">
      <t>バアイ</t>
    </rPh>
    <phoneticPr fontId="2"/>
  </si>
  <si>
    <r>
      <t>要員を専任でアサインできない場合、緊急時に迅速な対応ができない可能性がある。また、プロジェクトの進行途中で問題発生時に、要員追加を柔軟に行えないと、CTCが要員アサインに奔走することになる。</t>
    </r>
    <r>
      <rPr>
        <sz val="12"/>
        <rFont val="ＭＳ Ｐゴシック"/>
        <family val="3"/>
        <charset val="128"/>
      </rPr>
      <t xml:space="preserve">
</t>
    </r>
    <r>
      <rPr>
        <sz val="12"/>
        <color indexed="12"/>
        <rFont val="ＭＳ Ｐゴシック"/>
        <family val="3"/>
        <charset val="128"/>
      </rPr>
      <t xml:space="preserve">　《YES回答に該当するか否かの判断条件例》
　・必要な要員数を確保できる場合
　・PM、技術リーダー、類似のシステム開発（構築）経験者などのキーマンを専任化している場合
　・特化技術に関するノウハウや技術を保持している場合
</t>
    </r>
    <rPh sb="0" eb="2">
      <t>ヨウイン</t>
    </rPh>
    <rPh sb="17" eb="20">
      <t>キンキュウジ</t>
    </rPh>
    <rPh sb="21" eb="23">
      <t>ジンソク</t>
    </rPh>
    <rPh sb="24" eb="26">
      <t>タイオウ</t>
    </rPh>
    <rPh sb="31" eb="34">
      <t>カノウセイ</t>
    </rPh>
    <rPh sb="57" eb="58">
      <t>ジ</t>
    </rPh>
    <rPh sb="122" eb="124">
      <t>ヒツヨウ</t>
    </rPh>
    <rPh sb="125" eb="127">
      <t>ヨウイン</t>
    </rPh>
    <rPh sb="127" eb="128">
      <t>スウ</t>
    </rPh>
    <rPh sb="129" eb="131">
      <t>カクホ</t>
    </rPh>
    <rPh sb="134" eb="136">
      <t>バアイ</t>
    </rPh>
    <rPh sb="142" eb="144">
      <t>ギジュツ</t>
    </rPh>
    <rPh sb="173" eb="175">
      <t>センニン</t>
    </rPh>
    <rPh sb="175" eb="176">
      <t>カ</t>
    </rPh>
    <rPh sb="180" eb="182">
      <t>バアイ</t>
    </rPh>
    <rPh sb="185" eb="187">
      <t>トッカ</t>
    </rPh>
    <rPh sb="187" eb="189">
      <t>ギジュツ</t>
    </rPh>
    <rPh sb="201" eb="203">
      <t>ホジ</t>
    </rPh>
    <rPh sb="207" eb="209">
      <t>バアイ</t>
    </rPh>
    <phoneticPr fontId="2"/>
  </si>
  <si>
    <t>委託先・経営状況</t>
    <rPh sb="0" eb="3">
      <t>イタクサキ</t>
    </rPh>
    <rPh sb="4" eb="6">
      <t>ケイエイ</t>
    </rPh>
    <rPh sb="6" eb="8">
      <t>ジョウキョウ</t>
    </rPh>
    <phoneticPr fontId="2"/>
  </si>
  <si>
    <t>委託先の経営状況に問題はないか。</t>
    <rPh sb="0" eb="3">
      <t>イタクサキ</t>
    </rPh>
    <rPh sb="4" eb="6">
      <t>ケイエイ</t>
    </rPh>
    <rPh sb="6" eb="8">
      <t>ジョウキョウ</t>
    </rPh>
    <rPh sb="9" eb="11">
      <t>モンダイ</t>
    </rPh>
    <phoneticPr fontId="2"/>
  </si>
  <si>
    <t>問題がない場合YES</t>
    <rPh sb="0" eb="2">
      <t>モンダイ</t>
    </rPh>
    <rPh sb="5" eb="7">
      <t>バアイ</t>
    </rPh>
    <phoneticPr fontId="2"/>
  </si>
  <si>
    <r>
      <t xml:space="preserve">委託先が倒産すると、代替の委託先の選定・引継ぎなどスケジュールに影響を受ける。最悪の場合、案件を継続できなくなる可能性がある。
</t>
    </r>
    <r>
      <rPr>
        <sz val="12"/>
        <rFont val="ＭＳ Ｐゴシック"/>
        <family val="3"/>
        <charset val="128"/>
      </rPr>
      <t xml:space="preserve">
</t>
    </r>
    <r>
      <rPr>
        <sz val="12"/>
        <color indexed="12"/>
        <rFont val="ＭＳ Ｐゴシック"/>
        <family val="3"/>
        <charset val="128"/>
      </rPr>
      <t xml:space="preserve">　《YES回答に該当するか否かの判断条件例》
　・事前に企業調査情報を入手し、経営状況に問題がないことを確認している場合
</t>
    </r>
    <rPh sb="4" eb="6">
      <t>トウサン</t>
    </rPh>
    <rPh sb="10" eb="12">
      <t>ダイタイ</t>
    </rPh>
    <rPh sb="35" eb="36">
      <t>ウ</t>
    </rPh>
    <rPh sb="56" eb="59">
      <t>カノウセイ</t>
    </rPh>
    <rPh sb="90" eb="92">
      <t>ジゼン</t>
    </rPh>
    <rPh sb="93" eb="95">
      <t>キギョウ</t>
    </rPh>
    <rPh sb="95" eb="97">
      <t>チョウサ</t>
    </rPh>
    <rPh sb="97" eb="99">
      <t>ジョウホウ</t>
    </rPh>
    <rPh sb="100" eb="102">
      <t>ニュウシュ</t>
    </rPh>
    <rPh sb="104" eb="106">
      <t>ケイエイ</t>
    </rPh>
    <rPh sb="106" eb="108">
      <t>ジョウキョウ</t>
    </rPh>
    <rPh sb="109" eb="111">
      <t>モンダイ</t>
    </rPh>
    <rPh sb="117" eb="119">
      <t>カクニン</t>
    </rPh>
    <rPh sb="123" eb="125">
      <t>バアイ</t>
    </rPh>
    <phoneticPr fontId="2"/>
  </si>
  <si>
    <t>選定したパッケージや製品のベンダから必要な支援が受けられるか。</t>
    <rPh sb="0" eb="2">
      <t>センテイ</t>
    </rPh>
    <rPh sb="10" eb="12">
      <t>セイヒン</t>
    </rPh>
    <rPh sb="18" eb="20">
      <t>ヒツヨウ</t>
    </rPh>
    <rPh sb="21" eb="23">
      <t>シエン</t>
    </rPh>
    <rPh sb="24" eb="25">
      <t>ウ</t>
    </rPh>
    <phoneticPr fontId="2"/>
  </si>
  <si>
    <t>支援が受けられる場合YES</t>
    <rPh sb="0" eb="2">
      <t>シエン</t>
    </rPh>
    <rPh sb="3" eb="4">
      <t>ウ</t>
    </rPh>
    <rPh sb="8" eb="10">
      <t>バアイ</t>
    </rPh>
    <phoneticPr fontId="2"/>
  </si>
  <si>
    <r>
      <t xml:space="preserve">パッケージソフトウェアやインフラ製品に不具合が見つかったとき、ベンダ/メーカーからの迅速な対応を受けられないと、スケジュール遅延、コスト超過等につながる。
</t>
    </r>
    <r>
      <rPr>
        <sz val="12"/>
        <color indexed="12"/>
        <rFont val="ＭＳ Ｐゴシック"/>
        <family val="3"/>
        <charset val="128"/>
      </rPr>
      <t>　《YES回答に該当するか否かの判断条件例》
　・社内のテクニカルサポート体制が十分である場合
　・ベンダ／メーカの開発力、サポート力、サポート体制、プロフェッショナルサービス、導入実績が十分である場合
　・ベンダ／メーカの経営状況、与信に問題がない場合</t>
    </r>
    <rPh sb="16" eb="18">
      <t>セイヒン</t>
    </rPh>
    <rPh sb="19" eb="22">
      <t>フグアイ</t>
    </rPh>
    <rPh sb="23" eb="24">
      <t>ミ</t>
    </rPh>
    <rPh sb="42" eb="44">
      <t>ジンソク</t>
    </rPh>
    <rPh sb="45" eb="47">
      <t>タイオウ</t>
    </rPh>
    <rPh sb="48" eb="49">
      <t>ウ</t>
    </rPh>
    <rPh sb="168" eb="170">
      <t>ドウニュウ</t>
    </rPh>
    <rPh sb="170" eb="172">
      <t>ジッセキ</t>
    </rPh>
    <phoneticPr fontId="2"/>
  </si>
  <si>
    <t>6.作業計画</t>
    <rPh sb="2" eb="4">
      <t>サギョウ</t>
    </rPh>
    <rPh sb="4" eb="6">
      <t>ケイカク</t>
    </rPh>
    <phoneticPr fontId="2"/>
  </si>
  <si>
    <t>成果物の量と品質に応じた作業工数・作業期間が計画されているか。</t>
    <rPh sb="0" eb="2">
      <t>セイカ</t>
    </rPh>
    <rPh sb="2" eb="3">
      <t>ブツ</t>
    </rPh>
    <rPh sb="4" eb="5">
      <t>リョウ</t>
    </rPh>
    <rPh sb="6" eb="8">
      <t>ヒンシツ</t>
    </rPh>
    <rPh sb="9" eb="10">
      <t>オウ</t>
    </rPh>
    <rPh sb="12" eb="14">
      <t>サギョウ</t>
    </rPh>
    <rPh sb="14" eb="16">
      <t>コウスウ</t>
    </rPh>
    <rPh sb="17" eb="19">
      <t>サギョウ</t>
    </rPh>
    <rPh sb="19" eb="21">
      <t>キカン</t>
    </rPh>
    <rPh sb="22" eb="24">
      <t>ケイカク</t>
    </rPh>
    <phoneticPr fontId="2"/>
  </si>
  <si>
    <r>
      <t xml:space="preserve">成果物の作成量と品質に応じた作業工数・作業期間が計画されていないと、品質劣化に伴う手戻りの発生、レビュー・テスト工数の増加の可能性がある。また、顧客が要求するドキュメントの質を把握しておかないと成果物の作成に想定外の工数が必要になる。
</t>
    </r>
    <r>
      <rPr>
        <sz val="12"/>
        <rFont val="ＭＳ Ｐゴシック"/>
        <family val="3"/>
        <charset val="128"/>
      </rPr>
      <t xml:space="preserve">
</t>
    </r>
    <r>
      <rPr>
        <sz val="12"/>
        <color indexed="12"/>
        <rFont val="ＭＳ Ｐゴシック"/>
        <family val="3"/>
        <charset val="128"/>
      </rPr>
      <t xml:space="preserve">　《YES回答に該当するか否かの判断条件例》
　・成果物サンプルを作成し、顧客・CTC・委託先で合意している場合
　・成果物の作成量が見積もられ、顧客・CTC・委託先で合意している場合
　・顧客レビューの要否、レビュー期間、作業場所、タスク間の依存関係を考慮し、適切な作業計画が作成されている場合
</t>
    </r>
    <rPh sb="4" eb="6">
      <t>サクセイ</t>
    </rPh>
    <rPh sb="24" eb="26">
      <t>ケイカク</t>
    </rPh>
    <rPh sb="34" eb="36">
      <t>ヒンシツ</t>
    </rPh>
    <rPh sb="36" eb="38">
      <t>レッカ</t>
    </rPh>
    <rPh sb="39" eb="40">
      <t>トモナ</t>
    </rPh>
    <rPh sb="41" eb="42">
      <t>テ</t>
    </rPh>
    <rPh sb="42" eb="43">
      <t>モド</t>
    </rPh>
    <rPh sb="45" eb="47">
      <t>ハッセイ</t>
    </rPh>
    <rPh sb="56" eb="58">
      <t>コウスウ</t>
    </rPh>
    <rPh sb="59" eb="61">
      <t>ゾウカ</t>
    </rPh>
    <rPh sb="62" eb="65">
      <t>カノウセイ</t>
    </rPh>
    <rPh sb="72" eb="74">
      <t>コキャク</t>
    </rPh>
    <rPh sb="75" eb="77">
      <t>ヨウキュウ</t>
    </rPh>
    <rPh sb="86" eb="87">
      <t>シツ</t>
    </rPh>
    <rPh sb="88" eb="90">
      <t>ハアク</t>
    </rPh>
    <rPh sb="97" eb="100">
      <t>セイカブツ</t>
    </rPh>
    <rPh sb="101" eb="103">
      <t>サクセイ</t>
    </rPh>
    <rPh sb="104" eb="106">
      <t>ソウテイ</t>
    </rPh>
    <rPh sb="106" eb="107">
      <t>ガイ</t>
    </rPh>
    <rPh sb="108" eb="110">
      <t>コウスウ</t>
    </rPh>
    <rPh sb="111" eb="113">
      <t>ヒツヨウ</t>
    </rPh>
    <rPh sb="144" eb="146">
      <t>セイカ</t>
    </rPh>
    <rPh sb="146" eb="147">
      <t>ブツ</t>
    </rPh>
    <rPh sb="152" eb="154">
      <t>サクセイ</t>
    </rPh>
    <rPh sb="167" eb="169">
      <t>ゴウイ</t>
    </rPh>
    <rPh sb="173" eb="175">
      <t>バアイ</t>
    </rPh>
    <rPh sb="178" eb="180">
      <t>セイカ</t>
    </rPh>
    <rPh sb="180" eb="181">
      <t>ブツ</t>
    </rPh>
    <rPh sb="182" eb="184">
      <t>サクセイ</t>
    </rPh>
    <rPh sb="184" eb="185">
      <t>リョウ</t>
    </rPh>
    <rPh sb="186" eb="188">
      <t>ミツ</t>
    </rPh>
    <rPh sb="209" eb="211">
      <t>バアイ</t>
    </rPh>
    <rPh sb="214" eb="216">
      <t>コキャク</t>
    </rPh>
    <rPh sb="221" eb="223">
      <t>ヨウヒ</t>
    </rPh>
    <rPh sb="228" eb="230">
      <t>キカン</t>
    </rPh>
    <rPh sb="231" eb="233">
      <t>サギョウ</t>
    </rPh>
    <rPh sb="233" eb="235">
      <t>バショ</t>
    </rPh>
    <rPh sb="239" eb="240">
      <t>アイダ</t>
    </rPh>
    <rPh sb="241" eb="243">
      <t>イゾン</t>
    </rPh>
    <rPh sb="243" eb="245">
      <t>カンケイ</t>
    </rPh>
    <rPh sb="246" eb="248">
      <t>コウリョ</t>
    </rPh>
    <rPh sb="250" eb="252">
      <t>テキセツ</t>
    </rPh>
    <rPh sb="253" eb="255">
      <t>サギョウ</t>
    </rPh>
    <rPh sb="255" eb="257">
      <t>ケイカク</t>
    </rPh>
    <rPh sb="258" eb="260">
      <t>サクセイ</t>
    </rPh>
    <rPh sb="265" eb="267">
      <t>バアイ</t>
    </rPh>
    <phoneticPr fontId="2"/>
  </si>
  <si>
    <t>※ 本資料は適時更新されますので、必ず最新版をダウンロードしてご使用ください。</t>
    <rPh sb="2" eb="3">
      <t>ホン</t>
    </rPh>
    <rPh sb="3" eb="5">
      <t>シリョウ</t>
    </rPh>
    <rPh sb="6" eb="8">
      <t>テキジ</t>
    </rPh>
    <rPh sb="8" eb="10">
      <t>コウシン</t>
    </rPh>
    <rPh sb="17" eb="18">
      <t>カナラ</t>
    </rPh>
    <rPh sb="19" eb="21">
      <t>サイシン</t>
    </rPh>
    <rPh sb="21" eb="22">
      <t>ハン</t>
    </rPh>
    <rPh sb="32" eb="34">
      <t>シヨウ</t>
    </rPh>
    <phoneticPr fontId="2"/>
  </si>
  <si>
    <t>※ 認識されたリスクは「リスク管理計画シート」に記載してリスク管理を実行してください。</t>
    <rPh sb="2" eb="4">
      <t>ニンシキ</t>
    </rPh>
    <rPh sb="15" eb="17">
      <t>カンリ</t>
    </rPh>
    <rPh sb="17" eb="19">
      <t>ケイカク</t>
    </rPh>
    <rPh sb="24" eb="26">
      <t>キサイ</t>
    </rPh>
    <rPh sb="31" eb="33">
      <t>カンリ</t>
    </rPh>
    <rPh sb="34" eb="36">
      <t>ジッコウ</t>
    </rPh>
    <phoneticPr fontId="2"/>
  </si>
  <si>
    <t>&lt;本資料について&gt;</t>
    <rPh sb="1" eb="2">
      <t>ホン</t>
    </rPh>
    <rPh sb="2" eb="4">
      <t>シリョウ</t>
    </rPh>
    <phoneticPr fontId="2"/>
  </si>
  <si>
    <t>・本資料は、リスクイベントや対策・確率設定に関してサンプル的に記載した資料であり、</t>
    <rPh sb="17" eb="19">
      <t>カクリツ</t>
    </rPh>
    <rPh sb="19" eb="21">
      <t>セッテイ</t>
    </rPh>
    <rPh sb="22" eb="23">
      <t>カン</t>
    </rPh>
    <rPh sb="29" eb="30">
      <t>テキ</t>
    </rPh>
    <rPh sb="31" eb="33">
      <t>キサイ</t>
    </rPh>
    <rPh sb="35" eb="37">
      <t>シリョウ</t>
    </rPh>
    <phoneticPr fontId="2"/>
  </si>
  <si>
    <t>　リスク管理計画シート作成時のインプットとすることで記載観点などの気付きを得たり、ドキュメント品質の向上・平準化を目的としています。</t>
    <rPh sb="26" eb="28">
      <t>キサイ</t>
    </rPh>
    <rPh sb="28" eb="30">
      <t>カンテン</t>
    </rPh>
    <rPh sb="33" eb="35">
      <t>キヅ</t>
    </rPh>
    <rPh sb="37" eb="38">
      <t>エ</t>
    </rPh>
    <rPh sb="50" eb="52">
      <t>コウジョウ</t>
    </rPh>
    <phoneticPr fontId="2"/>
  </si>
  <si>
    <t>・本資料に記載されている内容は、あくまでサンプルとなり参考資料です。各プロジェクトの対応内容や特性を踏まえて作成する必要があります。</t>
    <rPh sb="1" eb="2">
      <t>ホン</t>
    </rPh>
    <rPh sb="2" eb="4">
      <t>シリョウ</t>
    </rPh>
    <rPh sb="5" eb="7">
      <t>キサイ</t>
    </rPh>
    <rPh sb="12" eb="14">
      <t>ナイヨウ</t>
    </rPh>
    <rPh sb="27" eb="29">
      <t>サンコウ</t>
    </rPh>
    <rPh sb="29" eb="31">
      <t>シリョウ</t>
    </rPh>
    <rPh sb="34" eb="35">
      <t>カク</t>
    </rPh>
    <rPh sb="42" eb="44">
      <t>タイオウ</t>
    </rPh>
    <rPh sb="44" eb="46">
      <t>ナイヨウ</t>
    </rPh>
    <rPh sb="47" eb="49">
      <t>トクセイ</t>
    </rPh>
    <rPh sb="50" eb="51">
      <t>フ</t>
    </rPh>
    <rPh sb="54" eb="56">
      <t>サクセイ</t>
    </rPh>
    <rPh sb="58" eb="60">
      <t>ヒツヨウ</t>
    </rPh>
    <phoneticPr fontId="2"/>
  </si>
  <si>
    <t xml:space="preserve"> </t>
    <phoneticPr fontId="2"/>
  </si>
  <si>
    <t>▼対応方針についての詳細説明はこちら</t>
    <rPh sb="1" eb="3">
      <t>タイオウ</t>
    </rPh>
    <phoneticPr fontId="2"/>
  </si>
  <si>
    <t>記入日</t>
  </si>
  <si>
    <t>リスクイベント</t>
  </si>
  <si>
    <t>発生
確率</t>
    <rPh sb="0" eb="2">
      <t>ハッセイ</t>
    </rPh>
    <rPh sb="3" eb="5">
      <t>カクリツ</t>
    </rPh>
    <phoneticPr fontId="2"/>
  </si>
  <si>
    <t>確率
（%）</t>
    <phoneticPr fontId="2"/>
  </si>
  <si>
    <t>リスクインパクト</t>
    <phoneticPr fontId="2"/>
  </si>
  <si>
    <t>金額 (\M)</t>
  </si>
  <si>
    <t>予測値
(\M)</t>
  </si>
  <si>
    <t>Top20</t>
    <phoneticPr fontId="2"/>
  </si>
  <si>
    <t>対応方針</t>
    <rPh sb="0" eb="2">
      <t>タイオウ</t>
    </rPh>
    <rPh sb="2" eb="4">
      <t>ホウシン</t>
    </rPh>
    <phoneticPr fontId="2"/>
  </si>
  <si>
    <r>
      <rPr>
        <b/>
        <sz val="10"/>
        <rFont val="Meiryo UI"/>
        <family val="3"/>
        <charset val="128"/>
      </rPr>
      <t>【軽減の場合】</t>
    </r>
    <r>
      <rPr>
        <sz val="10"/>
        <rFont val="Meiryo UI"/>
        <family val="3"/>
        <charset val="128"/>
      </rPr>
      <t xml:space="preserve">
リスク
対応費
抑止率</t>
    </r>
    <rPh sb="1" eb="3">
      <t>ケイゲン</t>
    </rPh>
    <rPh sb="4" eb="6">
      <t>バアイ</t>
    </rPh>
    <rPh sb="12" eb="14">
      <t>タイオウ</t>
    </rPh>
    <rPh sb="14" eb="15">
      <t>ヒ</t>
    </rPh>
    <rPh sb="16" eb="19">
      <t>ヨクシリツ</t>
    </rPh>
    <phoneticPr fontId="2"/>
  </si>
  <si>
    <t>対応
期限</t>
    <rPh sb="0" eb="2">
      <t>タイオウ</t>
    </rPh>
    <phoneticPr fontId="2"/>
  </si>
  <si>
    <t>対応策</t>
    <phoneticPr fontId="2"/>
  </si>
  <si>
    <t>対応策
前提条件
記載有無</t>
    <rPh sb="0" eb="3">
      <t>タイオウサク</t>
    </rPh>
    <rPh sb="4" eb="6">
      <t>ゼンテイ</t>
    </rPh>
    <rPh sb="6" eb="8">
      <t>ジョウケン</t>
    </rPh>
    <rPh sb="9" eb="11">
      <t>キサイ</t>
    </rPh>
    <rPh sb="11" eb="13">
      <t>ウム</t>
    </rPh>
    <phoneticPr fontId="2"/>
  </si>
  <si>
    <t>対応
責任者</t>
    <rPh sb="0" eb="2">
      <t>タイオウ</t>
    </rPh>
    <rPh sb="3" eb="6">
      <t>セキニンシャ</t>
    </rPh>
    <phoneticPr fontId="2"/>
  </si>
  <si>
    <t xml:space="preserve">対応策
実施
完了日
</t>
    <rPh sb="0" eb="2">
      <t>タイオウ</t>
    </rPh>
    <rPh sb="2" eb="3">
      <t>サク</t>
    </rPh>
    <rPh sb="4" eb="6">
      <t>ジッシ</t>
    </rPh>
    <rPh sb="7" eb="9">
      <t>カンリョウ</t>
    </rPh>
    <rPh sb="9" eb="10">
      <t>ビ</t>
    </rPh>
    <phoneticPr fontId="2"/>
  </si>
  <si>
    <t>リスク顕在化による対応費用実績(\M)</t>
    <rPh sb="3" eb="6">
      <t>ケンザイカ</t>
    </rPh>
    <rPh sb="9" eb="11">
      <t>タイオウ</t>
    </rPh>
    <rPh sb="11" eb="13">
      <t>ヒヨウ</t>
    </rPh>
    <rPh sb="13" eb="15">
      <t>ジッセキ</t>
    </rPh>
    <phoneticPr fontId="2"/>
  </si>
  <si>
    <t>監視
期限</t>
    <phoneticPr fontId="2"/>
  </si>
  <si>
    <t>トリガー</t>
    <phoneticPr fontId="2"/>
  </si>
  <si>
    <t>リスクが顕在化したときの処置</t>
    <rPh sb="4" eb="7">
      <t>ケンザイカ</t>
    </rPh>
    <phoneticPr fontId="2"/>
  </si>
  <si>
    <t>状況
確認日</t>
    <rPh sb="0" eb="2">
      <t>ジョウキョウ</t>
    </rPh>
    <rPh sb="3" eb="5">
      <t>カクニン</t>
    </rPh>
    <rPh sb="5" eb="6">
      <t>ビ</t>
    </rPh>
    <phoneticPr fontId="2"/>
  </si>
  <si>
    <t>確認結果</t>
    <rPh sb="0" eb="2">
      <t>カクニン</t>
    </rPh>
    <rPh sb="2" eb="4">
      <t>ケッカ</t>
    </rPh>
    <phoneticPr fontId="2"/>
  </si>
  <si>
    <t>確認状況</t>
    <rPh sb="0" eb="2">
      <t>カクニン</t>
    </rPh>
    <rPh sb="2" eb="4">
      <t>ジョウキョウ</t>
    </rPh>
    <phoneticPr fontId="2"/>
  </si>
  <si>
    <t>例</t>
    <rPh sb="0" eb="1">
      <t>レイ</t>
    </rPh>
    <phoneticPr fontId="2"/>
  </si>
  <si>
    <t>当該行の記入日付を記入します。一度作成した行は削除せず、グレーアウトします。</t>
    <phoneticPr fontId="2"/>
  </si>
  <si>
    <t>リスクの要因とその影響による
現象を記入します。</t>
    <phoneticPr fontId="2"/>
  </si>
  <si>
    <t>案件チェックリストで「リスクあり」となった項目のリスク観点を選択します。
案件チェックリストで洗い出したリスクでなければ、「該当なし」を選択します。</t>
    <phoneticPr fontId="2"/>
  </si>
  <si>
    <t>各リスクの発生確率(低中高)に応じて、値を設定します。
※30%を超えるものは、リスクではなく原価へ対応を組み込む。
但し、リスクを評価した証跡としてリスク管理シートへは記載する。
リスク管理シートの対応策にその検討経緯を記載し、結果としてコンティンジェンシーには反映されないように発生確率を30%を超える率を設定する。</t>
    <phoneticPr fontId="2"/>
  </si>
  <si>
    <t>リスクが顕在化する確率を記載します。
※確率は、リスクの査定をするためのものです。
対応策をとる前の発生確率を記載してください。</t>
    <phoneticPr fontId="2"/>
  </si>
  <si>
    <t>リスクが顕在化した場合のプロジェクトへのダメージ内容を記載します。金額を算出するための根拠となる数値も記入してください。</t>
  </si>
  <si>
    <t>リスクが顕在化した場合に、必要となる対応コストの金額を見積り、記載します。</t>
    <phoneticPr fontId="2"/>
  </si>
  <si>
    <t>予測値＝リスクインパクト（金額）×確率
※予測値は、リスクの順位付け、対応策の検討、コンティンジェンシー予備費の検討に使用します。</t>
    <phoneticPr fontId="2"/>
  </si>
  <si>
    <t>・原則、予測値の大きいものから順位付けします。ただし、社会的信用の失墜等コストに換算できないリスクは、プロジェクトマネージャーの判断で順位を付番してください。
・上位20位のリスクを対応対象としていますが、対応数は、プロジェクトマネージャ(責任者)の判断で増減してください。</t>
    <phoneticPr fontId="2"/>
  </si>
  <si>
    <t>リスクの対応方針をプルダウンリストから選択します。
・回避:対応策の実施により、リスクを回避できる場合。リスク顕在化による対応費用実績(\M):0
・転嫁:第三者に移転する場合。リスク顕在化による対応費用実績(\M):0
・軽減:特定したリスクの発生確率や影響度を軽減できる場合。予測値(\M)＞リスク顕在化による対応費用実績(\M)
・受容:特定したリスクをそのまま受容する場合。予測値(\M)＝リスク顕在化による対応費用実績(\M)</t>
    <rPh sb="30" eb="33">
      <t>タイオウサク</t>
    </rPh>
    <rPh sb="34" eb="36">
      <t>ジッシ</t>
    </rPh>
    <rPh sb="44" eb="46">
      <t>カイヒ</t>
    </rPh>
    <rPh sb="49" eb="51">
      <t>バアイ</t>
    </rPh>
    <rPh sb="55" eb="57">
      <t>ケンザイ</t>
    </rPh>
    <rPh sb="57" eb="58">
      <t>カ</t>
    </rPh>
    <rPh sb="61" eb="63">
      <t>タイオウ</t>
    </rPh>
    <rPh sb="63" eb="64">
      <t>ヒ</t>
    </rPh>
    <rPh sb="64" eb="65">
      <t>ヨウ</t>
    </rPh>
    <rPh sb="65" eb="67">
      <t>ジッセキ</t>
    </rPh>
    <rPh sb="78" eb="81">
      <t>ダイサンシャ</t>
    </rPh>
    <rPh sb="82" eb="84">
      <t>イテン</t>
    </rPh>
    <rPh sb="86" eb="88">
      <t>バアイ</t>
    </rPh>
    <rPh sb="115" eb="117">
      <t>トクテイ</t>
    </rPh>
    <rPh sb="123" eb="127">
      <t>ハッセイカクリツ</t>
    </rPh>
    <rPh sb="128" eb="131">
      <t>エイキョウド</t>
    </rPh>
    <rPh sb="132" eb="134">
      <t>ケイゲン</t>
    </rPh>
    <rPh sb="137" eb="139">
      <t>バアイ</t>
    </rPh>
    <rPh sb="140" eb="143">
      <t>ヨソクチ</t>
    </rPh>
    <rPh sb="172" eb="174">
      <t>トクテイ</t>
    </rPh>
    <rPh sb="184" eb="186">
      <t>ジュヨウ</t>
    </rPh>
    <rPh sb="188" eb="190">
      <t>バアイ</t>
    </rPh>
    <phoneticPr fontId="2"/>
  </si>
  <si>
    <t>対応方針が軽減の場合は、対策を打つことでリスク対応費をどこまで抑止できるかの指標を設定します。
対応策について、現実的なフィジビリティの有無や効果の度合いにより、コンティンジェンシー費用の設定掛け率を決めます。</t>
    <rPh sb="0" eb="4">
      <t>タイオウホウシン</t>
    </rPh>
    <rPh sb="8" eb="10">
      <t>バアイ</t>
    </rPh>
    <phoneticPr fontId="2"/>
  </si>
  <si>
    <t>リスク対応策の実施期限を記入します。</t>
    <phoneticPr fontId="2"/>
  </si>
  <si>
    <t>リスクを回避、もしくは軽減するための対応策の内容を記載します。</t>
    <phoneticPr fontId="2"/>
  </si>
  <si>
    <t>対応策の内容が提案書等の前提条件などへ反映されているかどうかを記載します。
・済</t>
    <phoneticPr fontId="2"/>
  </si>
  <si>
    <t>リスク対応策の対応責任者を記入します。</t>
    <phoneticPr fontId="2"/>
  </si>
  <si>
    <t xml:space="preserve">リスク対応策について実施完了した日付を記載します。
</t>
    <phoneticPr fontId="2"/>
  </si>
  <si>
    <t>リスクが顕在化した場合に、使用した費用の実績を記載します。</t>
    <phoneticPr fontId="2"/>
  </si>
  <si>
    <t>リスクの監視期限を
記入します。
 例) 基本設計完了まで</t>
    <phoneticPr fontId="2"/>
  </si>
  <si>
    <t>リスクが顕在化したことを認識する現象を記入します。例えば、工程遅延が1ヶ月等。</t>
    <phoneticPr fontId="2"/>
  </si>
  <si>
    <t>リスクが顕在化した場合に想定される
取るべき処置を記入します。</t>
    <phoneticPr fontId="2"/>
  </si>
  <si>
    <t>リスク状況(監視継続/顕在化/消滅)を確認した日付を記入します。</t>
    <phoneticPr fontId="2"/>
  </si>
  <si>
    <t>確認結果を選択します。
(監視継続/顕在化/消滅)
※新たなリスクが発生した場合には、別行にリスクを追加します。</t>
    <phoneticPr fontId="2"/>
  </si>
  <si>
    <t>リスクが"消滅"となった場合には、消滅の根拠を記載します。
リスクが"顕在化"した場合には、顕在化したリスクに対して行った対策内容を記載します。</t>
    <phoneticPr fontId="2"/>
  </si>
  <si>
    <t>①顧客起因 (契約先)</t>
    <phoneticPr fontId="2"/>
  </si>
  <si>
    <t>【顧客主体性】
顧客が主体性をもって決めてくれないことにより、スケジュールが遅延する。または、マルチベンダー、マルチプロジェクトコントロールを顧客が対応できないため、仕様が確定せず、スケジュール遅延発生。</t>
    <rPh sb="1" eb="3">
      <t>コキャク</t>
    </rPh>
    <rPh sb="3" eb="6">
      <t>シュタイセイ</t>
    </rPh>
    <phoneticPr fontId="2"/>
  </si>
  <si>
    <t>1.スコープ定義&gt;1.顧客</t>
    <rPh sb="11" eb="13">
      <t>コキャク</t>
    </rPh>
    <phoneticPr fontId="2"/>
  </si>
  <si>
    <t>中:20～29%</t>
  </si>
  <si>
    <t>回避</t>
  </si>
  <si>
    <t>・見積もりの前提条件に、「弊社に起因する問題以外で本プロジェクトが中断または中止する場合は、以降の作業について別途お見積りをさせて頂きます」と記載。</t>
    <rPh sb="1" eb="3">
      <t>ミツ</t>
    </rPh>
    <rPh sb="6" eb="10">
      <t>ゼンテイジョウケン</t>
    </rPh>
    <rPh sb="71" eb="73">
      <t>キサイ</t>
    </rPh>
    <phoneticPr fontId="2"/>
  </si>
  <si>
    <t>済</t>
    <rPh sb="0" eb="1">
      <t>スミ</t>
    </rPh>
    <phoneticPr fontId="2"/>
  </si>
  <si>
    <t>【顧客（システム部門）体制】
顧客側（システム部門）のレビュー担当者が、複数案件（別案件名を記入）を担当しているなどの理由ことから、レビュー作業が停滞する。
例）
システムご担当者がインボイスと次期会計を兼務</t>
    <rPh sb="1" eb="3">
      <t>コキャク</t>
    </rPh>
    <rPh sb="8" eb="10">
      <t>ブモン</t>
    </rPh>
    <rPh sb="11" eb="13">
      <t>タイセイ</t>
    </rPh>
    <rPh sb="17" eb="18">
      <t>ガワ</t>
    </rPh>
    <rPh sb="23" eb="25">
      <t>ブモン</t>
    </rPh>
    <rPh sb="41" eb="44">
      <t>ベツアンケン</t>
    </rPh>
    <rPh sb="44" eb="45">
      <t>メイ</t>
    </rPh>
    <rPh sb="46" eb="48">
      <t>キニュウ</t>
    </rPh>
    <rPh sb="59" eb="61">
      <t>リユウ</t>
    </rPh>
    <rPh sb="73" eb="75">
      <t>テイタイ</t>
    </rPh>
    <rPh sb="80" eb="81">
      <t>レイ</t>
    </rPh>
    <rPh sb="88" eb="91">
      <t>タントウシャ</t>
    </rPh>
    <rPh sb="98" eb="102">
      <t>ジキカイケイ</t>
    </rPh>
    <rPh sb="103" eb="105">
      <t>ケンム</t>
    </rPh>
    <phoneticPr fontId="2"/>
  </si>
  <si>
    <t>1.スコープ定義&gt;2.顧客・体制</t>
    <rPh sb="11" eb="13">
      <t>コキャク</t>
    </rPh>
    <rPh sb="14" eb="16">
      <t>タイセイ</t>
    </rPh>
    <phoneticPr fontId="2"/>
  </si>
  <si>
    <t>・社内外含めた事前レビュースケジュール計画・予定を合意する。
・顧客側都合によるスケジュール超過の場合は影響及び追加対応が発生する旨を前提条件に記載（「弊社に起因する問題以外で本プロジェクトが中断または中止する場合は、以降の作業について別途お見積りをさせて頂きます」）</t>
    <rPh sb="32" eb="35">
      <t>コキャクガワ</t>
    </rPh>
    <rPh sb="35" eb="37">
      <t>ツゴウ</t>
    </rPh>
    <rPh sb="72" eb="74">
      <t>キサイ</t>
    </rPh>
    <phoneticPr fontId="2"/>
  </si>
  <si>
    <t>【顧客（ユーザ部門）体制】
顧客側のレビュー担当者が、現行業務が繁忙期であるなどの理由から、レビュー作業が停滞する。
例）
決算期（2月、5月、８月、11月）のFM経理財務部の繁忙期</t>
    <rPh sb="1" eb="3">
      <t>コキャク</t>
    </rPh>
    <rPh sb="7" eb="9">
      <t>ブモン</t>
    </rPh>
    <rPh sb="32" eb="35">
      <t>ハンボウキ</t>
    </rPh>
    <rPh sb="41" eb="43">
      <t>リユウ</t>
    </rPh>
    <rPh sb="53" eb="55">
      <t>テイタイ</t>
    </rPh>
    <rPh sb="60" eb="61">
      <t>レイ</t>
    </rPh>
    <rPh sb="63" eb="66">
      <t>ケッサンキ</t>
    </rPh>
    <rPh sb="68" eb="69">
      <t>ガツ</t>
    </rPh>
    <rPh sb="71" eb="72">
      <t>ガツ</t>
    </rPh>
    <rPh sb="74" eb="75">
      <t>ガツ</t>
    </rPh>
    <rPh sb="78" eb="79">
      <t>ガツ</t>
    </rPh>
    <rPh sb="83" eb="88">
      <t>ケイリザイムブ</t>
    </rPh>
    <rPh sb="89" eb="92">
      <t>ハンボウキ</t>
    </rPh>
    <phoneticPr fontId="2"/>
  </si>
  <si>
    <t>軽減</t>
  </si>
  <si>
    <t>・社内外含めた事前レビュースケジュール計画・予定を合意する。
・顧客側都合によるスケジュール超過の場合は影響及び追加対応が発生する旨を前提条件に追加する。</t>
    <rPh sb="32" eb="35">
      <t>コキャクガワ</t>
    </rPh>
    <rPh sb="35" eb="37">
      <t>ツゴウ</t>
    </rPh>
    <phoneticPr fontId="2"/>
  </si>
  <si>
    <t>【再見積り・概算見積などの作業】
後続工程の概算見積や機能削減検討など、見積り時点で想定していない作業を要求される。
例）
提示するコストが顧客の予算に収まらないことから、要件定義に引き続き外部設計工程でも機能削減の検討・提案を求められる</t>
    <rPh sb="1" eb="4">
      <t>サイミツ</t>
    </rPh>
    <rPh sb="6" eb="10">
      <t>ガイサンミツモリ</t>
    </rPh>
    <rPh sb="13" eb="15">
      <t>サギョウ</t>
    </rPh>
    <rPh sb="17" eb="21">
      <t>コウゾクコウテイ</t>
    </rPh>
    <rPh sb="22" eb="24">
      <t>ガイサン</t>
    </rPh>
    <rPh sb="24" eb="26">
      <t>ミツモリ</t>
    </rPh>
    <rPh sb="27" eb="31">
      <t>キノウサクゲン</t>
    </rPh>
    <rPh sb="31" eb="33">
      <t>ケントウ</t>
    </rPh>
    <rPh sb="49" eb="51">
      <t>サギョウ</t>
    </rPh>
    <rPh sb="52" eb="54">
      <t>ヨウキュウ</t>
    </rPh>
    <rPh sb="60" eb="61">
      <t>レイ</t>
    </rPh>
    <phoneticPr fontId="2"/>
  </si>
  <si>
    <t>1.スコープ定義&gt;3.顧客・契約</t>
    <rPh sb="11" eb="13">
      <t>コキャク</t>
    </rPh>
    <rPh sb="14" eb="16">
      <t>ケイヤク</t>
    </rPh>
    <phoneticPr fontId="2"/>
  </si>
  <si>
    <t>・正式見積もりはもちろん、参考価格も可能な限り前提条件を明確に記載する。
・正式見積もり時に参考価格を超える可能性が生じた場合は、即顧客に状況を共有して対策を検討する時間を設ける。</t>
    <rPh sb="1" eb="5">
      <t>セイシキミツ</t>
    </rPh>
    <rPh sb="13" eb="17">
      <t>サンコウカカク</t>
    </rPh>
    <rPh sb="18" eb="20">
      <t>カノウ</t>
    </rPh>
    <rPh sb="21" eb="22">
      <t>カギ</t>
    </rPh>
    <rPh sb="23" eb="27">
      <t>ゼンテイジョウケン</t>
    </rPh>
    <rPh sb="28" eb="30">
      <t>メイカク</t>
    </rPh>
    <rPh sb="31" eb="33">
      <t>キサイ</t>
    </rPh>
    <rPh sb="38" eb="42">
      <t>セイシキミツ</t>
    </rPh>
    <rPh sb="44" eb="45">
      <t>ジ</t>
    </rPh>
    <rPh sb="46" eb="50">
      <t>サンコウカカク</t>
    </rPh>
    <rPh sb="51" eb="52">
      <t>コ</t>
    </rPh>
    <rPh sb="54" eb="57">
      <t>カノウセイ</t>
    </rPh>
    <rPh sb="58" eb="59">
      <t>ショウ</t>
    </rPh>
    <rPh sb="61" eb="63">
      <t>バアイ</t>
    </rPh>
    <rPh sb="65" eb="66">
      <t>ソク</t>
    </rPh>
    <rPh sb="66" eb="68">
      <t>コキャク</t>
    </rPh>
    <rPh sb="69" eb="71">
      <t>ジョウキョウ</t>
    </rPh>
    <rPh sb="72" eb="74">
      <t>キョウユウ</t>
    </rPh>
    <rPh sb="76" eb="78">
      <t>タイサク</t>
    </rPh>
    <rPh sb="79" eb="81">
      <t>ケントウ</t>
    </rPh>
    <rPh sb="83" eb="85">
      <t>ジカン</t>
    </rPh>
    <rPh sb="86" eb="87">
      <t>モウ</t>
    </rPh>
    <phoneticPr fontId="2"/>
  </si>
  <si>
    <t>【契約にない成果物の追加】
設計時点で業務部門の説明資料を求められるなど、見積り時点で想定していない作業が要求される。
例）
設計段階での顧客説明資料の作成・説明依頼</t>
    <rPh sb="1" eb="3">
      <t>ケイヤク</t>
    </rPh>
    <rPh sb="6" eb="9">
      <t>セイカブツ</t>
    </rPh>
    <rPh sb="10" eb="12">
      <t>ツイカ</t>
    </rPh>
    <rPh sb="14" eb="16">
      <t>セッケイ</t>
    </rPh>
    <rPh sb="16" eb="18">
      <t>ジテン</t>
    </rPh>
    <rPh sb="19" eb="23">
      <t>ギョウムブモン</t>
    </rPh>
    <rPh sb="24" eb="26">
      <t>セツメイ</t>
    </rPh>
    <rPh sb="26" eb="28">
      <t>シリョウ</t>
    </rPh>
    <rPh sb="29" eb="30">
      <t>モト</t>
    </rPh>
    <rPh sb="37" eb="39">
      <t>ミツモ</t>
    </rPh>
    <rPh sb="40" eb="42">
      <t>ジテン</t>
    </rPh>
    <rPh sb="43" eb="45">
      <t>ソウテイ</t>
    </rPh>
    <rPh sb="50" eb="52">
      <t>サギョウ</t>
    </rPh>
    <rPh sb="53" eb="55">
      <t>ヨウキュウ</t>
    </rPh>
    <rPh sb="61" eb="62">
      <t>タト</t>
    </rPh>
    <rPh sb="64" eb="68">
      <t>セッケイダンカイ</t>
    </rPh>
    <rPh sb="70" eb="72">
      <t>コキャク</t>
    </rPh>
    <rPh sb="72" eb="74">
      <t>セツメイ</t>
    </rPh>
    <rPh sb="74" eb="76">
      <t>シリョウ</t>
    </rPh>
    <rPh sb="77" eb="79">
      <t>サクセイ</t>
    </rPh>
    <rPh sb="80" eb="82">
      <t>セツメイ</t>
    </rPh>
    <rPh sb="82" eb="84">
      <t>イライ</t>
    </rPh>
    <phoneticPr fontId="2"/>
  </si>
  <si>
    <t>・見積もり工程で予め想定工数を加算しておく。</t>
    <rPh sb="1" eb="3">
      <t>ミツ</t>
    </rPh>
    <rPh sb="5" eb="7">
      <t>コウテイ</t>
    </rPh>
    <rPh sb="8" eb="9">
      <t>アラカジ</t>
    </rPh>
    <rPh sb="10" eb="14">
      <t>ソウテイコウスウ</t>
    </rPh>
    <rPh sb="15" eb="17">
      <t>カサン</t>
    </rPh>
    <phoneticPr fontId="2"/>
  </si>
  <si>
    <t>【契約にない検証作業の追加】
強化テストなど、見積り時点で想定していない検証作業の実施を要求される。
例）
品質強化のための強化テストの実施依頼</t>
    <rPh sb="1" eb="3">
      <t>ケイヤク</t>
    </rPh>
    <rPh sb="6" eb="10">
      <t>ケンショウサギョウ</t>
    </rPh>
    <rPh sb="11" eb="13">
      <t>ツイカ</t>
    </rPh>
    <rPh sb="15" eb="17">
      <t>キョウカ</t>
    </rPh>
    <rPh sb="23" eb="25">
      <t>ミツモ</t>
    </rPh>
    <rPh sb="26" eb="28">
      <t>ジテン</t>
    </rPh>
    <rPh sb="29" eb="31">
      <t>ソウテイ</t>
    </rPh>
    <rPh sb="36" eb="38">
      <t>ケンショウ</t>
    </rPh>
    <rPh sb="38" eb="40">
      <t>サギョウ</t>
    </rPh>
    <rPh sb="41" eb="43">
      <t>ジッシ</t>
    </rPh>
    <rPh sb="44" eb="46">
      <t>ヨウキュウ</t>
    </rPh>
    <rPh sb="52" eb="53">
      <t>レイ</t>
    </rPh>
    <rPh sb="55" eb="59">
      <t>ヒンシツキョウカ</t>
    </rPh>
    <rPh sb="63" eb="65">
      <t>キョウカ</t>
    </rPh>
    <rPh sb="69" eb="71">
      <t>ジッシ</t>
    </rPh>
    <rPh sb="71" eb="73">
      <t>イライ</t>
    </rPh>
    <phoneticPr fontId="2"/>
  </si>
  <si>
    <t>①見積もり工程で予め想定工数を加算しておく。</t>
    <phoneticPr fontId="2"/>
  </si>
  <si>
    <t>【顧客との認識齟齬】
顧客とCTCの間で認識齟齬が発生し、成果物の作成作業に手戻りが発生する。
例）
画面設計に認識齟齬があり、画面設計書の修正が発生する。</t>
    <rPh sb="1" eb="3">
      <t>コキャク</t>
    </rPh>
    <rPh sb="5" eb="7">
      <t>ニンシキ</t>
    </rPh>
    <rPh sb="7" eb="9">
      <t>ソゴ</t>
    </rPh>
    <rPh sb="11" eb="13">
      <t>コキャク</t>
    </rPh>
    <rPh sb="18" eb="19">
      <t>アイダ</t>
    </rPh>
    <rPh sb="20" eb="22">
      <t>ニンシキ</t>
    </rPh>
    <rPh sb="22" eb="24">
      <t>ソゴ</t>
    </rPh>
    <rPh sb="25" eb="27">
      <t>ハッセイ</t>
    </rPh>
    <rPh sb="29" eb="32">
      <t>セイカブツ</t>
    </rPh>
    <rPh sb="33" eb="35">
      <t>サクセイ</t>
    </rPh>
    <rPh sb="35" eb="37">
      <t>サギョウ</t>
    </rPh>
    <rPh sb="38" eb="40">
      <t>テモド</t>
    </rPh>
    <rPh sb="42" eb="44">
      <t>ハッセイ</t>
    </rPh>
    <rPh sb="49" eb="50">
      <t>レイ</t>
    </rPh>
    <rPh sb="52" eb="54">
      <t>ガメン</t>
    </rPh>
    <rPh sb="54" eb="56">
      <t>セッケイ</t>
    </rPh>
    <rPh sb="57" eb="59">
      <t>ニンシキ</t>
    </rPh>
    <rPh sb="59" eb="61">
      <t>ソゴ</t>
    </rPh>
    <rPh sb="65" eb="67">
      <t>ガメン</t>
    </rPh>
    <rPh sb="67" eb="70">
      <t>セッケイショ</t>
    </rPh>
    <rPh sb="71" eb="73">
      <t>シュウセイ</t>
    </rPh>
    <rPh sb="74" eb="76">
      <t>ハッセイ</t>
    </rPh>
    <phoneticPr fontId="2"/>
  </si>
  <si>
    <t>・作業工程の定点でマイルストーンを設定し、都度レビューを顧客との認識齟齬発生を防ぐ。</t>
    <phoneticPr fontId="2"/>
  </si>
  <si>
    <t>【PJT進行中の工期・納期遅延（顧客起因）】
顧客の作業が予定どおり進捗せず、工期・納期を守ることができない。
例）
顧客提示資料がスケジュールどおり提示いただけない。</t>
    <rPh sb="4" eb="7">
      <t>シンコウチュウ</t>
    </rPh>
    <rPh sb="8" eb="10">
      <t>コウキ</t>
    </rPh>
    <rPh sb="11" eb="13">
      <t>ノウキ</t>
    </rPh>
    <rPh sb="13" eb="15">
      <t>チエン</t>
    </rPh>
    <rPh sb="16" eb="18">
      <t>コキャク</t>
    </rPh>
    <rPh sb="18" eb="20">
      <t>キイン</t>
    </rPh>
    <rPh sb="23" eb="25">
      <t>コキャク</t>
    </rPh>
    <rPh sb="57" eb="58">
      <t>レイ</t>
    </rPh>
    <rPh sb="60" eb="64">
      <t>コキャクテイジ</t>
    </rPh>
    <rPh sb="64" eb="66">
      <t>シリョウ</t>
    </rPh>
    <rPh sb="76" eb="78">
      <t>テイジ</t>
    </rPh>
    <phoneticPr fontId="2"/>
  </si>
  <si>
    <t>1.スコープ定義&gt;5.工期・納期</t>
    <rPh sb="11" eb="13">
      <t>コウキ</t>
    </rPh>
    <rPh sb="14" eb="16">
      <t>ノウキ</t>
    </rPh>
    <phoneticPr fontId="2"/>
  </si>
  <si>
    <t>・事前にスケジュール計画・予定を合意する。
・顧客側都合によるスケジュール超過の場合は影響及び追加対応が発生する旨を前提条件に記載（「弊社に起因する問題以外で本プロジェクトが中断または中止する場合は、以降の作業について別途お見積りをさせて頂きます」）</t>
    <rPh sb="63" eb="65">
      <t>キサイ</t>
    </rPh>
    <phoneticPr fontId="2"/>
  </si>
  <si>
    <t>【PJT進行中の役割不明確（顧客内部）】
顧客の中で、システム本部とユーザ部門の役割不明確により、結果として要件の変更が生じてしまう。
例）
成果物に対するレビューや会議進行役、マニュアルなどプロジェクトに付帯する作業の役割が不明瞭で押し込まれる。</t>
    <rPh sb="4" eb="7">
      <t>シンコウチュウ</t>
    </rPh>
    <rPh sb="8" eb="10">
      <t>ヤクワリ</t>
    </rPh>
    <rPh sb="10" eb="13">
      <t>フメイカク</t>
    </rPh>
    <rPh sb="14" eb="18">
      <t>コキャクナイブ</t>
    </rPh>
    <rPh sb="24" eb="25">
      <t>ナカ</t>
    </rPh>
    <rPh sb="31" eb="33">
      <t>ホンブ</t>
    </rPh>
    <rPh sb="37" eb="39">
      <t>ブモン</t>
    </rPh>
    <rPh sb="40" eb="42">
      <t>ヤクワリ</t>
    </rPh>
    <rPh sb="42" eb="45">
      <t>フメイカク</t>
    </rPh>
    <rPh sb="49" eb="51">
      <t>ケッカ</t>
    </rPh>
    <rPh sb="54" eb="56">
      <t>ヨウケン</t>
    </rPh>
    <rPh sb="57" eb="59">
      <t>ヘンコウ</t>
    </rPh>
    <rPh sb="60" eb="61">
      <t>ショウ</t>
    </rPh>
    <rPh sb="69" eb="70">
      <t>レイ</t>
    </rPh>
    <rPh sb="72" eb="75">
      <t>セイカブツ</t>
    </rPh>
    <rPh sb="76" eb="77">
      <t>タイ</t>
    </rPh>
    <rPh sb="84" eb="86">
      <t>カイギ</t>
    </rPh>
    <rPh sb="86" eb="88">
      <t>シンコウ</t>
    </rPh>
    <rPh sb="88" eb="89">
      <t>ヤク</t>
    </rPh>
    <rPh sb="104" eb="106">
      <t>フタイ</t>
    </rPh>
    <rPh sb="108" eb="110">
      <t>サギョウ</t>
    </rPh>
    <rPh sb="111" eb="113">
      <t>ヤクワリ</t>
    </rPh>
    <rPh sb="114" eb="117">
      <t>フメイリョウ</t>
    </rPh>
    <rPh sb="118" eb="119">
      <t>オ</t>
    </rPh>
    <rPh sb="120" eb="121">
      <t>コ</t>
    </rPh>
    <phoneticPr fontId="2"/>
  </si>
  <si>
    <t>2.要件洗い出し&gt;6.役割・責任</t>
  </si>
  <si>
    <t>低:10～19%</t>
  </si>
  <si>
    <t>・提案書の役割や前提条件に、CTC側と顧客側役割を記入し、責任者が承認した事項を変更する場合は、追加工数が生じることを明記する</t>
    <rPh sb="1" eb="4">
      <t>テイアンショ</t>
    </rPh>
    <rPh sb="5" eb="7">
      <t>ヤクワリ</t>
    </rPh>
    <rPh sb="8" eb="12">
      <t>ゼンテイジョウケン</t>
    </rPh>
    <rPh sb="17" eb="18">
      <t>ガワ</t>
    </rPh>
    <rPh sb="19" eb="22">
      <t>コキャクガワ</t>
    </rPh>
    <rPh sb="22" eb="24">
      <t>ヤクワリ</t>
    </rPh>
    <rPh sb="25" eb="27">
      <t>キニュウ</t>
    </rPh>
    <rPh sb="29" eb="32">
      <t>セキニンシャ</t>
    </rPh>
    <rPh sb="33" eb="35">
      <t>ショウニン</t>
    </rPh>
    <rPh sb="37" eb="39">
      <t>ジコウ</t>
    </rPh>
    <rPh sb="40" eb="42">
      <t>ヘンコウ</t>
    </rPh>
    <rPh sb="44" eb="46">
      <t>バアイ</t>
    </rPh>
    <rPh sb="48" eb="50">
      <t>ツイカ</t>
    </rPh>
    <rPh sb="50" eb="52">
      <t>コウスウ</t>
    </rPh>
    <rPh sb="53" eb="54">
      <t>ショウ</t>
    </rPh>
    <rPh sb="59" eb="61">
      <t>メイキ</t>
    </rPh>
    <phoneticPr fontId="2"/>
  </si>
  <si>
    <t>【PJT進行中の社内体制（離脱によるもの）】
顧客要望により緊急な別案件の対応を依頼されて、アサインメンバが離脱する。</t>
    <rPh sb="13" eb="15">
      <t>リダツ</t>
    </rPh>
    <rPh sb="54" eb="56">
      <t>リダツ</t>
    </rPh>
    <phoneticPr fontId="2"/>
  </si>
  <si>
    <t>1.スコープ定義&gt;4.社内・体制</t>
    <rPh sb="11" eb="13">
      <t>シャナイ</t>
    </rPh>
    <rPh sb="14" eb="16">
      <t>タイセイ</t>
    </rPh>
    <phoneticPr fontId="2"/>
  </si>
  <si>
    <t>①欠員用に別要員の調整を考慮しておく。
システム側の対応はクリティカルパスとならないようプランニングする。
②契約の前提とする：別途見積・スケジュール再調整</t>
    <rPh sb="1" eb="3">
      <t>ケツイン</t>
    </rPh>
    <rPh sb="3" eb="4">
      <t>ヨウ</t>
    </rPh>
    <phoneticPr fontId="2"/>
  </si>
  <si>
    <t>【CTCメンバのスキルのミスマッチ】
CTC開発メンバーのスキル不足による品質不良が判明し再テスト・スケジュール遅延が発生する。</t>
    <rPh sb="59" eb="61">
      <t>ハッセイ</t>
    </rPh>
    <phoneticPr fontId="2"/>
  </si>
  <si>
    <t>①メンバーのスキル確認・品質レビューを都度行うことにより、影響範囲を最小限にとどめる。</t>
    <rPh sb="9" eb="11">
      <t>カクニン</t>
    </rPh>
    <rPh sb="12" eb="14">
      <t>ヒンシツ</t>
    </rPh>
    <rPh sb="19" eb="21">
      <t>ツド</t>
    </rPh>
    <rPh sb="21" eb="22">
      <t>オコナ</t>
    </rPh>
    <rPh sb="29" eb="33">
      <t>エイキョウハンイ</t>
    </rPh>
    <rPh sb="34" eb="37">
      <t>サイショウゲン</t>
    </rPh>
    <phoneticPr fontId="2"/>
  </si>
  <si>
    <t>【PJT進行中の役割不明確（CTC対顧客）】
顧客との役割不明確により、要件の変更が生じてしまう。
例）
成果物に対するレビューや会議進行役、マニュアルなどプロジェクトに付帯する作業の役割が不明瞭で押し込まれる。</t>
    <rPh sb="4" eb="7">
      <t>シンコウチュウ</t>
    </rPh>
    <rPh sb="8" eb="10">
      <t>ヤクワリ</t>
    </rPh>
    <rPh sb="10" eb="13">
      <t>フメイカク</t>
    </rPh>
    <rPh sb="17" eb="20">
      <t>タイコキャク</t>
    </rPh>
    <rPh sb="27" eb="29">
      <t>ヤクワリ</t>
    </rPh>
    <rPh sb="29" eb="32">
      <t>フメイカク</t>
    </rPh>
    <rPh sb="36" eb="38">
      <t>ヨウケン</t>
    </rPh>
    <rPh sb="39" eb="41">
      <t>ヘンコウ</t>
    </rPh>
    <rPh sb="42" eb="43">
      <t>ショウ</t>
    </rPh>
    <rPh sb="51" eb="52">
      <t>レイ</t>
    </rPh>
    <rPh sb="54" eb="57">
      <t>セイカブツ</t>
    </rPh>
    <rPh sb="58" eb="59">
      <t>タイ</t>
    </rPh>
    <rPh sb="66" eb="68">
      <t>カイギ</t>
    </rPh>
    <rPh sb="68" eb="70">
      <t>シンコウ</t>
    </rPh>
    <rPh sb="70" eb="71">
      <t>ヤク</t>
    </rPh>
    <rPh sb="86" eb="88">
      <t>フタイ</t>
    </rPh>
    <rPh sb="90" eb="92">
      <t>サギョウ</t>
    </rPh>
    <rPh sb="93" eb="95">
      <t>ヤクワリ</t>
    </rPh>
    <rPh sb="96" eb="99">
      <t>フメイリョウ</t>
    </rPh>
    <rPh sb="100" eb="101">
      <t>オ</t>
    </rPh>
    <rPh sb="102" eb="103">
      <t>コ</t>
    </rPh>
    <phoneticPr fontId="2"/>
  </si>
  <si>
    <t>【コミュニケーションの場】
コミニュケーションの場が確立されていないため、判断や認識を合わせられなく、スケジュールが遅延する。
例）
定例会などが開催いただけない、ステコミなどの参加を要請される。</t>
    <rPh sb="11" eb="12">
      <t>バ</t>
    </rPh>
    <rPh sb="24" eb="25">
      <t>バ</t>
    </rPh>
    <rPh sb="26" eb="28">
      <t>カクリツ</t>
    </rPh>
    <rPh sb="37" eb="39">
      <t>ハンダン</t>
    </rPh>
    <rPh sb="40" eb="42">
      <t>ニンシキ</t>
    </rPh>
    <rPh sb="43" eb="44">
      <t>ア</t>
    </rPh>
    <rPh sb="58" eb="60">
      <t>チエン</t>
    </rPh>
    <rPh sb="65" eb="66">
      <t>レイ</t>
    </rPh>
    <rPh sb="68" eb="71">
      <t>テイレイカイ</t>
    </rPh>
    <rPh sb="74" eb="76">
      <t>カイサイ</t>
    </rPh>
    <rPh sb="90" eb="92">
      <t>サンカ</t>
    </rPh>
    <rPh sb="93" eb="95">
      <t>ヨウセイ</t>
    </rPh>
    <phoneticPr fontId="2"/>
  </si>
  <si>
    <t>2.要件洗い出し&gt;7.コミュニケーション</t>
  </si>
  <si>
    <t>スケジュールリカバリのため、要員追加が必要となる。
例：要件定義書作成をリカバリするため、1名要員追加する</t>
    <rPh sb="26" eb="27">
      <t>レイ</t>
    </rPh>
    <rPh sb="28" eb="32">
      <t>ヨウケンテイギ</t>
    </rPh>
    <rPh sb="32" eb="33">
      <t>ショ</t>
    </rPh>
    <rPh sb="33" eb="35">
      <t>サクセイ</t>
    </rPh>
    <rPh sb="46" eb="47">
      <t>メイ</t>
    </rPh>
    <rPh sb="47" eb="51">
      <t>ヨウインツイカ</t>
    </rPh>
    <phoneticPr fontId="2"/>
  </si>
  <si>
    <t>・社内外含めた事前の打合せ（検討会）に予めバッファ期間を設けておく。
　バッファ期間を設けられない場合は、後続への影響を加味した上で申し送ることを
　事前に合意しておく。</t>
    <rPh sb="10" eb="12">
      <t>ウチアワ</t>
    </rPh>
    <rPh sb="14" eb="17">
      <t>ケントウカイ</t>
    </rPh>
    <rPh sb="19" eb="20">
      <t>アラカジ</t>
    </rPh>
    <rPh sb="25" eb="27">
      <t>キカン</t>
    </rPh>
    <rPh sb="28" eb="29">
      <t>モウ</t>
    </rPh>
    <rPh sb="40" eb="42">
      <t>キカン</t>
    </rPh>
    <rPh sb="43" eb="44">
      <t>モウ</t>
    </rPh>
    <rPh sb="49" eb="51">
      <t>バアイ</t>
    </rPh>
    <phoneticPr fontId="2"/>
  </si>
  <si>
    <t>【要件の認識相違（顧客内部）】
要件定義に引き続き、顧客からの追加要望が発生し、対応スコープが増加する。</t>
    <rPh sb="9" eb="11">
      <t>コキャク</t>
    </rPh>
    <rPh sb="11" eb="13">
      <t>ナイブ</t>
    </rPh>
    <rPh sb="16" eb="20">
      <t>ヨウケンテイギ</t>
    </rPh>
    <rPh sb="21" eb="22">
      <t>ヒ</t>
    </rPh>
    <rPh sb="23" eb="24">
      <t>ツヅ</t>
    </rPh>
    <rPh sb="26" eb="28">
      <t>コキャク</t>
    </rPh>
    <rPh sb="31" eb="33">
      <t>ツイカ</t>
    </rPh>
    <rPh sb="33" eb="35">
      <t>ヨウボウ</t>
    </rPh>
    <rPh sb="36" eb="38">
      <t>ハッセイ</t>
    </rPh>
    <rPh sb="40" eb="42">
      <t>タイオウ</t>
    </rPh>
    <rPh sb="47" eb="49">
      <t>ゾウカ</t>
    </rPh>
    <phoneticPr fontId="2"/>
  </si>
  <si>
    <t>2.要件洗い出し&gt;9.要求・要件</t>
  </si>
  <si>
    <t xml:space="preserve">・未決の追加要望については、見積対象外と提案書に明記する。
・新規機能追加となった場合、即時追加対応として顧客側と調整する。
・顧客レビュー時の記録を取る。
</t>
    <rPh sb="31" eb="33">
      <t>シンキ</t>
    </rPh>
    <rPh sb="33" eb="35">
      <t>キノウ</t>
    </rPh>
    <rPh sb="35" eb="37">
      <t>ツイカ</t>
    </rPh>
    <rPh sb="41" eb="43">
      <t>バアイ</t>
    </rPh>
    <rPh sb="44" eb="46">
      <t>ソクジ</t>
    </rPh>
    <rPh sb="46" eb="48">
      <t>ツイカ</t>
    </rPh>
    <rPh sb="48" eb="50">
      <t>タイオウ</t>
    </rPh>
    <rPh sb="53" eb="55">
      <t>コキャク</t>
    </rPh>
    <rPh sb="55" eb="56">
      <t>ガワ</t>
    </rPh>
    <rPh sb="57" eb="59">
      <t>チョウセイ</t>
    </rPh>
    <rPh sb="64" eb="66">
      <t>コキャク</t>
    </rPh>
    <rPh sb="70" eb="71">
      <t>ジ</t>
    </rPh>
    <rPh sb="72" eb="74">
      <t>キロク</t>
    </rPh>
    <rPh sb="75" eb="76">
      <t>ト</t>
    </rPh>
    <phoneticPr fontId="2"/>
  </si>
  <si>
    <t>②CTC起因</t>
    <phoneticPr fontId="2"/>
  </si>
  <si>
    <t xml:space="preserve">【PJT進行中の社内体制（兼務によるもの）】
CTC側の有識者が本プロジェクトに計画どおりの関与率で対応できない。
例）
他の並行案件との兼務など
</t>
    <rPh sb="4" eb="7">
      <t>シンコウチュウ</t>
    </rPh>
    <rPh sb="8" eb="12">
      <t>シャナイタイセイ</t>
    </rPh>
    <rPh sb="13" eb="15">
      <t>ケンム</t>
    </rPh>
    <rPh sb="26" eb="27">
      <t>ガワ</t>
    </rPh>
    <rPh sb="28" eb="31">
      <t>ユウシキシャ</t>
    </rPh>
    <rPh sb="32" eb="33">
      <t>ホン</t>
    </rPh>
    <rPh sb="40" eb="42">
      <t>ケイカク</t>
    </rPh>
    <rPh sb="46" eb="49">
      <t>カンヨリツ</t>
    </rPh>
    <rPh sb="50" eb="52">
      <t>タイオウ</t>
    </rPh>
    <rPh sb="59" eb="60">
      <t>レイ</t>
    </rPh>
    <rPh sb="62" eb="63">
      <t>タ</t>
    </rPh>
    <rPh sb="64" eb="66">
      <t>ヘイコウ</t>
    </rPh>
    <rPh sb="66" eb="68">
      <t>アンケン</t>
    </rPh>
    <rPh sb="70" eb="72">
      <t>ケンム</t>
    </rPh>
    <phoneticPr fontId="2"/>
  </si>
  <si>
    <t>①別の社内有識者や経験者をレビューの場にアサインする。
②QAでの支援体制を設ける。</t>
    <rPh sb="1" eb="2">
      <t>ベツ</t>
    </rPh>
    <rPh sb="3" eb="5">
      <t>シャナイ</t>
    </rPh>
    <rPh sb="5" eb="8">
      <t>ユウシキシャ</t>
    </rPh>
    <rPh sb="9" eb="12">
      <t>ケイケンシャ</t>
    </rPh>
    <rPh sb="18" eb="19">
      <t>バ</t>
    </rPh>
    <rPh sb="33" eb="35">
      <t>シエン</t>
    </rPh>
    <rPh sb="35" eb="37">
      <t>タイセイ</t>
    </rPh>
    <rPh sb="38" eb="39">
      <t>モウ</t>
    </rPh>
    <phoneticPr fontId="2"/>
  </si>
  <si>
    <t>【PJT進行中の社内体制（離脱によるもの）】
PJチーム内の離脱者が発生することにより、CTC担当分の遅延が発生する。
例）
コロナ、体調不良、私用、異動、退職等</t>
    <rPh sb="13" eb="15">
      <t>リダツ</t>
    </rPh>
    <rPh sb="30" eb="33">
      <t>リダツシャ</t>
    </rPh>
    <rPh sb="34" eb="36">
      <t>ハッセイ</t>
    </rPh>
    <rPh sb="61" eb="62">
      <t>レイ</t>
    </rPh>
    <phoneticPr fontId="2"/>
  </si>
  <si>
    <t>CTC担当システムにて複数名病欠により、開発遅延が発生。
例：（店舗・本部での追加要員1人×1M＝1M</t>
  </si>
  <si>
    <t>①欠員用に別要員の調整を考慮しておく。
システム側の対応はクリティカルパスとならないようプランニングする。
②上記に加え、プロジェクトルームでの検温・換気・消毒を徹底するなどできる限りの感染抑止策をとる。</t>
    <rPh sb="1" eb="3">
      <t>ケツイン</t>
    </rPh>
    <rPh sb="3" eb="4">
      <t>ヨウ</t>
    </rPh>
    <phoneticPr fontId="2"/>
  </si>
  <si>
    <t>【計画段階で納期が短期間】
開発ボリュームに対し、プロジェクトスケジュールが短期間である為、品質悪化が発生する。
例）
計画時点で標準工期を満たしていない工期で納品を要請される</t>
    <rPh sb="1" eb="5">
      <t>ケイカクダンカイ</t>
    </rPh>
    <rPh sb="6" eb="8">
      <t>ノウキ</t>
    </rPh>
    <rPh sb="9" eb="12">
      <t>タンキカン</t>
    </rPh>
    <rPh sb="58" eb="59">
      <t>レイ</t>
    </rPh>
    <rPh sb="61" eb="65">
      <t>ケイカクジテン</t>
    </rPh>
    <rPh sb="66" eb="70">
      <t>ヒョウジュンコウキ</t>
    </rPh>
    <rPh sb="71" eb="72">
      <t>ミ</t>
    </rPh>
    <rPh sb="78" eb="80">
      <t>コウキ</t>
    </rPh>
    <rPh sb="81" eb="83">
      <t>ノウヒン</t>
    </rPh>
    <rPh sb="84" eb="86">
      <t>ヨウセイ</t>
    </rPh>
    <phoneticPr fontId="2"/>
  </si>
  <si>
    <t>該当のエスト工程で品質悪化が判明し、テスト工程のおよそXX%が再試験対象となる。
例：総合試験20M×50%=10M</t>
    <rPh sb="0" eb="2">
      <t>ガイトウ</t>
    </rPh>
    <rPh sb="6" eb="8">
      <t>コウテイ</t>
    </rPh>
    <rPh sb="9" eb="11">
      <t>ヒンシツ</t>
    </rPh>
    <rPh sb="11" eb="13">
      <t>アッカ</t>
    </rPh>
    <rPh sb="14" eb="16">
      <t>ハンメイ</t>
    </rPh>
    <rPh sb="21" eb="23">
      <t>コウテイ</t>
    </rPh>
    <rPh sb="31" eb="34">
      <t>サイシケン</t>
    </rPh>
    <rPh sb="34" eb="36">
      <t>タイショウ</t>
    </rPh>
    <rPh sb="41" eb="42">
      <t>レイ</t>
    </rPh>
    <rPh sb="43" eb="44">
      <t>ゴウ</t>
    </rPh>
    <rPh sb="44" eb="46">
      <t>シケン</t>
    </rPh>
    <phoneticPr fontId="1"/>
  </si>
  <si>
    <t>・外部設計等の前工程での受入確認により品質の一時チェックを行うとともに、進捗管理で品質状況を定期定期に報告するよう依頼する。</t>
    <phoneticPr fontId="1"/>
  </si>
  <si>
    <t>【PJT進行中の工期・納期遅延（CTC・プロパー起因）】
CTCの作業が予定どおり進捗せず、工期・納期を守ることができない。
例）
CTC担当の関係サブシステムからの情報提供が予定どおりいかない
NWやインフラに対する依頼が遅れ作業着手が遅れてしまう。
半導体不足によるハードの手配が遅延する。</t>
    <rPh sb="4" eb="6">
      <t>シンコウ</t>
    </rPh>
    <rPh sb="6" eb="7">
      <t>チュウ</t>
    </rPh>
    <rPh sb="8" eb="10">
      <t>コウキ</t>
    </rPh>
    <rPh sb="11" eb="13">
      <t>ノウキ</t>
    </rPh>
    <rPh sb="13" eb="15">
      <t>チエン</t>
    </rPh>
    <rPh sb="24" eb="26">
      <t>キイン</t>
    </rPh>
    <rPh sb="33" eb="35">
      <t>サギョウ</t>
    </rPh>
    <rPh sb="36" eb="38">
      <t>ヨテイ</t>
    </rPh>
    <rPh sb="41" eb="43">
      <t>シンチョク</t>
    </rPh>
    <rPh sb="46" eb="48">
      <t>コウキ</t>
    </rPh>
    <rPh sb="49" eb="51">
      <t>ノウキ</t>
    </rPh>
    <rPh sb="52" eb="53">
      <t>マモ</t>
    </rPh>
    <rPh sb="64" eb="65">
      <t>レイ</t>
    </rPh>
    <rPh sb="70" eb="72">
      <t>タントウ</t>
    </rPh>
    <rPh sb="73" eb="75">
      <t>カンケイ</t>
    </rPh>
    <rPh sb="84" eb="88">
      <t>ジョウホウテイキョウ</t>
    </rPh>
    <rPh sb="89" eb="91">
      <t>ヨテイ</t>
    </rPh>
    <rPh sb="107" eb="108">
      <t>タイ</t>
    </rPh>
    <rPh sb="128" eb="133">
      <t>ハンドウタイブソク</t>
    </rPh>
    <rPh sb="140" eb="142">
      <t>テハイ</t>
    </rPh>
    <rPh sb="143" eb="145">
      <t>チエン</t>
    </rPh>
    <phoneticPr fontId="2"/>
  </si>
  <si>
    <t>・事前に社内でスケジュール計画・予定・期限を共有する。
・遅延状況を速やかに把握できるような進捗管理を行い、可能な限りスケジュールをリカバリする。</t>
    <rPh sb="4" eb="6">
      <t>シャナイ</t>
    </rPh>
    <rPh sb="19" eb="21">
      <t>キゲン</t>
    </rPh>
    <rPh sb="22" eb="24">
      <t>キョウユウ</t>
    </rPh>
    <phoneticPr fontId="2"/>
  </si>
  <si>
    <t>【PJT進行中の役割不明確（CTC対BP）】
パートナーとの役割不明確により、想定していないタスクが生じてしまう。
例）
発注にあたっての前提条件の資料作成や、受入れレビューなどの役割が不明瞭で、追加作業となってしまう。</t>
    <rPh sb="30" eb="32">
      <t>ヤクワリ</t>
    </rPh>
    <rPh sb="32" eb="35">
      <t>フメイカク</t>
    </rPh>
    <rPh sb="39" eb="41">
      <t>ソウテイ</t>
    </rPh>
    <rPh sb="50" eb="51">
      <t>ショウ</t>
    </rPh>
    <rPh sb="62" eb="64">
      <t>ハッチュウ</t>
    </rPh>
    <rPh sb="70" eb="74">
      <t>ゼンテイジョウケン</t>
    </rPh>
    <rPh sb="75" eb="77">
      <t>シリョウ</t>
    </rPh>
    <rPh sb="77" eb="79">
      <t>サクセイ</t>
    </rPh>
    <rPh sb="81" eb="83">
      <t>ウケイ</t>
    </rPh>
    <rPh sb="91" eb="93">
      <t>ヤクワリ</t>
    </rPh>
    <rPh sb="94" eb="97">
      <t>フメイリョウ</t>
    </rPh>
    <rPh sb="99" eb="103">
      <t>ツイカサギョウ</t>
    </rPh>
    <phoneticPr fontId="2"/>
  </si>
  <si>
    <t>【PJT進行中の役割不明確（CTC対他ベンダー）】
プロジェクトに関わる他ベンダーとの役割不明確により、想定していない作業が生じてしまう。
例）
総合テストの全体取り纏め役や移行計画の立案担当者が不明瞭で押し込まれる</t>
    <rPh sb="18" eb="19">
      <t>タ</t>
    </rPh>
    <rPh sb="43" eb="45">
      <t>ヤクワリ</t>
    </rPh>
    <rPh sb="45" eb="48">
      <t>フメイカク</t>
    </rPh>
    <rPh sb="52" eb="54">
      <t>ソウテイ</t>
    </rPh>
    <rPh sb="59" eb="61">
      <t>サギョウ</t>
    </rPh>
    <rPh sb="62" eb="63">
      <t>ショウ</t>
    </rPh>
    <rPh sb="86" eb="87">
      <t>ヤク</t>
    </rPh>
    <rPh sb="88" eb="92">
      <t>イコウケイカク</t>
    </rPh>
    <rPh sb="93" eb="95">
      <t>リツアン</t>
    </rPh>
    <rPh sb="95" eb="98">
      <t>タントウシャ</t>
    </rPh>
    <rPh sb="99" eb="102">
      <t>フメイリョウ</t>
    </rPh>
    <rPh sb="103" eb="104">
      <t>オ</t>
    </rPh>
    <rPh sb="105" eb="106">
      <t>コ</t>
    </rPh>
    <phoneticPr fontId="2"/>
  </si>
  <si>
    <t>【要件の認識相違（CTC対顧客）】
要件定義に基づく外部設計スコープに対し、CTC側で確認漏れ・考慮漏れがあり、想定外の外部設計作業が発生する。</t>
    <rPh sb="1" eb="3">
      <t>ヨウケン</t>
    </rPh>
    <rPh sb="4" eb="8">
      <t>ニンシキソウイ</t>
    </rPh>
    <rPh sb="12" eb="13">
      <t>タイ</t>
    </rPh>
    <rPh sb="13" eb="15">
      <t>コキャク</t>
    </rPh>
    <rPh sb="18" eb="22">
      <t>ヨウケンテイギ</t>
    </rPh>
    <rPh sb="23" eb="24">
      <t>モト</t>
    </rPh>
    <rPh sb="26" eb="30">
      <t>ガイブセッケイ</t>
    </rPh>
    <rPh sb="35" eb="36">
      <t>タイ</t>
    </rPh>
    <rPh sb="41" eb="42">
      <t>ガワ</t>
    </rPh>
    <rPh sb="43" eb="45">
      <t>カクニン</t>
    </rPh>
    <rPh sb="45" eb="46">
      <t>モ</t>
    </rPh>
    <rPh sb="48" eb="51">
      <t>コウリョモ</t>
    </rPh>
    <rPh sb="53" eb="57">
      <t>ガイブセッケイ</t>
    </rPh>
    <rPh sb="57" eb="59">
      <t>サギョウ</t>
    </rPh>
    <rPh sb="60" eb="62">
      <t>ハッセイ</t>
    </rPh>
    <phoneticPr fontId="2"/>
  </si>
  <si>
    <t>2.要件洗い出し&gt;8.要求・要件</t>
  </si>
  <si>
    <t>①要件定義の残工程において、追加要望を明確にし、合意していく。
②「現行通り」等、要件定義工程で不明確な表現を是正する。
③顧客レビュー時の記録を取る。</t>
    <rPh sb="1" eb="5">
      <t>ヨウケンテイギ</t>
    </rPh>
    <rPh sb="6" eb="9">
      <t>ザンコウテイ</t>
    </rPh>
    <rPh sb="14" eb="16">
      <t>ツイカ</t>
    </rPh>
    <rPh sb="16" eb="18">
      <t>ヨウボウ</t>
    </rPh>
    <rPh sb="19" eb="21">
      <t>メイカク</t>
    </rPh>
    <rPh sb="24" eb="26">
      <t>ゴウイ</t>
    </rPh>
    <rPh sb="34" eb="37">
      <t>ゲンコウドオ</t>
    </rPh>
    <rPh sb="39" eb="40">
      <t>トウ</t>
    </rPh>
    <rPh sb="41" eb="45">
      <t>ヨウケンテイギ</t>
    </rPh>
    <rPh sb="45" eb="47">
      <t>コウテイ</t>
    </rPh>
    <rPh sb="48" eb="51">
      <t>フメイカク</t>
    </rPh>
    <rPh sb="52" eb="54">
      <t>ヒョウゲン</t>
    </rPh>
    <rPh sb="55" eb="57">
      <t>ゼセイ</t>
    </rPh>
    <phoneticPr fontId="2"/>
  </si>
  <si>
    <t>【要件の認識相違（CTC対BP）】
パートナー担当分において、CTC責の認識違いによる仕様追加が発生（WingArc構築範囲において必要機能の不足を検知し、追加開発が必要となる）</t>
    <rPh sb="23" eb="26">
      <t>タントウブン</t>
    </rPh>
    <rPh sb="34" eb="35">
      <t>セキ</t>
    </rPh>
    <rPh sb="36" eb="38">
      <t>ニンシキ</t>
    </rPh>
    <rPh sb="38" eb="39">
      <t>チガ</t>
    </rPh>
    <rPh sb="43" eb="45">
      <t>シヨウ</t>
    </rPh>
    <rPh sb="45" eb="47">
      <t>ツイカ</t>
    </rPh>
    <rPh sb="48" eb="50">
      <t>ハッセイ</t>
    </rPh>
    <rPh sb="58" eb="60">
      <t>コウチク</t>
    </rPh>
    <rPh sb="60" eb="62">
      <t>ハンイ</t>
    </rPh>
    <rPh sb="66" eb="68">
      <t>ヒツヨウ</t>
    </rPh>
    <rPh sb="68" eb="70">
      <t>キノウ</t>
    </rPh>
    <rPh sb="71" eb="73">
      <t>フソク</t>
    </rPh>
    <rPh sb="74" eb="76">
      <t>ケンチ</t>
    </rPh>
    <rPh sb="78" eb="80">
      <t>ツイカ</t>
    </rPh>
    <rPh sb="80" eb="82">
      <t>カイハツ</t>
    </rPh>
    <rPh sb="83" eb="85">
      <t>ヒツヨウ</t>
    </rPh>
    <phoneticPr fontId="2"/>
  </si>
  <si>
    <t>WingArc担当領域の仕様において、追加仕様が発生。本部系２４機能のうち20%の機能で仕様追加発生
例：24×10%×3M=7.2M</t>
    <rPh sb="7" eb="9">
      <t>タントウ</t>
    </rPh>
    <rPh sb="9" eb="11">
      <t>リョウイキ</t>
    </rPh>
    <rPh sb="12" eb="14">
      <t>シヨウ</t>
    </rPh>
    <rPh sb="19" eb="21">
      <t>ツイカ</t>
    </rPh>
    <rPh sb="21" eb="23">
      <t>シヨウ</t>
    </rPh>
    <rPh sb="24" eb="26">
      <t>ハッセイ</t>
    </rPh>
    <rPh sb="27" eb="29">
      <t>ホンブ</t>
    </rPh>
    <rPh sb="29" eb="30">
      <t>ケイ</t>
    </rPh>
    <rPh sb="32" eb="34">
      <t>キノウ</t>
    </rPh>
    <rPh sb="41" eb="43">
      <t>キノウ</t>
    </rPh>
    <rPh sb="44" eb="46">
      <t>シヨウ</t>
    </rPh>
    <rPh sb="46" eb="48">
      <t>ツイカ</t>
    </rPh>
    <rPh sb="48" eb="50">
      <t>ハッセイ</t>
    </rPh>
    <rPh sb="51" eb="52">
      <t>レイ</t>
    </rPh>
    <phoneticPr fontId="2"/>
  </si>
  <si>
    <t>顧客を含めた関係者で事前にやり取りしているQA表に、CTCが認識している要件を詳細に明記する。</t>
    <rPh sb="0" eb="2">
      <t>コキャク</t>
    </rPh>
    <rPh sb="3" eb="4">
      <t>フク</t>
    </rPh>
    <rPh sb="6" eb="9">
      <t>カンケイシャ</t>
    </rPh>
    <rPh sb="10" eb="12">
      <t>ジゼン</t>
    </rPh>
    <rPh sb="15" eb="16">
      <t>ト</t>
    </rPh>
    <rPh sb="23" eb="24">
      <t>ヒョウ</t>
    </rPh>
    <rPh sb="30" eb="32">
      <t>ニンシキ</t>
    </rPh>
    <rPh sb="36" eb="38">
      <t>ヨウケン</t>
    </rPh>
    <rPh sb="39" eb="41">
      <t>ショウサイ</t>
    </rPh>
    <rPh sb="42" eb="44">
      <t>メイキ</t>
    </rPh>
    <phoneticPr fontId="1"/>
  </si>
  <si>
    <t>【要件の影響確認漏れ】
CTCが、業務要件の解釈誤りや、影響確認漏れにより、必要なシステム機能が漏れる。</t>
    <rPh sb="1" eb="3">
      <t>ヨウケン</t>
    </rPh>
    <rPh sb="4" eb="6">
      <t>エイキョウ</t>
    </rPh>
    <rPh sb="6" eb="8">
      <t>カクニン</t>
    </rPh>
    <rPh sb="8" eb="9">
      <t>モ</t>
    </rPh>
    <rPh sb="17" eb="21">
      <t>ギョウムヨウケン</t>
    </rPh>
    <rPh sb="22" eb="24">
      <t>カイシャク</t>
    </rPh>
    <rPh sb="24" eb="25">
      <t>アヤマ</t>
    </rPh>
    <rPh sb="28" eb="32">
      <t>エイキョウカクニン</t>
    </rPh>
    <rPh sb="32" eb="33">
      <t>モ</t>
    </rPh>
    <rPh sb="38" eb="40">
      <t>ヒツヨウ</t>
    </rPh>
    <rPh sb="45" eb="47">
      <t>キノウ</t>
    </rPh>
    <rPh sb="48" eb="49">
      <t>モ</t>
    </rPh>
    <phoneticPr fontId="2"/>
  </si>
  <si>
    <t>2.要件洗い出し&gt;10.要求・要件</t>
  </si>
  <si>
    <t>外部設計の対応範囲が増える。
例：N機能追加により、外部設計工程の工数が10%増加</t>
    <rPh sb="0" eb="4">
      <t>ガイブセッケイ</t>
    </rPh>
    <rPh sb="5" eb="9">
      <t>タイオウハンイ</t>
    </rPh>
    <rPh sb="10" eb="11">
      <t>フ</t>
    </rPh>
    <rPh sb="15" eb="16">
      <t>レイ</t>
    </rPh>
    <rPh sb="18" eb="20">
      <t>キノウ</t>
    </rPh>
    <rPh sb="20" eb="22">
      <t>ツイカ</t>
    </rPh>
    <rPh sb="26" eb="30">
      <t>ガイブセッケイ</t>
    </rPh>
    <rPh sb="30" eb="32">
      <t>コウテイ</t>
    </rPh>
    <rPh sb="33" eb="35">
      <t>コウスウ</t>
    </rPh>
    <rPh sb="39" eb="41">
      <t>ゾウカ</t>
    </rPh>
    <phoneticPr fontId="2"/>
  </si>
  <si>
    <t>①要件定義工程において、要望を明確にして合意していく。
②「現行通り」等、要件定義工程で不明確な表現を是正する。
③顧客レビュー時の記録を取る。
④有識者レビューを実施し影響確認漏れを防止する。</t>
    <rPh sb="1" eb="5">
      <t>ヨウケンテイギ</t>
    </rPh>
    <rPh sb="5" eb="7">
      <t>コウテイ</t>
    </rPh>
    <rPh sb="12" eb="14">
      <t>ヨウボウ</t>
    </rPh>
    <rPh sb="15" eb="17">
      <t>メイカク</t>
    </rPh>
    <rPh sb="20" eb="22">
      <t>ゴウイ</t>
    </rPh>
    <rPh sb="30" eb="33">
      <t>ゲンコウドオ</t>
    </rPh>
    <rPh sb="35" eb="36">
      <t>トウ</t>
    </rPh>
    <rPh sb="37" eb="41">
      <t>ヨウケンテイギ</t>
    </rPh>
    <rPh sb="41" eb="43">
      <t>コウテイ</t>
    </rPh>
    <rPh sb="44" eb="47">
      <t>フメイカク</t>
    </rPh>
    <rPh sb="48" eb="50">
      <t>ヒョウゲン</t>
    </rPh>
    <rPh sb="51" eb="53">
      <t>ゼセイ</t>
    </rPh>
    <rPh sb="89" eb="90">
      <t>モ</t>
    </rPh>
    <rPh sb="92" eb="94">
      <t>ボウシ</t>
    </rPh>
    <phoneticPr fontId="2"/>
  </si>
  <si>
    <t>【難易度高（業務面）】
難易度の高い業務仕様、もしくは有識者確保が難しい業務に関する検討事項に関し、想定外の問題が発生。
例）
IFRS要員など業務上特定分野の知見が必要となるケース
監査法人等専門家の判断によって、判断が変わり得るケース</t>
    <rPh sb="6" eb="8">
      <t>ギョウム</t>
    </rPh>
    <rPh sb="8" eb="9">
      <t>メン</t>
    </rPh>
    <rPh sb="12" eb="15">
      <t>ナンイド</t>
    </rPh>
    <rPh sb="16" eb="17">
      <t>タカ</t>
    </rPh>
    <rPh sb="27" eb="30">
      <t>ユウシキシャ</t>
    </rPh>
    <rPh sb="30" eb="32">
      <t>カクホ</t>
    </rPh>
    <rPh sb="33" eb="34">
      <t>ムズカ</t>
    </rPh>
    <rPh sb="36" eb="38">
      <t>ギョウム</t>
    </rPh>
    <rPh sb="39" eb="40">
      <t>カン</t>
    </rPh>
    <rPh sb="42" eb="44">
      <t>ケントウ</t>
    </rPh>
    <rPh sb="44" eb="46">
      <t>ジコウ</t>
    </rPh>
    <rPh sb="47" eb="48">
      <t>カン</t>
    </rPh>
    <rPh sb="50" eb="52">
      <t>ソウテイ</t>
    </rPh>
    <rPh sb="52" eb="53">
      <t>ガイ</t>
    </rPh>
    <rPh sb="54" eb="56">
      <t>モンダイ</t>
    </rPh>
    <rPh sb="57" eb="59">
      <t>ハッセイ</t>
    </rPh>
    <rPh sb="62" eb="63">
      <t>レイ</t>
    </rPh>
    <rPh sb="69" eb="71">
      <t>ヨウイン</t>
    </rPh>
    <rPh sb="73" eb="76">
      <t>ギョウムジョウ</t>
    </rPh>
    <rPh sb="76" eb="78">
      <t>トクテイ</t>
    </rPh>
    <rPh sb="78" eb="80">
      <t>ブンヤ</t>
    </rPh>
    <rPh sb="81" eb="83">
      <t>チケン</t>
    </rPh>
    <rPh sb="84" eb="86">
      <t>ヒツヨウ</t>
    </rPh>
    <rPh sb="93" eb="97">
      <t>カンサホウジン</t>
    </rPh>
    <rPh sb="97" eb="98">
      <t>トウ</t>
    </rPh>
    <rPh sb="98" eb="101">
      <t>センモンカ</t>
    </rPh>
    <rPh sb="102" eb="104">
      <t>ハンダン</t>
    </rPh>
    <rPh sb="109" eb="111">
      <t>ハンダン</t>
    </rPh>
    <rPh sb="112" eb="113">
      <t>カ</t>
    </rPh>
    <rPh sb="115" eb="116">
      <t>ウ</t>
    </rPh>
    <phoneticPr fontId="2"/>
  </si>
  <si>
    <t>2.要件洗い出し&gt;11.要件・難易度</t>
  </si>
  <si>
    <t>業務的な問題が発生により外部設計が止まる状況発生したため、急遽有識者確保が必要となる。
例：[3人月]
3人月×1か月</t>
    <rPh sb="0" eb="2">
      <t>ギョウム</t>
    </rPh>
    <rPh sb="2" eb="3">
      <t>テキ</t>
    </rPh>
    <rPh sb="4" eb="6">
      <t>モンダイ</t>
    </rPh>
    <rPh sb="7" eb="9">
      <t>ハッセイ</t>
    </rPh>
    <rPh sb="12" eb="16">
      <t>ガイブセッケイ</t>
    </rPh>
    <rPh sb="17" eb="18">
      <t>ト</t>
    </rPh>
    <rPh sb="20" eb="22">
      <t>ジョウキョウ</t>
    </rPh>
    <rPh sb="22" eb="24">
      <t>ハッセイ</t>
    </rPh>
    <rPh sb="29" eb="31">
      <t>キュウキョ</t>
    </rPh>
    <rPh sb="31" eb="34">
      <t>ユウシキシャ</t>
    </rPh>
    <rPh sb="34" eb="36">
      <t>カクホ</t>
    </rPh>
    <rPh sb="37" eb="39">
      <t>ヒツヨウ</t>
    </rPh>
    <rPh sb="44" eb="45">
      <t>レイ</t>
    </rPh>
    <rPh sb="53" eb="54">
      <t>ニン</t>
    </rPh>
    <rPh sb="54" eb="55">
      <t>ゲツ</t>
    </rPh>
    <rPh sb="58" eb="59">
      <t>ゲツ</t>
    </rPh>
    <phoneticPr fontId="2"/>
  </si>
  <si>
    <t>①検討体制において、業務的な問題を解決するための体制を構築する
②事前に問題となることが想定される業務について早期情報収集し、解決策を準備しておく
③業務について知識習得のためのタスク（業務担当からのレクチャーや資料収集/確認)を計画に織り込む</t>
    <rPh sb="1" eb="3">
      <t>ケントウ</t>
    </rPh>
    <rPh sb="3" eb="5">
      <t>タイセイ</t>
    </rPh>
    <rPh sb="10" eb="12">
      <t>ギョウム</t>
    </rPh>
    <rPh sb="12" eb="13">
      <t>テキ</t>
    </rPh>
    <rPh sb="14" eb="16">
      <t>モンダイ</t>
    </rPh>
    <rPh sb="17" eb="19">
      <t>カイケツ</t>
    </rPh>
    <rPh sb="24" eb="26">
      <t>タイセイ</t>
    </rPh>
    <rPh sb="27" eb="29">
      <t>コウチク</t>
    </rPh>
    <rPh sb="33" eb="35">
      <t>ジゼン</t>
    </rPh>
    <rPh sb="36" eb="38">
      <t>モンダイ</t>
    </rPh>
    <rPh sb="44" eb="46">
      <t>ソウテイ</t>
    </rPh>
    <rPh sb="49" eb="51">
      <t>ギョウム</t>
    </rPh>
    <rPh sb="55" eb="57">
      <t>ソウキ</t>
    </rPh>
    <rPh sb="57" eb="59">
      <t>ジョウホウ</t>
    </rPh>
    <rPh sb="59" eb="61">
      <t>シュウシュウ</t>
    </rPh>
    <rPh sb="63" eb="66">
      <t>カイケツサク</t>
    </rPh>
    <rPh sb="67" eb="69">
      <t>ジュンビ</t>
    </rPh>
    <rPh sb="115" eb="117">
      <t>ケイカク</t>
    </rPh>
    <phoneticPr fontId="2"/>
  </si>
  <si>
    <t>【難易度高（技術面）】
技術的に難易度の高い、もしくは有識者確保が難しい技術に関する検討事項に関し、想定外の技術的な問題が発生。
例）
ホストや、ツールなど技術的な知見が必要となる
NWの段取りの知見がなく、依頼が遅れ作業着手が遅れてしまう。</t>
    <rPh sb="6" eb="9">
      <t>ギジュツメン</t>
    </rPh>
    <rPh sb="12" eb="15">
      <t>ギジュツテキ</t>
    </rPh>
    <rPh sb="16" eb="19">
      <t>ナンイド</t>
    </rPh>
    <rPh sb="20" eb="21">
      <t>タカ</t>
    </rPh>
    <rPh sb="27" eb="30">
      <t>ユウシキシャ</t>
    </rPh>
    <rPh sb="30" eb="32">
      <t>カクホ</t>
    </rPh>
    <rPh sb="33" eb="34">
      <t>ムズカ</t>
    </rPh>
    <rPh sb="36" eb="38">
      <t>ギジュツ</t>
    </rPh>
    <rPh sb="39" eb="40">
      <t>カン</t>
    </rPh>
    <rPh sb="42" eb="44">
      <t>ケントウ</t>
    </rPh>
    <rPh sb="44" eb="46">
      <t>ジコウ</t>
    </rPh>
    <rPh sb="47" eb="48">
      <t>カン</t>
    </rPh>
    <rPh sb="50" eb="52">
      <t>ソウテイ</t>
    </rPh>
    <rPh sb="52" eb="53">
      <t>ガイ</t>
    </rPh>
    <rPh sb="58" eb="60">
      <t>モンダイ</t>
    </rPh>
    <rPh sb="61" eb="63">
      <t>ハッセイ</t>
    </rPh>
    <rPh sb="66" eb="67">
      <t>レイ</t>
    </rPh>
    <rPh sb="79" eb="82">
      <t>ギジュツテキ</t>
    </rPh>
    <rPh sb="83" eb="85">
      <t>チケン</t>
    </rPh>
    <rPh sb="86" eb="88">
      <t>ヒツヨウ</t>
    </rPh>
    <rPh sb="95" eb="97">
      <t>ダンド</t>
    </rPh>
    <rPh sb="99" eb="101">
      <t>チケン</t>
    </rPh>
    <rPh sb="105" eb="107">
      <t>イライ</t>
    </rPh>
    <rPh sb="108" eb="109">
      <t>オク</t>
    </rPh>
    <phoneticPr fontId="2"/>
  </si>
  <si>
    <t>①検討体制において、技術的な問題を解決するための体制を構築する
②事前に問題となることが想定される機能について早期情報収集し、解決策を準備しておく</t>
    <rPh sb="1" eb="3">
      <t>ケントウ</t>
    </rPh>
    <rPh sb="3" eb="5">
      <t>タイセイ</t>
    </rPh>
    <rPh sb="10" eb="13">
      <t>ギジュツテキ</t>
    </rPh>
    <rPh sb="14" eb="16">
      <t>モンダイ</t>
    </rPh>
    <rPh sb="17" eb="19">
      <t>カイケツ</t>
    </rPh>
    <rPh sb="24" eb="26">
      <t>タイセイ</t>
    </rPh>
    <rPh sb="27" eb="29">
      <t>コウチク</t>
    </rPh>
    <rPh sb="33" eb="35">
      <t>ジゼン</t>
    </rPh>
    <rPh sb="36" eb="38">
      <t>モンダイ</t>
    </rPh>
    <rPh sb="44" eb="46">
      <t>ソウテイ</t>
    </rPh>
    <rPh sb="49" eb="51">
      <t>キノウ</t>
    </rPh>
    <rPh sb="55" eb="57">
      <t>ソウキ</t>
    </rPh>
    <rPh sb="57" eb="59">
      <t>ジョウホウ</t>
    </rPh>
    <rPh sb="59" eb="61">
      <t>シュウシュウ</t>
    </rPh>
    <rPh sb="63" eb="66">
      <t>カイケツサク</t>
    </rPh>
    <rPh sb="67" eb="69">
      <t>ジュンビ</t>
    </rPh>
    <phoneticPr fontId="2"/>
  </si>
  <si>
    <t>【難易度高（システムリソース面）】
トランザクション量、UI応答時間、本番稼働後の稼働率等、難易度が高いため、課題解消への追加コストが生じる
例）
データ量が大きい、会計センターのようにUI応答時間の要求が高いなど</t>
    <rPh sb="1" eb="4">
      <t>ナンイド</t>
    </rPh>
    <rPh sb="4" eb="5">
      <t>コウ</t>
    </rPh>
    <rPh sb="14" eb="15">
      <t>メン</t>
    </rPh>
    <rPh sb="26" eb="27">
      <t>リョウ</t>
    </rPh>
    <rPh sb="30" eb="34">
      <t>オウトウジカン</t>
    </rPh>
    <rPh sb="35" eb="37">
      <t>ホンバン</t>
    </rPh>
    <rPh sb="37" eb="40">
      <t>カドウゴ</t>
    </rPh>
    <rPh sb="41" eb="44">
      <t>カドウリツ</t>
    </rPh>
    <rPh sb="44" eb="45">
      <t>トウ</t>
    </rPh>
    <rPh sb="46" eb="49">
      <t>ナンイド</t>
    </rPh>
    <rPh sb="50" eb="51">
      <t>タカ</t>
    </rPh>
    <rPh sb="55" eb="59">
      <t>カダイカイショウ</t>
    </rPh>
    <rPh sb="61" eb="63">
      <t>ツイカ</t>
    </rPh>
    <rPh sb="67" eb="68">
      <t>ショウ</t>
    </rPh>
    <rPh sb="72" eb="73">
      <t>レイ</t>
    </rPh>
    <rPh sb="78" eb="79">
      <t>リョウ</t>
    </rPh>
    <rPh sb="80" eb="81">
      <t>オオ</t>
    </rPh>
    <rPh sb="84" eb="86">
      <t>カイケイ</t>
    </rPh>
    <rPh sb="96" eb="98">
      <t>オウトウ</t>
    </rPh>
    <rPh sb="98" eb="100">
      <t>ジカン</t>
    </rPh>
    <rPh sb="101" eb="103">
      <t>ヨウキュウ</t>
    </rPh>
    <rPh sb="104" eb="105">
      <t>タカ</t>
    </rPh>
    <phoneticPr fontId="2"/>
  </si>
  <si>
    <t>UI応答時間を実現するため、DBチューニングが必要となる。
例：DB設計やUI設計工数の30%が追加で生じる。</t>
    <rPh sb="2" eb="4">
      <t>オウトウ</t>
    </rPh>
    <rPh sb="4" eb="6">
      <t>ジカン</t>
    </rPh>
    <rPh sb="7" eb="9">
      <t>ジツゲン</t>
    </rPh>
    <rPh sb="23" eb="25">
      <t>ヒツヨウ</t>
    </rPh>
    <rPh sb="30" eb="31">
      <t>レイ</t>
    </rPh>
    <rPh sb="34" eb="36">
      <t>セッケイ</t>
    </rPh>
    <rPh sb="39" eb="41">
      <t>セッケイ</t>
    </rPh>
    <rPh sb="41" eb="43">
      <t>コウスウ</t>
    </rPh>
    <rPh sb="48" eb="50">
      <t>ツイカ</t>
    </rPh>
    <rPh sb="51" eb="52">
      <t>ショウ</t>
    </rPh>
    <phoneticPr fontId="2"/>
  </si>
  <si>
    <t>①要件定義工程での現状分析により、難易度を見定める。
②顧客もしくは現行システム担当者へのヒアリングを実施する。
③要件定義工程で事前にパフォーマンス等、性能に関する要求事項を確認し、必要に応じて事前検証を計画に織り込む</t>
    <rPh sb="1" eb="5">
      <t>ヨウケンテイギ</t>
    </rPh>
    <rPh sb="5" eb="7">
      <t>コウテイ</t>
    </rPh>
    <rPh sb="9" eb="13">
      <t>ゲンジョウブンセキ</t>
    </rPh>
    <rPh sb="17" eb="20">
      <t>ナンイド</t>
    </rPh>
    <rPh sb="21" eb="23">
      <t>ミサダ</t>
    </rPh>
    <rPh sb="28" eb="30">
      <t>コキャク</t>
    </rPh>
    <rPh sb="34" eb="36">
      <t>ゲンコウ</t>
    </rPh>
    <rPh sb="40" eb="43">
      <t>タントウシャ</t>
    </rPh>
    <rPh sb="51" eb="53">
      <t>ジッシ</t>
    </rPh>
    <rPh sb="58" eb="60">
      <t>ヨウケン</t>
    </rPh>
    <rPh sb="60" eb="62">
      <t>テイギ</t>
    </rPh>
    <rPh sb="62" eb="64">
      <t>コウテイ</t>
    </rPh>
    <rPh sb="65" eb="67">
      <t>ジゼン</t>
    </rPh>
    <rPh sb="75" eb="76">
      <t>トウ</t>
    </rPh>
    <rPh sb="77" eb="79">
      <t>セイノウ</t>
    </rPh>
    <rPh sb="80" eb="81">
      <t>カン</t>
    </rPh>
    <rPh sb="83" eb="85">
      <t>ヨウキュウ</t>
    </rPh>
    <rPh sb="85" eb="87">
      <t>ジコウ</t>
    </rPh>
    <rPh sb="88" eb="90">
      <t>カクニン</t>
    </rPh>
    <rPh sb="92" eb="94">
      <t>ヒツヨウ</t>
    </rPh>
    <rPh sb="95" eb="96">
      <t>オウ</t>
    </rPh>
    <rPh sb="98" eb="100">
      <t>ジゼン</t>
    </rPh>
    <rPh sb="100" eb="102">
      <t>ケンショウ</t>
    </rPh>
    <rPh sb="103" eb="105">
      <t>ケイカク</t>
    </rPh>
    <rPh sb="106" eb="107">
      <t>オ</t>
    </rPh>
    <rPh sb="108" eb="109">
      <t>コ</t>
    </rPh>
    <phoneticPr fontId="2"/>
  </si>
  <si>
    <t>【難易度高（プロジェクト管理面）】
複数案件が同時並行で運営されており、XXシステムの改修対象の機能が重複する
例）
複数案件の同時並行、マルチベンダー、プロジェクト開発規模が大きい、納期制約が大きいなど</t>
    <rPh sb="12" eb="15">
      <t>カンリメン</t>
    </rPh>
    <rPh sb="18" eb="22">
      <t>フクスウアンケン</t>
    </rPh>
    <rPh sb="23" eb="27">
      <t>ドウジヘイコウ</t>
    </rPh>
    <rPh sb="28" eb="30">
      <t>ウンエイ</t>
    </rPh>
    <rPh sb="43" eb="47">
      <t>カイシュウタイショウ</t>
    </rPh>
    <rPh sb="48" eb="50">
      <t>キノウ</t>
    </rPh>
    <rPh sb="51" eb="53">
      <t>チョウフク</t>
    </rPh>
    <rPh sb="60" eb="64">
      <t>フクスウアンケン</t>
    </rPh>
    <rPh sb="65" eb="69">
      <t>ドウジヘイコウ</t>
    </rPh>
    <rPh sb="84" eb="88">
      <t>カイハツキボ</t>
    </rPh>
    <rPh sb="89" eb="90">
      <t>オオ</t>
    </rPh>
    <phoneticPr fontId="2"/>
  </si>
  <si>
    <t>重複対象となった機能がデグレードする。
例：改修対象の10%の機能の再改修が必要となる。
　　5機能の外部設計～結合テストが必要のため、1機能
　　10人日*5機能が必要</t>
    <rPh sb="0" eb="2">
      <t>チョウフク</t>
    </rPh>
    <rPh sb="2" eb="4">
      <t>タイショウ</t>
    </rPh>
    <rPh sb="8" eb="10">
      <t>キノウ</t>
    </rPh>
    <rPh sb="20" eb="21">
      <t>レイ</t>
    </rPh>
    <rPh sb="22" eb="24">
      <t>カイシュウ</t>
    </rPh>
    <rPh sb="24" eb="26">
      <t>タイショウ</t>
    </rPh>
    <rPh sb="31" eb="33">
      <t>キノウ</t>
    </rPh>
    <rPh sb="34" eb="37">
      <t>サイカイシュウ</t>
    </rPh>
    <rPh sb="38" eb="40">
      <t>ヒツヨウ</t>
    </rPh>
    <rPh sb="48" eb="50">
      <t>キノウ</t>
    </rPh>
    <rPh sb="51" eb="55">
      <t>ガイブセッケイ</t>
    </rPh>
    <rPh sb="56" eb="58">
      <t>ケツゴウ</t>
    </rPh>
    <rPh sb="62" eb="64">
      <t>ヒツヨウ</t>
    </rPh>
    <rPh sb="69" eb="71">
      <t>キノウ</t>
    </rPh>
    <rPh sb="76" eb="78">
      <t>ヒトヒ</t>
    </rPh>
    <rPh sb="80" eb="82">
      <t>キノウ</t>
    </rPh>
    <rPh sb="83" eb="85">
      <t>ヒツヨウ</t>
    </rPh>
    <phoneticPr fontId="2"/>
  </si>
  <si>
    <t xml:space="preserve">①SVN等のバージョン管理ツール使用を徹底する。
②複数案件の間で定期的に共有会を設け、ソース管理の状況も共有する。
</t>
    <rPh sb="26" eb="30">
      <t>フクスウアンケン</t>
    </rPh>
    <rPh sb="31" eb="32">
      <t>アイダ</t>
    </rPh>
    <rPh sb="33" eb="35">
      <t>テイキ</t>
    </rPh>
    <rPh sb="35" eb="36">
      <t>テキ</t>
    </rPh>
    <rPh sb="37" eb="39">
      <t>キョウユウ</t>
    </rPh>
    <rPh sb="39" eb="40">
      <t>カイ</t>
    </rPh>
    <rPh sb="41" eb="42">
      <t>モウ</t>
    </rPh>
    <rPh sb="47" eb="49">
      <t>カンリ</t>
    </rPh>
    <rPh sb="50" eb="52">
      <t>ジョウキョウ</t>
    </rPh>
    <rPh sb="53" eb="55">
      <t>キョウユウ</t>
    </rPh>
    <phoneticPr fontId="2"/>
  </si>
  <si>
    <t>【CTC起因での成果物の抜け漏れ】
レビュー時や納品時になって、成果物の認識相違が生じ、成果物の修正コストやスケジュール遅延のリスクが生じる</t>
    <rPh sb="12" eb="13">
      <t>ヌ</t>
    </rPh>
    <rPh sb="14" eb="15">
      <t>モ</t>
    </rPh>
    <rPh sb="22" eb="23">
      <t>ジ</t>
    </rPh>
    <rPh sb="24" eb="26">
      <t>ノウヒン</t>
    </rPh>
    <rPh sb="26" eb="27">
      <t>ジ</t>
    </rPh>
    <rPh sb="32" eb="35">
      <t>セイカブツ</t>
    </rPh>
    <rPh sb="36" eb="38">
      <t>ニンシキ</t>
    </rPh>
    <rPh sb="38" eb="40">
      <t>ソウイ</t>
    </rPh>
    <rPh sb="41" eb="42">
      <t>ショウ</t>
    </rPh>
    <rPh sb="44" eb="47">
      <t>セイカブツ</t>
    </rPh>
    <rPh sb="48" eb="50">
      <t>シュウセイ</t>
    </rPh>
    <rPh sb="60" eb="62">
      <t>チエン</t>
    </rPh>
    <rPh sb="67" eb="68">
      <t>ショウ</t>
    </rPh>
    <phoneticPr fontId="2"/>
  </si>
  <si>
    <t>3.作業洗い出し(WBS)&gt;14.成果物、タスク</t>
  </si>
  <si>
    <t>①事前に成果物の記載粒度や内容を擦り合わせる</t>
    <rPh sb="1" eb="3">
      <t>ジゼン</t>
    </rPh>
    <rPh sb="4" eb="7">
      <t>セイカブツ</t>
    </rPh>
    <rPh sb="8" eb="10">
      <t>キサイ</t>
    </rPh>
    <rPh sb="10" eb="12">
      <t>リュウド</t>
    </rPh>
    <rPh sb="13" eb="15">
      <t>ナイヨウ</t>
    </rPh>
    <rPh sb="16" eb="17">
      <t>ス</t>
    </rPh>
    <rPh sb="18" eb="19">
      <t>ア</t>
    </rPh>
    <phoneticPr fontId="2"/>
  </si>
  <si>
    <t>【難易度高（業務・技術面）】
総合テスト工程のテストケースの不足による追加テスト発生が発生する。</t>
    <rPh sb="6" eb="7">
      <t>ギョウ</t>
    </rPh>
    <rPh sb="7" eb="9">
      <t>ギジュツ</t>
    </rPh>
    <rPh sb="9" eb="10">
      <t>メン</t>
    </rPh>
    <rPh sb="43" eb="45">
      <t>ハッセイ</t>
    </rPh>
    <phoneticPr fontId="2"/>
  </si>
  <si>
    <t>総合テストが延伸する。
例：１か月間の体制確保。10人月×1月=10人月</t>
    <rPh sb="0" eb="2">
      <t>ソウゴウ</t>
    </rPh>
    <rPh sb="6" eb="8">
      <t>エンシン</t>
    </rPh>
    <rPh sb="12" eb="13">
      <t>レイ</t>
    </rPh>
    <rPh sb="16" eb="18">
      <t>ゲツカン</t>
    </rPh>
    <rPh sb="19" eb="21">
      <t>タイセイ</t>
    </rPh>
    <rPh sb="21" eb="23">
      <t>カクホ</t>
    </rPh>
    <rPh sb="26" eb="28">
      <t>ニンゲツ</t>
    </rPh>
    <rPh sb="30" eb="31">
      <t>ツキ</t>
    </rPh>
    <rPh sb="34" eb="36">
      <t>ニンゲツ</t>
    </rPh>
    <phoneticPr fontId="2"/>
  </si>
  <si>
    <t>①検討体制において、業務・技術的な問題を解決するための体制を構築する</t>
    <rPh sb="1" eb="3">
      <t>ケントウ</t>
    </rPh>
    <rPh sb="3" eb="5">
      <t>タイセイ</t>
    </rPh>
    <rPh sb="10" eb="12">
      <t>ギョウム</t>
    </rPh>
    <rPh sb="13" eb="15">
      <t>ギジュツ</t>
    </rPh>
    <rPh sb="15" eb="16">
      <t>テキ</t>
    </rPh>
    <rPh sb="17" eb="19">
      <t>モンダイ</t>
    </rPh>
    <rPh sb="20" eb="22">
      <t>カイケツ</t>
    </rPh>
    <rPh sb="27" eb="29">
      <t>タイセイ</t>
    </rPh>
    <rPh sb="30" eb="32">
      <t>コウチク</t>
    </rPh>
    <phoneticPr fontId="2"/>
  </si>
  <si>
    <t>【難易度高（業務・技術面）】
外部結合テスト・総合テスト工程において、不具合（考慮不足やレスポンス改善等）が発覚。手戻りが発生し、追加対応（設計~製造~テスト）が必要となる。</t>
    <rPh sb="6" eb="8">
      <t>ギョウム</t>
    </rPh>
    <rPh sb="9" eb="11">
      <t>ギジュツ</t>
    </rPh>
    <rPh sb="11" eb="12">
      <t>メン</t>
    </rPh>
    <phoneticPr fontId="2"/>
  </si>
  <si>
    <t>追加の手戻り作業が発生する。
例：[3人月]
3人月×1か月</t>
    <rPh sb="0" eb="2">
      <t>ツイカ</t>
    </rPh>
    <rPh sb="3" eb="5">
      <t>テモド</t>
    </rPh>
    <rPh sb="6" eb="8">
      <t>サギョウ</t>
    </rPh>
    <rPh sb="9" eb="11">
      <t>ハッセイ</t>
    </rPh>
    <rPh sb="15" eb="16">
      <t>レイ</t>
    </rPh>
    <rPh sb="24" eb="25">
      <t>ニン</t>
    </rPh>
    <rPh sb="25" eb="26">
      <t>ゲツ</t>
    </rPh>
    <rPh sb="29" eb="30">
      <t>ゲツ</t>
    </rPh>
    <phoneticPr fontId="2"/>
  </si>
  <si>
    <t>①検討体制において、業務・技術的な問題を解決するための体制を構築する
②事前に問題となることが想定される業務について早期情報収集し、解決策を準備しておく
③業務について知識習得のためのタスク（業務担当からのレクチャーや資料収集/確認)を計画に織り込む</t>
    <rPh sb="1" eb="3">
      <t>ケントウ</t>
    </rPh>
    <rPh sb="3" eb="5">
      <t>タイセイ</t>
    </rPh>
    <rPh sb="10" eb="12">
      <t>ギョウム</t>
    </rPh>
    <rPh sb="13" eb="15">
      <t>ギジュツ</t>
    </rPh>
    <rPh sb="15" eb="16">
      <t>テキ</t>
    </rPh>
    <rPh sb="17" eb="19">
      <t>モンダイ</t>
    </rPh>
    <rPh sb="20" eb="22">
      <t>カイケツ</t>
    </rPh>
    <rPh sb="27" eb="29">
      <t>タイセイ</t>
    </rPh>
    <rPh sb="30" eb="32">
      <t>コウチク</t>
    </rPh>
    <rPh sb="36" eb="38">
      <t>ジゼン</t>
    </rPh>
    <rPh sb="39" eb="41">
      <t>モンダイ</t>
    </rPh>
    <rPh sb="47" eb="49">
      <t>ソウテイ</t>
    </rPh>
    <rPh sb="52" eb="54">
      <t>ギョウム</t>
    </rPh>
    <rPh sb="58" eb="60">
      <t>ソウキ</t>
    </rPh>
    <rPh sb="60" eb="62">
      <t>ジョウホウ</t>
    </rPh>
    <rPh sb="62" eb="64">
      <t>シュウシュウ</t>
    </rPh>
    <rPh sb="66" eb="69">
      <t>カイケツサク</t>
    </rPh>
    <rPh sb="70" eb="72">
      <t>ジュンビ</t>
    </rPh>
    <rPh sb="118" eb="120">
      <t>ケイカク</t>
    </rPh>
    <phoneticPr fontId="2"/>
  </si>
  <si>
    <t>【難易度高（業務・技術面）】
導入後の初回稼働（日次、月次処理）にて、他社システムとの連携において、想定外の問題が検知され、期間内での改修対応が必要になる。</t>
    <rPh sb="6" eb="8">
      <t>ギョウム</t>
    </rPh>
    <rPh sb="9" eb="11">
      <t>ギジュツ</t>
    </rPh>
    <rPh sb="11" eb="12">
      <t>メン</t>
    </rPh>
    <phoneticPr fontId="2"/>
  </si>
  <si>
    <t>①検討体制において、業務・技術的な問題を解決するための体制を構築する
②事前に問題となることが想定される業務について早期情報収集し、解決策を準備しておく
③リリース後数か月の保守費用は別途見積に折り込むようにする</t>
    <rPh sb="1" eb="3">
      <t>ケントウ</t>
    </rPh>
    <rPh sb="3" eb="5">
      <t>タイセイ</t>
    </rPh>
    <rPh sb="10" eb="12">
      <t>ギョウム</t>
    </rPh>
    <rPh sb="13" eb="15">
      <t>ギジュツ</t>
    </rPh>
    <rPh sb="15" eb="16">
      <t>テキ</t>
    </rPh>
    <rPh sb="17" eb="19">
      <t>モンダイ</t>
    </rPh>
    <rPh sb="20" eb="22">
      <t>カイケツ</t>
    </rPh>
    <rPh sb="27" eb="29">
      <t>タイセイ</t>
    </rPh>
    <rPh sb="30" eb="32">
      <t>コウチク</t>
    </rPh>
    <rPh sb="36" eb="38">
      <t>ジゼン</t>
    </rPh>
    <rPh sb="39" eb="41">
      <t>モンダイ</t>
    </rPh>
    <rPh sb="47" eb="49">
      <t>ソウテイ</t>
    </rPh>
    <rPh sb="52" eb="54">
      <t>ギョウム</t>
    </rPh>
    <rPh sb="58" eb="60">
      <t>ソウキ</t>
    </rPh>
    <rPh sb="60" eb="62">
      <t>ジョウホウ</t>
    </rPh>
    <rPh sb="62" eb="64">
      <t>シュウシュウ</t>
    </rPh>
    <rPh sb="66" eb="69">
      <t>カイケツサク</t>
    </rPh>
    <rPh sb="70" eb="72">
      <t>ジュンビ</t>
    </rPh>
    <rPh sb="82" eb="83">
      <t>ゴ</t>
    </rPh>
    <rPh sb="83" eb="84">
      <t>スウ</t>
    </rPh>
    <rPh sb="85" eb="86">
      <t>ゲツ</t>
    </rPh>
    <rPh sb="87" eb="91">
      <t>ホシュヒヨウ</t>
    </rPh>
    <rPh sb="92" eb="94">
      <t>ベット</t>
    </rPh>
    <rPh sb="94" eb="96">
      <t>ミツモリ</t>
    </rPh>
    <rPh sb="97" eb="98">
      <t>オ</t>
    </rPh>
    <rPh sb="99" eb="100">
      <t>コ</t>
    </rPh>
    <phoneticPr fontId="2"/>
  </si>
  <si>
    <t>【計画時点の体制（CTC）】
CTC内で有識者の支援を仰ぐ体制が計画できていないことから、支援が遅れ手戻りが拡大する。
例）
社内の知見有識者に支援を依頼したが、別プロジェクトへの参画が決まっているため、支援が1か月遅れる。</t>
    <rPh sb="1" eb="5">
      <t>ケイカクジテン</t>
    </rPh>
    <rPh sb="6" eb="8">
      <t>タイセイ</t>
    </rPh>
    <rPh sb="18" eb="19">
      <t>ナイ</t>
    </rPh>
    <rPh sb="20" eb="23">
      <t>ユウシキシャ</t>
    </rPh>
    <rPh sb="24" eb="26">
      <t>シエン</t>
    </rPh>
    <rPh sb="27" eb="28">
      <t>アオ</t>
    </rPh>
    <rPh sb="29" eb="31">
      <t>タイセイ</t>
    </rPh>
    <rPh sb="32" eb="34">
      <t>ケイカク</t>
    </rPh>
    <rPh sb="45" eb="47">
      <t>シエン</t>
    </rPh>
    <rPh sb="48" eb="49">
      <t>オク</t>
    </rPh>
    <rPh sb="50" eb="52">
      <t>テモド</t>
    </rPh>
    <rPh sb="54" eb="56">
      <t>カクダイ</t>
    </rPh>
    <rPh sb="61" eb="62">
      <t>レイ</t>
    </rPh>
    <rPh sb="64" eb="66">
      <t>シャナイ</t>
    </rPh>
    <rPh sb="73" eb="75">
      <t>シエン</t>
    </rPh>
    <rPh sb="76" eb="78">
      <t>イライ</t>
    </rPh>
    <phoneticPr fontId="2"/>
  </si>
  <si>
    <t>5.要員計画&gt;19.社内・組織支援</t>
  </si>
  <si>
    <t>設計レビューまでに支援体制が確立できなかったことで、仕様バグがテスト工程で初めて検出され、手戻りが発生する。
例：テスト工程で検出するバグが想定以上のため、品質強化策を実施することになる。
品質強化策の実施：1人月</t>
    <rPh sb="0" eb="2">
      <t>セッケイ</t>
    </rPh>
    <rPh sb="9" eb="11">
      <t>シエン</t>
    </rPh>
    <rPh sb="11" eb="13">
      <t>タイセイ</t>
    </rPh>
    <rPh sb="14" eb="16">
      <t>カクリツ</t>
    </rPh>
    <rPh sb="26" eb="28">
      <t>シヨウ</t>
    </rPh>
    <rPh sb="34" eb="36">
      <t>コウテイ</t>
    </rPh>
    <rPh sb="37" eb="38">
      <t>ハジ</t>
    </rPh>
    <rPh sb="40" eb="42">
      <t>ケンシュツ</t>
    </rPh>
    <rPh sb="45" eb="47">
      <t>テモド</t>
    </rPh>
    <rPh sb="56" eb="57">
      <t>レイ</t>
    </rPh>
    <rPh sb="61" eb="63">
      <t>コウテイ</t>
    </rPh>
    <rPh sb="64" eb="66">
      <t>ケンシュツ</t>
    </rPh>
    <rPh sb="71" eb="73">
      <t>ソウテイ</t>
    </rPh>
    <rPh sb="73" eb="75">
      <t>イジョウ</t>
    </rPh>
    <rPh sb="79" eb="84">
      <t>ヒンシツキョウカサク</t>
    </rPh>
    <rPh sb="85" eb="87">
      <t>ジッシ</t>
    </rPh>
    <rPh sb="96" eb="98">
      <t>ヒンシツ</t>
    </rPh>
    <rPh sb="98" eb="100">
      <t>キョウカ</t>
    </rPh>
    <rPh sb="100" eb="101">
      <t>サク</t>
    </rPh>
    <rPh sb="102" eb="104">
      <t>ジッシ</t>
    </rPh>
    <rPh sb="106" eb="108">
      <t>ヒトゲツ</t>
    </rPh>
    <phoneticPr fontId="2"/>
  </si>
  <si>
    <t xml:space="preserve">①計画レビュー時に専門知識の必要性を確認し、ありの場合は有識者に対する支援工数を盛り込んでおく。
②営業等、別部門との定期会を設け、支援を仰ぎやすい状況を作っておく
</t>
    <rPh sb="1" eb="3">
      <t>ケイカク</t>
    </rPh>
    <rPh sb="7" eb="8">
      <t>ジ</t>
    </rPh>
    <rPh sb="9" eb="13">
      <t>センモンチシキ</t>
    </rPh>
    <rPh sb="14" eb="17">
      <t>ヒツヨウセイ</t>
    </rPh>
    <rPh sb="18" eb="20">
      <t>カクニン</t>
    </rPh>
    <rPh sb="25" eb="27">
      <t>バアイ</t>
    </rPh>
    <rPh sb="28" eb="31">
      <t>ユウシキシャ</t>
    </rPh>
    <rPh sb="32" eb="33">
      <t>タイ</t>
    </rPh>
    <rPh sb="35" eb="37">
      <t>シエン</t>
    </rPh>
    <rPh sb="37" eb="39">
      <t>コウスウ</t>
    </rPh>
    <rPh sb="40" eb="41">
      <t>モ</t>
    </rPh>
    <rPh sb="42" eb="43">
      <t>コ</t>
    </rPh>
    <rPh sb="50" eb="53">
      <t>エイギョウトウ</t>
    </rPh>
    <rPh sb="54" eb="57">
      <t>ベツブモン</t>
    </rPh>
    <rPh sb="59" eb="61">
      <t>テイキ</t>
    </rPh>
    <rPh sb="61" eb="62">
      <t>カイ</t>
    </rPh>
    <rPh sb="63" eb="64">
      <t>モウ</t>
    </rPh>
    <rPh sb="66" eb="68">
      <t>シエン</t>
    </rPh>
    <rPh sb="69" eb="70">
      <t>アオ</t>
    </rPh>
    <rPh sb="74" eb="76">
      <t>ジョウキョウ</t>
    </rPh>
    <rPh sb="77" eb="78">
      <t>ツク</t>
    </rPh>
    <phoneticPr fontId="2"/>
  </si>
  <si>
    <t>【パッケージのライセンス不足】
ライセンス不足が判明し、追加購入が必要となる。</t>
    <rPh sb="21" eb="23">
      <t>フソク</t>
    </rPh>
    <rPh sb="24" eb="26">
      <t>ハンメイ</t>
    </rPh>
    <rPh sb="28" eb="30">
      <t>ツイカ</t>
    </rPh>
    <rPh sb="30" eb="32">
      <t>コウニュウ</t>
    </rPh>
    <rPh sb="33" eb="35">
      <t>ヒツヨウ</t>
    </rPh>
    <phoneticPr fontId="2"/>
  </si>
  <si>
    <t>5.要員計画&gt;23.パッケージ・製品</t>
    <rPh sb="16" eb="18">
      <t>セイヒン</t>
    </rPh>
    <phoneticPr fontId="2"/>
  </si>
  <si>
    <t>パッケージのライセンス数が足りず、追加で購入が必要となる。
例：10ライセンス（0.5M）の追加が生じる。</t>
    <rPh sb="11" eb="12">
      <t>スウ</t>
    </rPh>
    <rPh sb="13" eb="14">
      <t>タ</t>
    </rPh>
    <rPh sb="17" eb="19">
      <t>ツイカ</t>
    </rPh>
    <rPh sb="20" eb="22">
      <t>コウニュウ</t>
    </rPh>
    <rPh sb="23" eb="25">
      <t>ヒツヨウ</t>
    </rPh>
    <rPh sb="30" eb="31">
      <t>レイ</t>
    </rPh>
    <rPh sb="46" eb="48">
      <t>ツイカ</t>
    </rPh>
    <rPh sb="49" eb="50">
      <t>ショウ</t>
    </rPh>
    <phoneticPr fontId="2"/>
  </si>
  <si>
    <t>・発注の前提条件に現ライセンス数と追加ライセンス数を明記し、顧客と合意する。</t>
    <rPh sb="1" eb="3">
      <t>ハッチュウ</t>
    </rPh>
    <rPh sb="4" eb="8">
      <t>ゼンテイジョウケン</t>
    </rPh>
    <rPh sb="9" eb="10">
      <t>ゲン</t>
    </rPh>
    <rPh sb="15" eb="16">
      <t>スウ</t>
    </rPh>
    <rPh sb="17" eb="19">
      <t>ツイカ</t>
    </rPh>
    <rPh sb="24" eb="25">
      <t>スウ</t>
    </rPh>
    <rPh sb="26" eb="28">
      <t>メイキ</t>
    </rPh>
    <rPh sb="30" eb="32">
      <t>コキャク</t>
    </rPh>
    <rPh sb="33" eb="35">
      <t>ゴウイ</t>
    </rPh>
    <phoneticPr fontId="2"/>
  </si>
  <si>
    <t>【CTC起因での成果物の量の見誤り】
先行する他案件、並行して進む他の開発案件の影響で、要件定義の内容を変更しかねない検討作業が発生。</t>
    <rPh sb="4" eb="6">
      <t>キイン</t>
    </rPh>
    <rPh sb="8" eb="11">
      <t>セイカブツ</t>
    </rPh>
    <rPh sb="12" eb="13">
      <t>リョウ</t>
    </rPh>
    <rPh sb="14" eb="16">
      <t>ミアヤマ</t>
    </rPh>
    <rPh sb="19" eb="21">
      <t>センコウ</t>
    </rPh>
    <rPh sb="23" eb="24">
      <t>ホカ</t>
    </rPh>
    <rPh sb="24" eb="26">
      <t>アンケン</t>
    </rPh>
    <rPh sb="27" eb="29">
      <t>ヘイコウ</t>
    </rPh>
    <rPh sb="31" eb="32">
      <t>スス</t>
    </rPh>
    <rPh sb="33" eb="34">
      <t>タ</t>
    </rPh>
    <rPh sb="35" eb="37">
      <t>カイハツ</t>
    </rPh>
    <rPh sb="37" eb="39">
      <t>アンケン</t>
    </rPh>
    <rPh sb="40" eb="42">
      <t>エイキョウ</t>
    </rPh>
    <rPh sb="44" eb="48">
      <t>ヨウケンテイギ</t>
    </rPh>
    <rPh sb="49" eb="51">
      <t>ナイヨウ</t>
    </rPh>
    <rPh sb="52" eb="54">
      <t>ヘンコウ</t>
    </rPh>
    <rPh sb="59" eb="61">
      <t>ケントウ</t>
    </rPh>
    <rPh sb="61" eb="63">
      <t>サギョウ</t>
    </rPh>
    <rPh sb="64" eb="66">
      <t>ハッセイ</t>
    </rPh>
    <phoneticPr fontId="2"/>
  </si>
  <si>
    <t>6.作業計画&gt;24.成果物、タスク</t>
  </si>
  <si>
    <t>追加の外部設計のための新規メンバーのアサインが必要となる。
例：[4人月]
2人月×2か月</t>
    <rPh sb="0" eb="2">
      <t>ツイカ</t>
    </rPh>
    <rPh sb="3" eb="7">
      <t>ガイブセッケイ</t>
    </rPh>
    <rPh sb="11" eb="13">
      <t>シンキ</t>
    </rPh>
    <rPh sb="31" eb="32">
      <t>レイ</t>
    </rPh>
    <phoneticPr fontId="2"/>
  </si>
  <si>
    <t>・別案件で影響が判明した件については、提案時に別案件で対応する方針である旨を明記して顧客と合意する。
・CTC内で他案件との情報連携を行い、本案件への影響有無を早期検知する。
・リスクが顕在化することが見込まれる場合は、早期参画を促し全体スケジュールへの影響がないよう事前準備する。</t>
    <rPh sb="1" eb="4">
      <t>ベツアンケン</t>
    </rPh>
    <rPh sb="5" eb="7">
      <t>エイキョウ</t>
    </rPh>
    <rPh sb="8" eb="10">
      <t>ハンメイ</t>
    </rPh>
    <rPh sb="12" eb="13">
      <t>ケン</t>
    </rPh>
    <rPh sb="19" eb="22">
      <t>テイアンジ</t>
    </rPh>
    <rPh sb="23" eb="26">
      <t>ベツアンケン</t>
    </rPh>
    <rPh sb="27" eb="29">
      <t>タイオウ</t>
    </rPh>
    <rPh sb="31" eb="33">
      <t>ホウシン</t>
    </rPh>
    <rPh sb="36" eb="37">
      <t>ムネ</t>
    </rPh>
    <rPh sb="38" eb="40">
      <t>メイキ</t>
    </rPh>
    <rPh sb="42" eb="44">
      <t>コキャク</t>
    </rPh>
    <rPh sb="45" eb="47">
      <t>ゴウイ</t>
    </rPh>
    <rPh sb="55" eb="56">
      <t>ナイ</t>
    </rPh>
    <rPh sb="57" eb="60">
      <t>ホカアンケン</t>
    </rPh>
    <rPh sb="70" eb="71">
      <t>ホン</t>
    </rPh>
    <rPh sb="71" eb="73">
      <t>アンケン</t>
    </rPh>
    <rPh sb="75" eb="77">
      <t>エイキョウ</t>
    </rPh>
    <rPh sb="77" eb="79">
      <t>ウム</t>
    </rPh>
    <rPh sb="80" eb="82">
      <t>ソウキ</t>
    </rPh>
    <rPh sb="82" eb="84">
      <t>ケンチ</t>
    </rPh>
    <rPh sb="93" eb="96">
      <t>ケンザイカ</t>
    </rPh>
    <rPh sb="101" eb="103">
      <t>ミコ</t>
    </rPh>
    <rPh sb="106" eb="108">
      <t>バアイ</t>
    </rPh>
    <phoneticPr fontId="2"/>
  </si>
  <si>
    <t>③委託先起因 (協力会社)</t>
    <phoneticPr fontId="2"/>
  </si>
  <si>
    <t>【PJT進行中の工期・納期遅延（BP起因）】
パートナーの開発が遅延し、XXX工程が予定とおり開始できない。
例）
外部発注した成果物が予定どおり納品されない。</t>
    <rPh sb="18" eb="20">
      <t>キイン</t>
    </rPh>
    <rPh sb="39" eb="41">
      <t>コウテイ</t>
    </rPh>
    <rPh sb="56" eb="57">
      <t>レイ</t>
    </rPh>
    <rPh sb="59" eb="63">
      <t>ガイブハッチュウ</t>
    </rPh>
    <rPh sb="65" eb="68">
      <t>セイカブツ</t>
    </rPh>
    <rPh sb="69" eb="71">
      <t>ヨテイ</t>
    </rPh>
    <rPh sb="74" eb="76">
      <t>ノウヒン</t>
    </rPh>
    <phoneticPr fontId="2"/>
  </si>
  <si>
    <t>スケジュールリカバリのため、要員追加が必要となる。
例：テスト工期が短縮するため、1名要員追加する</t>
    <rPh sb="31" eb="33">
      <t>コウキ</t>
    </rPh>
    <rPh sb="34" eb="36">
      <t>タンシュク</t>
    </rPh>
    <phoneticPr fontId="2"/>
  </si>
  <si>
    <t>・開発における遅延状況を速やかに把握できるような進捗管理を行い、開発工程内で可能な限りスケジュールをリカバリする。</t>
    <rPh sb="1" eb="3">
      <t>カイハツ</t>
    </rPh>
    <rPh sb="7" eb="9">
      <t>チエン</t>
    </rPh>
    <rPh sb="9" eb="11">
      <t>ジョウキョウ</t>
    </rPh>
    <rPh sb="12" eb="13">
      <t>スミ</t>
    </rPh>
    <rPh sb="16" eb="18">
      <t>ハアク</t>
    </rPh>
    <rPh sb="29" eb="30">
      <t>オコナ</t>
    </rPh>
    <rPh sb="32" eb="34">
      <t>カイハツ</t>
    </rPh>
    <rPh sb="34" eb="36">
      <t>コウテイ</t>
    </rPh>
    <rPh sb="36" eb="37">
      <t>ナイ</t>
    </rPh>
    <rPh sb="38" eb="40">
      <t>カノウ</t>
    </rPh>
    <rPh sb="41" eb="42">
      <t>カギ</t>
    </rPh>
    <phoneticPr fontId="2"/>
  </si>
  <si>
    <t>【計画時点の体制（BP）】
パートナーが、専門知識を持ち合わせていないことから、対応の認識に相違がある可能性がある。
例）
FM経験がないベンダーなど</t>
    <rPh sb="1" eb="5">
      <t>ケイカクジテン</t>
    </rPh>
    <rPh sb="6" eb="8">
      <t>タイセイ</t>
    </rPh>
    <rPh sb="21" eb="23">
      <t>センモン</t>
    </rPh>
    <rPh sb="23" eb="25">
      <t>チシキ</t>
    </rPh>
    <rPh sb="26" eb="27">
      <t>モ</t>
    </rPh>
    <rPh sb="28" eb="29">
      <t>ア</t>
    </rPh>
    <rPh sb="40" eb="42">
      <t>タイオウ</t>
    </rPh>
    <rPh sb="43" eb="45">
      <t>ニンシキ</t>
    </rPh>
    <rPh sb="46" eb="48">
      <t>ソウイ</t>
    </rPh>
    <rPh sb="51" eb="54">
      <t>カノウセイ</t>
    </rPh>
    <rPh sb="60" eb="61">
      <t>レイ</t>
    </rPh>
    <rPh sb="65" eb="67">
      <t>ケイケン</t>
    </rPh>
    <phoneticPr fontId="2"/>
  </si>
  <si>
    <t>5.要員計画&gt;18.社内・体制</t>
  </si>
  <si>
    <t xml:space="preserve">①顧客との定例会等、頻繁に確認できる場を設ける。
②ユーザ部署にもレビュー参加を依頼する。
</t>
    <rPh sb="1" eb="3">
      <t>コキャク</t>
    </rPh>
    <rPh sb="5" eb="8">
      <t>テイレイカイ</t>
    </rPh>
    <rPh sb="8" eb="9">
      <t>トウ</t>
    </rPh>
    <rPh sb="10" eb="12">
      <t>ヒンパン</t>
    </rPh>
    <rPh sb="13" eb="15">
      <t>カクニン</t>
    </rPh>
    <rPh sb="18" eb="19">
      <t>バ</t>
    </rPh>
    <rPh sb="20" eb="21">
      <t>モウ</t>
    </rPh>
    <phoneticPr fontId="2"/>
  </si>
  <si>
    <t>【委託先（委託先見積が不適切）】
パートナーとの認識相違が判明し、追加工数が生じる</t>
    <rPh sb="5" eb="8">
      <t>イタクサキ</t>
    </rPh>
    <rPh sb="8" eb="10">
      <t>ミツモリ</t>
    </rPh>
    <rPh sb="11" eb="14">
      <t>フテキセツ</t>
    </rPh>
    <rPh sb="24" eb="26">
      <t>ニンシキ</t>
    </rPh>
    <rPh sb="26" eb="28">
      <t>ソウイ</t>
    </rPh>
    <rPh sb="29" eb="31">
      <t>ハンメイ</t>
    </rPh>
    <rPh sb="33" eb="35">
      <t>ツイカ</t>
    </rPh>
    <rPh sb="35" eb="37">
      <t>コウスウ</t>
    </rPh>
    <rPh sb="38" eb="39">
      <t>ショウ</t>
    </rPh>
    <phoneticPr fontId="2"/>
  </si>
  <si>
    <t>5.要員計画&gt;20.委託先・見積</t>
  </si>
  <si>
    <t>パートナーとの認識相違により、外部設計の追加発注が必要となる。
例：外部設計工程の見積もりの20%相当分の追加発注が必要となる。</t>
    <rPh sb="7" eb="9">
      <t>ニンシキ</t>
    </rPh>
    <rPh sb="9" eb="11">
      <t>ソウイ</t>
    </rPh>
    <rPh sb="15" eb="19">
      <t>ガイブセッケイ</t>
    </rPh>
    <rPh sb="20" eb="22">
      <t>ツイカ</t>
    </rPh>
    <rPh sb="22" eb="24">
      <t>ハッチュウ</t>
    </rPh>
    <rPh sb="25" eb="27">
      <t>ヒツヨウ</t>
    </rPh>
    <rPh sb="32" eb="33">
      <t>レイ</t>
    </rPh>
    <rPh sb="34" eb="38">
      <t>ガイブセッケイ</t>
    </rPh>
    <rPh sb="38" eb="40">
      <t>コウテイ</t>
    </rPh>
    <rPh sb="41" eb="43">
      <t>ミツ</t>
    </rPh>
    <rPh sb="49" eb="52">
      <t>ソウトウブン</t>
    </rPh>
    <rPh sb="53" eb="55">
      <t>ツイカ</t>
    </rPh>
    <rPh sb="55" eb="57">
      <t>ハッチュウ</t>
    </rPh>
    <rPh sb="58" eb="60">
      <t>ヒツヨウ</t>
    </rPh>
    <phoneticPr fontId="2"/>
  </si>
  <si>
    <t>①見積もり依頼兼発注仕様書を必ず提示する。
②見積もり依頼兼発注仕様書の記載粒度を可能な限り詳細化して、パートナーと事前に認識を合わせる。
③定期的にパートナーと認識合わせの場を設ける。</t>
    <rPh sb="1" eb="3">
      <t>ミツ</t>
    </rPh>
    <rPh sb="5" eb="7">
      <t>イライ</t>
    </rPh>
    <rPh sb="7" eb="8">
      <t>ケン</t>
    </rPh>
    <rPh sb="8" eb="13">
      <t>ハッチュウシヨウショ</t>
    </rPh>
    <rPh sb="14" eb="15">
      <t>カナラ</t>
    </rPh>
    <rPh sb="16" eb="18">
      <t>テイジ</t>
    </rPh>
    <rPh sb="36" eb="40">
      <t>キサイリュウド</t>
    </rPh>
    <rPh sb="41" eb="43">
      <t>カノウ</t>
    </rPh>
    <rPh sb="44" eb="45">
      <t>カギ</t>
    </rPh>
    <rPh sb="46" eb="49">
      <t>ショウサイカ</t>
    </rPh>
    <rPh sb="58" eb="60">
      <t>ジゼン</t>
    </rPh>
    <rPh sb="61" eb="63">
      <t>ニンシキ</t>
    </rPh>
    <rPh sb="64" eb="65">
      <t>ア</t>
    </rPh>
    <rPh sb="71" eb="74">
      <t>テイキテキ</t>
    </rPh>
    <rPh sb="81" eb="83">
      <t>ニンシキ</t>
    </rPh>
    <rPh sb="83" eb="84">
      <t>ア</t>
    </rPh>
    <rPh sb="87" eb="88">
      <t>バ</t>
    </rPh>
    <rPh sb="89" eb="90">
      <t>モウ</t>
    </rPh>
    <phoneticPr fontId="2"/>
  </si>
  <si>
    <t>【委託先（動員力不足）】
パートナーの品質悪化等により体制強化が急務だが、動員力の問題により対応が遅れる。</t>
    <rPh sb="5" eb="8">
      <t>ドウインリョク</t>
    </rPh>
    <rPh sb="8" eb="10">
      <t>ブソク</t>
    </rPh>
    <rPh sb="19" eb="21">
      <t>ヒンシツ</t>
    </rPh>
    <rPh sb="21" eb="23">
      <t>アッカ</t>
    </rPh>
    <rPh sb="23" eb="24">
      <t>トウ</t>
    </rPh>
    <rPh sb="27" eb="31">
      <t>タイセイキョウカ</t>
    </rPh>
    <rPh sb="32" eb="34">
      <t>キュウム</t>
    </rPh>
    <rPh sb="37" eb="40">
      <t>ドウインリョク</t>
    </rPh>
    <rPh sb="41" eb="43">
      <t>モンダイ</t>
    </rPh>
    <rPh sb="46" eb="48">
      <t>タイオウ</t>
    </rPh>
    <rPh sb="49" eb="50">
      <t>オク</t>
    </rPh>
    <phoneticPr fontId="1"/>
  </si>
  <si>
    <t>5.要員計画&gt;21.委託先・動員力</t>
  </si>
  <si>
    <t>パートナーの品質悪化が判明したが、要員の動員力の問題によりアサインが難しいため、別パートナーから新規要員を調達する。
よって、純粋な工数に加え、引継ぎ等の準備工数が必要となる。
例：総合試験4.5M×40%=1.8M</t>
    <rPh sb="6" eb="8">
      <t>ヒンシツ</t>
    </rPh>
    <rPh sb="8" eb="10">
      <t>アッカ</t>
    </rPh>
    <rPh sb="11" eb="13">
      <t>ハンメイ</t>
    </rPh>
    <rPh sb="17" eb="19">
      <t>ヨウイン</t>
    </rPh>
    <rPh sb="20" eb="23">
      <t>ドウインリョク</t>
    </rPh>
    <rPh sb="24" eb="26">
      <t>モンダイ</t>
    </rPh>
    <rPh sb="34" eb="35">
      <t>ムズカ</t>
    </rPh>
    <rPh sb="40" eb="41">
      <t>ベツ</t>
    </rPh>
    <rPh sb="48" eb="52">
      <t>シンキヨウイン</t>
    </rPh>
    <rPh sb="53" eb="55">
      <t>チョウタツ</t>
    </rPh>
    <rPh sb="63" eb="65">
      <t>ジュンスイ</t>
    </rPh>
    <rPh sb="66" eb="68">
      <t>コウスウ</t>
    </rPh>
    <rPh sb="69" eb="70">
      <t>クワ</t>
    </rPh>
    <rPh sb="72" eb="74">
      <t>ヒキツ</t>
    </rPh>
    <rPh sb="75" eb="76">
      <t>トウ</t>
    </rPh>
    <rPh sb="77" eb="79">
      <t>ジュンビ</t>
    </rPh>
    <rPh sb="79" eb="81">
      <t>コウスウ</t>
    </rPh>
    <rPh sb="82" eb="84">
      <t>ヒツヨウ</t>
    </rPh>
    <rPh sb="89" eb="90">
      <t>レイ</t>
    </rPh>
    <rPh sb="91" eb="93">
      <t>ソウゴウ</t>
    </rPh>
    <rPh sb="93" eb="95">
      <t>シケン</t>
    </rPh>
    <phoneticPr fontId="1"/>
  </si>
  <si>
    <t>①パートナーの要員動員力や別案件への関与度合いを定期的に確認する。
②見積依頼の前提事項に要員の動員力を明記する。
③パートナーとの工数折半を検討する。</t>
    <rPh sb="7" eb="9">
      <t>ヨウイン</t>
    </rPh>
    <rPh sb="9" eb="12">
      <t>ドウインリョク</t>
    </rPh>
    <rPh sb="13" eb="16">
      <t>ベツアンケン</t>
    </rPh>
    <rPh sb="18" eb="22">
      <t>カンヨドア</t>
    </rPh>
    <rPh sb="24" eb="27">
      <t>テイキテキ</t>
    </rPh>
    <rPh sb="28" eb="30">
      <t>カクニン</t>
    </rPh>
    <rPh sb="35" eb="37">
      <t>ミツ</t>
    </rPh>
    <rPh sb="37" eb="39">
      <t>イライ</t>
    </rPh>
    <rPh sb="40" eb="44">
      <t>ゼンテイジコウ</t>
    </rPh>
    <rPh sb="45" eb="47">
      <t>ヨウイン</t>
    </rPh>
    <rPh sb="48" eb="51">
      <t>ドウインリョク</t>
    </rPh>
    <rPh sb="52" eb="54">
      <t>メイキ</t>
    </rPh>
    <rPh sb="66" eb="68">
      <t>コウスウ</t>
    </rPh>
    <rPh sb="68" eb="70">
      <t>セッパン</t>
    </rPh>
    <rPh sb="71" eb="73">
      <t>ケントウ</t>
    </rPh>
    <phoneticPr fontId="1"/>
  </si>
  <si>
    <t>【委託先（経営状況）】
経営悪化により、パートナーの体制変更を余儀なくされる</t>
    <rPh sb="1" eb="4">
      <t>イタクサキ</t>
    </rPh>
    <rPh sb="5" eb="9">
      <t>ケイエイジョウキョウ</t>
    </rPh>
    <rPh sb="12" eb="16">
      <t>ケイエイアッカ</t>
    </rPh>
    <rPh sb="26" eb="28">
      <t>タイセイ</t>
    </rPh>
    <rPh sb="28" eb="30">
      <t>ヘンコウ</t>
    </rPh>
    <rPh sb="31" eb="33">
      <t>ヨギ</t>
    </rPh>
    <phoneticPr fontId="2"/>
  </si>
  <si>
    <t>5.要員計画&gt;22.委託先・経営状況</t>
  </si>
  <si>
    <t>パートナーの経営悪化により、別パートナーから新規要員を調達する。
よって、純粋な工数に加え、引継ぎ等の準備工数が必要となる。
例：総合試験4.5M×40%=1.8M</t>
    <rPh sb="6" eb="10">
      <t>ケイエイアッカ</t>
    </rPh>
    <rPh sb="14" eb="15">
      <t>ベツ</t>
    </rPh>
    <rPh sb="22" eb="26">
      <t>シンキヨウイン</t>
    </rPh>
    <rPh sb="27" eb="29">
      <t>チョウタツ</t>
    </rPh>
    <rPh sb="37" eb="39">
      <t>ジュンスイ</t>
    </rPh>
    <rPh sb="40" eb="42">
      <t>コウスウ</t>
    </rPh>
    <rPh sb="43" eb="44">
      <t>クワ</t>
    </rPh>
    <rPh sb="46" eb="48">
      <t>ヒキツ</t>
    </rPh>
    <rPh sb="49" eb="50">
      <t>トウ</t>
    </rPh>
    <rPh sb="51" eb="53">
      <t>ジュンビ</t>
    </rPh>
    <rPh sb="53" eb="55">
      <t>コウスウ</t>
    </rPh>
    <rPh sb="56" eb="58">
      <t>ヒツヨウ</t>
    </rPh>
    <rPh sb="63" eb="64">
      <t>レイ</t>
    </rPh>
    <rPh sb="65" eb="67">
      <t>ソウゴウ</t>
    </rPh>
    <rPh sb="67" eb="69">
      <t>シケン</t>
    </rPh>
    <phoneticPr fontId="1"/>
  </si>
  <si>
    <t>①パートナーと定期的に会話する場を設け、少しでも早く状況を把握できるようにする。</t>
    <rPh sb="7" eb="10">
      <t>テイキテキ</t>
    </rPh>
    <rPh sb="11" eb="13">
      <t>カイワ</t>
    </rPh>
    <rPh sb="15" eb="16">
      <t>バ</t>
    </rPh>
    <rPh sb="17" eb="18">
      <t>モウ</t>
    </rPh>
    <rPh sb="20" eb="21">
      <t>スコ</t>
    </rPh>
    <rPh sb="24" eb="25">
      <t>ハヤ</t>
    </rPh>
    <rPh sb="26" eb="28">
      <t>ジョウキョウ</t>
    </rPh>
    <rPh sb="29" eb="31">
      <t>ハアク</t>
    </rPh>
    <phoneticPr fontId="1"/>
  </si>
  <si>
    <t>④環境起因 (ハード、ソフト)</t>
    <phoneticPr fontId="2"/>
  </si>
  <si>
    <t>【パッケージのFITGAP】
パッケージ製品の制約により、構築中の機能に影響が生じる
例）
・新規パッケージが要件に合致していないことを検知しアドオン開発が必要となる
・バージョンアップが必要となる</t>
    <rPh sb="20" eb="22">
      <t>セイヒン</t>
    </rPh>
    <rPh sb="23" eb="25">
      <t>セイヤク</t>
    </rPh>
    <rPh sb="29" eb="32">
      <t>コウチクチュウ</t>
    </rPh>
    <rPh sb="33" eb="35">
      <t>キノウ</t>
    </rPh>
    <rPh sb="36" eb="38">
      <t>エイキョウ</t>
    </rPh>
    <rPh sb="39" eb="40">
      <t>ショウ</t>
    </rPh>
    <rPh sb="44" eb="45">
      <t>レイ</t>
    </rPh>
    <rPh sb="76" eb="78">
      <t>カイハツ</t>
    </rPh>
    <rPh sb="79" eb="81">
      <t>ヒツヨウ</t>
    </rPh>
    <rPh sb="95" eb="97">
      <t>ヒツヨウ</t>
    </rPh>
    <phoneticPr fontId="2"/>
  </si>
  <si>
    <t>2.要件洗い出し&gt;13.パッケージ・製品</t>
    <rPh sb="18" eb="20">
      <t>セイヒン</t>
    </rPh>
    <phoneticPr fontId="2"/>
  </si>
  <si>
    <t>パッケージのFITGAP分析が不十分なことにより、追加機能開発が必要となる。
パッケージバージョンアップにより、現行機能担保のための機能開発が必要となる。
例：[3人月]
1機能＝1人月
※3機能追加を想定</t>
    <rPh sb="12" eb="14">
      <t>ブンセキ</t>
    </rPh>
    <rPh sb="15" eb="18">
      <t>フジュウブン</t>
    </rPh>
    <rPh sb="25" eb="27">
      <t>ツイカ</t>
    </rPh>
    <rPh sb="27" eb="29">
      <t>キノウ</t>
    </rPh>
    <rPh sb="29" eb="31">
      <t>カイハツ</t>
    </rPh>
    <rPh sb="32" eb="34">
      <t>ヒツヨウ</t>
    </rPh>
    <rPh sb="56" eb="58">
      <t>ゲンコウ</t>
    </rPh>
    <rPh sb="58" eb="60">
      <t>キノウ</t>
    </rPh>
    <rPh sb="60" eb="62">
      <t>タンポ</t>
    </rPh>
    <rPh sb="66" eb="68">
      <t>キノウ</t>
    </rPh>
    <rPh sb="68" eb="70">
      <t>カイハツ</t>
    </rPh>
    <rPh sb="71" eb="73">
      <t>ヒツヨウ</t>
    </rPh>
    <rPh sb="78" eb="79">
      <t>レイ</t>
    </rPh>
    <rPh sb="82" eb="83">
      <t>ニン</t>
    </rPh>
    <rPh sb="83" eb="84">
      <t>ゲツ</t>
    </rPh>
    <rPh sb="87" eb="89">
      <t>キノウ</t>
    </rPh>
    <rPh sb="91" eb="92">
      <t>ニン</t>
    </rPh>
    <rPh sb="92" eb="93">
      <t>ゲツ</t>
    </rPh>
    <rPh sb="96" eb="98">
      <t>キノウ</t>
    </rPh>
    <rPh sb="98" eb="100">
      <t>ツイカ</t>
    </rPh>
    <rPh sb="101" eb="103">
      <t>ソウテイ</t>
    </rPh>
    <phoneticPr fontId="2"/>
  </si>
  <si>
    <t xml:space="preserve">①業務をパッケージに準拠するよう変更を促し、追加開発の機能ボリュームを軽減する
②パッケージ製品を契約する際の前提条件に、バージョンアップ時の連絡や仕様変更の内容や影響を開示頂くことを明記する。
</t>
    <rPh sb="1" eb="3">
      <t>ギョウム</t>
    </rPh>
    <rPh sb="10" eb="12">
      <t>ジュンキョ</t>
    </rPh>
    <rPh sb="16" eb="18">
      <t>ヘンコウ</t>
    </rPh>
    <rPh sb="19" eb="20">
      <t>ウナガ</t>
    </rPh>
    <rPh sb="22" eb="24">
      <t>ツイカ</t>
    </rPh>
    <rPh sb="24" eb="26">
      <t>カイハツ</t>
    </rPh>
    <rPh sb="27" eb="29">
      <t>キノウ</t>
    </rPh>
    <rPh sb="35" eb="37">
      <t>ケイゲン</t>
    </rPh>
    <rPh sb="45" eb="47">
      <t>セイヒン</t>
    </rPh>
    <rPh sb="48" eb="50">
      <t>ケイヤク</t>
    </rPh>
    <rPh sb="52" eb="53">
      <t>サイ</t>
    </rPh>
    <rPh sb="54" eb="58">
      <t>ゼンテイジョウケン</t>
    </rPh>
    <rPh sb="68" eb="69">
      <t>ジ</t>
    </rPh>
    <rPh sb="70" eb="72">
      <t>レンラク</t>
    </rPh>
    <rPh sb="73" eb="77">
      <t>シヨウヘンコウ</t>
    </rPh>
    <rPh sb="78" eb="80">
      <t>ナイヨウ</t>
    </rPh>
    <rPh sb="81" eb="83">
      <t>エイキョウ</t>
    </rPh>
    <rPh sb="84" eb="86">
      <t>カイジ</t>
    </rPh>
    <rPh sb="86" eb="87">
      <t>イタダ</t>
    </rPh>
    <rPh sb="91" eb="93">
      <t>メイキ</t>
    </rPh>
    <phoneticPr fontId="2"/>
  </si>
  <si>
    <t>【パッケージのドキュメント不足】
パッケージを前提にしたプロジェクト作業において、情報が不足し意図しない追加作業が発生する。
例）
検証計画や運用設計時にパッケージの詳細情報が入手できないなど</t>
    <rPh sb="13" eb="15">
      <t>ブソク</t>
    </rPh>
    <rPh sb="23" eb="25">
      <t>ゼンテイ</t>
    </rPh>
    <rPh sb="34" eb="36">
      <t>サギョウ</t>
    </rPh>
    <rPh sb="41" eb="43">
      <t>ジョウホウ</t>
    </rPh>
    <rPh sb="44" eb="46">
      <t>フソク</t>
    </rPh>
    <rPh sb="47" eb="49">
      <t>イト</t>
    </rPh>
    <rPh sb="52" eb="56">
      <t>ツイカサギョウ</t>
    </rPh>
    <rPh sb="57" eb="59">
      <t>ハッセイ</t>
    </rPh>
    <rPh sb="64" eb="65">
      <t>レイ</t>
    </rPh>
    <rPh sb="67" eb="69">
      <t>ケンショウ</t>
    </rPh>
    <rPh sb="69" eb="71">
      <t>ケイカク</t>
    </rPh>
    <rPh sb="72" eb="76">
      <t>ウンヨウセッケイ</t>
    </rPh>
    <rPh sb="76" eb="77">
      <t>ジ</t>
    </rPh>
    <rPh sb="84" eb="88">
      <t>ショウサイジョウホウ</t>
    </rPh>
    <rPh sb="89" eb="91">
      <t>ニュウシュ</t>
    </rPh>
    <phoneticPr fontId="2"/>
  </si>
  <si>
    <t>3.作業洗い出し(WBS)&gt;15.パッケージ・製品</t>
    <rPh sb="23" eb="25">
      <t>セイヒン</t>
    </rPh>
    <phoneticPr fontId="2"/>
  </si>
  <si>
    <t>①事前にパッケージの公開されている情報を確認し、成果物や記載粒度の観点でFitGapを行う
②Gapとなった対象に対して、予め仕様調査やドキュメント作成工数を計画に織り込む</t>
    <rPh sb="1" eb="3">
      <t>ジゼン</t>
    </rPh>
    <rPh sb="10" eb="12">
      <t>コウカイ</t>
    </rPh>
    <rPh sb="17" eb="19">
      <t>ジョウホウ</t>
    </rPh>
    <rPh sb="20" eb="22">
      <t>カクニン</t>
    </rPh>
    <rPh sb="24" eb="27">
      <t>セイカブツ</t>
    </rPh>
    <rPh sb="28" eb="30">
      <t>キサイ</t>
    </rPh>
    <rPh sb="30" eb="32">
      <t>リュウド</t>
    </rPh>
    <rPh sb="33" eb="35">
      <t>カンテン</t>
    </rPh>
    <rPh sb="43" eb="44">
      <t>オコナ</t>
    </rPh>
    <rPh sb="54" eb="56">
      <t>タイショウ</t>
    </rPh>
    <rPh sb="57" eb="58">
      <t>タイ</t>
    </rPh>
    <rPh sb="61" eb="62">
      <t>アラカジ</t>
    </rPh>
    <rPh sb="63" eb="65">
      <t>シヨウ</t>
    </rPh>
    <rPh sb="65" eb="67">
      <t>チョウサ</t>
    </rPh>
    <rPh sb="74" eb="76">
      <t>サクセイ</t>
    </rPh>
    <rPh sb="76" eb="78">
      <t>コウスウ</t>
    </rPh>
    <rPh sb="79" eb="81">
      <t>ケイカク</t>
    </rPh>
    <rPh sb="82" eb="83">
      <t>オ</t>
    </rPh>
    <rPh sb="84" eb="85">
      <t>コ</t>
    </rPh>
    <phoneticPr fontId="2"/>
  </si>
  <si>
    <t>⑤他システム起因 (連携システム)</t>
    <phoneticPr fontId="2"/>
  </si>
  <si>
    <t>【PJT進行中の工期・納期遅延（他ベンダー起因）】
プロジェクトに関わる他ベンダー（自身のパートナーとは別の役割が別のベンダー）のXX工程が遅延しており、予定どおり後続工程が開始できない。
例）
接続先の他ベンダーシステムの要件定義工程の遅延による、外部設計工程でのI/Fの確定の遅延。
接続先の他ベンダーシステムの要件定義工程の遅延による、想定外の追加外部設計作業が発生。</t>
    <rPh sb="16" eb="17">
      <t>タ</t>
    </rPh>
    <rPh sb="21" eb="23">
      <t>キイン</t>
    </rPh>
    <rPh sb="33" eb="34">
      <t>カカ</t>
    </rPh>
    <rPh sb="36" eb="37">
      <t>ホカ</t>
    </rPh>
    <rPh sb="42" eb="44">
      <t>ジシン</t>
    </rPh>
    <rPh sb="52" eb="53">
      <t>ベツ</t>
    </rPh>
    <rPh sb="54" eb="56">
      <t>ヤクワリ</t>
    </rPh>
    <rPh sb="57" eb="58">
      <t>ベツ</t>
    </rPh>
    <rPh sb="67" eb="69">
      <t>コウテイ</t>
    </rPh>
    <rPh sb="70" eb="72">
      <t>チエン</t>
    </rPh>
    <rPh sb="77" eb="79">
      <t>ヨテイ</t>
    </rPh>
    <rPh sb="82" eb="86">
      <t>コウゾクコウテイ</t>
    </rPh>
    <rPh sb="87" eb="89">
      <t>カイシ</t>
    </rPh>
    <rPh sb="96" eb="97">
      <t>レイ</t>
    </rPh>
    <rPh sb="99" eb="102">
      <t>セツゾクサキ</t>
    </rPh>
    <rPh sb="103" eb="104">
      <t>タ</t>
    </rPh>
    <rPh sb="113" eb="117">
      <t>ヨウケンテイギ</t>
    </rPh>
    <rPh sb="117" eb="119">
      <t>コウテイ</t>
    </rPh>
    <rPh sb="120" eb="122">
      <t>チエン</t>
    </rPh>
    <rPh sb="126" eb="132">
      <t>ガイブセッケイコウテイ</t>
    </rPh>
    <rPh sb="138" eb="140">
      <t>カクテイ</t>
    </rPh>
    <rPh sb="141" eb="143">
      <t>チエン</t>
    </rPh>
    <rPh sb="172" eb="174">
      <t>ソウテイ</t>
    </rPh>
    <rPh sb="174" eb="175">
      <t>ガイ</t>
    </rPh>
    <rPh sb="176" eb="178">
      <t>ツイカ</t>
    </rPh>
    <rPh sb="178" eb="182">
      <t>ガイブセッケイ</t>
    </rPh>
    <rPh sb="182" eb="184">
      <t>サギョウ</t>
    </rPh>
    <rPh sb="185" eb="187">
      <t>ハッセイ</t>
    </rPh>
    <phoneticPr fontId="2"/>
  </si>
  <si>
    <t xml:space="preserve">CL領域とのI/F確定が遅延又は追加が発生することにより、後続工程でも引き続き外部設計が必要となる。
例：CL領域とのI/Fにかかる外部設計の延期
[2人月]
2人月×1か月
</t>
    <rPh sb="2" eb="4">
      <t>リョウイキ</t>
    </rPh>
    <rPh sb="9" eb="11">
      <t>カクテイ</t>
    </rPh>
    <rPh sb="12" eb="14">
      <t>チエン</t>
    </rPh>
    <rPh sb="14" eb="15">
      <t>マタ</t>
    </rPh>
    <rPh sb="16" eb="18">
      <t>ツイカ</t>
    </rPh>
    <rPh sb="19" eb="21">
      <t>ハッセイ</t>
    </rPh>
    <rPh sb="29" eb="31">
      <t>コウゾク</t>
    </rPh>
    <rPh sb="31" eb="33">
      <t>コウテイ</t>
    </rPh>
    <rPh sb="35" eb="36">
      <t>ヒ</t>
    </rPh>
    <rPh sb="37" eb="38">
      <t>ツヅ</t>
    </rPh>
    <rPh sb="39" eb="43">
      <t>ガイブセッケイ</t>
    </rPh>
    <rPh sb="52" eb="53">
      <t>レイ</t>
    </rPh>
    <rPh sb="56" eb="58">
      <t>リョウイキ</t>
    </rPh>
    <rPh sb="67" eb="71">
      <t>ガイブセッケイ</t>
    </rPh>
    <rPh sb="72" eb="74">
      <t>エンキ</t>
    </rPh>
    <phoneticPr fontId="2"/>
  </si>
  <si>
    <t>①外部設計工程の提案において、I/Fの前提を置いて作業を開始する。
②外部設計工程の作業においても、外部I/Fに関する取り決めスケジュールについて早期に合意を取り付ける。</t>
    <rPh sb="1" eb="5">
      <t>ガイブセッケイ</t>
    </rPh>
    <rPh sb="5" eb="7">
      <t>コウテイ</t>
    </rPh>
    <rPh sb="8" eb="10">
      <t>テイアン</t>
    </rPh>
    <rPh sb="19" eb="21">
      <t>ゼンテイ</t>
    </rPh>
    <rPh sb="22" eb="23">
      <t>オ</t>
    </rPh>
    <rPh sb="25" eb="27">
      <t>サギョウ</t>
    </rPh>
    <rPh sb="28" eb="30">
      <t>カイシ</t>
    </rPh>
    <rPh sb="35" eb="39">
      <t>ガイブセッケイ</t>
    </rPh>
    <rPh sb="39" eb="41">
      <t>コウテイ</t>
    </rPh>
    <rPh sb="42" eb="44">
      <t>サギョウ</t>
    </rPh>
    <rPh sb="50" eb="52">
      <t>ガイブ</t>
    </rPh>
    <rPh sb="56" eb="57">
      <t>カン</t>
    </rPh>
    <rPh sb="59" eb="60">
      <t>ト</t>
    </rPh>
    <rPh sb="61" eb="62">
      <t>キ</t>
    </rPh>
    <rPh sb="73" eb="75">
      <t>ソウキ</t>
    </rPh>
    <rPh sb="76" eb="78">
      <t>ゴウイ</t>
    </rPh>
    <rPh sb="79" eb="80">
      <t>ト</t>
    </rPh>
    <rPh sb="81" eb="82">
      <t>ツ</t>
    </rPh>
    <phoneticPr fontId="2"/>
  </si>
  <si>
    <t>【要件の認識相違（CTC対他ベンダー）】
他ベンダーとの仕様認識齟齬が発生する。
（責任の所在が曖昧で且つ軽微な仕様変更を対応せざるを得ない）</t>
    <rPh sb="13" eb="14">
      <t>タ</t>
    </rPh>
    <rPh sb="21" eb="22">
      <t>ホカ</t>
    </rPh>
    <rPh sb="28" eb="30">
      <t>シヨウ</t>
    </rPh>
    <rPh sb="30" eb="32">
      <t>ニンシキ</t>
    </rPh>
    <rPh sb="32" eb="34">
      <t>ソゴ</t>
    </rPh>
    <rPh sb="35" eb="37">
      <t>ハッセイ</t>
    </rPh>
    <rPh sb="42" eb="44">
      <t>セキニン</t>
    </rPh>
    <rPh sb="45" eb="47">
      <t>ショザイ</t>
    </rPh>
    <rPh sb="48" eb="50">
      <t>アイマイ</t>
    </rPh>
    <rPh sb="51" eb="52">
      <t>カ</t>
    </rPh>
    <rPh sb="53" eb="55">
      <t>ケイビ</t>
    </rPh>
    <rPh sb="56" eb="58">
      <t>シヨウ</t>
    </rPh>
    <rPh sb="58" eb="60">
      <t>ヘンコウ</t>
    </rPh>
    <rPh sb="61" eb="63">
      <t>タイオウ</t>
    </rPh>
    <rPh sb="67" eb="68">
      <t>エ</t>
    </rPh>
    <phoneticPr fontId="2"/>
  </si>
  <si>
    <t>他ベンダーとの連携仕様において仕様変更が発生。
例：（店舗/SAT通信（2機能）+本部/バッチ連携（2機能））×1M＝4M</t>
    <rPh sb="0" eb="1">
      <t>ホカ</t>
    </rPh>
    <rPh sb="7" eb="9">
      <t>レンケイ</t>
    </rPh>
    <rPh sb="9" eb="11">
      <t>シヨウ</t>
    </rPh>
    <rPh sb="15" eb="17">
      <t>シヨウ</t>
    </rPh>
    <rPh sb="17" eb="19">
      <t>ヘンコウ</t>
    </rPh>
    <rPh sb="20" eb="22">
      <t>ハッセイ</t>
    </rPh>
    <rPh sb="24" eb="25">
      <t>レイ</t>
    </rPh>
    <rPh sb="27" eb="29">
      <t>テンポ</t>
    </rPh>
    <rPh sb="33" eb="35">
      <t>ツウシン</t>
    </rPh>
    <rPh sb="37" eb="39">
      <t>キノウ</t>
    </rPh>
    <rPh sb="41" eb="43">
      <t>ホンブ</t>
    </rPh>
    <rPh sb="47" eb="49">
      <t>レンケイ</t>
    </rPh>
    <rPh sb="51" eb="53">
      <t>キノウ</t>
    </rPh>
    <phoneticPr fontId="1"/>
  </si>
  <si>
    <t>⑥その他起因 (コロナ、期またがりの単価変動等)</t>
    <phoneticPr fontId="2"/>
  </si>
  <si>
    <t>【法対応】
法対応等、対応必須だが要件が定まらない、もしくは十分な工期が確保できないリスクが生じる
例）
インボイスなど法令で定められたスケジュール制約を守る必要がある。</t>
    <rPh sb="1" eb="4">
      <t>ホウタイオウ</t>
    </rPh>
    <rPh sb="6" eb="9">
      <t>ホウタイオウ</t>
    </rPh>
    <rPh sb="9" eb="10">
      <t>トウ</t>
    </rPh>
    <rPh sb="11" eb="15">
      <t>タイオウヒッス</t>
    </rPh>
    <rPh sb="17" eb="19">
      <t>ヨウケン</t>
    </rPh>
    <rPh sb="20" eb="21">
      <t>サダ</t>
    </rPh>
    <rPh sb="30" eb="32">
      <t>ジュウブン</t>
    </rPh>
    <rPh sb="33" eb="35">
      <t>コウキ</t>
    </rPh>
    <rPh sb="36" eb="38">
      <t>カクホ</t>
    </rPh>
    <rPh sb="46" eb="47">
      <t>ショウ</t>
    </rPh>
    <rPh sb="51" eb="52">
      <t>レイ</t>
    </rPh>
    <rPh sb="61" eb="63">
      <t>ホウレイ</t>
    </rPh>
    <rPh sb="64" eb="65">
      <t>サダ</t>
    </rPh>
    <rPh sb="75" eb="77">
      <t>セイヤク</t>
    </rPh>
    <rPh sb="78" eb="79">
      <t>マモ</t>
    </rPh>
    <rPh sb="80" eb="82">
      <t>ヒツヨウ</t>
    </rPh>
    <phoneticPr fontId="2"/>
  </si>
  <si>
    <t>2.要件洗い出し&gt;12.要件・コンプライアンス</t>
  </si>
  <si>
    <t>①CTC内の他社事例紹介、ベンダー主催のセミナーを活用することで早期要件確定を図る。
②予め要件が決まらない・変更することを原価に見込む
③検討体制において、法令に精通している有識者を含む体制を構築する</t>
    <rPh sb="4" eb="5">
      <t>ナイ</t>
    </rPh>
    <rPh sb="6" eb="10">
      <t>タシャジレイ</t>
    </rPh>
    <rPh sb="10" eb="12">
      <t>ショウカイ</t>
    </rPh>
    <rPh sb="17" eb="19">
      <t>シュサイ</t>
    </rPh>
    <rPh sb="25" eb="27">
      <t>カツヨウ</t>
    </rPh>
    <rPh sb="32" eb="34">
      <t>ソウキ</t>
    </rPh>
    <rPh sb="34" eb="38">
      <t>ヨウケンカクテイ</t>
    </rPh>
    <rPh sb="39" eb="40">
      <t>ハカ</t>
    </rPh>
    <rPh sb="44" eb="45">
      <t>アラカジ</t>
    </rPh>
    <rPh sb="46" eb="48">
      <t>ヨウケン</t>
    </rPh>
    <rPh sb="49" eb="50">
      <t>キ</t>
    </rPh>
    <rPh sb="55" eb="57">
      <t>ヘンコウ</t>
    </rPh>
    <rPh sb="62" eb="64">
      <t>ゲンカ</t>
    </rPh>
    <rPh sb="65" eb="67">
      <t>ミコ</t>
    </rPh>
    <rPh sb="79" eb="81">
      <t>ホウレイ</t>
    </rPh>
    <rPh sb="82" eb="84">
      <t>セイツウ</t>
    </rPh>
    <rPh sb="88" eb="91">
      <t>ユウシキシャ</t>
    </rPh>
    <rPh sb="92" eb="93">
      <t>フク</t>
    </rPh>
    <phoneticPr fontId="2"/>
  </si>
  <si>
    <t>【別案件の先行リリース】
PJに関連する別の改修案件を先にリリースすることになり、デグレテストが必要となる。
例）
2023/12リリース予定であったが、2023/9にインボイス対応を先行リリースすることになり、プログラムのデグレ確認テストが必要となった。</t>
    <rPh sb="1" eb="4">
      <t>ベツアンケン</t>
    </rPh>
    <rPh sb="5" eb="7">
      <t>センコウ</t>
    </rPh>
    <rPh sb="16" eb="18">
      <t>カンレン</t>
    </rPh>
    <rPh sb="20" eb="21">
      <t>ベツ</t>
    </rPh>
    <rPh sb="22" eb="26">
      <t>カイシュウアンケン</t>
    </rPh>
    <rPh sb="27" eb="28">
      <t>サキ</t>
    </rPh>
    <rPh sb="48" eb="50">
      <t>ヒツヨウ</t>
    </rPh>
    <rPh sb="56" eb="57">
      <t>レイ</t>
    </rPh>
    <rPh sb="70" eb="72">
      <t>ヨテイ</t>
    </rPh>
    <rPh sb="90" eb="92">
      <t>タイオウ</t>
    </rPh>
    <rPh sb="93" eb="95">
      <t>センコウ</t>
    </rPh>
    <rPh sb="116" eb="118">
      <t>カクニン</t>
    </rPh>
    <rPh sb="122" eb="124">
      <t>ヒツヨウ</t>
    </rPh>
    <phoneticPr fontId="2"/>
  </si>
  <si>
    <t>・契約の前提とする：別途見積・スケジュール再調整</t>
    <rPh sb="1" eb="3">
      <t>ケイヤク</t>
    </rPh>
    <rPh sb="4" eb="6">
      <t>ゼンテイ</t>
    </rPh>
    <rPh sb="10" eb="12">
      <t>ベット</t>
    </rPh>
    <rPh sb="12" eb="14">
      <t>ミツモリ</t>
    </rPh>
    <rPh sb="21" eb="22">
      <t>サイ</t>
    </rPh>
    <rPh sb="22" eb="24">
      <t>チョウセイ</t>
    </rPh>
    <phoneticPr fontId="2"/>
  </si>
  <si>
    <t>【期跨ぎ案件】
期跨ぎにより、開発メンバーの採算原価の単価が上がる。
例）
毎年の昇降格により単価変動が発生。</t>
    <rPh sb="1" eb="3">
      <t>キマタ</t>
    </rPh>
    <rPh sb="4" eb="6">
      <t>アンケン</t>
    </rPh>
    <rPh sb="36" eb="37">
      <t>レイ</t>
    </rPh>
    <rPh sb="48" eb="50">
      <t>タンカ</t>
    </rPh>
    <rPh sb="50" eb="52">
      <t>ヘンドウ</t>
    </rPh>
    <rPh sb="53" eb="55">
      <t>ハッセイ</t>
    </rPh>
    <phoneticPr fontId="2"/>
  </si>
  <si>
    <t>期跨ぎにより、開発メンバーの採算原価の単価が上がり、採算が悪化する。
例：単価変動時期において昇格による単価10%増
4～5月の時間単価：7,000
6月～の時間単価：7,000×1.1＝7,700</t>
    <rPh sb="26" eb="28">
      <t>サイサン</t>
    </rPh>
    <rPh sb="29" eb="31">
      <t>アッカ</t>
    </rPh>
    <rPh sb="36" eb="37">
      <t>レイ</t>
    </rPh>
    <rPh sb="38" eb="42">
      <t>タンカヘンドウ</t>
    </rPh>
    <rPh sb="42" eb="44">
      <t>ジキ</t>
    </rPh>
    <rPh sb="48" eb="50">
      <t>ショウカク</t>
    </rPh>
    <rPh sb="53" eb="55">
      <t>タンカ</t>
    </rPh>
    <rPh sb="58" eb="59">
      <t>ゾウ</t>
    </rPh>
    <rPh sb="63" eb="64">
      <t>ガツ</t>
    </rPh>
    <rPh sb="65" eb="67">
      <t>ジカン</t>
    </rPh>
    <rPh sb="67" eb="69">
      <t>タンカ</t>
    </rPh>
    <rPh sb="77" eb="78">
      <t>ガツ</t>
    </rPh>
    <rPh sb="80" eb="84">
      <t>ジカンタンカ</t>
    </rPh>
    <phoneticPr fontId="2"/>
  </si>
  <si>
    <t>①原則、営業部門へ事前に相談の上、見積作成時点で単価変更を想定した採算原価見積を作成する。
②単価変更がある場合は行を分けて記載する。その際、人名も単価変更前後で分けて記載する。
※社員/派遣単価はPJ-Naviから取得すること
※毎年の昇降格でも単価は変わり得る。作成時点で織り込むことはできないが、発生時は営業へ相談の上、変更対応をすること。</t>
    <rPh sb="1" eb="3">
      <t>ゲンソク</t>
    </rPh>
    <rPh sb="4" eb="6">
      <t>エイギョウ</t>
    </rPh>
    <rPh sb="6" eb="8">
      <t>ブモン</t>
    </rPh>
    <rPh sb="9" eb="11">
      <t>ジゼン</t>
    </rPh>
    <rPh sb="12" eb="14">
      <t>ソウダン</t>
    </rPh>
    <rPh sb="15" eb="16">
      <t>ウエ</t>
    </rPh>
    <rPh sb="17" eb="19">
      <t>ミツモリ</t>
    </rPh>
    <rPh sb="19" eb="21">
      <t>サクセイ</t>
    </rPh>
    <rPh sb="21" eb="23">
      <t>ジテン</t>
    </rPh>
    <rPh sb="24" eb="26">
      <t>タンカ</t>
    </rPh>
    <rPh sb="26" eb="28">
      <t>ヘンコウ</t>
    </rPh>
    <rPh sb="29" eb="31">
      <t>ソウテイ</t>
    </rPh>
    <rPh sb="33" eb="35">
      <t>サイサン</t>
    </rPh>
    <rPh sb="35" eb="37">
      <t>ゲンカ</t>
    </rPh>
    <rPh sb="37" eb="39">
      <t>ミツモリ</t>
    </rPh>
    <rPh sb="40" eb="42">
      <t>サクセイ</t>
    </rPh>
    <rPh sb="47" eb="49">
      <t>タンカ</t>
    </rPh>
    <rPh sb="49" eb="51">
      <t>ヘンコウ</t>
    </rPh>
    <rPh sb="54" eb="56">
      <t>バアイ</t>
    </rPh>
    <rPh sb="57" eb="58">
      <t>ギョウ</t>
    </rPh>
    <rPh sb="59" eb="60">
      <t>ワ</t>
    </rPh>
    <rPh sb="62" eb="64">
      <t>キサイ</t>
    </rPh>
    <rPh sb="69" eb="70">
      <t>サイ</t>
    </rPh>
    <rPh sb="71" eb="73">
      <t>ジンメイ</t>
    </rPh>
    <rPh sb="74" eb="76">
      <t>タンカ</t>
    </rPh>
    <rPh sb="76" eb="78">
      <t>ヘンコウ</t>
    </rPh>
    <rPh sb="78" eb="80">
      <t>ゼンゴ</t>
    </rPh>
    <rPh sb="81" eb="82">
      <t>ワ</t>
    </rPh>
    <rPh sb="84" eb="86">
      <t>キサイ</t>
    </rPh>
    <phoneticPr fontId="2"/>
  </si>
  <si>
    <t>金額・予測値合計</t>
    <rPh sb="0" eb="2">
      <t>キンガク</t>
    </rPh>
    <rPh sb="3" eb="5">
      <t>ヨソク</t>
    </rPh>
    <rPh sb="5" eb="6">
      <t>アタイ</t>
    </rPh>
    <rPh sb="6" eb="8">
      <t>ゴウケイ</t>
    </rPh>
    <phoneticPr fontId="2"/>
  </si>
  <si>
    <t>コンティンジェンシー予備費・対応費用実績合計</t>
    <rPh sb="10" eb="13">
      <t>ヨビヒ</t>
    </rPh>
    <rPh sb="14" eb="16">
      <t>タイオウ</t>
    </rPh>
    <rPh sb="16" eb="18">
      <t>ヒヨウ</t>
    </rPh>
    <rPh sb="18" eb="20">
      <t>ジッセキ</t>
    </rPh>
    <rPh sb="20" eb="22">
      <t>ゴウケイ</t>
    </rPh>
    <phoneticPr fontId="2"/>
  </si>
  <si>
    <t>※網掛け部分は記入しないでください（自動計算です)。</t>
    <rPh sb="1" eb="3">
      <t>アミカ</t>
    </rPh>
    <rPh sb="4" eb="6">
      <t>ブブン</t>
    </rPh>
    <rPh sb="7" eb="9">
      <t>キニュウ</t>
    </rPh>
    <rPh sb="18" eb="20">
      <t>ジドウ</t>
    </rPh>
    <rPh sb="20" eb="22">
      <t>ケイサン</t>
    </rPh>
    <phoneticPr fontId="2"/>
  </si>
  <si>
    <t>リスク観点リスト</t>
    <rPh sb="3" eb="5">
      <t>カンテン</t>
    </rPh>
    <phoneticPr fontId="2"/>
  </si>
  <si>
    <t xml:space="preserve">  </t>
    <phoneticPr fontId="2"/>
  </si>
  <si>
    <t>該当なし</t>
    <phoneticPr fontId="2"/>
  </si>
  <si>
    <t>2.要件洗い出し&gt;6.役割・責任</t>
    <phoneticPr fontId="2"/>
  </si>
  <si>
    <t>2.要件洗い出し&gt;7.コミュニケーション</t>
    <phoneticPr fontId="2"/>
  </si>
  <si>
    <t>2.要件洗い出し&gt;8.要求・要件</t>
    <phoneticPr fontId="2"/>
  </si>
  <si>
    <t>2.要件洗い出し&gt;9.要求・要件</t>
    <phoneticPr fontId="2"/>
  </si>
  <si>
    <t>2.要件洗い出し&gt;10.要求・要件</t>
    <phoneticPr fontId="2"/>
  </si>
  <si>
    <t>2.要件洗い出し&gt;11.要件・難易度</t>
    <phoneticPr fontId="2"/>
  </si>
  <si>
    <t>2.要件洗い出し&gt;12.要件・コンプライアンス</t>
    <phoneticPr fontId="2"/>
  </si>
  <si>
    <t>3.作業洗い出し(WBS)&gt;14.成果物、タスク</t>
    <phoneticPr fontId="2"/>
  </si>
  <si>
    <t>3.作業洗い出し(WBS)&gt;16.オフショア</t>
    <phoneticPr fontId="2"/>
  </si>
  <si>
    <t>5.要員計画&gt;17.PM</t>
    <phoneticPr fontId="2"/>
  </si>
  <si>
    <t>5.要員計画&gt;18.社内・体制</t>
    <phoneticPr fontId="2"/>
  </si>
  <si>
    <t>5.要員計画&gt;19.社内・組織支援</t>
    <phoneticPr fontId="2"/>
  </si>
  <si>
    <t>5.要員計画&gt;20.委託先・見積</t>
    <phoneticPr fontId="2"/>
  </si>
  <si>
    <t>5.要員計画&gt;21.委託先・動員力</t>
    <phoneticPr fontId="2"/>
  </si>
  <si>
    <t>5.要員計画&gt;22.委託先・経営状況</t>
    <phoneticPr fontId="2"/>
  </si>
  <si>
    <t>6.作業計画&gt;24.成果物、タスク</t>
    <phoneticPr fontId="2"/>
  </si>
  <si>
    <t>リスク管理計画立案手順ガイド</t>
    <rPh sb="3" eb="5">
      <t>カンリ</t>
    </rPh>
    <rPh sb="5" eb="7">
      <t>ケイカク</t>
    </rPh>
    <rPh sb="7" eb="9">
      <t>リツアン</t>
    </rPh>
    <rPh sb="9" eb="11">
      <t>テジュン</t>
    </rPh>
    <phoneticPr fontId="2"/>
  </si>
  <si>
    <t>顧客名／SI案件名 ：</t>
    <rPh sb="6" eb="8">
      <t>アンケン</t>
    </rPh>
    <rPh sb="8" eb="9">
      <t>メイ</t>
    </rPh>
    <phoneticPr fontId="2"/>
  </si>
  <si>
    <t>プロジェクト名 ：</t>
    <phoneticPr fontId="2"/>
  </si>
  <si>
    <t>作成日：</t>
    <rPh sb="0" eb="2">
      <t>サクセイ</t>
    </rPh>
    <rPh sb="2" eb="3">
      <t>ビ</t>
    </rPh>
    <phoneticPr fontId="2"/>
  </si>
  <si>
    <t>作成者：</t>
    <phoneticPr fontId="2"/>
  </si>
  <si>
    <t>SI案件コード ：</t>
    <rPh sb="2" eb="4">
      <t>アンケン</t>
    </rPh>
    <phoneticPr fontId="2"/>
  </si>
  <si>
    <t>プロジェクトコード(複数可) ：</t>
    <rPh sb="10" eb="12">
      <t>フクスウ</t>
    </rPh>
    <rPh sb="12" eb="13">
      <t>カ</t>
    </rPh>
    <phoneticPr fontId="2"/>
  </si>
  <si>
    <t>更新日：</t>
    <rPh sb="0" eb="3">
      <t>コウシンビ</t>
    </rPh>
    <phoneticPr fontId="2"/>
  </si>
  <si>
    <t>更新者：</t>
    <phoneticPr fontId="2"/>
  </si>
  <si>
    <t>リスク見直しの予定</t>
    <rPh sb="3" eb="5">
      <t>ミナオ</t>
    </rPh>
    <rPh sb="7" eb="9">
      <t>ヨテイ</t>
    </rPh>
    <phoneticPr fontId="2"/>
  </si>
  <si>
    <t>リスク見直しの実績</t>
    <rPh sb="3" eb="5">
      <t>ミナオ</t>
    </rPh>
    <rPh sb="7" eb="9">
      <t>ジッセキ</t>
    </rPh>
    <phoneticPr fontId="2"/>
  </si>
  <si>
    <t>リスク計画の変更有無</t>
    <phoneticPr fontId="2"/>
  </si>
  <si>
    <t>基本設計終了時</t>
    <rPh sb="0" eb="2">
      <t>キホン</t>
    </rPh>
    <rPh sb="2" eb="4">
      <t>セッケイ</t>
    </rPh>
    <rPh sb="4" eb="7">
      <t>シュウリョウジ</t>
    </rPh>
    <phoneticPr fontId="2"/>
  </si>
  <si>
    <t>有</t>
    <rPh sb="0" eb="1">
      <t>アリ</t>
    </rPh>
    <phoneticPr fontId="2"/>
  </si>
  <si>
    <t>対応
方針</t>
    <rPh sb="0" eb="2">
      <t>タイオウ</t>
    </rPh>
    <rPh sb="3" eb="5">
      <t>ホウシン</t>
    </rPh>
    <phoneticPr fontId="2"/>
  </si>
  <si>
    <t>リスクを顕在化させない
ための対応策</t>
    <rPh sb="4" eb="7">
      <t>ケンザイカ</t>
    </rPh>
    <phoneticPr fontId="2"/>
  </si>
  <si>
    <t>対応策実施
完了日</t>
    <rPh sb="0" eb="2">
      <t>タイオウ</t>
    </rPh>
    <rPh sb="2" eb="3">
      <t>サク</t>
    </rPh>
    <rPh sb="6" eb="9">
      <t>カンリョウビ</t>
    </rPh>
    <phoneticPr fontId="2"/>
  </si>
  <si>
    <t>コンティンジェンシー予備費　(\M)</t>
    <rPh sb="10" eb="13">
      <t>ヨビヒ</t>
    </rPh>
    <phoneticPr fontId="2"/>
  </si>
  <si>
    <t>確認
結果</t>
    <rPh sb="0" eb="2">
      <t>カクニン</t>
    </rPh>
    <rPh sb="3" eb="5">
      <t>ケッカ</t>
    </rPh>
    <phoneticPr fontId="2"/>
  </si>
  <si>
    <t xml:space="preserve">  </t>
  </si>
  <si>
    <t>作成日／作成者：</t>
    <rPh sb="0" eb="2">
      <t>サクセイ</t>
    </rPh>
    <rPh sb="2" eb="3">
      <t>ビ</t>
    </rPh>
    <rPh sb="4" eb="6">
      <t>サクセイ</t>
    </rPh>
    <rPh sb="6" eb="7">
      <t>シャ</t>
    </rPh>
    <phoneticPr fontId="2"/>
  </si>
  <si>
    <t>更新日／更新者：</t>
    <rPh sb="0" eb="3">
      <t>コウシンビ</t>
    </rPh>
    <rPh sb="4" eb="7">
      <t>コウシンシャ</t>
    </rPh>
    <phoneticPr fontId="2"/>
  </si>
  <si>
    <t>コンティンジェンシー
予備費(\M)</t>
    <rPh sb="11" eb="14">
      <t>ヨビヒ</t>
    </rPh>
    <phoneticPr fontId="2"/>
  </si>
  <si>
    <t>リスクの対応方針をプルダウンリストから選択します。
・回避
・転嫁
・軽減
・受容</t>
    <phoneticPr fontId="2"/>
  </si>
  <si>
    <t>リスクを回避、もしくは軽減するための対応策の内容を記載します。</t>
  </si>
  <si>
    <t>コンティンジェンシーを確保した場合に該当金額を記載します。</t>
    <phoneticPr fontId="2"/>
  </si>
  <si>
    <r>
      <t>【顧客主体性】
顧客が主体性をもって決めてくれないことにより、スケジュールが遅延する。</t>
    </r>
    <r>
      <rPr>
        <sz val="10"/>
        <color rgb="FFFF0000"/>
        <rFont val="Meiryo UI"/>
        <family val="3"/>
        <charset val="128"/>
      </rPr>
      <t>または、マルチベンダー、マルチプロジェクトコントロールを顧客が対応できないため、仕様が確定せず、スケジュール遅延発生。</t>
    </r>
    <rPh sb="1" eb="3">
      <t>コキャク</t>
    </rPh>
    <rPh sb="3" eb="6">
      <t>シュタイセイ</t>
    </rPh>
    <phoneticPr fontId="2"/>
  </si>
  <si>
    <t>工程が計画通り進まず、リカバリのため、要員追加が必要となる。
例：レビュー遅延による待機・リカバリ工数5人日*４レビュー想定</t>
    <rPh sb="0" eb="2">
      <t>コウテイ</t>
    </rPh>
    <rPh sb="3" eb="6">
      <t>ケイカクドオ</t>
    </rPh>
    <rPh sb="7" eb="8">
      <t>スス</t>
    </rPh>
    <rPh sb="31" eb="32">
      <t>レイ</t>
    </rPh>
    <phoneticPr fontId="2"/>
  </si>
  <si>
    <t>・見積もりの前提条件に、決定期限を記載する。
　期限が未設定の場合は、今後定める期限までに決めて頂けることを記載する。</t>
    <rPh sb="1" eb="3">
      <t>ミツ</t>
    </rPh>
    <rPh sb="6" eb="10">
      <t>ゼンテイジョウケン</t>
    </rPh>
    <rPh sb="12" eb="16">
      <t>ケッテイキゲン</t>
    </rPh>
    <rPh sb="17" eb="19">
      <t>キサイ</t>
    </rPh>
    <rPh sb="24" eb="26">
      <t>キゲン</t>
    </rPh>
    <rPh sb="27" eb="30">
      <t>ミセッテイ</t>
    </rPh>
    <rPh sb="31" eb="33">
      <t>バアイ</t>
    </rPh>
    <rPh sb="35" eb="37">
      <t>コンゴ</t>
    </rPh>
    <rPh sb="37" eb="38">
      <t>サダ</t>
    </rPh>
    <rPh sb="40" eb="42">
      <t>キゲン</t>
    </rPh>
    <rPh sb="45" eb="46">
      <t>キ</t>
    </rPh>
    <rPh sb="48" eb="49">
      <t>イタダ</t>
    </rPh>
    <rPh sb="54" eb="56">
      <t>キサイ</t>
    </rPh>
    <phoneticPr fontId="2"/>
  </si>
  <si>
    <t>作業待ちが発生し、リカバリのため、要員追加が必要となる。
例：レビュー遅延による待機・リカバリ工数5人日*４レビュー想定</t>
    <rPh sb="29" eb="30">
      <t>レイ</t>
    </rPh>
    <phoneticPr fontId="2"/>
  </si>
  <si>
    <t>参考価格を超える理由の説明を要求され、想定外の工数が生じる。
例：過去の工程別工数を確認し、当初提示済みの参考価格との乖離原因の説明資料を作成する。
資料作成工数：3人日</t>
    <rPh sb="0" eb="4">
      <t>サンコウカカク</t>
    </rPh>
    <rPh sb="5" eb="6">
      <t>コ</t>
    </rPh>
    <rPh sb="8" eb="10">
      <t>リユウ</t>
    </rPh>
    <rPh sb="11" eb="13">
      <t>セツメイ</t>
    </rPh>
    <rPh sb="14" eb="16">
      <t>ヨウキュウ</t>
    </rPh>
    <rPh sb="19" eb="22">
      <t>ソウテイガイ</t>
    </rPh>
    <rPh sb="23" eb="25">
      <t>コウスウ</t>
    </rPh>
    <rPh sb="26" eb="27">
      <t>ショウ</t>
    </rPh>
    <rPh sb="31" eb="32">
      <t>レイ</t>
    </rPh>
    <rPh sb="33" eb="35">
      <t>カコ</t>
    </rPh>
    <rPh sb="36" eb="41">
      <t>コウテイベツコウスウ</t>
    </rPh>
    <rPh sb="42" eb="44">
      <t>カクニン</t>
    </rPh>
    <rPh sb="46" eb="48">
      <t>トウショ</t>
    </rPh>
    <rPh sb="48" eb="50">
      <t>テイジ</t>
    </rPh>
    <rPh sb="50" eb="51">
      <t>ズ</t>
    </rPh>
    <rPh sb="53" eb="57">
      <t>サンコウカカク</t>
    </rPh>
    <rPh sb="59" eb="61">
      <t>カイリ</t>
    </rPh>
    <rPh sb="61" eb="63">
      <t>ゲンイン</t>
    </rPh>
    <rPh sb="64" eb="68">
      <t>セツメイシリョウ</t>
    </rPh>
    <rPh sb="69" eb="71">
      <t>サクセイ</t>
    </rPh>
    <rPh sb="75" eb="77">
      <t>シリョウ</t>
    </rPh>
    <rPh sb="77" eb="79">
      <t>サクセイ</t>
    </rPh>
    <rPh sb="79" eb="81">
      <t>コウスウ</t>
    </rPh>
    <rPh sb="83" eb="85">
      <t>ヒトヒ</t>
    </rPh>
    <phoneticPr fontId="2"/>
  </si>
  <si>
    <t>設計以降の工程で業務部門がシステムの資料が分からないため、業務部門が分かる資料を作成する。
資料作成工数：3人日</t>
    <rPh sb="0" eb="4">
      <t>セッケイイコウ</t>
    </rPh>
    <rPh sb="5" eb="7">
      <t>コウテイ</t>
    </rPh>
    <rPh sb="8" eb="12">
      <t>ギョウムブモン</t>
    </rPh>
    <rPh sb="18" eb="20">
      <t>シリョウ</t>
    </rPh>
    <rPh sb="21" eb="22">
      <t>ワ</t>
    </rPh>
    <rPh sb="29" eb="31">
      <t>ギョウム</t>
    </rPh>
    <rPh sb="31" eb="33">
      <t>ブモン</t>
    </rPh>
    <rPh sb="34" eb="35">
      <t>ワ</t>
    </rPh>
    <rPh sb="37" eb="39">
      <t>シリョウ</t>
    </rPh>
    <rPh sb="40" eb="42">
      <t>サクセイ</t>
    </rPh>
    <rPh sb="46" eb="48">
      <t>シリョウ</t>
    </rPh>
    <rPh sb="48" eb="50">
      <t>サクセイ</t>
    </rPh>
    <rPh sb="50" eb="52">
      <t>コウスウ</t>
    </rPh>
    <rPh sb="54" eb="56">
      <t>ヒトヒ</t>
    </rPh>
    <phoneticPr fontId="2"/>
  </si>
  <si>
    <t>品質強化テストのため、追加で検証作業を実施する。
テスト工数：1人日</t>
    <rPh sb="0" eb="2">
      <t>ヒンシツ</t>
    </rPh>
    <rPh sb="2" eb="4">
      <t>キョウカ</t>
    </rPh>
    <rPh sb="11" eb="13">
      <t>ツイカ</t>
    </rPh>
    <rPh sb="14" eb="18">
      <t>ケンショウサギョウ</t>
    </rPh>
    <rPh sb="19" eb="21">
      <t>ジッシ</t>
    </rPh>
    <phoneticPr fontId="2"/>
  </si>
  <si>
    <t>成果物の作成作業に手戻りが発生する。
例：1ヶ月あたりの体制維持工数：5人月＊1=5人月</t>
    <rPh sb="19" eb="20">
      <t>レイ</t>
    </rPh>
    <rPh sb="36" eb="38">
      <t>ニンゲツ</t>
    </rPh>
    <rPh sb="42" eb="44">
      <t>ニンゲツ</t>
    </rPh>
    <phoneticPr fontId="2"/>
  </si>
  <si>
    <t>工程が計画通り進まず、リカバリのため、要員追加が必要となる。
例：顧客提示資料の遅延による待機・リカバリ工数１人日</t>
    <rPh sb="33" eb="35">
      <t>コキャク</t>
    </rPh>
    <rPh sb="35" eb="37">
      <t>テイジ</t>
    </rPh>
    <rPh sb="37" eb="39">
      <t>シリョウ</t>
    </rPh>
    <phoneticPr fontId="2"/>
  </si>
  <si>
    <t>・事前にスケジュール計画・予定を合意する。
・顧客側都合によるスケジュール超過の場合は影響及び追加対応が発生する旨を前提条件に追加する。</t>
    <phoneticPr fontId="2"/>
  </si>
  <si>
    <t>顧客側の責任者以外のご担当から追加要件が生じたため、工程の手戻りが生じる。
例：要件定義の機能要件定義が5人日追加となる</t>
    <rPh sb="0" eb="3">
      <t>コキャクガワ</t>
    </rPh>
    <rPh sb="4" eb="7">
      <t>セキニンシャ</t>
    </rPh>
    <rPh sb="7" eb="9">
      <t>イガイ</t>
    </rPh>
    <rPh sb="11" eb="13">
      <t>タントウ</t>
    </rPh>
    <rPh sb="15" eb="17">
      <t>ツイカ</t>
    </rPh>
    <rPh sb="17" eb="19">
      <t>ヨウケン</t>
    </rPh>
    <rPh sb="20" eb="21">
      <t>ショウ</t>
    </rPh>
    <rPh sb="26" eb="28">
      <t>コウテイ</t>
    </rPh>
    <rPh sb="29" eb="31">
      <t>テモド</t>
    </rPh>
    <rPh sb="33" eb="34">
      <t>ショウ</t>
    </rPh>
    <rPh sb="38" eb="39">
      <t>レイ</t>
    </rPh>
    <rPh sb="40" eb="42">
      <t>ヨウケン</t>
    </rPh>
    <rPh sb="42" eb="44">
      <t>テイギ</t>
    </rPh>
    <rPh sb="45" eb="47">
      <t>キノウ</t>
    </rPh>
    <rPh sb="47" eb="49">
      <t>ヨウケン</t>
    </rPh>
    <rPh sb="49" eb="51">
      <t>テイギ</t>
    </rPh>
    <rPh sb="53" eb="54">
      <t>ヒト</t>
    </rPh>
    <rPh sb="54" eb="55">
      <t>ヒ</t>
    </rPh>
    <rPh sb="55" eb="57">
      <t>ツイカ</t>
    </rPh>
    <phoneticPr fontId="2"/>
  </si>
  <si>
    <t>体制確保ができず、スケジュール遅延が発生する。
例：追加での要員が確保できず、１か月遅延する際の体制維持費：5人月＊1=5人月</t>
    <rPh sb="18" eb="20">
      <t>ハッセイ</t>
    </rPh>
    <rPh sb="24" eb="25">
      <t>レイ</t>
    </rPh>
    <rPh sb="26" eb="28">
      <t>ツイカ</t>
    </rPh>
    <rPh sb="30" eb="32">
      <t>ヨウイン</t>
    </rPh>
    <rPh sb="33" eb="35">
      <t>カクホ</t>
    </rPh>
    <rPh sb="41" eb="42">
      <t>ゲツ</t>
    </rPh>
    <rPh sb="42" eb="44">
      <t>チエン</t>
    </rPh>
    <rPh sb="46" eb="47">
      <t>サイ</t>
    </rPh>
    <rPh sb="48" eb="50">
      <t>タイセイ</t>
    </rPh>
    <rPh sb="50" eb="53">
      <t>イジヒ</t>
    </rPh>
    <rPh sb="55" eb="57">
      <t>ニンゲツ</t>
    </rPh>
    <rPh sb="61" eb="63">
      <t>ニンゲツ</t>
    </rPh>
    <phoneticPr fontId="2"/>
  </si>
  <si>
    <t>品質不良により再度、製造・テストが必要となる。（製造・単体テスト工程／結合テスト工程）
例：製造・単体テスト１か月分のやり直し：1人月＊1=1人月</t>
    <rPh sb="7" eb="9">
      <t>サイド</t>
    </rPh>
    <rPh sb="10" eb="12">
      <t>セイゾウ</t>
    </rPh>
    <rPh sb="44" eb="45">
      <t>レイ</t>
    </rPh>
    <rPh sb="46" eb="48">
      <t>セイゾウ</t>
    </rPh>
    <rPh sb="49" eb="51">
      <t>タンタイ</t>
    </rPh>
    <rPh sb="56" eb="58">
      <t>ゲツブン</t>
    </rPh>
    <rPh sb="61" eb="62">
      <t>ナオコウテイヒニンゲツニンゲツ</t>
    </rPh>
    <phoneticPr fontId="2"/>
  </si>
  <si>
    <t>受容</t>
  </si>
  <si>
    <t>顧客で実施してもらう想定だった作業について、追加工数が必要となる。
例：付帯する資料作成のため、5人日追加となる。</t>
    <rPh sb="0" eb="2">
      <t>コキャク</t>
    </rPh>
    <rPh sb="36" eb="38">
      <t>フタイ</t>
    </rPh>
    <rPh sb="40" eb="42">
      <t>シリョウ</t>
    </rPh>
    <phoneticPr fontId="2"/>
  </si>
  <si>
    <t>追加要件定義が必要となる。
例：[3人月]
1要件＝1人月
※3要件追加を想定</t>
    <rPh sb="0" eb="2">
      <t>ツイカ</t>
    </rPh>
    <rPh sb="2" eb="6">
      <t>ヨウケンテイギ</t>
    </rPh>
    <rPh sb="7" eb="9">
      <t>ヒツヨウ</t>
    </rPh>
    <rPh sb="15" eb="16">
      <t>レイ</t>
    </rPh>
    <rPh sb="19" eb="20">
      <t>ニン</t>
    </rPh>
    <rPh sb="20" eb="21">
      <t>ゲツ</t>
    </rPh>
    <rPh sb="24" eb="26">
      <t>ヨウケン</t>
    </rPh>
    <rPh sb="28" eb="29">
      <t>ニン</t>
    </rPh>
    <rPh sb="29" eb="30">
      <t>ゲツ</t>
    </rPh>
    <rPh sb="33" eb="35">
      <t>ヨウケン</t>
    </rPh>
    <rPh sb="35" eb="37">
      <t>ツイカ</t>
    </rPh>
    <rPh sb="38" eb="40">
      <t>ソウテイ</t>
    </rPh>
    <phoneticPr fontId="2"/>
  </si>
  <si>
    <t>転嫁</t>
  </si>
  <si>
    <t>未経験、及び知識不十分による手戻りが発生する。
例：全50機能中、25機能の機能に3人日程度の手戻りが生じる。
　　3人日＊25＝75人日</t>
    <rPh sb="0" eb="3">
      <t>ミケイケン</t>
    </rPh>
    <rPh sb="4" eb="5">
      <t>オヨ</t>
    </rPh>
    <rPh sb="6" eb="8">
      <t>チシキ</t>
    </rPh>
    <rPh sb="8" eb="11">
      <t>フジュウブン</t>
    </rPh>
    <rPh sb="14" eb="16">
      <t>テモド</t>
    </rPh>
    <rPh sb="18" eb="20">
      <t>ハッセイ</t>
    </rPh>
    <rPh sb="24" eb="25">
      <t>レイ</t>
    </rPh>
    <rPh sb="26" eb="27">
      <t>ゼン</t>
    </rPh>
    <rPh sb="29" eb="31">
      <t>キノウ</t>
    </rPh>
    <rPh sb="31" eb="32">
      <t>チュウ</t>
    </rPh>
    <rPh sb="35" eb="37">
      <t>キノウ</t>
    </rPh>
    <rPh sb="38" eb="40">
      <t>キノウ</t>
    </rPh>
    <rPh sb="42" eb="44">
      <t>ヒトヒ</t>
    </rPh>
    <rPh sb="44" eb="46">
      <t>テイド</t>
    </rPh>
    <rPh sb="47" eb="49">
      <t>テモド</t>
    </rPh>
    <rPh sb="51" eb="52">
      <t>ショウ</t>
    </rPh>
    <rPh sb="59" eb="61">
      <t>ヒトヒ</t>
    </rPh>
    <rPh sb="67" eb="69">
      <t>ヒトヒ</t>
    </rPh>
    <phoneticPr fontId="2"/>
  </si>
  <si>
    <t>CTC担当システムにて複数名病欠により、開発遅延が発生。
例：（店舗・本部での追加要員3人×1M＝3M</t>
    <rPh sb="11" eb="14">
      <t>フクスウメイ</t>
    </rPh>
    <rPh sb="14" eb="16">
      <t>ビョウケツ</t>
    </rPh>
    <rPh sb="29" eb="30">
      <t>レイ</t>
    </rPh>
    <phoneticPr fontId="2"/>
  </si>
  <si>
    <t>工程が計画通り進まず、リカバリのため、要員追加が必要となる。
例：CTC側の作業遅延による待機・リカバリ工数１人日</t>
    <rPh sb="36" eb="37">
      <t>ガワ</t>
    </rPh>
    <rPh sb="38" eb="40">
      <t>サギョウ</t>
    </rPh>
    <rPh sb="55" eb="56">
      <t>ヒト</t>
    </rPh>
    <rPh sb="56" eb="57">
      <t>ニチ</t>
    </rPh>
    <phoneticPr fontId="2"/>
  </si>
  <si>
    <t>パートナーで実施してもらう想定だった作業について、追加工数が必要となる。
例：付帯する資料作成のため、5人日追加となる。</t>
    <rPh sb="39" eb="41">
      <t>フタイ</t>
    </rPh>
    <rPh sb="43" eb="45">
      <t>シリョウ</t>
    </rPh>
    <phoneticPr fontId="2"/>
  </si>
  <si>
    <t>他ベンダーで実施してもらう想定だった作業について、追加工数が必要となる。
例：他ベンダーを含む領域の移行計画作成のため、立案検討に5人日追加となる。</t>
    <rPh sb="0" eb="1">
      <t>ホカ</t>
    </rPh>
    <rPh sb="6" eb="8">
      <t>ジッシ</t>
    </rPh>
    <rPh sb="13" eb="15">
      <t>ソウテイ</t>
    </rPh>
    <rPh sb="18" eb="20">
      <t>サギョウ</t>
    </rPh>
    <rPh sb="25" eb="27">
      <t>ツイカ</t>
    </rPh>
    <rPh sb="27" eb="29">
      <t>コウスウ</t>
    </rPh>
    <rPh sb="30" eb="32">
      <t>ヒツヨウ</t>
    </rPh>
    <rPh sb="37" eb="38">
      <t>レイ</t>
    </rPh>
    <rPh sb="39" eb="40">
      <t>ホカ</t>
    </rPh>
    <rPh sb="45" eb="46">
      <t>フク</t>
    </rPh>
    <rPh sb="47" eb="49">
      <t>リョウイキ</t>
    </rPh>
    <rPh sb="50" eb="52">
      <t>イコウ</t>
    </rPh>
    <rPh sb="52" eb="54">
      <t>ケイカク</t>
    </rPh>
    <rPh sb="54" eb="56">
      <t>サクセイ</t>
    </rPh>
    <rPh sb="60" eb="62">
      <t>リツアン</t>
    </rPh>
    <rPh sb="62" eb="64">
      <t>ケントウ</t>
    </rPh>
    <rPh sb="66" eb="68">
      <t>ニンニチ</t>
    </rPh>
    <rPh sb="68" eb="70">
      <t>ツイカ</t>
    </rPh>
    <phoneticPr fontId="2"/>
  </si>
  <si>
    <t>技術的な問題が発生により外部設計が止まる状況発生したため、急遽有識者確保が必要となる。
例：[3人月]
3人月×1か月</t>
    <rPh sb="0" eb="3">
      <t>ギジュツテキ</t>
    </rPh>
    <rPh sb="4" eb="6">
      <t>モンダイ</t>
    </rPh>
    <rPh sb="7" eb="9">
      <t>ハッセイ</t>
    </rPh>
    <rPh sb="12" eb="16">
      <t>ガイブセッケイ</t>
    </rPh>
    <rPh sb="17" eb="18">
      <t>ト</t>
    </rPh>
    <rPh sb="20" eb="22">
      <t>ジョウキョウ</t>
    </rPh>
    <rPh sb="22" eb="24">
      <t>ハッセイ</t>
    </rPh>
    <rPh sb="29" eb="31">
      <t>キュウキョ</t>
    </rPh>
    <rPh sb="31" eb="34">
      <t>ユウシキシャ</t>
    </rPh>
    <rPh sb="34" eb="36">
      <t>カクホ</t>
    </rPh>
    <rPh sb="37" eb="39">
      <t>ヒツヨウ</t>
    </rPh>
    <rPh sb="44" eb="45">
      <t>レイ</t>
    </rPh>
    <rPh sb="53" eb="54">
      <t>ニン</t>
    </rPh>
    <rPh sb="54" eb="55">
      <t>ゲツ</t>
    </rPh>
    <rPh sb="58" eb="59">
      <t>ゲツ</t>
    </rPh>
    <phoneticPr fontId="2"/>
  </si>
  <si>
    <t>成果物の修正コストが生じる。
例：要件定義書の記載粒度や章立ての認識相違により、修正コストが生じる。要件定義工程の訳20%相当である1.5人月が追加発生する。</t>
    <rPh sb="0" eb="3">
      <t>セイカブツ</t>
    </rPh>
    <rPh sb="4" eb="6">
      <t>シュウセイ</t>
    </rPh>
    <rPh sb="10" eb="11">
      <t>ショウ</t>
    </rPh>
    <rPh sb="15" eb="16">
      <t>レイ</t>
    </rPh>
    <rPh sb="17" eb="22">
      <t>ヨウケンテイギショ</t>
    </rPh>
    <rPh sb="23" eb="25">
      <t>キサイ</t>
    </rPh>
    <rPh sb="25" eb="27">
      <t>リュウド</t>
    </rPh>
    <rPh sb="28" eb="30">
      <t>ショウダ</t>
    </rPh>
    <rPh sb="32" eb="34">
      <t>ニンシキ</t>
    </rPh>
    <rPh sb="34" eb="36">
      <t>ソウイ</t>
    </rPh>
    <rPh sb="40" eb="42">
      <t>シュウセイ</t>
    </rPh>
    <rPh sb="46" eb="47">
      <t>ショウ</t>
    </rPh>
    <rPh sb="50" eb="52">
      <t>ヨウケン</t>
    </rPh>
    <rPh sb="52" eb="54">
      <t>テイギ</t>
    </rPh>
    <rPh sb="54" eb="56">
      <t>コウテイ</t>
    </rPh>
    <rPh sb="57" eb="58">
      <t>ヤク</t>
    </rPh>
    <rPh sb="61" eb="63">
      <t>ソウトウ</t>
    </rPh>
    <rPh sb="69" eb="71">
      <t>ヒトゲツ</t>
    </rPh>
    <rPh sb="72" eb="74">
      <t>ツイカ</t>
    </rPh>
    <rPh sb="74" eb="76">
      <t>ハッセイ</t>
    </rPh>
    <phoneticPr fontId="2"/>
  </si>
  <si>
    <t>①提案資料に成果物イメージを明記し、事前に成果物の記載粒度や内容を擦り合わせる</t>
    <rPh sb="1" eb="5">
      <t>テイアンシリョウ</t>
    </rPh>
    <rPh sb="6" eb="9">
      <t>セイカブツ</t>
    </rPh>
    <rPh sb="14" eb="16">
      <t>メイキ</t>
    </rPh>
    <rPh sb="18" eb="20">
      <t>ジゼン</t>
    </rPh>
    <rPh sb="21" eb="24">
      <t>セイカブツ</t>
    </rPh>
    <rPh sb="25" eb="27">
      <t>キサイ</t>
    </rPh>
    <rPh sb="27" eb="29">
      <t>リュウド</t>
    </rPh>
    <rPh sb="30" eb="32">
      <t>ナイヨウ</t>
    </rPh>
    <rPh sb="33" eb="34">
      <t>ス</t>
    </rPh>
    <rPh sb="35" eb="36">
      <t>ア</t>
    </rPh>
    <phoneticPr fontId="2"/>
  </si>
  <si>
    <t>外部設計書での認識齟齬があり、手戻りや再出荷が発生する。
例：外部設計の認識齟齬による手戻り
外部設計見直し・レビュー工程：1人日
システムテストでの品質強化：5人日</t>
    <rPh sb="0" eb="2">
      <t>ガイブ</t>
    </rPh>
    <rPh sb="2" eb="5">
      <t>セッケイショ</t>
    </rPh>
    <rPh sb="7" eb="9">
      <t>ニンシキ</t>
    </rPh>
    <rPh sb="9" eb="11">
      <t>ソゴ</t>
    </rPh>
    <rPh sb="15" eb="17">
      <t>テモド</t>
    </rPh>
    <rPh sb="19" eb="22">
      <t>サイシュッカ</t>
    </rPh>
    <rPh sb="23" eb="25">
      <t>ハッセイ</t>
    </rPh>
    <rPh sb="30" eb="31">
      <t>レイ</t>
    </rPh>
    <rPh sb="32" eb="34">
      <t>ガイブ</t>
    </rPh>
    <rPh sb="34" eb="36">
      <t>セッケイ</t>
    </rPh>
    <rPh sb="37" eb="39">
      <t>ニンシキ</t>
    </rPh>
    <rPh sb="39" eb="41">
      <t>ソゴ</t>
    </rPh>
    <rPh sb="44" eb="46">
      <t>テモド</t>
    </rPh>
    <rPh sb="48" eb="50">
      <t>ガイブ</t>
    </rPh>
    <rPh sb="50" eb="52">
      <t>セッケイ</t>
    </rPh>
    <rPh sb="52" eb="54">
      <t>ミナオ</t>
    </rPh>
    <rPh sb="60" eb="62">
      <t>コウテイ</t>
    </rPh>
    <rPh sb="64" eb="65">
      <t>ニン</t>
    </rPh>
    <rPh sb="65" eb="66">
      <t>ニチ</t>
    </rPh>
    <rPh sb="76" eb="78">
      <t>ヒンシツ</t>
    </rPh>
    <rPh sb="78" eb="80">
      <t>キョウカ</t>
    </rPh>
    <rPh sb="82" eb="83">
      <t>ニン</t>
    </rPh>
    <rPh sb="83" eb="84">
      <t>ニチ</t>
    </rPh>
    <phoneticPr fontId="2"/>
  </si>
  <si>
    <t>パッケージの仕様詳細を確認するための追加調査や検証、ドキュメント作成コストが生じる。
例：
パッケージ標準機能の仕様調査、ドキュメント作成工数
調査/問い合わせ：10人日
ドキュメント作成　：10人日</t>
    <rPh sb="6" eb="10">
      <t>シヨウショウサイ</t>
    </rPh>
    <rPh sb="11" eb="13">
      <t>カクニン</t>
    </rPh>
    <rPh sb="18" eb="20">
      <t>ツイカ</t>
    </rPh>
    <rPh sb="20" eb="22">
      <t>チョウサ</t>
    </rPh>
    <rPh sb="23" eb="25">
      <t>ケンショウ</t>
    </rPh>
    <rPh sb="32" eb="34">
      <t>サクセイ</t>
    </rPh>
    <rPh sb="38" eb="39">
      <t>ショウ</t>
    </rPh>
    <rPh sb="51" eb="53">
      <t>ヒョウジュン</t>
    </rPh>
    <rPh sb="53" eb="55">
      <t>キノウ</t>
    </rPh>
    <rPh sb="56" eb="58">
      <t>シヨウ</t>
    </rPh>
    <rPh sb="58" eb="60">
      <t>チョウサ</t>
    </rPh>
    <rPh sb="67" eb="69">
      <t>サクセイ</t>
    </rPh>
    <rPh sb="69" eb="71">
      <t>コウスウ</t>
    </rPh>
    <rPh sb="72" eb="74">
      <t>チョウサ</t>
    </rPh>
    <rPh sb="75" eb="76">
      <t>ト</t>
    </rPh>
    <rPh sb="77" eb="78">
      <t>ア</t>
    </rPh>
    <rPh sb="83" eb="85">
      <t>ニンビ</t>
    </rPh>
    <rPh sb="92" eb="94">
      <t>サクセイ</t>
    </rPh>
    <rPh sb="98" eb="100">
      <t>ニンビ</t>
    </rPh>
    <phoneticPr fontId="2"/>
  </si>
  <si>
    <t>軽減</t>
    <phoneticPr fontId="2"/>
  </si>
  <si>
    <t>要件が定まらない、もしくは変更が多発して手戻り工数が必要となる。
例：要件定義工程の20%相当</t>
    <rPh sb="0" eb="2">
      <t>ヨウケン</t>
    </rPh>
    <rPh sb="3" eb="4">
      <t>サダ</t>
    </rPh>
    <rPh sb="13" eb="15">
      <t>ヘンコウ</t>
    </rPh>
    <rPh sb="16" eb="18">
      <t>タハツ</t>
    </rPh>
    <rPh sb="20" eb="22">
      <t>テモド</t>
    </rPh>
    <rPh sb="23" eb="25">
      <t>コウスウ</t>
    </rPh>
    <rPh sb="26" eb="28">
      <t>ヒツヨウ</t>
    </rPh>
    <rPh sb="33" eb="34">
      <t>レイ</t>
    </rPh>
    <rPh sb="35" eb="39">
      <t>ヨウケンテイギ</t>
    </rPh>
    <rPh sb="39" eb="41">
      <t>コウテイ</t>
    </rPh>
    <rPh sb="45" eb="47">
      <t>ソウトウ</t>
    </rPh>
    <phoneticPr fontId="2"/>
  </si>
  <si>
    <t>追加のデグレテストが発生する。
例：追加のテスト工数：10人日</t>
    <rPh sb="0" eb="2">
      <t>ツイカ</t>
    </rPh>
    <rPh sb="10" eb="12">
      <t>ハッセイ</t>
    </rPh>
    <rPh sb="16" eb="17">
      <t>レイ</t>
    </rPh>
    <rPh sb="18" eb="20">
      <t>ツイカ</t>
    </rPh>
    <rPh sb="29" eb="31">
      <t>ニンニチ</t>
    </rPh>
    <phoneticPr fontId="2"/>
  </si>
  <si>
    <t>回避</t>
    <rPh sb="0" eb="2">
      <t>カイヒ</t>
    </rPh>
    <phoneticPr fontId="2"/>
  </si>
  <si>
    <t>項番</t>
    <rPh sb="0" eb="1">
      <t>コウ</t>
    </rPh>
    <rPh sb="1" eb="2">
      <t>バン</t>
    </rPh>
    <phoneticPr fontId="24"/>
  </si>
  <si>
    <t>大項目（6）</t>
    <rPh sb="0" eb="1">
      <t>ダイ</t>
    </rPh>
    <rPh sb="1" eb="3">
      <t>コウモク</t>
    </rPh>
    <phoneticPr fontId="24"/>
  </si>
  <si>
    <t>中項目（21）</t>
    <rPh sb="0" eb="1">
      <t>チュウ</t>
    </rPh>
    <rPh sb="1" eb="3">
      <t>コウモク</t>
    </rPh>
    <phoneticPr fontId="24"/>
  </si>
  <si>
    <t>非機能要件（47）</t>
    <rPh sb="0" eb="1">
      <t>ヒ</t>
    </rPh>
    <rPh sb="1" eb="3">
      <t>キノウ</t>
    </rPh>
    <rPh sb="3" eb="5">
      <t>ヨウケン</t>
    </rPh>
    <phoneticPr fontId="24"/>
  </si>
  <si>
    <t>非機能要求
グレード
項番</t>
    <rPh sb="0" eb="1">
      <t>ヒ</t>
    </rPh>
    <rPh sb="1" eb="3">
      <t>キノウ</t>
    </rPh>
    <rPh sb="3" eb="5">
      <t>ヨウキュウ</t>
    </rPh>
    <rPh sb="11" eb="13">
      <t>コウバン</t>
    </rPh>
    <phoneticPr fontId="24"/>
  </si>
  <si>
    <t>非機能要件説明</t>
    <rPh sb="0" eb="1">
      <t>ヒ</t>
    </rPh>
    <rPh sb="1" eb="3">
      <t>キノウ</t>
    </rPh>
    <rPh sb="3" eb="5">
      <t>ヨウケン</t>
    </rPh>
    <rPh sb="5" eb="7">
      <t>セツメイ</t>
    </rPh>
    <phoneticPr fontId="2"/>
  </si>
  <si>
    <t>見積影響理由</t>
    <rPh sb="0" eb="2">
      <t>ミツモリ</t>
    </rPh>
    <rPh sb="2" eb="4">
      <t>エイキョウ</t>
    </rPh>
    <rPh sb="4" eb="6">
      <t>リユウ</t>
    </rPh>
    <phoneticPr fontId="2"/>
  </si>
  <si>
    <t>見積変動要素（確認項目）</t>
    <phoneticPr fontId="24"/>
  </si>
  <si>
    <t>確認済
チェック</t>
    <rPh sb="2" eb="3">
      <t>ズ</t>
    </rPh>
    <phoneticPr fontId="24"/>
  </si>
  <si>
    <t>システム環境</t>
    <rPh sb="4" eb="6">
      <t>カンキョウ</t>
    </rPh>
    <phoneticPr fontId="2"/>
  </si>
  <si>
    <t>システム制約/前提条件</t>
    <phoneticPr fontId="2"/>
  </si>
  <si>
    <t>構築時の制約条件</t>
    <rPh sb="0" eb="2">
      <t>コウチク</t>
    </rPh>
    <rPh sb="2" eb="3">
      <t>ジ</t>
    </rPh>
    <rPh sb="4" eb="6">
      <t>セイヤク</t>
    </rPh>
    <rPh sb="6" eb="8">
      <t>ジョウケン</t>
    </rPh>
    <phoneticPr fontId="24"/>
  </si>
  <si>
    <t>F.1.1.1</t>
    <phoneticPr fontId="2"/>
  </si>
  <si>
    <t>構築時の制約となる顧客の社内基準や法令、各地方自治体の条例などの制約が存在しているかの項目。</t>
    <rPh sb="9" eb="11">
      <t>コキャク</t>
    </rPh>
    <rPh sb="17" eb="19">
      <t>ホウレイ</t>
    </rPh>
    <rPh sb="32" eb="34">
      <t>セイヤク</t>
    </rPh>
    <rPh sb="35" eb="37">
      <t>ソンザイ</t>
    </rPh>
    <rPh sb="43" eb="45">
      <t>コウモク</t>
    </rPh>
    <phoneticPr fontId="24"/>
  </si>
  <si>
    <t>開発全般に影響する。</t>
    <phoneticPr fontId="2"/>
  </si>
  <si>
    <t xml:space="preserve">ステークホルダーの調整工数
開発環境の制限(生産性)
法令・条例
顧客社内基準
コンプライアンス
</t>
    <rPh sb="33" eb="35">
      <t>コキャク</t>
    </rPh>
    <rPh sb="35" eb="37">
      <t>シャナイ</t>
    </rPh>
    <rPh sb="37" eb="39">
      <t>キジュン</t>
    </rPh>
    <phoneticPr fontId="24"/>
  </si>
  <si>
    <t>運用時の制約条件</t>
    <rPh sb="0" eb="2">
      <t>ウンヨウ</t>
    </rPh>
    <rPh sb="2" eb="3">
      <t>ジ</t>
    </rPh>
    <rPh sb="4" eb="6">
      <t>セイヤク</t>
    </rPh>
    <rPh sb="6" eb="8">
      <t>ジョウケン</t>
    </rPh>
    <phoneticPr fontId="24"/>
  </si>
  <si>
    <t>F.1.2.1</t>
    <phoneticPr fontId="2"/>
  </si>
  <si>
    <t>運用時の制約となる顧客の社内基準や法令、各地方自治体の条例などの制約が存在しているかの項目。</t>
    <rPh sb="0" eb="2">
      <t>ウンヨウ</t>
    </rPh>
    <rPh sb="9" eb="11">
      <t>コキャク</t>
    </rPh>
    <rPh sb="17" eb="19">
      <t>ホウレイ</t>
    </rPh>
    <rPh sb="32" eb="34">
      <t>セイヤク</t>
    </rPh>
    <phoneticPr fontId="24"/>
  </si>
  <si>
    <t>運用設計、本番運用に影響する。</t>
    <rPh sb="0" eb="2">
      <t>ウンヨウ</t>
    </rPh>
    <rPh sb="2" eb="4">
      <t>セッケイ</t>
    </rPh>
    <rPh sb="5" eb="7">
      <t>ホンバン</t>
    </rPh>
    <rPh sb="7" eb="9">
      <t>ウンヨウ</t>
    </rPh>
    <rPh sb="10" eb="12">
      <t>エイキョウ</t>
    </rPh>
    <phoneticPr fontId="2"/>
  </si>
  <si>
    <t xml:space="preserve">法令・条例
顧客社内基準
コンプライアンス
</t>
    <phoneticPr fontId="24"/>
  </si>
  <si>
    <t>システム特性</t>
    <rPh sb="4" eb="6">
      <t>トクセイ</t>
    </rPh>
    <phoneticPr fontId="2"/>
  </si>
  <si>
    <t>地域的広がり</t>
    <rPh sb="0" eb="3">
      <t>チイキテキ</t>
    </rPh>
    <rPh sb="3" eb="4">
      <t>ヒロ</t>
    </rPh>
    <phoneticPr fontId="2"/>
  </si>
  <si>
    <t>F.2.4.1</t>
    <phoneticPr fontId="2"/>
  </si>
  <si>
    <t xml:space="preserve">システムが稼働する地域的な広がり。
</t>
    <rPh sb="9" eb="12">
      <t>チイキテキ</t>
    </rPh>
    <rPh sb="13" eb="14">
      <t>ヒロ</t>
    </rPh>
    <phoneticPr fontId="2"/>
  </si>
  <si>
    <t xml:space="preserve">開発全般に影響する。
</t>
    <rPh sb="0" eb="2">
      <t>カイハツ</t>
    </rPh>
    <rPh sb="2" eb="4">
      <t>ゼンパン</t>
    </rPh>
    <rPh sb="5" eb="7">
      <t>エイキョウ</t>
    </rPh>
    <phoneticPr fontId="2"/>
  </si>
  <si>
    <t xml:space="preserve">各国の法令・条例
輸出の手続きの手間
各国の電気・通信インフラ環境
時差
通貨・為替レート
</t>
    <rPh sb="0" eb="2">
      <t>カッコク</t>
    </rPh>
    <rPh sb="3" eb="5">
      <t>ホウレイ</t>
    </rPh>
    <rPh sb="6" eb="8">
      <t>ジョウレイ</t>
    </rPh>
    <rPh sb="9" eb="11">
      <t>ユシュツ</t>
    </rPh>
    <rPh sb="12" eb="14">
      <t>テツヅ</t>
    </rPh>
    <rPh sb="16" eb="18">
      <t>テマ</t>
    </rPh>
    <rPh sb="19" eb="21">
      <t>カッコク</t>
    </rPh>
    <rPh sb="22" eb="24">
      <t>デンキ</t>
    </rPh>
    <rPh sb="25" eb="27">
      <t>ツウシン</t>
    </rPh>
    <rPh sb="31" eb="33">
      <t>カンキョウ</t>
    </rPh>
    <rPh sb="34" eb="36">
      <t>ジサ</t>
    </rPh>
    <rPh sb="37" eb="39">
      <t>ツウカ</t>
    </rPh>
    <rPh sb="40" eb="42">
      <t>カワセ</t>
    </rPh>
    <phoneticPr fontId="2"/>
  </si>
  <si>
    <t>特定製品指定</t>
    <rPh sb="0" eb="2">
      <t>トクテイ</t>
    </rPh>
    <rPh sb="2" eb="4">
      <t>セイヒン</t>
    </rPh>
    <rPh sb="4" eb="6">
      <t>シテイ</t>
    </rPh>
    <phoneticPr fontId="2"/>
  </si>
  <si>
    <t>F.2.5.1</t>
    <phoneticPr fontId="2"/>
  </si>
  <si>
    <t xml:space="preserve">ユーザの指定によるオープンソース製品や第三者製品(ISV/IHV)などの採用の有無を確認する項目。
</t>
    <rPh sb="42" eb="44">
      <t>カクニン</t>
    </rPh>
    <rPh sb="46" eb="48">
      <t>コウモク</t>
    </rPh>
    <phoneticPr fontId="2"/>
  </si>
  <si>
    <t xml:space="preserve">開発全般（特に事前検証工数が必要）に製品依存の影響がある。
</t>
    <rPh sb="5" eb="6">
      <t>トク</t>
    </rPh>
    <rPh sb="7" eb="9">
      <t>ジゼン</t>
    </rPh>
    <rPh sb="14" eb="16">
      <t>ヒツヨウ</t>
    </rPh>
    <phoneticPr fontId="2"/>
  </si>
  <si>
    <t xml:space="preserve">ユーザ特定製品の採用有無
アプリが稼動するOS
アプリが稼動する製品のバージョン
プロフェッショナルサービスの有無
</t>
    <rPh sb="3" eb="5">
      <t>トクテイ</t>
    </rPh>
    <rPh sb="5" eb="7">
      <t>セイヒン</t>
    </rPh>
    <rPh sb="10" eb="12">
      <t>ウム</t>
    </rPh>
    <rPh sb="28" eb="30">
      <t>カドウ</t>
    </rPh>
    <rPh sb="32" eb="34">
      <t>セイヒン</t>
    </rPh>
    <rPh sb="55" eb="57">
      <t>ウム</t>
    </rPh>
    <phoneticPr fontId="2"/>
  </si>
  <si>
    <t>システム利用範囲</t>
    <rPh sb="4" eb="6">
      <t>リヨウ</t>
    </rPh>
    <rPh sb="6" eb="8">
      <t>ハンイ</t>
    </rPh>
    <phoneticPr fontId="2"/>
  </si>
  <si>
    <t>F.2.6.1</t>
    <phoneticPr fontId="2"/>
  </si>
  <si>
    <t xml:space="preserve">システム利用者が属する属性の広がり。
</t>
    <rPh sb="4" eb="6">
      <t>リヨウ</t>
    </rPh>
    <rPh sb="6" eb="7">
      <t>シャ</t>
    </rPh>
    <rPh sb="8" eb="9">
      <t>ゾク</t>
    </rPh>
    <rPh sb="11" eb="13">
      <t>ゾクセイ</t>
    </rPh>
    <rPh sb="14" eb="15">
      <t>ヒロ</t>
    </rPh>
    <phoneticPr fontId="2"/>
  </si>
  <si>
    <t xml:space="preserve">利用内容により、テスト工数、品質強化の工数に影響する。
（例）
B2B、B2Cなどはテスト工数を大きくする。
</t>
    <rPh sb="0" eb="2">
      <t>リヨウ</t>
    </rPh>
    <rPh sb="2" eb="4">
      <t>ナイヨウ</t>
    </rPh>
    <rPh sb="11" eb="13">
      <t>コウスウ</t>
    </rPh>
    <rPh sb="14" eb="16">
      <t>ヒンシツ</t>
    </rPh>
    <rPh sb="16" eb="18">
      <t>キョウカ</t>
    </rPh>
    <rPh sb="19" eb="21">
      <t>コウスウ</t>
    </rPh>
    <rPh sb="22" eb="24">
      <t>エイキョウ</t>
    </rPh>
    <rPh sb="30" eb="31">
      <t>レイ</t>
    </rPh>
    <rPh sb="46" eb="48">
      <t>コウスウ</t>
    </rPh>
    <rPh sb="49" eb="50">
      <t>オオ</t>
    </rPh>
    <phoneticPr fontId="2"/>
  </si>
  <si>
    <t>システム利用の範囲
　　（社内システム、B2B、B2Cなど）</t>
    <rPh sb="4" eb="6">
      <t>リヨウ</t>
    </rPh>
    <rPh sb="7" eb="9">
      <t>ハンイ</t>
    </rPh>
    <phoneticPr fontId="2"/>
  </si>
  <si>
    <t>複数言語対応</t>
    <rPh sb="0" eb="2">
      <t>フクスウ</t>
    </rPh>
    <rPh sb="2" eb="4">
      <t>ゲンゴ</t>
    </rPh>
    <rPh sb="4" eb="6">
      <t>タイオウ</t>
    </rPh>
    <phoneticPr fontId="2"/>
  </si>
  <si>
    <t>F.2.7.1</t>
    <phoneticPr fontId="2"/>
  </si>
  <si>
    <t xml:space="preserve">システム構築の上で使用が必要、またはサービスとして提供しなければならない言語。扱わなければならない言語の数や各言語スキル保持者へのアクセシビリティを考慮。
</t>
    <rPh sb="4" eb="6">
      <t>コウチク</t>
    </rPh>
    <rPh sb="7" eb="8">
      <t>ウエ</t>
    </rPh>
    <rPh sb="9" eb="11">
      <t>シヨウ</t>
    </rPh>
    <rPh sb="12" eb="14">
      <t>ヒツヨウ</t>
    </rPh>
    <rPh sb="25" eb="27">
      <t>テイキョウ</t>
    </rPh>
    <rPh sb="36" eb="38">
      <t>ゲンゴ</t>
    </rPh>
    <rPh sb="39" eb="40">
      <t>アツカ</t>
    </rPh>
    <rPh sb="49" eb="51">
      <t>ゲンゴ</t>
    </rPh>
    <rPh sb="52" eb="53">
      <t>カズ</t>
    </rPh>
    <rPh sb="60" eb="63">
      <t>ホジシャ</t>
    </rPh>
    <phoneticPr fontId="2"/>
  </si>
  <si>
    <t xml:space="preserve">多言語対応により、設計、実装の工数に影響する。
（例）
画面設計工数×言語数、
データ設計工数×言語数、
マニュアル×言語数、
翻訳要員工数
</t>
    <rPh sb="0" eb="3">
      <t>タゲンゴ</t>
    </rPh>
    <rPh sb="3" eb="5">
      <t>タイオウ</t>
    </rPh>
    <rPh sb="9" eb="11">
      <t>セッケイ</t>
    </rPh>
    <rPh sb="12" eb="14">
      <t>ジッソウ</t>
    </rPh>
    <rPh sb="15" eb="17">
      <t>コウスウ</t>
    </rPh>
    <rPh sb="18" eb="20">
      <t>エイキョウ</t>
    </rPh>
    <rPh sb="26" eb="27">
      <t>レイ</t>
    </rPh>
    <phoneticPr fontId="2"/>
  </si>
  <si>
    <t>言語数
言語の特性</t>
    <rPh sb="0" eb="2">
      <t>ゲンゴ</t>
    </rPh>
    <rPh sb="2" eb="3">
      <t>スウ</t>
    </rPh>
    <rPh sb="4" eb="6">
      <t>ゲンゴ</t>
    </rPh>
    <rPh sb="7" eb="9">
      <t>トクセイ</t>
    </rPh>
    <phoneticPr fontId="2"/>
  </si>
  <si>
    <t>可用性</t>
    <rPh sb="0" eb="1">
      <t>カ</t>
    </rPh>
    <rPh sb="1" eb="2">
      <t>ヨウ</t>
    </rPh>
    <rPh sb="2" eb="3">
      <t>セイ</t>
    </rPh>
    <phoneticPr fontId="2"/>
  </si>
  <si>
    <t>継続性</t>
    <rPh sb="0" eb="2">
      <t>ケイゾク</t>
    </rPh>
    <rPh sb="2" eb="3">
      <t>セイ</t>
    </rPh>
    <phoneticPr fontId="2"/>
  </si>
  <si>
    <t>目標復旧水準
（業務停止時）</t>
    <rPh sb="0" eb="2">
      <t>モクヒョウ</t>
    </rPh>
    <rPh sb="2" eb="4">
      <t>フッキュウ</t>
    </rPh>
    <rPh sb="4" eb="6">
      <t>スイジュン</t>
    </rPh>
    <rPh sb="8" eb="10">
      <t>ギョウム</t>
    </rPh>
    <rPh sb="10" eb="12">
      <t>テイシ</t>
    </rPh>
    <rPh sb="12" eb="13">
      <t>ジ</t>
    </rPh>
    <phoneticPr fontId="24"/>
  </si>
  <si>
    <r>
      <t xml:space="preserve">A.1.3.1
</t>
    </r>
    <r>
      <rPr>
        <sz val="10"/>
        <rFont val="ＭＳ Ｐゴシック"/>
        <family val="3"/>
        <charset val="128"/>
      </rPr>
      <t>A.1.3.2
A.1.3.3</t>
    </r>
    <phoneticPr fontId="2"/>
  </si>
  <si>
    <t xml:space="preserve">業務停止を伴う障害が発生した際、何をどこまで、どれ位で復旧させるかの目標。
</t>
    <rPh sb="0" eb="2">
      <t>ギョウム</t>
    </rPh>
    <rPh sb="2" eb="4">
      <t>テイシ</t>
    </rPh>
    <rPh sb="5" eb="6">
      <t>トモナ</t>
    </rPh>
    <rPh sb="7" eb="9">
      <t>ショウガイ</t>
    </rPh>
    <rPh sb="10" eb="12">
      <t>ハッセイ</t>
    </rPh>
    <rPh sb="14" eb="15">
      <t>サイ</t>
    </rPh>
    <rPh sb="16" eb="17">
      <t>ナニ</t>
    </rPh>
    <rPh sb="25" eb="26">
      <t>クライ</t>
    </rPh>
    <rPh sb="27" eb="29">
      <t>フッキュウ</t>
    </rPh>
    <rPh sb="34" eb="36">
      <t>モクヒョウ</t>
    </rPh>
    <phoneticPr fontId="24"/>
  </si>
  <si>
    <r>
      <t>業務アプリの種類によって、M/W(DB</t>
    </r>
    <r>
      <rPr>
        <sz val="10"/>
        <rFont val="ＭＳ Ｐゴシック"/>
        <family val="3"/>
        <charset val="128"/>
      </rPr>
      <t xml:space="preserve">、インスタンスの数、など）を考慮し、運用設計の工数に影響する。
例：ツーフェーズコミットの方式、戻し先の管理（ログ）方式
（基盤で実施されていれば、工数には影響がない）
</t>
    </r>
    <rPh sb="0" eb="2">
      <t>ギョウム</t>
    </rPh>
    <rPh sb="6" eb="8">
      <t>シュルイ</t>
    </rPh>
    <rPh sb="37" eb="39">
      <t>ウンヨウ</t>
    </rPh>
    <rPh sb="39" eb="41">
      <t>セッケイ</t>
    </rPh>
    <rPh sb="42" eb="44">
      <t>コウスウ</t>
    </rPh>
    <rPh sb="45" eb="47">
      <t>エイキョウ</t>
    </rPh>
    <rPh sb="52" eb="53">
      <t>レイ</t>
    </rPh>
    <rPh sb="65" eb="67">
      <t>ホウシキ</t>
    </rPh>
    <rPh sb="68" eb="69">
      <t>モド</t>
    </rPh>
    <rPh sb="70" eb="71">
      <t>サキ</t>
    </rPh>
    <rPh sb="72" eb="74">
      <t>カンリ</t>
    </rPh>
    <rPh sb="78" eb="80">
      <t>ホウシキ</t>
    </rPh>
    <rPh sb="82" eb="84">
      <t>キバン</t>
    </rPh>
    <rPh sb="85" eb="87">
      <t>ジッシ</t>
    </rPh>
    <rPh sb="94" eb="96">
      <t>コウスウ</t>
    </rPh>
    <rPh sb="98" eb="100">
      <t>エイキョウ</t>
    </rPh>
    <phoneticPr fontId="2"/>
  </si>
  <si>
    <r>
      <t>RPO（目標復旧地点）
RTO</t>
    </r>
    <r>
      <rPr>
        <sz val="10"/>
        <rFont val="ＭＳ Ｐゴシック"/>
        <family val="3"/>
        <charset val="128"/>
      </rPr>
      <t xml:space="preserve">（目標復旧時間）
</t>
    </r>
    <r>
      <rPr>
        <sz val="10"/>
        <rFont val="ＭＳ Ｐゴシック"/>
        <family val="3"/>
        <charset val="128"/>
      </rPr>
      <t>RLO</t>
    </r>
    <r>
      <rPr>
        <sz val="10"/>
        <rFont val="ＭＳ Ｐゴシック"/>
        <family val="3"/>
        <charset val="128"/>
      </rPr>
      <t>（目標復旧レベル）
復旧方法</t>
    </r>
    <rPh sb="4" eb="6">
      <t>モクヒョウ</t>
    </rPh>
    <rPh sb="6" eb="8">
      <t>フッキュウ</t>
    </rPh>
    <rPh sb="8" eb="10">
      <t>チテン</t>
    </rPh>
    <rPh sb="37" eb="39">
      <t>フッキュウ</t>
    </rPh>
    <rPh sb="39" eb="41">
      <t>ホウホウ</t>
    </rPh>
    <phoneticPr fontId="24"/>
  </si>
  <si>
    <t>性能・拡張性</t>
    <rPh sb="0" eb="2">
      <t>セイノウ</t>
    </rPh>
    <rPh sb="3" eb="6">
      <t>カクチョウセイ</t>
    </rPh>
    <phoneticPr fontId="2"/>
  </si>
  <si>
    <t>性能目標値</t>
    <rPh sb="0" eb="2">
      <t>セイノウ</t>
    </rPh>
    <rPh sb="2" eb="5">
      <t>モクヒョウチ</t>
    </rPh>
    <phoneticPr fontId="2"/>
  </si>
  <si>
    <t>オンラインレスポンス</t>
    <phoneticPr fontId="2"/>
  </si>
  <si>
    <r>
      <t xml:space="preserve">B.2.1.1
</t>
    </r>
    <r>
      <rPr>
        <sz val="10"/>
        <rFont val="ＭＳ Ｐゴシック"/>
        <family val="3"/>
        <charset val="128"/>
      </rPr>
      <t>B.2.1.2
B.2.1.3</t>
    </r>
    <phoneticPr fontId="2"/>
  </si>
  <si>
    <t xml:space="preserve">オンラインシステム利用時に要求されるレスポンス。
システム化する対象業務の特性をふまえ、どの程度のレスポンスが必要かについて確認する。
</t>
    <rPh sb="9" eb="12">
      <t>リヨウジ</t>
    </rPh>
    <rPh sb="13" eb="15">
      <t>ヨウキュウ</t>
    </rPh>
    <rPh sb="46" eb="48">
      <t>テイド</t>
    </rPh>
    <rPh sb="55" eb="57">
      <t>ヒツヨウ</t>
    </rPh>
    <rPh sb="62" eb="64">
      <t>カクニン</t>
    </rPh>
    <phoneticPr fontId="24"/>
  </si>
  <si>
    <t>アプリの性能要件として設計、実装、性能テストの工数に影響する。特に順守率によって事前検証、設計、テスト工数に影響する。</t>
    <rPh sb="4" eb="6">
      <t>セイノウ</t>
    </rPh>
    <rPh sb="6" eb="8">
      <t>ヨウケン</t>
    </rPh>
    <rPh sb="11" eb="13">
      <t>セッケイ</t>
    </rPh>
    <rPh sb="14" eb="16">
      <t>ジッソウ</t>
    </rPh>
    <rPh sb="17" eb="19">
      <t>セイノウ</t>
    </rPh>
    <rPh sb="23" eb="25">
      <t>コウスウ</t>
    </rPh>
    <rPh sb="26" eb="28">
      <t>エイキョウ</t>
    </rPh>
    <phoneticPr fontId="2"/>
  </si>
  <si>
    <t xml:space="preserve">通常時レスポンス順守率
ピーク時レスポンス順守率
縮退時レスポンス順守率
利用者数
同時接続数
データ量
</t>
    <rPh sb="0" eb="3">
      <t>ツウジョウジ</t>
    </rPh>
    <rPh sb="8" eb="10">
      <t>ジュンシュ</t>
    </rPh>
    <rPh sb="10" eb="11">
      <t>リツ</t>
    </rPh>
    <rPh sb="42" eb="44">
      <t>ドウジ</t>
    </rPh>
    <rPh sb="44" eb="46">
      <t>セツゾク</t>
    </rPh>
    <rPh sb="46" eb="47">
      <t>スウ</t>
    </rPh>
    <phoneticPr fontId="24"/>
  </si>
  <si>
    <t>バッチレスポンス
（ターンアラウンドタイム）</t>
    <phoneticPr fontId="2"/>
  </si>
  <si>
    <t>B.2.2.1
B.2.2.2
B.2.2.3</t>
    <phoneticPr fontId="2"/>
  </si>
  <si>
    <t xml:space="preserve">バッチシステム利用時に要求されるレスポンス。
システム化する対象業務の特性をふまえ、どの程度のレスポンス（ターンアラウンドタイム）が必要かについて確認する。
</t>
    <rPh sb="11" eb="13">
      <t>ヨウキュウ</t>
    </rPh>
    <rPh sb="27" eb="28">
      <t>カ</t>
    </rPh>
    <rPh sb="30" eb="32">
      <t>タイショウ</t>
    </rPh>
    <rPh sb="32" eb="34">
      <t>ギョウム</t>
    </rPh>
    <rPh sb="35" eb="37">
      <t>トクセイ</t>
    </rPh>
    <rPh sb="44" eb="46">
      <t>テイド</t>
    </rPh>
    <rPh sb="66" eb="68">
      <t>ヒツヨウ</t>
    </rPh>
    <rPh sb="73" eb="75">
      <t>カクニン</t>
    </rPh>
    <phoneticPr fontId="24"/>
  </si>
  <si>
    <t xml:space="preserve">アプリの性能要件として設計、実装、性能テストの工数に影響する。特に順守率によって事前検証、設計、テスト工数に影響する。
</t>
    <rPh sb="4" eb="6">
      <t>セイノウ</t>
    </rPh>
    <rPh sb="6" eb="8">
      <t>ヨウケン</t>
    </rPh>
    <rPh sb="11" eb="13">
      <t>セッケイ</t>
    </rPh>
    <rPh sb="14" eb="16">
      <t>ジッソウ</t>
    </rPh>
    <rPh sb="17" eb="19">
      <t>セイノウ</t>
    </rPh>
    <rPh sb="23" eb="25">
      <t>コウスウ</t>
    </rPh>
    <rPh sb="26" eb="28">
      <t>エイキョウ</t>
    </rPh>
    <rPh sb="31" eb="32">
      <t>トク</t>
    </rPh>
    <phoneticPr fontId="2"/>
  </si>
  <si>
    <t xml:space="preserve">通常時レスポンス順守率
ピーク時レスポンス順守率
縮退時レスポンス順守率
データ量
多重度
</t>
    <rPh sb="0" eb="3">
      <t>ツウジョウジ</t>
    </rPh>
    <rPh sb="8" eb="10">
      <t>ジュンシュ</t>
    </rPh>
    <rPh sb="10" eb="11">
      <t>リツ</t>
    </rPh>
    <rPh sb="42" eb="44">
      <t>タジュウ</t>
    </rPh>
    <rPh sb="44" eb="45">
      <t>ド</t>
    </rPh>
    <phoneticPr fontId="24"/>
  </si>
  <si>
    <t>オンラインスループット</t>
    <phoneticPr fontId="2"/>
  </si>
  <si>
    <r>
      <t xml:space="preserve">B.2.3.1
</t>
    </r>
    <r>
      <rPr>
        <sz val="10"/>
        <rFont val="ＭＳ Ｐゴシック"/>
        <family val="3"/>
        <charset val="128"/>
      </rPr>
      <t>B.2.3.2
B.2.3.3</t>
    </r>
    <phoneticPr fontId="2"/>
  </si>
  <si>
    <t xml:space="preserve">オンラインシステム利用時に要求されるスループット。
システム化する対象業務の特性をふまえ、単位時間にどれだけの量の作業ができるかを確認する。
</t>
    <rPh sb="13" eb="15">
      <t>ヨウキュウ</t>
    </rPh>
    <rPh sb="30" eb="31">
      <t>カ</t>
    </rPh>
    <rPh sb="33" eb="35">
      <t>タイショウ</t>
    </rPh>
    <rPh sb="35" eb="37">
      <t>ギョウム</t>
    </rPh>
    <rPh sb="38" eb="40">
      <t>トクセイ</t>
    </rPh>
    <rPh sb="45" eb="47">
      <t>タンイ</t>
    </rPh>
    <rPh sb="47" eb="49">
      <t>ジカン</t>
    </rPh>
    <rPh sb="55" eb="56">
      <t>リョウ</t>
    </rPh>
    <rPh sb="57" eb="59">
      <t>サギョウ</t>
    </rPh>
    <rPh sb="65" eb="67">
      <t>カクニン</t>
    </rPh>
    <phoneticPr fontId="24"/>
  </si>
  <si>
    <t xml:space="preserve">アプリの性能要件として設計、実装、性能テストの工数に影響する。特に余裕率によって事前検証、設計、テスト工数に影響する。
</t>
    <rPh sb="4" eb="6">
      <t>セイノウ</t>
    </rPh>
    <rPh sb="6" eb="8">
      <t>ヨウケン</t>
    </rPh>
    <rPh sb="11" eb="13">
      <t>セッケイ</t>
    </rPh>
    <rPh sb="14" eb="16">
      <t>ジッソウ</t>
    </rPh>
    <rPh sb="17" eb="19">
      <t>セイノウ</t>
    </rPh>
    <rPh sb="23" eb="25">
      <t>コウスウ</t>
    </rPh>
    <rPh sb="26" eb="28">
      <t>エイキョウ</t>
    </rPh>
    <rPh sb="31" eb="32">
      <t>トク</t>
    </rPh>
    <phoneticPr fontId="2"/>
  </si>
  <si>
    <t xml:space="preserve">通常時処理余裕率
ピーク時処理余裕率
縮退時処理余裕率
利用者数
同時接続数
データ量
</t>
    <rPh sb="0" eb="3">
      <t>ツウジョウジ</t>
    </rPh>
    <rPh sb="3" eb="5">
      <t>ショリ</t>
    </rPh>
    <rPh sb="5" eb="7">
      <t>ヨユウ</t>
    </rPh>
    <rPh sb="7" eb="8">
      <t>リツ</t>
    </rPh>
    <phoneticPr fontId="24"/>
  </si>
  <si>
    <t>バッチスループット</t>
    <phoneticPr fontId="2"/>
  </si>
  <si>
    <r>
      <t xml:space="preserve">B.2.4.1
</t>
    </r>
    <r>
      <rPr>
        <sz val="10"/>
        <rFont val="ＭＳ Ｐゴシック"/>
        <family val="3"/>
        <charset val="128"/>
      </rPr>
      <t>B.2.4.2
B.2.4.3</t>
    </r>
    <phoneticPr fontId="2"/>
  </si>
  <si>
    <t xml:space="preserve">バッチシステム利用時に要求されるスループット。
システム化する対象業務の特性をふまえ、どの程度のスループットを確保すべきか確認する。
</t>
    <rPh sb="11" eb="13">
      <t>ヨウキュウ</t>
    </rPh>
    <rPh sb="28" eb="29">
      <t>カ</t>
    </rPh>
    <rPh sb="31" eb="33">
      <t>タイショウ</t>
    </rPh>
    <rPh sb="33" eb="35">
      <t>ギョウム</t>
    </rPh>
    <rPh sb="36" eb="38">
      <t>トクセイ</t>
    </rPh>
    <rPh sb="45" eb="47">
      <t>テイド</t>
    </rPh>
    <rPh sb="55" eb="57">
      <t>カクホ</t>
    </rPh>
    <rPh sb="61" eb="63">
      <t>カクニン</t>
    </rPh>
    <phoneticPr fontId="24"/>
  </si>
  <si>
    <t>アプリの性能要件として設計、実装、性能テストの工数に影響する。特に余裕率によって事前検証、設計、テスト工数に影響する。</t>
    <rPh sb="4" eb="6">
      <t>セイノウ</t>
    </rPh>
    <rPh sb="6" eb="8">
      <t>ヨウケン</t>
    </rPh>
    <rPh sb="11" eb="13">
      <t>セッケイ</t>
    </rPh>
    <rPh sb="14" eb="16">
      <t>ジッソウ</t>
    </rPh>
    <rPh sb="17" eb="19">
      <t>セイノウ</t>
    </rPh>
    <rPh sb="23" eb="25">
      <t>コウスウ</t>
    </rPh>
    <rPh sb="26" eb="28">
      <t>エイキョウ</t>
    </rPh>
    <phoneticPr fontId="2"/>
  </si>
  <si>
    <t xml:space="preserve">通常時処理余裕率
ピーク時処理余裕率
縮退時処理余裕率
データ量
多重度
</t>
    <rPh sb="0" eb="3">
      <t>ツウジョウジ</t>
    </rPh>
    <rPh sb="3" eb="5">
      <t>ショリ</t>
    </rPh>
    <rPh sb="5" eb="7">
      <t>ヨユウ</t>
    </rPh>
    <rPh sb="7" eb="8">
      <t>リツ</t>
    </rPh>
    <phoneticPr fontId="24"/>
  </si>
  <si>
    <t>帳票印刷能力</t>
    <rPh sb="0" eb="2">
      <t>チョウヒョウ</t>
    </rPh>
    <rPh sb="2" eb="4">
      <t>インサツ</t>
    </rPh>
    <rPh sb="4" eb="6">
      <t>ノウリョク</t>
    </rPh>
    <phoneticPr fontId="2"/>
  </si>
  <si>
    <t>B.2.5.1
B.2.5.2
B.2.5.3</t>
    <phoneticPr fontId="2"/>
  </si>
  <si>
    <t xml:space="preserve">帳票印刷に要求されるスループット。
業務で必要な帳票の出力時期や枚数を考慮し、どの程度のスループットが必要かを確認する。
</t>
    <phoneticPr fontId="24"/>
  </si>
  <si>
    <t xml:space="preserve">アプリの性能要件として設計、実装、性能テストの工数に影響する。特に余裕率によって事前検証、設計、テスト工数に影響する。
例）印刷方式（極度の印刷性能を求められる場合のみ）
</t>
    <rPh sb="4" eb="6">
      <t>セイノウ</t>
    </rPh>
    <rPh sb="6" eb="8">
      <t>ヨウケン</t>
    </rPh>
    <rPh sb="11" eb="13">
      <t>セッケイ</t>
    </rPh>
    <rPh sb="14" eb="16">
      <t>ジッソウ</t>
    </rPh>
    <rPh sb="17" eb="19">
      <t>セイノウ</t>
    </rPh>
    <rPh sb="23" eb="25">
      <t>コウスウ</t>
    </rPh>
    <rPh sb="26" eb="28">
      <t>エイキョウ</t>
    </rPh>
    <rPh sb="61" eb="62">
      <t>レイ</t>
    </rPh>
    <rPh sb="63" eb="65">
      <t>インサツ</t>
    </rPh>
    <rPh sb="65" eb="67">
      <t>ホウシキ</t>
    </rPh>
    <rPh sb="68" eb="70">
      <t>キョクド</t>
    </rPh>
    <rPh sb="71" eb="73">
      <t>インサツ</t>
    </rPh>
    <rPh sb="73" eb="75">
      <t>セイノウ</t>
    </rPh>
    <rPh sb="76" eb="77">
      <t>モト</t>
    </rPh>
    <rPh sb="81" eb="83">
      <t>バアイ</t>
    </rPh>
    <phoneticPr fontId="2"/>
  </si>
  <si>
    <t xml:space="preserve">通常時印刷余裕率
ピーク時印刷余裕率
縮退時印刷余裕率
利用者数
データ量
</t>
    <rPh sb="0" eb="3">
      <t>ツウジョウジ</t>
    </rPh>
    <rPh sb="3" eb="5">
      <t>インサツ</t>
    </rPh>
    <rPh sb="5" eb="7">
      <t>ヨユウ</t>
    </rPh>
    <rPh sb="7" eb="8">
      <t>リツ</t>
    </rPh>
    <phoneticPr fontId="24"/>
  </si>
  <si>
    <t>性能品質保証</t>
    <rPh sb="0" eb="2">
      <t>セイノウ</t>
    </rPh>
    <rPh sb="2" eb="4">
      <t>ヒンシツ</t>
    </rPh>
    <rPh sb="4" eb="6">
      <t>ホショウ</t>
    </rPh>
    <phoneticPr fontId="24"/>
  </si>
  <si>
    <t>性能テスト</t>
    <rPh sb="0" eb="2">
      <t>セイノウ</t>
    </rPh>
    <phoneticPr fontId="24"/>
  </si>
  <si>
    <r>
      <t xml:space="preserve">B.4.2.1
</t>
    </r>
    <r>
      <rPr>
        <sz val="10"/>
        <rFont val="ＭＳ Ｐゴシック"/>
        <family val="3"/>
        <charset val="128"/>
      </rPr>
      <t>B.4.2.2</t>
    </r>
    <phoneticPr fontId="2"/>
  </si>
  <si>
    <r>
      <t>構築したシステムが</t>
    </r>
    <r>
      <rPr>
        <sz val="10"/>
        <rFont val="ＭＳ Ｐゴシック"/>
        <family val="3"/>
        <charset val="128"/>
      </rPr>
      <t xml:space="preserve">性能を発揮できるかのテストの測定頻度と範囲。
</t>
    </r>
    <rPh sb="0" eb="2">
      <t>コウチク</t>
    </rPh>
    <rPh sb="9" eb="11">
      <t>セイノウ</t>
    </rPh>
    <rPh sb="12" eb="14">
      <t>ハッキ</t>
    </rPh>
    <rPh sb="23" eb="25">
      <t>ソクテイ</t>
    </rPh>
    <rPh sb="25" eb="27">
      <t>ヒンド</t>
    </rPh>
    <rPh sb="28" eb="30">
      <t>ハンイ</t>
    </rPh>
    <phoneticPr fontId="24"/>
  </si>
  <si>
    <t xml:space="preserve">テスト方法によって、テスト実施、テストデータ準備の工数に影響する。
例）前倒しでテストする、事前検証有無、第3者によるテスト、データ作成工数など
</t>
    <rPh sb="13" eb="15">
      <t>ジッシ</t>
    </rPh>
    <rPh sb="22" eb="24">
      <t>ジュンビ</t>
    </rPh>
    <rPh sb="28" eb="30">
      <t>エイキョウ</t>
    </rPh>
    <rPh sb="35" eb="36">
      <t>レイ</t>
    </rPh>
    <rPh sb="37" eb="39">
      <t>マエダオ</t>
    </rPh>
    <rPh sb="47" eb="49">
      <t>ジゼン</t>
    </rPh>
    <rPh sb="49" eb="51">
      <t>ケンショウ</t>
    </rPh>
    <rPh sb="51" eb="53">
      <t>ウム</t>
    </rPh>
    <rPh sb="54" eb="55">
      <t>ダイ</t>
    </rPh>
    <rPh sb="56" eb="57">
      <t>シャ</t>
    </rPh>
    <phoneticPr fontId="2"/>
  </si>
  <si>
    <t xml:space="preserve">測定頻度
　　（開始工程、終了工程、実施タイミング）
確認範囲
テスト回数
テストツールの有無
　⇒ツール無しは工数増
</t>
    <rPh sb="0" eb="2">
      <t>ソクテイ</t>
    </rPh>
    <rPh sb="2" eb="4">
      <t>ヒンド</t>
    </rPh>
    <rPh sb="35" eb="37">
      <t>カイスウ</t>
    </rPh>
    <rPh sb="45" eb="47">
      <t>ウム</t>
    </rPh>
    <phoneticPr fontId="24"/>
  </si>
  <si>
    <t>スパイク負荷対応</t>
    <rPh sb="4" eb="6">
      <t>フカ</t>
    </rPh>
    <rPh sb="6" eb="8">
      <t>タイオウ</t>
    </rPh>
    <phoneticPr fontId="24"/>
  </si>
  <si>
    <t>B.4.3.1</t>
    <phoneticPr fontId="2"/>
  </si>
  <si>
    <t xml:space="preserve">通常時の負荷と比較して、非常に大きな負荷が短時間に現れることを指す。業務量の想定されたピークを超えた状態。
</t>
    <phoneticPr fontId="24"/>
  </si>
  <si>
    <t xml:space="preserve">負荷対応の仕組みを構築するための、実装工数、テスト工数に影響
例）トランザクションを落とさないための仕組み（ユーザ制限など）導入、
Sorry動作（一時的な待機画面の表示など）の構築の有無。
</t>
    <rPh sb="0" eb="2">
      <t>フカ</t>
    </rPh>
    <rPh sb="2" eb="4">
      <t>タイオウ</t>
    </rPh>
    <rPh sb="5" eb="7">
      <t>シク</t>
    </rPh>
    <rPh sb="9" eb="11">
      <t>コウチク</t>
    </rPh>
    <rPh sb="17" eb="19">
      <t>ジッソウ</t>
    </rPh>
    <rPh sb="19" eb="21">
      <t>コウスウ</t>
    </rPh>
    <rPh sb="25" eb="27">
      <t>コウスウ</t>
    </rPh>
    <rPh sb="28" eb="30">
      <t>エイキョウ</t>
    </rPh>
    <rPh sb="32" eb="33">
      <t>レイ</t>
    </rPh>
    <rPh sb="43" eb="44">
      <t>オ</t>
    </rPh>
    <rPh sb="51" eb="53">
      <t>シク</t>
    </rPh>
    <rPh sb="58" eb="60">
      <t>セイゲン</t>
    </rPh>
    <rPh sb="63" eb="65">
      <t>ドウニュウ</t>
    </rPh>
    <rPh sb="75" eb="78">
      <t>イチジテキ</t>
    </rPh>
    <rPh sb="79" eb="81">
      <t>タイキ</t>
    </rPh>
    <rPh sb="81" eb="83">
      <t>ガメン</t>
    </rPh>
    <rPh sb="90" eb="92">
      <t>コウチク</t>
    </rPh>
    <rPh sb="93" eb="95">
      <t>ウム</t>
    </rPh>
    <phoneticPr fontId="2"/>
  </si>
  <si>
    <t xml:space="preserve">スパイク負荷への対応の有無
　⇒有りは待機画面等の
　　　機能追加分の工数増
トランザクション保護
利用者数
</t>
    <rPh sb="4" eb="6">
      <t>フカ</t>
    </rPh>
    <rPh sb="8" eb="10">
      <t>タイオウ</t>
    </rPh>
    <rPh sb="11" eb="13">
      <t>ウム</t>
    </rPh>
    <rPh sb="33" eb="34">
      <t>ブン</t>
    </rPh>
    <rPh sb="47" eb="49">
      <t>ホゴ</t>
    </rPh>
    <rPh sb="50" eb="52">
      <t>リヨウ</t>
    </rPh>
    <rPh sb="52" eb="53">
      <t>シャ</t>
    </rPh>
    <rPh sb="53" eb="54">
      <t>スウ</t>
    </rPh>
    <phoneticPr fontId="24"/>
  </si>
  <si>
    <t>運用・保守性</t>
    <rPh sb="0" eb="2">
      <t>ウンヨウ</t>
    </rPh>
    <rPh sb="3" eb="6">
      <t>ホシュセイ</t>
    </rPh>
    <phoneticPr fontId="2"/>
  </si>
  <si>
    <t>通常運用</t>
    <rPh sb="0" eb="2">
      <t>ツウジョウ</t>
    </rPh>
    <rPh sb="2" eb="4">
      <t>ウンヨウ</t>
    </rPh>
    <phoneticPr fontId="24"/>
  </si>
  <si>
    <t>バックアップ</t>
    <phoneticPr fontId="24"/>
  </si>
  <si>
    <t>C.1.2.1～
C.1.2.7</t>
    <phoneticPr fontId="2"/>
  </si>
  <si>
    <t xml:space="preserve">システムが利用するデータのバックアップに関する項目。
</t>
    <rPh sb="5" eb="7">
      <t>リヨウ</t>
    </rPh>
    <rPh sb="20" eb="21">
      <t>カン</t>
    </rPh>
    <rPh sb="23" eb="25">
      <t>コウモク</t>
    </rPh>
    <phoneticPr fontId="24"/>
  </si>
  <si>
    <t>バックアップ方法により、バックアップ設計に影響する。
例）
アプリの稼動時間により取得時間、データのローテーション方法（バックアップ後にデータ削除など）。</t>
    <rPh sb="6" eb="8">
      <t>ホウホウ</t>
    </rPh>
    <rPh sb="18" eb="20">
      <t>セッケイ</t>
    </rPh>
    <rPh sb="21" eb="23">
      <t>エイキョウ</t>
    </rPh>
    <rPh sb="28" eb="29">
      <t>レイ</t>
    </rPh>
    <rPh sb="37" eb="39">
      <t>ジカン</t>
    </rPh>
    <rPh sb="42" eb="44">
      <t>シュトク</t>
    </rPh>
    <rPh sb="44" eb="46">
      <t>ジカン</t>
    </rPh>
    <rPh sb="58" eb="60">
      <t>ホウホウ</t>
    </rPh>
    <rPh sb="72" eb="74">
      <t>サクジョ</t>
    </rPh>
    <phoneticPr fontId="2"/>
  </si>
  <si>
    <t xml:space="preserve">データ復旧範囲
外部データの利用可否
バックアップ利用範囲
バックアップ自動化の範囲
バックアップ取得間隔
バックアップ保存期間
バックアップ方式
</t>
    <rPh sb="3" eb="5">
      <t>フッキュウ</t>
    </rPh>
    <rPh sb="5" eb="7">
      <t>ハンイ</t>
    </rPh>
    <phoneticPr fontId="24"/>
  </si>
  <si>
    <t>運用監視</t>
    <phoneticPr fontId="2"/>
  </si>
  <si>
    <t>C.1.3.1～
C.1.3.9
C.4.5.2</t>
    <phoneticPr fontId="2"/>
  </si>
  <si>
    <t xml:space="preserve">システム全体、あるいはそれを構成するハードウェア・ソフトウェア（業務アプリケーションを含む）に対する監視に関する項目。
</t>
    <rPh sb="4" eb="6">
      <t>ゼンタイ</t>
    </rPh>
    <rPh sb="14" eb="16">
      <t>コウセイ</t>
    </rPh>
    <rPh sb="32" eb="34">
      <t>ギョウム</t>
    </rPh>
    <rPh sb="43" eb="44">
      <t>フク</t>
    </rPh>
    <rPh sb="47" eb="48">
      <t>タイ</t>
    </rPh>
    <rPh sb="50" eb="52">
      <t>カンシ</t>
    </rPh>
    <rPh sb="53" eb="54">
      <t>カン</t>
    </rPh>
    <rPh sb="56" eb="58">
      <t>コウモク</t>
    </rPh>
    <phoneticPr fontId="24"/>
  </si>
  <si>
    <t xml:space="preserve">監視対象と監視方法によって、アプリの設計、実装、テスト、監視設計、運用設計に影響する。
例）
例外（エラー）設計の要否。
</t>
    <rPh sb="0" eb="2">
      <t>カンシ</t>
    </rPh>
    <rPh sb="2" eb="4">
      <t>タイショウ</t>
    </rPh>
    <rPh sb="5" eb="7">
      <t>カンシ</t>
    </rPh>
    <rPh sb="7" eb="9">
      <t>ホウホウ</t>
    </rPh>
    <rPh sb="18" eb="20">
      <t>セッケイ</t>
    </rPh>
    <rPh sb="21" eb="23">
      <t>ジッソウ</t>
    </rPh>
    <rPh sb="28" eb="30">
      <t>カンシ</t>
    </rPh>
    <rPh sb="30" eb="32">
      <t>セッケイ</t>
    </rPh>
    <rPh sb="33" eb="35">
      <t>ウンヨウ</t>
    </rPh>
    <rPh sb="35" eb="37">
      <t>セッケイ</t>
    </rPh>
    <rPh sb="38" eb="40">
      <t>エイキョウ</t>
    </rPh>
    <rPh sb="45" eb="46">
      <t>レイ</t>
    </rPh>
    <rPh sb="58" eb="60">
      <t>ヨウヒ</t>
    </rPh>
    <phoneticPr fontId="2"/>
  </si>
  <si>
    <t xml:space="preserve">監視情報
監視間隔
監視対象（システム、プロセス、DB、
　　ストレージ、サーバ、ネットワークなど）
監視ツールの有無
　⇒ツール無しは工数増
</t>
    <rPh sb="0" eb="2">
      <t>カンシ</t>
    </rPh>
    <rPh sb="2" eb="4">
      <t>ジョウホウ</t>
    </rPh>
    <rPh sb="10" eb="12">
      <t>カンシ</t>
    </rPh>
    <rPh sb="12" eb="14">
      <t>タイショウ</t>
    </rPh>
    <rPh sb="51" eb="53">
      <t>カンシ</t>
    </rPh>
    <rPh sb="57" eb="59">
      <t>ウム</t>
    </rPh>
    <phoneticPr fontId="2"/>
  </si>
  <si>
    <t>時刻同期</t>
    <rPh sb="0" eb="2">
      <t>ジコク</t>
    </rPh>
    <rPh sb="2" eb="4">
      <t>ドウキ</t>
    </rPh>
    <phoneticPr fontId="2"/>
  </si>
  <si>
    <t>C.1.4.1</t>
    <phoneticPr fontId="2"/>
  </si>
  <si>
    <t xml:space="preserve">システムを構成する機器の時刻同期に関する項目。
</t>
    <rPh sb="5" eb="7">
      <t>コウセイ</t>
    </rPh>
    <rPh sb="9" eb="11">
      <t>キキ</t>
    </rPh>
    <rPh sb="12" eb="14">
      <t>ジコク</t>
    </rPh>
    <rPh sb="14" eb="16">
      <t>ドウキ</t>
    </rPh>
    <rPh sb="17" eb="18">
      <t>カン</t>
    </rPh>
    <rPh sb="20" eb="22">
      <t>コウモク</t>
    </rPh>
    <phoneticPr fontId="2"/>
  </si>
  <si>
    <t xml:space="preserve">コールセンター業務であれば、時刻取得・記録の仕組みに影響する。
</t>
    <rPh sb="7" eb="9">
      <t>ギョウム</t>
    </rPh>
    <rPh sb="14" eb="16">
      <t>ジコク</t>
    </rPh>
    <rPh sb="16" eb="18">
      <t>シュトク</t>
    </rPh>
    <rPh sb="19" eb="21">
      <t>キロク</t>
    </rPh>
    <rPh sb="22" eb="24">
      <t>シク</t>
    </rPh>
    <rPh sb="26" eb="28">
      <t>エイキョウ</t>
    </rPh>
    <phoneticPr fontId="2"/>
  </si>
  <si>
    <t>時刻同期設定の範囲</t>
    <rPh sb="0" eb="2">
      <t>ジコク</t>
    </rPh>
    <rPh sb="2" eb="4">
      <t>ドウキ</t>
    </rPh>
    <rPh sb="4" eb="6">
      <t>セッテイ</t>
    </rPh>
    <rPh sb="7" eb="9">
      <t>ハンイ</t>
    </rPh>
    <phoneticPr fontId="2"/>
  </si>
  <si>
    <t>障害時運用</t>
    <rPh sb="0" eb="2">
      <t>ショウガイ</t>
    </rPh>
    <rPh sb="2" eb="3">
      <t>ジ</t>
    </rPh>
    <rPh sb="3" eb="5">
      <t>ウンヨウ</t>
    </rPh>
    <phoneticPr fontId="24"/>
  </si>
  <si>
    <t>障害復旧自動化の範囲</t>
    <rPh sb="0" eb="2">
      <t>ショウガイ</t>
    </rPh>
    <rPh sb="2" eb="4">
      <t>フッキュウ</t>
    </rPh>
    <rPh sb="4" eb="7">
      <t>ジドウカ</t>
    </rPh>
    <rPh sb="8" eb="10">
      <t>ハンイ</t>
    </rPh>
    <phoneticPr fontId="24"/>
  </si>
  <si>
    <t>C.3.2.1</t>
    <phoneticPr fontId="2"/>
  </si>
  <si>
    <t xml:space="preserve">障害復旧に関するオペレーションを自動化する範囲に関する項目。
</t>
    <rPh sb="0" eb="2">
      <t>ショウガイ</t>
    </rPh>
    <rPh sb="2" eb="4">
      <t>フッキュウ</t>
    </rPh>
    <rPh sb="5" eb="6">
      <t>カン</t>
    </rPh>
    <rPh sb="16" eb="19">
      <t>ジドウカ</t>
    </rPh>
    <rPh sb="21" eb="23">
      <t>ハンイ</t>
    </rPh>
    <rPh sb="24" eb="25">
      <t>カン</t>
    </rPh>
    <rPh sb="27" eb="29">
      <t>コウモク</t>
    </rPh>
    <phoneticPr fontId="24"/>
  </si>
  <si>
    <t xml:space="preserve">バッチ設計に影響する。
例）
バッチ処理時のフェールオーバー方法
</t>
    <rPh sb="3" eb="5">
      <t>セッケイ</t>
    </rPh>
    <rPh sb="6" eb="8">
      <t>エイキョウ</t>
    </rPh>
    <rPh sb="13" eb="14">
      <t>レイ</t>
    </rPh>
    <rPh sb="19" eb="21">
      <t>ショリ</t>
    </rPh>
    <rPh sb="21" eb="22">
      <t>ジ</t>
    </rPh>
    <rPh sb="31" eb="33">
      <t>ホウホウ</t>
    </rPh>
    <phoneticPr fontId="2"/>
  </si>
  <si>
    <t>運用環境</t>
    <rPh sb="0" eb="2">
      <t>ウンヨウ</t>
    </rPh>
    <rPh sb="2" eb="4">
      <t>カンキョウ</t>
    </rPh>
    <phoneticPr fontId="2"/>
  </si>
  <si>
    <t>開発用環境の設置</t>
    <rPh sb="0" eb="3">
      <t>カイハツヨウ</t>
    </rPh>
    <rPh sb="3" eb="5">
      <t>カンキョウ</t>
    </rPh>
    <rPh sb="6" eb="8">
      <t>セッチ</t>
    </rPh>
    <phoneticPr fontId="2"/>
  </si>
  <si>
    <t>C.4.1.1</t>
    <phoneticPr fontId="2"/>
  </si>
  <si>
    <t xml:space="preserve">ユーザがシステムに対する開発作業を実施する目的で導入する環境についての項目。
</t>
    <rPh sb="9" eb="10">
      <t>タイ</t>
    </rPh>
    <rPh sb="12" eb="14">
      <t>カイハツ</t>
    </rPh>
    <rPh sb="14" eb="16">
      <t>サギョウ</t>
    </rPh>
    <rPh sb="17" eb="19">
      <t>ジッシ</t>
    </rPh>
    <rPh sb="21" eb="23">
      <t>モクテキ</t>
    </rPh>
    <rPh sb="24" eb="26">
      <t>ドウニュウ</t>
    </rPh>
    <rPh sb="28" eb="30">
      <t>カンキョウ</t>
    </rPh>
    <rPh sb="35" eb="37">
      <t>コウモク</t>
    </rPh>
    <phoneticPr fontId="2"/>
  </si>
  <si>
    <t>環境設置工数に影響する。</t>
    <rPh sb="0" eb="2">
      <t>カンキョウ</t>
    </rPh>
    <rPh sb="2" eb="4">
      <t>セッチ</t>
    </rPh>
    <rPh sb="4" eb="6">
      <t>コウスウ</t>
    </rPh>
    <rPh sb="7" eb="9">
      <t>エイキョウ</t>
    </rPh>
    <phoneticPr fontId="2"/>
  </si>
  <si>
    <t>開発用環境の設置有無
環境の規模、レベル</t>
    <rPh sb="0" eb="2">
      <t>カイハツ</t>
    </rPh>
    <rPh sb="2" eb="3">
      <t>ヨウ</t>
    </rPh>
    <rPh sb="3" eb="5">
      <t>カンキョウ</t>
    </rPh>
    <rPh sb="6" eb="8">
      <t>セッチ</t>
    </rPh>
    <rPh sb="8" eb="10">
      <t>ウム</t>
    </rPh>
    <rPh sb="11" eb="13">
      <t>カンキョウ</t>
    </rPh>
    <rPh sb="14" eb="16">
      <t>キボ</t>
    </rPh>
    <phoneticPr fontId="2"/>
  </si>
  <si>
    <t>試験用環境の設置</t>
    <rPh sb="0" eb="2">
      <t>シケン</t>
    </rPh>
    <rPh sb="2" eb="3">
      <t>ヨウ</t>
    </rPh>
    <rPh sb="3" eb="5">
      <t>カンキョウ</t>
    </rPh>
    <rPh sb="6" eb="8">
      <t>セッチ</t>
    </rPh>
    <phoneticPr fontId="24"/>
  </si>
  <si>
    <t>C.4.2.1</t>
    <phoneticPr fontId="2"/>
  </si>
  <si>
    <t xml:space="preserve">ユーザがシステムの動作を試験する目的で導入する環境についての項目。
</t>
    <rPh sb="9" eb="11">
      <t>ドウサ</t>
    </rPh>
    <rPh sb="12" eb="14">
      <t>シケン</t>
    </rPh>
    <rPh sb="16" eb="18">
      <t>モクテキ</t>
    </rPh>
    <rPh sb="19" eb="21">
      <t>ドウニュウ</t>
    </rPh>
    <rPh sb="23" eb="25">
      <t>カンキョウ</t>
    </rPh>
    <rPh sb="30" eb="32">
      <t>コウモク</t>
    </rPh>
    <phoneticPr fontId="24"/>
  </si>
  <si>
    <t>試験用環境の設置有無
環境の規模、レベル</t>
    <rPh sb="0" eb="3">
      <t>シケンヨウ</t>
    </rPh>
    <rPh sb="3" eb="5">
      <t>カンキョウ</t>
    </rPh>
    <rPh sb="6" eb="8">
      <t>セッチ</t>
    </rPh>
    <rPh sb="8" eb="10">
      <t>ウム</t>
    </rPh>
    <phoneticPr fontId="24"/>
  </si>
  <si>
    <t>マニュアル準備レベル</t>
    <rPh sb="5" eb="7">
      <t>ジュンビ</t>
    </rPh>
    <phoneticPr fontId="24"/>
  </si>
  <si>
    <t>C.4.3.1</t>
    <phoneticPr fontId="2"/>
  </si>
  <si>
    <t xml:space="preserve">運用のためのマニュアルの準備のレベル。
</t>
    <rPh sb="0" eb="2">
      <t>ウンヨウ</t>
    </rPh>
    <rPh sb="12" eb="14">
      <t>ジュンビ</t>
    </rPh>
    <phoneticPr fontId="24"/>
  </si>
  <si>
    <t>マニュアルの粒度が作成工数に影響する。</t>
    <rPh sb="6" eb="8">
      <t>リュウド</t>
    </rPh>
    <rPh sb="9" eb="11">
      <t>サクセイ</t>
    </rPh>
    <rPh sb="11" eb="13">
      <t>コウスウ</t>
    </rPh>
    <rPh sb="14" eb="16">
      <t>エイキョウ</t>
    </rPh>
    <phoneticPr fontId="2"/>
  </si>
  <si>
    <t xml:space="preserve">マニュアル作成対象
マニュアル記載粒度
機能数
運用作業項目数
</t>
    <rPh sb="5" eb="7">
      <t>サクセイ</t>
    </rPh>
    <rPh sb="7" eb="9">
      <t>タイショウ</t>
    </rPh>
    <rPh sb="15" eb="17">
      <t>キサイ</t>
    </rPh>
    <rPh sb="17" eb="19">
      <t>リュウド</t>
    </rPh>
    <rPh sb="20" eb="22">
      <t>キノウ</t>
    </rPh>
    <rPh sb="22" eb="23">
      <t>スウ</t>
    </rPh>
    <rPh sb="24" eb="26">
      <t>ウンヨウ</t>
    </rPh>
    <rPh sb="26" eb="28">
      <t>サギョウ</t>
    </rPh>
    <rPh sb="28" eb="31">
      <t>コウモクスウ</t>
    </rPh>
    <phoneticPr fontId="24"/>
  </si>
  <si>
    <t>外部システム接続</t>
    <rPh sb="0" eb="2">
      <t>ガイブ</t>
    </rPh>
    <rPh sb="6" eb="8">
      <t>セツゾク</t>
    </rPh>
    <phoneticPr fontId="2"/>
  </si>
  <si>
    <t>C.4.5.1</t>
    <phoneticPr fontId="2"/>
  </si>
  <si>
    <t xml:space="preserve">システムの運用に影響する外部システムとの接続の有無に関する項目。
</t>
    <rPh sb="5" eb="7">
      <t>ウンヨウ</t>
    </rPh>
    <rPh sb="8" eb="10">
      <t>エイキョウ</t>
    </rPh>
    <rPh sb="12" eb="14">
      <t>ガイブ</t>
    </rPh>
    <rPh sb="20" eb="22">
      <t>セツゾク</t>
    </rPh>
    <rPh sb="23" eb="25">
      <t>ウム</t>
    </rPh>
    <rPh sb="26" eb="27">
      <t>カン</t>
    </rPh>
    <rPh sb="29" eb="31">
      <t>コウモク</t>
    </rPh>
    <phoneticPr fontId="2"/>
  </si>
  <si>
    <t xml:space="preserve">顧客の主導体制、I/F数や接続方法により、調整工数、運用設計（接続間隔、ジョブスケジュール）、テスト工数(テスト粒度、連携テスト)に影響する。
</t>
    <rPh sb="11" eb="12">
      <t>スウ</t>
    </rPh>
    <rPh sb="13" eb="15">
      <t>セツゾク</t>
    </rPh>
    <rPh sb="15" eb="17">
      <t>ホウホウ</t>
    </rPh>
    <rPh sb="21" eb="23">
      <t>チョウセイ</t>
    </rPh>
    <rPh sb="23" eb="25">
      <t>コウスウ</t>
    </rPh>
    <rPh sb="26" eb="28">
      <t>ウンヨウ</t>
    </rPh>
    <rPh sb="28" eb="30">
      <t>セッケイ</t>
    </rPh>
    <rPh sb="31" eb="33">
      <t>セツゾク</t>
    </rPh>
    <rPh sb="33" eb="35">
      <t>カンカク</t>
    </rPh>
    <rPh sb="50" eb="52">
      <t>コウスウ</t>
    </rPh>
    <rPh sb="59" eb="61">
      <t>レンケイ</t>
    </rPh>
    <rPh sb="66" eb="68">
      <t>エイキョウ</t>
    </rPh>
    <phoneticPr fontId="2"/>
  </si>
  <si>
    <t xml:space="preserve">外部システムとの接続有無
接続数
接続方法
顧客の主導体制
</t>
    <rPh sb="0" eb="2">
      <t>ガイブ</t>
    </rPh>
    <rPh sb="8" eb="10">
      <t>セツゾク</t>
    </rPh>
    <rPh sb="10" eb="12">
      <t>ウム</t>
    </rPh>
    <rPh sb="13" eb="15">
      <t>セツゾク</t>
    </rPh>
    <rPh sb="15" eb="16">
      <t>スウ</t>
    </rPh>
    <rPh sb="17" eb="19">
      <t>セツゾク</t>
    </rPh>
    <rPh sb="19" eb="21">
      <t>ホウホウ</t>
    </rPh>
    <phoneticPr fontId="2"/>
  </si>
  <si>
    <t>ジョブ管理システム</t>
    <phoneticPr fontId="2"/>
  </si>
  <si>
    <t>C.4.5.3</t>
    <phoneticPr fontId="2"/>
  </si>
  <si>
    <t xml:space="preserve">システムの運用に影響するジョブ管理システムの有無に関する項目。
</t>
    <rPh sb="15" eb="17">
      <t>カンリ</t>
    </rPh>
    <phoneticPr fontId="2"/>
  </si>
  <si>
    <t>ジョブ設計に影響</t>
    <rPh sb="3" eb="5">
      <t>セッケイ</t>
    </rPh>
    <rPh sb="6" eb="8">
      <t>エイキョウ</t>
    </rPh>
    <phoneticPr fontId="2"/>
  </si>
  <si>
    <t>ジョブ管理システムの有無
　⇒システム無しは工数増</t>
    <rPh sb="3" eb="5">
      <t>カンリ</t>
    </rPh>
    <rPh sb="10" eb="12">
      <t>ウム</t>
    </rPh>
    <phoneticPr fontId="2"/>
  </si>
  <si>
    <t>サポート体制</t>
    <rPh sb="4" eb="6">
      <t>タイセイ</t>
    </rPh>
    <phoneticPr fontId="24"/>
  </si>
  <si>
    <t>一次対応役割分担</t>
    <rPh sb="0" eb="2">
      <t>１ジ</t>
    </rPh>
    <rPh sb="2" eb="4">
      <t>タイオウ</t>
    </rPh>
    <rPh sb="4" eb="6">
      <t>ヤクワリ</t>
    </rPh>
    <rPh sb="6" eb="8">
      <t>ブンタン</t>
    </rPh>
    <phoneticPr fontId="24"/>
  </si>
  <si>
    <t>C.5.5.1</t>
    <phoneticPr fontId="2"/>
  </si>
  <si>
    <t xml:space="preserve">一次対応のユーザ/ベンダの役割分担、一次対応の対応時間、配備人数。
</t>
    <rPh sb="13" eb="15">
      <t>ヤクワリ</t>
    </rPh>
    <rPh sb="15" eb="17">
      <t>ブンタン</t>
    </rPh>
    <rPh sb="23" eb="25">
      <t>タイオウ</t>
    </rPh>
    <rPh sb="25" eb="27">
      <t>ジカン</t>
    </rPh>
    <rPh sb="28" eb="30">
      <t>ハイビ</t>
    </rPh>
    <rPh sb="30" eb="32">
      <t>ニンズウ</t>
    </rPh>
    <phoneticPr fontId="24"/>
  </si>
  <si>
    <t xml:space="preserve">保守の見積を含む場合に影響する。
例）
障害時の一次切り分けの対応について誰が何をやるか。
</t>
    <phoneticPr fontId="2"/>
  </si>
  <si>
    <t xml:space="preserve">一次対応役割分担
一時切り分け対象システム範囲
常備配備人数
対応時間帯
</t>
    <rPh sb="0" eb="2">
      <t>１ジ</t>
    </rPh>
    <rPh sb="2" eb="4">
      <t>タイオウ</t>
    </rPh>
    <rPh sb="4" eb="6">
      <t>ヤクワリ</t>
    </rPh>
    <rPh sb="6" eb="8">
      <t>ブンタン</t>
    </rPh>
    <rPh sb="9" eb="11">
      <t>イチジ</t>
    </rPh>
    <rPh sb="11" eb="12">
      <t>キ</t>
    </rPh>
    <rPh sb="13" eb="14">
      <t>ワ</t>
    </rPh>
    <rPh sb="15" eb="17">
      <t>タイショウ</t>
    </rPh>
    <rPh sb="21" eb="23">
      <t>ハンイ</t>
    </rPh>
    <phoneticPr fontId="24"/>
  </si>
  <si>
    <t>メンテナンス・サポート要員</t>
    <rPh sb="11" eb="13">
      <t>ヨウイン</t>
    </rPh>
    <phoneticPr fontId="24"/>
  </si>
  <si>
    <t>C.5.4.1
C.5.6.1～
C.5.6.3</t>
    <phoneticPr fontId="2"/>
  </si>
  <si>
    <t xml:space="preserve">メンテナンス・サポート作業に対するユーザ/ベンダの役割分担、体制、配置人数、要員の人数や対応時間、スキルレベルに関する項目。
</t>
    <rPh sb="30" eb="32">
      <t>タイセイ</t>
    </rPh>
    <rPh sb="38" eb="40">
      <t>ヨウイン</t>
    </rPh>
    <rPh sb="41" eb="43">
      <t>ニンズウ</t>
    </rPh>
    <rPh sb="44" eb="46">
      <t>タイオウ</t>
    </rPh>
    <rPh sb="46" eb="48">
      <t>ジカン</t>
    </rPh>
    <rPh sb="56" eb="57">
      <t>カン</t>
    </rPh>
    <rPh sb="59" eb="61">
      <t>コウモク</t>
    </rPh>
    <phoneticPr fontId="24"/>
  </si>
  <si>
    <t xml:space="preserve">保守（リリース後の対応）の見積を含む場合に影響する。
(例)
保守の作業工数は、導入地域が海外だと大きくなる
</t>
    <rPh sb="21" eb="23">
      <t>エイキョウ</t>
    </rPh>
    <rPh sb="29" eb="30">
      <t>レイ</t>
    </rPh>
    <phoneticPr fontId="2"/>
  </si>
  <si>
    <t xml:space="preserve">メンテナンス作業役割分担
導入地域（海外など）
ベンダ側常備配備人数
ベンダ側対応時間帯
ベンダ側対応者の要求スキルレベル
エスカレーション対応
オンサイト/オフサイト/オンコール
手段（メール/電話）
リモート接続環境有無
</t>
    <rPh sb="27" eb="28">
      <t>ガワ</t>
    </rPh>
    <rPh sb="28" eb="30">
      <t>ジョウビ</t>
    </rPh>
    <rPh sb="30" eb="32">
      <t>ハイビ</t>
    </rPh>
    <rPh sb="32" eb="34">
      <t>ニンズウ</t>
    </rPh>
    <rPh sb="91" eb="93">
      <t>シュダン</t>
    </rPh>
    <rPh sb="98" eb="100">
      <t>デンワ</t>
    </rPh>
    <rPh sb="106" eb="108">
      <t>セツゾク</t>
    </rPh>
    <rPh sb="108" eb="110">
      <t>カンキョウ</t>
    </rPh>
    <rPh sb="110" eb="112">
      <t>ウム</t>
    </rPh>
    <phoneticPr fontId="24"/>
  </si>
  <si>
    <t>導入サポート</t>
    <rPh sb="0" eb="2">
      <t>ドウニュウ</t>
    </rPh>
    <phoneticPr fontId="2"/>
  </si>
  <si>
    <r>
      <t xml:space="preserve">C.5.7.1
</t>
    </r>
    <r>
      <rPr>
        <sz val="10"/>
        <rFont val="ＭＳ Ｐゴシック"/>
        <family val="3"/>
        <charset val="128"/>
      </rPr>
      <t>C.5.7.2</t>
    </r>
    <phoneticPr fontId="2"/>
  </si>
  <si>
    <t xml:space="preserve">システム導入時の特別対応期間の有無および期間。
</t>
    <rPh sb="4" eb="6">
      <t>ドウニュウ</t>
    </rPh>
    <rPh sb="6" eb="7">
      <t>ジ</t>
    </rPh>
    <rPh sb="8" eb="10">
      <t>トクベツ</t>
    </rPh>
    <rPh sb="10" eb="12">
      <t>タイオウ</t>
    </rPh>
    <rPh sb="12" eb="14">
      <t>キカン</t>
    </rPh>
    <rPh sb="15" eb="17">
      <t>ウム</t>
    </rPh>
    <rPh sb="20" eb="22">
      <t>キカン</t>
    </rPh>
    <phoneticPr fontId="2"/>
  </si>
  <si>
    <t xml:space="preserve">特別対応（リリース後の立会い、初期流動）、瑕疵対応の工数に影響する。
検収後の期間であれば契約形態に注意する。
</t>
    <rPh sb="0" eb="2">
      <t>トクベツ</t>
    </rPh>
    <rPh sb="2" eb="4">
      <t>タイオウ</t>
    </rPh>
    <rPh sb="9" eb="10">
      <t>ゴ</t>
    </rPh>
    <rPh sb="11" eb="13">
      <t>タチア</t>
    </rPh>
    <rPh sb="15" eb="17">
      <t>ショキ</t>
    </rPh>
    <rPh sb="17" eb="19">
      <t>リュウドウ</t>
    </rPh>
    <rPh sb="26" eb="28">
      <t>コウスウ</t>
    </rPh>
    <rPh sb="29" eb="31">
      <t>エイキョウ</t>
    </rPh>
    <rPh sb="35" eb="37">
      <t>ケンシュウ</t>
    </rPh>
    <rPh sb="37" eb="38">
      <t>ゴ</t>
    </rPh>
    <rPh sb="39" eb="41">
      <t>キカン</t>
    </rPh>
    <rPh sb="45" eb="47">
      <t>ケイヤク</t>
    </rPh>
    <rPh sb="47" eb="49">
      <t>ケイタイ</t>
    </rPh>
    <rPh sb="50" eb="52">
      <t>チュウイ</t>
    </rPh>
    <phoneticPr fontId="2"/>
  </si>
  <si>
    <t xml:space="preserve">システムテスト稼働時の導入サポート期間
システム本稼働時の導入サポート期間
契約形態
導入時の参画人数
　（立会い、バックオフィス）
クライアント数
拠点数
</t>
    <rPh sb="7" eb="9">
      <t>カドウ</t>
    </rPh>
    <rPh sb="9" eb="10">
      <t>ジ</t>
    </rPh>
    <rPh sb="11" eb="13">
      <t>ドウニュウ</t>
    </rPh>
    <rPh sb="17" eb="19">
      <t>キカン</t>
    </rPh>
    <rPh sb="38" eb="40">
      <t>ケイヤク</t>
    </rPh>
    <rPh sb="40" eb="42">
      <t>ケイタイ</t>
    </rPh>
    <rPh sb="43" eb="45">
      <t>ドウニュウ</t>
    </rPh>
    <rPh sb="45" eb="46">
      <t>ジ</t>
    </rPh>
    <rPh sb="47" eb="49">
      <t>サンカク</t>
    </rPh>
    <rPh sb="49" eb="51">
      <t>ニンズウ</t>
    </rPh>
    <rPh sb="54" eb="56">
      <t>タチア</t>
    </rPh>
    <rPh sb="73" eb="74">
      <t>スウ</t>
    </rPh>
    <rPh sb="75" eb="78">
      <t>キョテンスウ</t>
    </rPh>
    <phoneticPr fontId="2"/>
  </si>
  <si>
    <t>教育</t>
    <rPh sb="0" eb="2">
      <t>キョウイク</t>
    </rPh>
    <phoneticPr fontId="2"/>
  </si>
  <si>
    <t>C.5.8.1
C.5.8.2
C.5.8.3</t>
    <phoneticPr fontId="2"/>
  </si>
  <si>
    <t xml:space="preserve">教育実施に関する項目。
</t>
    <rPh sb="0" eb="2">
      <t>キョウイク</t>
    </rPh>
    <rPh sb="2" eb="4">
      <t>ジッシ</t>
    </rPh>
    <rPh sb="5" eb="6">
      <t>カン</t>
    </rPh>
    <rPh sb="8" eb="10">
      <t>コウモク</t>
    </rPh>
    <phoneticPr fontId="2"/>
  </si>
  <si>
    <t>教育工数に影響する。</t>
    <rPh sb="0" eb="2">
      <t>キョウイク</t>
    </rPh>
    <rPh sb="2" eb="4">
      <t>コウスウ</t>
    </rPh>
    <rPh sb="5" eb="7">
      <t>エイキョウ</t>
    </rPh>
    <phoneticPr fontId="2"/>
  </si>
  <si>
    <t xml:space="preserve">教育実施の役割分担
教育範囲
　(ユーザ教育、運用教育、保守引継ぎ)
教育実施頻度・回数
拠点数
1回当たりの許容人数・設備数
</t>
    <rPh sb="0" eb="2">
      <t>キョウイク</t>
    </rPh>
    <rPh sb="2" eb="4">
      <t>ジッシ</t>
    </rPh>
    <rPh sb="5" eb="7">
      <t>ヤクワリ</t>
    </rPh>
    <rPh sb="7" eb="9">
      <t>ブンタン</t>
    </rPh>
    <rPh sb="20" eb="22">
      <t>キョウイク</t>
    </rPh>
    <rPh sb="23" eb="25">
      <t>ウンヨウ</t>
    </rPh>
    <rPh sb="25" eb="27">
      <t>キョウイク</t>
    </rPh>
    <rPh sb="28" eb="30">
      <t>ホシュ</t>
    </rPh>
    <rPh sb="30" eb="32">
      <t>ヒキツ</t>
    </rPh>
    <rPh sb="45" eb="48">
      <t>キョテンスウ</t>
    </rPh>
    <rPh sb="50" eb="51">
      <t>カイ</t>
    </rPh>
    <rPh sb="51" eb="52">
      <t>ア</t>
    </rPh>
    <rPh sb="55" eb="57">
      <t>キョヨウ</t>
    </rPh>
    <rPh sb="57" eb="59">
      <t>ニンズウ</t>
    </rPh>
    <rPh sb="60" eb="62">
      <t>セツビ</t>
    </rPh>
    <rPh sb="62" eb="63">
      <t>スウ</t>
    </rPh>
    <phoneticPr fontId="2"/>
  </si>
  <si>
    <t>その他の運用管理方針</t>
    <rPh sb="2" eb="3">
      <t>タ</t>
    </rPh>
    <rPh sb="4" eb="6">
      <t>ウンヨウ</t>
    </rPh>
    <rPh sb="6" eb="8">
      <t>カンリ</t>
    </rPh>
    <rPh sb="8" eb="10">
      <t>ホウシン</t>
    </rPh>
    <phoneticPr fontId="24"/>
  </si>
  <si>
    <t>内部統制対応</t>
    <rPh sb="0" eb="2">
      <t>ナイブ</t>
    </rPh>
    <rPh sb="2" eb="4">
      <t>トウセイ</t>
    </rPh>
    <rPh sb="4" eb="6">
      <t>タイオウ</t>
    </rPh>
    <phoneticPr fontId="2"/>
  </si>
  <si>
    <t>C.6.1.1</t>
    <phoneticPr fontId="2"/>
  </si>
  <si>
    <t xml:space="preserve">IT運用プロセスの内部統制対応を行うかどうかに関する項目。
</t>
    <rPh sb="2" eb="4">
      <t>ウンヨウ</t>
    </rPh>
    <rPh sb="9" eb="11">
      <t>ナイブ</t>
    </rPh>
    <rPh sb="11" eb="13">
      <t>トウセイ</t>
    </rPh>
    <rPh sb="13" eb="15">
      <t>タイオウ</t>
    </rPh>
    <rPh sb="16" eb="17">
      <t>オコナ</t>
    </rPh>
    <rPh sb="23" eb="24">
      <t>カン</t>
    </rPh>
    <rPh sb="26" eb="28">
      <t>コウモク</t>
    </rPh>
    <phoneticPr fontId="2"/>
  </si>
  <si>
    <t xml:space="preserve">アプリの設計、実装の工数に影響する。
(例）
監査証跡ログ、WF承認の機能要否など。
</t>
    <rPh sb="4" eb="6">
      <t>セッケイ</t>
    </rPh>
    <rPh sb="7" eb="9">
      <t>ジッソウ</t>
    </rPh>
    <rPh sb="10" eb="12">
      <t>コウスウ</t>
    </rPh>
    <rPh sb="13" eb="15">
      <t>エイキョウ</t>
    </rPh>
    <rPh sb="21" eb="22">
      <t>レイ</t>
    </rPh>
    <rPh sb="24" eb="26">
      <t>カンサ</t>
    </rPh>
    <rPh sb="26" eb="28">
      <t>ショウセキ</t>
    </rPh>
    <rPh sb="36" eb="38">
      <t>キノウ</t>
    </rPh>
    <rPh sb="38" eb="40">
      <t>ヨウヒ</t>
    </rPh>
    <phoneticPr fontId="2"/>
  </si>
  <si>
    <t xml:space="preserve">内部統制対応の実施有無
レベル感
</t>
    <rPh sb="0" eb="2">
      <t>ナイブ</t>
    </rPh>
    <rPh sb="2" eb="4">
      <t>トウセイ</t>
    </rPh>
    <rPh sb="4" eb="6">
      <t>タイオウ</t>
    </rPh>
    <rPh sb="7" eb="9">
      <t>ジッシ</t>
    </rPh>
    <rPh sb="9" eb="11">
      <t>ウム</t>
    </rPh>
    <phoneticPr fontId="2"/>
  </si>
  <si>
    <t>運用・保守方法</t>
    <rPh sb="3" eb="5">
      <t>ホシュ</t>
    </rPh>
    <rPh sb="5" eb="7">
      <t>ホウホウ</t>
    </rPh>
    <phoneticPr fontId="2"/>
  </si>
  <si>
    <t>C.6.2.1
C.6.3.1
C.6.4.1
C.6.5.1
C.6.6.1
C.6.7.1</t>
    <phoneticPr fontId="2"/>
  </si>
  <si>
    <t>運用を実施する際のプロセスや環境の実施に関する項目（作業項目や方法）。</t>
    <rPh sb="0" eb="2">
      <t>ウンヨウ</t>
    </rPh>
    <rPh sb="3" eb="5">
      <t>ジッシ</t>
    </rPh>
    <rPh sb="7" eb="8">
      <t>サイ</t>
    </rPh>
    <rPh sb="14" eb="16">
      <t>カンキョウ</t>
    </rPh>
    <rPh sb="17" eb="19">
      <t>ジッシ</t>
    </rPh>
    <rPh sb="20" eb="21">
      <t>カン</t>
    </rPh>
    <rPh sb="23" eb="25">
      <t>コウモク</t>
    </rPh>
    <rPh sb="26" eb="28">
      <t>サギョウ</t>
    </rPh>
    <rPh sb="28" eb="30">
      <t>コウモク</t>
    </rPh>
    <rPh sb="31" eb="33">
      <t>ホウホウ</t>
    </rPh>
    <phoneticPr fontId="2"/>
  </si>
  <si>
    <t>運用・保守の見積を含む場合に、運用設計、本番運用の工数に影響する。</t>
    <rPh sb="0" eb="2">
      <t>ウンヨウ</t>
    </rPh>
    <rPh sb="3" eb="5">
      <t>ホシュ</t>
    </rPh>
    <rPh sb="6" eb="8">
      <t>ミツモリ</t>
    </rPh>
    <rPh sb="9" eb="10">
      <t>フク</t>
    </rPh>
    <rPh sb="11" eb="13">
      <t>バアイ</t>
    </rPh>
    <rPh sb="15" eb="17">
      <t>ウンヨウ</t>
    </rPh>
    <rPh sb="17" eb="19">
      <t>セッケイ</t>
    </rPh>
    <rPh sb="20" eb="22">
      <t>ホンバン</t>
    </rPh>
    <rPh sb="25" eb="27">
      <t>コウスウ</t>
    </rPh>
    <rPh sb="28" eb="30">
      <t>エイキョウ</t>
    </rPh>
    <phoneticPr fontId="2"/>
  </si>
  <si>
    <t xml:space="preserve">サービスデスクの設置有無
インシデント管理の実施有無
問題管理の実施有無
構成管理の実施有無
変更管理の実施有無
リリース管理の実施有無
レベル感
定例会の有無
</t>
    <rPh sb="8" eb="10">
      <t>セッチ</t>
    </rPh>
    <rPh sb="10" eb="12">
      <t>ウム</t>
    </rPh>
    <rPh sb="72" eb="73">
      <t>カン</t>
    </rPh>
    <rPh sb="74" eb="76">
      <t>テイレイ</t>
    </rPh>
    <rPh sb="76" eb="77">
      <t>カイ</t>
    </rPh>
    <rPh sb="78" eb="80">
      <t>ウム</t>
    </rPh>
    <phoneticPr fontId="24"/>
  </si>
  <si>
    <t>移行性</t>
    <rPh sb="0" eb="2">
      <t>イコウ</t>
    </rPh>
    <rPh sb="2" eb="3">
      <t>セイ</t>
    </rPh>
    <phoneticPr fontId="2"/>
  </si>
  <si>
    <t>移行計画</t>
    <rPh sb="0" eb="2">
      <t>イコウ</t>
    </rPh>
    <rPh sb="2" eb="4">
      <t>ケイカク</t>
    </rPh>
    <phoneticPr fontId="24"/>
  </si>
  <si>
    <t>移行範囲</t>
    <rPh sb="0" eb="2">
      <t>イコウ</t>
    </rPh>
    <rPh sb="2" eb="4">
      <t>ハンイ</t>
    </rPh>
    <phoneticPr fontId="2"/>
  </si>
  <si>
    <t>-</t>
    <phoneticPr fontId="2"/>
  </si>
  <si>
    <t>業務移行、システム移行、データ移行のどの移行か明確化する。</t>
    <rPh sb="0" eb="2">
      <t>ギョウム</t>
    </rPh>
    <rPh sb="2" eb="4">
      <t>イコウ</t>
    </rPh>
    <rPh sb="9" eb="11">
      <t>イコウ</t>
    </rPh>
    <rPh sb="15" eb="17">
      <t>イコウ</t>
    </rPh>
    <rPh sb="20" eb="22">
      <t>イコウ</t>
    </rPh>
    <rPh sb="23" eb="25">
      <t>メイカク</t>
    </rPh>
    <rPh sb="25" eb="26">
      <t>カ</t>
    </rPh>
    <phoneticPr fontId="2"/>
  </si>
  <si>
    <t xml:space="preserve">移行設計、移行作業の工数に影響する。また、新しい仕組みで運用が回るかを確認する工数に影響する。
</t>
    <rPh sb="5" eb="7">
      <t>イコウ</t>
    </rPh>
    <rPh sb="7" eb="9">
      <t>サギョウ</t>
    </rPh>
    <rPh sb="10" eb="12">
      <t>コウスウ</t>
    </rPh>
    <rPh sb="13" eb="15">
      <t>エイキョウ</t>
    </rPh>
    <rPh sb="35" eb="37">
      <t>カクニン</t>
    </rPh>
    <rPh sb="39" eb="41">
      <t>コウスウ</t>
    </rPh>
    <rPh sb="42" eb="44">
      <t>エイキョウ</t>
    </rPh>
    <phoneticPr fontId="2"/>
  </si>
  <si>
    <t xml:space="preserve">移行範囲の確認
　（業務移行、システム移行、データ移行）
＜業務移行の場合の追加確認＞
現行業務調査済みかどうか
新業務が定義済みかどうか
</t>
    <rPh sb="0" eb="2">
      <t>イコウ</t>
    </rPh>
    <rPh sb="2" eb="4">
      <t>ハンイ</t>
    </rPh>
    <rPh sb="5" eb="7">
      <t>カクニン</t>
    </rPh>
    <rPh sb="35" eb="37">
      <t>バアイ</t>
    </rPh>
    <rPh sb="38" eb="40">
      <t>ツイカ</t>
    </rPh>
    <rPh sb="40" eb="42">
      <t>カクニン</t>
    </rPh>
    <rPh sb="50" eb="51">
      <t>ズ</t>
    </rPh>
    <rPh sb="57" eb="60">
      <t>シンギョウム</t>
    </rPh>
    <rPh sb="61" eb="63">
      <t>テイギ</t>
    </rPh>
    <rPh sb="63" eb="64">
      <t>ズ</t>
    </rPh>
    <phoneticPr fontId="2"/>
  </si>
  <si>
    <t>移行作業分担</t>
    <phoneticPr fontId="24"/>
  </si>
  <si>
    <t>D.5.1.1</t>
    <phoneticPr fontId="2"/>
  </si>
  <si>
    <t xml:space="preserve">移行作業の作業分担。
</t>
    <rPh sb="5" eb="7">
      <t>サギョウ</t>
    </rPh>
    <phoneticPr fontId="24"/>
  </si>
  <si>
    <t>移行設計、移行作業の工数に影響する。</t>
    <rPh sb="5" eb="7">
      <t>イコウ</t>
    </rPh>
    <rPh sb="7" eb="9">
      <t>サギョウ</t>
    </rPh>
    <rPh sb="10" eb="12">
      <t>コウスウ</t>
    </rPh>
    <rPh sb="13" eb="15">
      <t>エイキョウ</t>
    </rPh>
    <phoneticPr fontId="2"/>
  </si>
  <si>
    <t xml:space="preserve">移行のユーザ/ベンダ作業分担
＜業務移行の場合の追加確認＞
顧客内への説明、調整
（基本的には顧客主体で実施する）
</t>
    <rPh sb="0" eb="2">
      <t>イコウ</t>
    </rPh>
    <rPh sb="10" eb="12">
      <t>サギョウ</t>
    </rPh>
    <rPh sb="12" eb="14">
      <t>ブンタン</t>
    </rPh>
    <rPh sb="42" eb="45">
      <t>キホンテキ</t>
    </rPh>
    <phoneticPr fontId="24"/>
  </si>
  <si>
    <t>リハーサル</t>
    <phoneticPr fontId="24"/>
  </si>
  <si>
    <t>D.5.2.1～
D.5.2.4</t>
    <phoneticPr fontId="2"/>
  </si>
  <si>
    <t xml:space="preserve">移行のリハーサル（移行中の障害を想定したリハーサルを含む）。
</t>
    <phoneticPr fontId="24"/>
  </si>
  <si>
    <t>移行リハーサルの工数に影響する。</t>
    <rPh sb="0" eb="2">
      <t>イコウ</t>
    </rPh>
    <rPh sb="8" eb="10">
      <t>コウスウ</t>
    </rPh>
    <rPh sb="11" eb="13">
      <t>エイキョウ</t>
    </rPh>
    <phoneticPr fontId="2"/>
  </si>
  <si>
    <t xml:space="preserve">リハーサル範囲
リハーサル環境
リハーサル回数
外部連携リハーサルの有無
</t>
    <rPh sb="5" eb="7">
      <t>ハンイ</t>
    </rPh>
    <phoneticPr fontId="24"/>
  </si>
  <si>
    <t>移行時期</t>
    <rPh sb="0" eb="2">
      <t>イコウ</t>
    </rPh>
    <rPh sb="2" eb="4">
      <t>ジキ</t>
    </rPh>
    <phoneticPr fontId="24"/>
  </si>
  <si>
    <t>移行のスケジュール</t>
    <rPh sb="0" eb="2">
      <t>イコウ</t>
    </rPh>
    <phoneticPr fontId="24"/>
  </si>
  <si>
    <r>
      <t xml:space="preserve">D.1.1.1～
</t>
    </r>
    <r>
      <rPr>
        <sz val="10"/>
        <rFont val="ＭＳ Ｐゴシック"/>
        <family val="3"/>
        <charset val="128"/>
      </rPr>
      <t>D.1.1.3</t>
    </r>
    <phoneticPr fontId="2"/>
  </si>
  <si>
    <t xml:space="preserve">移行作業計画から本稼働までのシステム移行期間、システム停止可能日時、並行稼働の有無。（例外発生時の切り戻し時間や事前バックアップの時間等も含むこと。）
</t>
    <rPh sb="0" eb="2">
      <t>イコウ</t>
    </rPh>
    <rPh sb="2" eb="4">
      <t>サギョウ</t>
    </rPh>
    <rPh sb="4" eb="6">
      <t>ケイカク</t>
    </rPh>
    <rPh sb="8" eb="9">
      <t>ホン</t>
    </rPh>
    <rPh sb="9" eb="11">
      <t>カドウ</t>
    </rPh>
    <rPh sb="34" eb="36">
      <t>ヘイコウ</t>
    </rPh>
    <rPh sb="36" eb="38">
      <t>カドウ</t>
    </rPh>
    <rPh sb="39" eb="41">
      <t>ウム</t>
    </rPh>
    <phoneticPr fontId="24"/>
  </si>
  <si>
    <t xml:space="preserve">移行設計、移行作業の工数に影響する。
</t>
    <rPh sb="0" eb="2">
      <t>イコウ</t>
    </rPh>
    <rPh sb="2" eb="4">
      <t>セッケイ</t>
    </rPh>
    <rPh sb="5" eb="7">
      <t>イコウ</t>
    </rPh>
    <rPh sb="7" eb="9">
      <t>サギョウ</t>
    </rPh>
    <rPh sb="10" eb="12">
      <t>コウスウ</t>
    </rPh>
    <rPh sb="13" eb="15">
      <t>エイキョウ</t>
    </rPh>
    <phoneticPr fontId="2"/>
  </si>
  <si>
    <t xml:space="preserve">システム移行期間
システム停止可能日時
並行稼働の有無
運用時間（通常）
運用時間（特定日）
一日の始まりと終わり
</t>
    <phoneticPr fontId="2"/>
  </si>
  <si>
    <t>移行方式</t>
    <rPh sb="0" eb="2">
      <t>イコウ</t>
    </rPh>
    <rPh sb="2" eb="4">
      <t>ホウシキ</t>
    </rPh>
    <phoneticPr fontId="24"/>
  </si>
  <si>
    <t>移行方式</t>
    <phoneticPr fontId="24"/>
  </si>
  <si>
    <r>
      <t xml:space="preserve">D.2.1.1
</t>
    </r>
    <r>
      <rPr>
        <sz val="10"/>
        <rFont val="ＭＳ Ｐゴシック"/>
        <family val="3"/>
        <charset val="128"/>
      </rPr>
      <t>D.2.1.2</t>
    </r>
    <phoneticPr fontId="2"/>
  </si>
  <si>
    <t xml:space="preserve">システムの移行および新規展開時に多段階による展開方式をどの程度採用するかの程度。
</t>
    <rPh sb="5" eb="7">
      <t>イコウ</t>
    </rPh>
    <rPh sb="10" eb="12">
      <t>シンキ</t>
    </rPh>
    <rPh sb="12" eb="14">
      <t>テンカイ</t>
    </rPh>
    <rPh sb="14" eb="15">
      <t>ジ</t>
    </rPh>
    <rPh sb="16" eb="17">
      <t>タ</t>
    </rPh>
    <rPh sb="17" eb="19">
      <t>ダンカイ</t>
    </rPh>
    <rPh sb="22" eb="24">
      <t>テンカイ</t>
    </rPh>
    <rPh sb="24" eb="26">
      <t>ホウシキ</t>
    </rPh>
    <rPh sb="29" eb="31">
      <t>テイド</t>
    </rPh>
    <rPh sb="31" eb="33">
      <t>サイヨウ</t>
    </rPh>
    <rPh sb="37" eb="39">
      <t>テイド</t>
    </rPh>
    <phoneticPr fontId="24"/>
  </si>
  <si>
    <t xml:space="preserve">拠点展開ステップ数
業務展開ステップ数
拠点数
仕掛データの移行方法
</t>
    <rPh sb="0" eb="2">
      <t>キョテン</t>
    </rPh>
    <rPh sb="2" eb="4">
      <t>テンカイ</t>
    </rPh>
    <rPh sb="8" eb="9">
      <t>スウ</t>
    </rPh>
    <rPh sb="20" eb="23">
      <t>キョテンスウ</t>
    </rPh>
    <rPh sb="30" eb="32">
      <t>イコウ</t>
    </rPh>
    <rPh sb="32" eb="34">
      <t>ホウホウ</t>
    </rPh>
    <phoneticPr fontId="24"/>
  </si>
  <si>
    <t>移行対象（機器）</t>
    <rPh sb="0" eb="2">
      <t>イコウ</t>
    </rPh>
    <rPh sb="2" eb="4">
      <t>タイショウ</t>
    </rPh>
    <rPh sb="5" eb="7">
      <t>キキ</t>
    </rPh>
    <phoneticPr fontId="24"/>
  </si>
  <si>
    <t>移行設備</t>
    <rPh sb="0" eb="2">
      <t>イコウ</t>
    </rPh>
    <rPh sb="2" eb="4">
      <t>セツビ</t>
    </rPh>
    <phoneticPr fontId="24"/>
  </si>
  <si>
    <t>D.3.1.1</t>
    <phoneticPr fontId="2"/>
  </si>
  <si>
    <t xml:space="preserve">移行前のシステムで使用していた設備において、新システムで新たな設備に入れ替え対象となる移行対象設備の内容。
</t>
    <rPh sb="0" eb="2">
      <t>イコウ</t>
    </rPh>
    <rPh sb="2" eb="3">
      <t>マエ</t>
    </rPh>
    <rPh sb="9" eb="11">
      <t>シヨウ</t>
    </rPh>
    <rPh sb="15" eb="17">
      <t>セツビ</t>
    </rPh>
    <rPh sb="22" eb="23">
      <t>シン</t>
    </rPh>
    <rPh sb="28" eb="29">
      <t>アラ</t>
    </rPh>
    <rPh sb="31" eb="33">
      <t>セツビ</t>
    </rPh>
    <rPh sb="34" eb="35">
      <t>イ</t>
    </rPh>
    <rPh sb="36" eb="37">
      <t>カ</t>
    </rPh>
    <rPh sb="38" eb="40">
      <t>タイショウ</t>
    </rPh>
    <rPh sb="43" eb="45">
      <t>イコウ</t>
    </rPh>
    <rPh sb="45" eb="47">
      <t>タイショウ</t>
    </rPh>
    <rPh sb="47" eb="49">
      <t>セツビ</t>
    </rPh>
    <rPh sb="50" eb="52">
      <t>ナイヨウ</t>
    </rPh>
    <phoneticPr fontId="24"/>
  </si>
  <si>
    <t xml:space="preserve">設備・機器の移行内容
既存か新規か
</t>
    <rPh sb="0" eb="2">
      <t>セツビ</t>
    </rPh>
    <rPh sb="3" eb="5">
      <t>キキ</t>
    </rPh>
    <rPh sb="6" eb="8">
      <t>イコウ</t>
    </rPh>
    <rPh sb="8" eb="10">
      <t>ナイヨウ</t>
    </rPh>
    <rPh sb="11" eb="13">
      <t>キゾン</t>
    </rPh>
    <rPh sb="14" eb="16">
      <t>シンキ</t>
    </rPh>
    <phoneticPr fontId="24"/>
  </si>
  <si>
    <t>移行対象（データ）</t>
    <rPh sb="0" eb="2">
      <t>イコウ</t>
    </rPh>
    <rPh sb="2" eb="4">
      <t>タイショウ</t>
    </rPh>
    <phoneticPr fontId="24"/>
  </si>
  <si>
    <t>移行データ量</t>
    <rPh sb="0" eb="2">
      <t>イコウ</t>
    </rPh>
    <phoneticPr fontId="24"/>
  </si>
  <si>
    <t>D.4.1.1
D.4.1.2</t>
    <phoneticPr fontId="2"/>
  </si>
  <si>
    <t xml:space="preserve">旧システム上で移行の必要がある業務データの量（プログラムを含む）。
</t>
    <rPh sb="29" eb="30">
      <t>フク</t>
    </rPh>
    <phoneticPr fontId="24"/>
  </si>
  <si>
    <t xml:space="preserve">移行データ量
移行データ形式
</t>
    <rPh sb="0" eb="2">
      <t>イコウ</t>
    </rPh>
    <rPh sb="5" eb="6">
      <t>リョウ</t>
    </rPh>
    <phoneticPr fontId="24"/>
  </si>
  <si>
    <t>移行媒体</t>
    <rPh sb="0" eb="2">
      <t>イコウ</t>
    </rPh>
    <rPh sb="2" eb="4">
      <t>バイタイ</t>
    </rPh>
    <phoneticPr fontId="24"/>
  </si>
  <si>
    <r>
      <t xml:space="preserve">D.4.2.1
</t>
    </r>
    <r>
      <rPr>
        <sz val="10"/>
        <rFont val="ＭＳ Ｐゴシック"/>
        <family val="3"/>
        <charset val="128"/>
      </rPr>
      <t>D.4.2.2</t>
    </r>
    <phoneticPr fontId="2"/>
  </si>
  <si>
    <t xml:space="preserve">移行対象となる媒体の量と移行時に必要となる媒体種類数。
</t>
    <rPh sb="7" eb="9">
      <t>バイタイ</t>
    </rPh>
    <rPh sb="12" eb="15">
      <t>イコウジ</t>
    </rPh>
    <rPh sb="16" eb="18">
      <t>ヒツヨウ</t>
    </rPh>
    <rPh sb="21" eb="23">
      <t>バイタイ</t>
    </rPh>
    <rPh sb="23" eb="25">
      <t>シュルイ</t>
    </rPh>
    <rPh sb="25" eb="26">
      <t>スウ</t>
    </rPh>
    <phoneticPr fontId="24"/>
  </si>
  <si>
    <t xml:space="preserve">移行媒体種類数
</t>
    <rPh sb="0" eb="2">
      <t>イコウ</t>
    </rPh>
    <rPh sb="2" eb="4">
      <t>バイタイ</t>
    </rPh>
    <rPh sb="4" eb="5">
      <t>タネ</t>
    </rPh>
    <rPh sb="5" eb="6">
      <t>ルイ</t>
    </rPh>
    <rPh sb="6" eb="7">
      <t>スウ</t>
    </rPh>
    <phoneticPr fontId="24"/>
  </si>
  <si>
    <t>変換対象（DBなど）</t>
    <rPh sb="0" eb="2">
      <t>ヘンカン</t>
    </rPh>
    <rPh sb="2" eb="4">
      <t>タイショウ</t>
    </rPh>
    <phoneticPr fontId="24"/>
  </si>
  <si>
    <r>
      <t xml:space="preserve">D.4.3.1
</t>
    </r>
    <r>
      <rPr>
        <sz val="10"/>
        <rFont val="ＭＳ Ｐゴシック"/>
        <family val="3"/>
        <charset val="128"/>
      </rPr>
      <t>D.4.3.2</t>
    </r>
    <phoneticPr fontId="2"/>
  </si>
  <si>
    <t xml:space="preserve">変換対象となるデータの量とツールの複雑度（変換ルール数）。
</t>
    <rPh sb="0" eb="2">
      <t>ヘンカン</t>
    </rPh>
    <rPh sb="2" eb="4">
      <t>タイショウ</t>
    </rPh>
    <rPh sb="11" eb="12">
      <t>リョウ</t>
    </rPh>
    <rPh sb="17" eb="19">
      <t>フクザツ</t>
    </rPh>
    <rPh sb="19" eb="20">
      <t>ド</t>
    </rPh>
    <rPh sb="21" eb="23">
      <t>ヘンカン</t>
    </rPh>
    <rPh sb="26" eb="27">
      <t>スウ</t>
    </rPh>
    <phoneticPr fontId="24"/>
  </si>
  <si>
    <t>移行ツール開発、移行作業に影響する。</t>
    <rPh sb="0" eb="2">
      <t>イコウ</t>
    </rPh>
    <rPh sb="5" eb="7">
      <t>カイハツ</t>
    </rPh>
    <rPh sb="10" eb="12">
      <t>サギョウ</t>
    </rPh>
    <rPh sb="13" eb="15">
      <t>エイキョウ</t>
    </rPh>
    <phoneticPr fontId="2"/>
  </si>
  <si>
    <t xml:space="preserve">データ種類（トランザクション、過去データなど）
変換データ量
移行ツール/データの複雑度（変換ルール数）
データクレンジングの方法
</t>
    <rPh sb="3" eb="5">
      <t>シュルイ</t>
    </rPh>
    <rPh sb="15" eb="17">
      <t>カコ</t>
    </rPh>
    <rPh sb="24" eb="26">
      <t>ヘンカン</t>
    </rPh>
    <rPh sb="29" eb="30">
      <t>リョウ</t>
    </rPh>
    <rPh sb="63" eb="65">
      <t>ホウホウ</t>
    </rPh>
    <phoneticPr fontId="24"/>
  </si>
  <si>
    <t>セキュリティ</t>
    <phoneticPr fontId="2"/>
  </si>
  <si>
    <t>前提条件・制約条件</t>
    <phoneticPr fontId="2"/>
  </si>
  <si>
    <t>情報セキュリティに関する
コンプライアンス</t>
    <rPh sb="0" eb="2">
      <t>ジョウホウ</t>
    </rPh>
    <rPh sb="9" eb="10">
      <t>カン</t>
    </rPh>
    <phoneticPr fontId="2"/>
  </si>
  <si>
    <t>E.1.1.1</t>
    <phoneticPr fontId="2"/>
  </si>
  <si>
    <t xml:space="preserve">ユーザが順守すべき情報セキュリティに関する組織規程やルール、法令、ガイドライン等が存在する場合は、規定されている内容と矛盾が生じないよう対策を検討する。
</t>
    <rPh sb="21" eb="23">
      <t>ソシキ</t>
    </rPh>
    <rPh sb="23" eb="25">
      <t>キテイ</t>
    </rPh>
    <rPh sb="30" eb="32">
      <t>ホウレイ</t>
    </rPh>
    <rPh sb="39" eb="40">
      <t>ナド</t>
    </rPh>
    <rPh sb="41" eb="43">
      <t>ソンザイ</t>
    </rPh>
    <rPh sb="45" eb="47">
      <t>バアイ</t>
    </rPh>
    <rPh sb="49" eb="51">
      <t>キテイ</t>
    </rPh>
    <rPh sb="68" eb="70">
      <t>タイサク</t>
    </rPh>
    <rPh sb="71" eb="73">
      <t>ケントウ</t>
    </rPh>
    <phoneticPr fontId="2"/>
  </si>
  <si>
    <t>セキュリティ設計、実装の工数に影響する。（特に外国等の場合は注意。）</t>
    <rPh sb="6" eb="8">
      <t>セッケイ</t>
    </rPh>
    <rPh sb="9" eb="11">
      <t>ジッソウ</t>
    </rPh>
    <rPh sb="12" eb="14">
      <t>コウスウ</t>
    </rPh>
    <rPh sb="15" eb="17">
      <t>エイキョウ</t>
    </rPh>
    <rPh sb="21" eb="22">
      <t>トク</t>
    </rPh>
    <rPh sb="23" eb="25">
      <t>ガイコク</t>
    </rPh>
    <rPh sb="25" eb="26">
      <t>トウ</t>
    </rPh>
    <rPh sb="27" eb="29">
      <t>バアイ</t>
    </rPh>
    <rPh sb="30" eb="32">
      <t>チュウイ</t>
    </rPh>
    <phoneticPr fontId="2"/>
  </si>
  <si>
    <t xml:space="preserve">順守すべき社内規程、ルール、
　法令、ガイドライン等の有無
国外で利用されるシステムかどうか
顧客のセキュリティ、インフラのポリシー
セキュリティリスク分析の実施有無
</t>
    <rPh sb="0" eb="2">
      <t>ジュンシュ</t>
    </rPh>
    <rPh sb="5" eb="7">
      <t>シャナイ</t>
    </rPh>
    <rPh sb="7" eb="9">
      <t>キテイ</t>
    </rPh>
    <rPh sb="16" eb="18">
      <t>ホウレイ</t>
    </rPh>
    <rPh sb="25" eb="26">
      <t>ナド</t>
    </rPh>
    <rPh sb="27" eb="29">
      <t>ウム</t>
    </rPh>
    <rPh sb="30" eb="32">
      <t>コクガイ</t>
    </rPh>
    <rPh sb="33" eb="35">
      <t>リヨウ</t>
    </rPh>
    <rPh sb="47" eb="49">
      <t>コキャク</t>
    </rPh>
    <rPh sb="76" eb="78">
      <t>ブンセキ</t>
    </rPh>
    <rPh sb="79" eb="81">
      <t>ジッシ</t>
    </rPh>
    <rPh sb="81" eb="83">
      <t>ウム</t>
    </rPh>
    <phoneticPr fontId="2"/>
  </si>
  <si>
    <t>セキュリティ診断</t>
    <phoneticPr fontId="2"/>
  </si>
  <si>
    <t>E.3.1.1
E.3.1.2
E.3.1.3</t>
    <phoneticPr fontId="2"/>
  </si>
  <si>
    <t xml:space="preserve">対象システムや、各種ドキュメントに対して、セキュリティに特化した各種試験や検査の実施の有無を確認するための項目。
</t>
    <rPh sb="32" eb="34">
      <t>カクシュ</t>
    </rPh>
    <rPh sb="34" eb="36">
      <t>シケン</t>
    </rPh>
    <rPh sb="40" eb="42">
      <t>ジッシ</t>
    </rPh>
    <rPh sb="43" eb="45">
      <t>ウム</t>
    </rPh>
    <rPh sb="46" eb="48">
      <t>カクニン</t>
    </rPh>
    <rPh sb="53" eb="55">
      <t>コウモク</t>
    </rPh>
    <phoneticPr fontId="2"/>
  </si>
  <si>
    <t>セキュリティテストの工数に影響する。</t>
    <rPh sb="10" eb="12">
      <t>コウスウ</t>
    </rPh>
    <rPh sb="13" eb="15">
      <t>エイキョウ</t>
    </rPh>
    <phoneticPr fontId="2"/>
  </si>
  <si>
    <t xml:space="preserve">Web診断実施の有無
DB診断実施の有無
診断レベル
診断範囲
診断頻度
</t>
    <rPh sb="21" eb="23">
      <t>シンダン</t>
    </rPh>
    <rPh sb="27" eb="29">
      <t>シンダン</t>
    </rPh>
    <rPh sb="29" eb="31">
      <t>ハンイ</t>
    </rPh>
    <rPh sb="32" eb="34">
      <t>シンダン</t>
    </rPh>
    <rPh sb="34" eb="36">
      <t>ヒンド</t>
    </rPh>
    <phoneticPr fontId="2"/>
  </si>
  <si>
    <t>アクセス・利用制限</t>
    <phoneticPr fontId="2"/>
  </si>
  <si>
    <t>認証機能</t>
    <phoneticPr fontId="2"/>
  </si>
  <si>
    <r>
      <t xml:space="preserve">E.5.1.1
</t>
    </r>
    <r>
      <rPr>
        <sz val="10"/>
        <rFont val="ＭＳ Ｐゴシック"/>
        <family val="3"/>
        <charset val="128"/>
      </rPr>
      <t>E.5.1.2</t>
    </r>
    <phoneticPr fontId="2"/>
  </si>
  <si>
    <t xml:space="preserve">資産を利用する主体（利用者や機器等）を識別するための認証を実施するか、また、どの程度実施するのかを確認するための項目。
</t>
    <rPh sb="0" eb="2">
      <t>シサン</t>
    </rPh>
    <rPh sb="3" eb="5">
      <t>リヨウ</t>
    </rPh>
    <rPh sb="7" eb="9">
      <t>シュタイ</t>
    </rPh>
    <rPh sb="10" eb="13">
      <t>リヨウシャ</t>
    </rPh>
    <rPh sb="14" eb="16">
      <t>キキ</t>
    </rPh>
    <rPh sb="16" eb="17">
      <t>トウ</t>
    </rPh>
    <rPh sb="19" eb="21">
      <t>シキベツ</t>
    </rPh>
    <rPh sb="26" eb="28">
      <t>ニンショウ</t>
    </rPh>
    <rPh sb="29" eb="31">
      <t>ジッシ</t>
    </rPh>
    <rPh sb="40" eb="42">
      <t>テイド</t>
    </rPh>
    <rPh sb="42" eb="44">
      <t>ジッシ</t>
    </rPh>
    <rPh sb="49" eb="51">
      <t>カクニン</t>
    </rPh>
    <rPh sb="56" eb="58">
      <t>コウモク</t>
    </rPh>
    <phoneticPr fontId="2"/>
  </si>
  <si>
    <t xml:space="preserve">アカウント管理設計、シングルサインオン設計に影響する。
</t>
    <rPh sb="5" eb="7">
      <t>カンリ</t>
    </rPh>
    <rPh sb="7" eb="9">
      <t>セッケイ</t>
    </rPh>
    <rPh sb="22" eb="24">
      <t>エイキョウ</t>
    </rPh>
    <phoneticPr fontId="2"/>
  </si>
  <si>
    <t xml:space="preserve">管理権限を持つ主体の認証の要否
管理権限を持たない主体の認証の要否
認証方法
</t>
    <rPh sb="0" eb="2">
      <t>カンリ</t>
    </rPh>
    <rPh sb="2" eb="4">
      <t>ケンゲン</t>
    </rPh>
    <rPh sb="5" eb="6">
      <t>モ</t>
    </rPh>
    <rPh sb="7" eb="9">
      <t>シュタイ</t>
    </rPh>
    <rPh sb="10" eb="12">
      <t>ニンショウ</t>
    </rPh>
    <rPh sb="13" eb="15">
      <t>ヨウヒ</t>
    </rPh>
    <rPh sb="34" eb="36">
      <t>ニンショウ</t>
    </rPh>
    <rPh sb="36" eb="38">
      <t>ホウホウ</t>
    </rPh>
    <phoneticPr fontId="2"/>
  </si>
  <si>
    <t>利用制限</t>
    <rPh sb="0" eb="2">
      <t>リヨウ</t>
    </rPh>
    <phoneticPr fontId="2"/>
  </si>
  <si>
    <r>
      <t xml:space="preserve">E.5.2.1
</t>
    </r>
    <r>
      <rPr>
        <sz val="10"/>
        <rFont val="ＭＳ Ｐゴシック"/>
        <family val="3"/>
        <charset val="128"/>
      </rPr>
      <t>E.5.2.2</t>
    </r>
    <phoneticPr fontId="2"/>
  </si>
  <si>
    <t xml:space="preserve">認証された主体（利用者や機器など）に対して、資産の利用等を、ソフトウェアやハードウェアにより制限するか確認するための項目。
</t>
    <rPh sb="0" eb="2">
      <t>ニンショウ</t>
    </rPh>
    <rPh sb="18" eb="19">
      <t>タイ</t>
    </rPh>
    <rPh sb="46" eb="48">
      <t>セイゲン</t>
    </rPh>
    <rPh sb="51" eb="53">
      <t>カクニン</t>
    </rPh>
    <rPh sb="58" eb="60">
      <t>コウモク</t>
    </rPh>
    <phoneticPr fontId="2"/>
  </si>
  <si>
    <t xml:space="preserve">認可（アクセスコントロール）設計に影響する。
</t>
    <rPh sb="0" eb="2">
      <t>ニンカ</t>
    </rPh>
    <rPh sb="14" eb="16">
      <t>セッケイ</t>
    </rPh>
    <phoneticPr fontId="2"/>
  </si>
  <si>
    <t xml:space="preserve">制限のレベル・限度（システム上、物理的）
</t>
    <rPh sb="0" eb="2">
      <t>セイゲン</t>
    </rPh>
    <rPh sb="7" eb="9">
      <t>ゲンド</t>
    </rPh>
    <phoneticPr fontId="2"/>
  </si>
  <si>
    <t>管理方法</t>
  </si>
  <si>
    <t>E.5.3.1</t>
    <phoneticPr fontId="2"/>
  </si>
  <si>
    <t xml:space="preserve">認証に必要な情報（例えば、 ID/パスワード、指紋、虹彩、静脈など、主体を一意に特定する情報）の追加、更新、削除等のルール策定を実施するかを確認するための項目。
</t>
    <rPh sb="0" eb="2">
      <t>ニンショウ</t>
    </rPh>
    <rPh sb="3" eb="5">
      <t>ヒツヨウ</t>
    </rPh>
    <rPh sb="6" eb="8">
      <t>ジョウホウ</t>
    </rPh>
    <rPh sb="9" eb="10">
      <t>タト</t>
    </rPh>
    <rPh sb="48" eb="50">
      <t>ツイカ</t>
    </rPh>
    <rPh sb="51" eb="53">
      <t>コウシン</t>
    </rPh>
    <rPh sb="54" eb="56">
      <t>サクジョ</t>
    </rPh>
    <rPh sb="56" eb="57">
      <t>ナド</t>
    </rPh>
    <rPh sb="61" eb="63">
      <t>サクテイ</t>
    </rPh>
    <rPh sb="64" eb="66">
      <t>ジッシ</t>
    </rPh>
    <rPh sb="70" eb="72">
      <t>カクニン</t>
    </rPh>
    <rPh sb="77" eb="79">
      <t>コウモク</t>
    </rPh>
    <phoneticPr fontId="2"/>
  </si>
  <si>
    <t xml:space="preserve">アカウント管理設計、セキュリティ設計に影響する。
</t>
    <rPh sb="5" eb="7">
      <t>カンリ</t>
    </rPh>
    <rPh sb="7" eb="9">
      <t>セッケイ</t>
    </rPh>
    <rPh sb="16" eb="18">
      <t>セッケイ</t>
    </rPh>
    <rPh sb="19" eb="21">
      <t>エイキョウ</t>
    </rPh>
    <phoneticPr fontId="2"/>
  </si>
  <si>
    <t xml:space="preserve">管理ルールの有無
　　（認証に必要な情報の
　　追加、更新、削除等のルール）
</t>
    <rPh sb="0" eb="2">
      <t>カンリ</t>
    </rPh>
    <rPh sb="6" eb="8">
      <t>ウム</t>
    </rPh>
    <phoneticPr fontId="2"/>
  </si>
  <si>
    <t>データの秘匿</t>
    <phoneticPr fontId="2"/>
  </si>
  <si>
    <t>データ暗号化</t>
    <rPh sb="5" eb="6">
      <t>カ</t>
    </rPh>
    <phoneticPr fontId="2"/>
  </si>
  <si>
    <t>E.6.1.1～
E.6.1.3</t>
    <phoneticPr fontId="2"/>
  </si>
  <si>
    <t xml:space="preserve">機密性のあるデータを、伝送時や蓄積時に秘匿するための暗号化を実施するかを確認するための項目。
</t>
    <rPh sb="0" eb="3">
      <t>キミツセイ</t>
    </rPh>
    <rPh sb="11" eb="13">
      <t>デンソウ</t>
    </rPh>
    <rPh sb="13" eb="14">
      <t>ジ</t>
    </rPh>
    <rPh sb="15" eb="17">
      <t>チクセキ</t>
    </rPh>
    <rPh sb="17" eb="18">
      <t>ジ</t>
    </rPh>
    <rPh sb="26" eb="29">
      <t>アンゴウカ</t>
    </rPh>
    <rPh sb="30" eb="32">
      <t>ジッシ</t>
    </rPh>
    <rPh sb="36" eb="38">
      <t>カクニン</t>
    </rPh>
    <rPh sb="43" eb="45">
      <t>コウモク</t>
    </rPh>
    <phoneticPr fontId="2"/>
  </si>
  <si>
    <t>セキュリティ設計、実装の工数に影響する。</t>
    <rPh sb="6" eb="8">
      <t>セッケイ</t>
    </rPh>
    <rPh sb="9" eb="11">
      <t>ジッソウ</t>
    </rPh>
    <rPh sb="12" eb="14">
      <t>コウスウ</t>
    </rPh>
    <rPh sb="15" eb="17">
      <t>エイキョウ</t>
    </rPh>
    <phoneticPr fontId="2"/>
  </si>
  <si>
    <t xml:space="preserve">伝送データの暗号化の有無
蓄積データの暗号化の有無
鍵管理
暗号化経路(SSL)の要否
SSL証明書の取得の要否
</t>
    <rPh sb="30" eb="33">
      <t>アンゴウカ</t>
    </rPh>
    <rPh sb="33" eb="35">
      <t>ケイロ</t>
    </rPh>
    <rPh sb="41" eb="43">
      <t>ヨウヒ</t>
    </rPh>
    <rPh sb="47" eb="50">
      <t>ショウメイショ</t>
    </rPh>
    <rPh sb="51" eb="53">
      <t>シュトク</t>
    </rPh>
    <rPh sb="54" eb="56">
      <t>ヨウヒ</t>
    </rPh>
    <phoneticPr fontId="2"/>
  </si>
  <si>
    <t>不正追跡・監視</t>
    <phoneticPr fontId="2"/>
  </si>
  <si>
    <t>不正監視</t>
    <phoneticPr fontId="2"/>
  </si>
  <si>
    <t>E.7.1.1～
E.7.1.6</t>
    <phoneticPr fontId="2"/>
  </si>
  <si>
    <t xml:space="preserve">不正行為を検知するために、それらの不正について監視する範囲や、監視の記録を保存する量や期間を確認するための項目。
</t>
    <rPh sb="17" eb="19">
      <t>フセイ</t>
    </rPh>
    <rPh sb="46" eb="48">
      <t>カクニン</t>
    </rPh>
    <rPh sb="53" eb="55">
      <t>コウモク</t>
    </rPh>
    <phoneticPr fontId="2"/>
  </si>
  <si>
    <t xml:space="preserve">ログ設計（ログローテーション、ログ項目、製品設定など）に影響する。
</t>
    <rPh sb="20" eb="22">
      <t>セイヒン</t>
    </rPh>
    <rPh sb="22" eb="24">
      <t>セッテイ</t>
    </rPh>
    <phoneticPr fontId="2"/>
  </si>
  <si>
    <t xml:space="preserve">ログの取得範囲
ログの取得レベル
ログの取得頻度
確認間隔
確認方法
　　（システムで閲覧、紙レポート提出など）
</t>
    <rPh sb="5" eb="7">
      <t>ハンイ</t>
    </rPh>
    <rPh sb="22" eb="24">
      <t>ヒンド</t>
    </rPh>
    <rPh sb="30" eb="32">
      <t>カクニン</t>
    </rPh>
    <rPh sb="32" eb="34">
      <t>ホウホウ</t>
    </rPh>
    <rPh sb="43" eb="45">
      <t>エツラン</t>
    </rPh>
    <rPh sb="46" eb="47">
      <t>カミ</t>
    </rPh>
    <rPh sb="51" eb="53">
      <t>テイシュツ</t>
    </rPh>
    <phoneticPr fontId="2"/>
  </si>
  <si>
    <t>データ検証</t>
  </si>
  <si>
    <t>E.7.2.1
E.7.2.2</t>
    <phoneticPr fontId="2"/>
  </si>
  <si>
    <t xml:space="preserve">情報が正しく処理されて保存されていることを証明可能とし、情報の改ざんを検知するための仕組みとしてデジタル署名を導入するかを確認するための項目。
</t>
    <rPh sb="3" eb="4">
      <t>タダ</t>
    </rPh>
    <rPh sb="6" eb="8">
      <t>ショリ</t>
    </rPh>
    <rPh sb="11" eb="13">
      <t>ホゾン</t>
    </rPh>
    <rPh sb="21" eb="23">
      <t>ショウメイ</t>
    </rPh>
    <rPh sb="23" eb="25">
      <t>カノウ</t>
    </rPh>
    <rPh sb="28" eb="30">
      <t>ジョウホウ</t>
    </rPh>
    <rPh sb="35" eb="37">
      <t>ケンチ</t>
    </rPh>
    <rPh sb="42" eb="44">
      <t>シク</t>
    </rPh>
    <rPh sb="52" eb="54">
      <t>ショメイ</t>
    </rPh>
    <rPh sb="55" eb="57">
      <t>ドウニュウ</t>
    </rPh>
    <rPh sb="61" eb="63">
      <t>カクニン</t>
    </rPh>
    <rPh sb="68" eb="70">
      <t>コウモク</t>
    </rPh>
    <phoneticPr fontId="2"/>
  </si>
  <si>
    <t>セキュリティ設計、実装の工数に影響する。デジタル署名にはPKIの要否確認が必要。</t>
    <rPh sb="6" eb="8">
      <t>セッケイ</t>
    </rPh>
    <rPh sb="9" eb="11">
      <t>ジッソウ</t>
    </rPh>
    <rPh sb="12" eb="14">
      <t>コウスウ</t>
    </rPh>
    <rPh sb="15" eb="17">
      <t>エイキョウ</t>
    </rPh>
    <rPh sb="24" eb="26">
      <t>ショメイ</t>
    </rPh>
    <rPh sb="32" eb="34">
      <t>ヨウヒ</t>
    </rPh>
    <rPh sb="34" eb="36">
      <t>カクニン</t>
    </rPh>
    <rPh sb="37" eb="39">
      <t>ヒツヨウ</t>
    </rPh>
    <phoneticPr fontId="2"/>
  </si>
  <si>
    <t xml:space="preserve">デジタル署名の利用の有無
PKIの要否
</t>
    <rPh sb="17" eb="19">
      <t>ヨウヒ</t>
    </rPh>
    <phoneticPr fontId="2"/>
  </si>
  <si>
    <t>Web対策</t>
    <phoneticPr fontId="2"/>
  </si>
  <si>
    <t>Web実装対策</t>
    <rPh sb="3" eb="5">
      <t>ジッソウ</t>
    </rPh>
    <rPh sb="5" eb="7">
      <t>タイサク</t>
    </rPh>
    <phoneticPr fontId="2"/>
  </si>
  <si>
    <t>E.10.1.1
E.10.1.2</t>
    <phoneticPr fontId="2"/>
  </si>
  <si>
    <t xml:space="preserve">Webアプリケーション特有の脅威、脆弱性に関する対策を実施するかを確認するための項目。
</t>
    <rPh sb="11" eb="13">
      <t>トクユウ</t>
    </rPh>
    <rPh sb="14" eb="16">
      <t>キョウイ</t>
    </rPh>
    <rPh sb="17" eb="20">
      <t>ゼイジャクセイ</t>
    </rPh>
    <rPh sb="21" eb="22">
      <t>カン</t>
    </rPh>
    <rPh sb="24" eb="26">
      <t>タイサク</t>
    </rPh>
    <rPh sb="27" eb="29">
      <t>ジッシ</t>
    </rPh>
    <rPh sb="33" eb="35">
      <t>カクニン</t>
    </rPh>
    <rPh sb="40" eb="42">
      <t>コウモク</t>
    </rPh>
    <phoneticPr fontId="2"/>
  </si>
  <si>
    <t xml:space="preserve">セキュアコーディングの要否
Webサーバの堅牢化の要否
</t>
    <rPh sb="11" eb="13">
      <t>ヨウヒ</t>
    </rPh>
    <rPh sb="21" eb="23">
      <t>ケンロウ</t>
    </rPh>
    <rPh sb="23" eb="24">
      <t>カ</t>
    </rPh>
    <rPh sb="25" eb="27">
      <t>ヨウヒ</t>
    </rPh>
    <phoneticPr fontId="2"/>
  </si>
  <si>
    <t>PJ-Code</t>
    <phoneticPr fontId="2"/>
  </si>
  <si>
    <t>顧客名・プロジェクト名</t>
    <rPh sb="0" eb="2">
      <t>コキャク</t>
    </rPh>
    <rPh sb="2" eb="3">
      <t>ナ</t>
    </rPh>
    <rPh sb="10" eb="11">
      <t>ナ</t>
    </rPh>
    <phoneticPr fontId="2"/>
  </si>
  <si>
    <t>作成日　　　　　　　　　　　　　作成者</t>
    <rPh sb="0" eb="2">
      <t>サクセイ</t>
    </rPh>
    <rPh sb="2" eb="3">
      <t>ヒ</t>
    </rPh>
    <rPh sb="16" eb="19">
      <t>サクセイシャ</t>
    </rPh>
    <phoneticPr fontId="2"/>
  </si>
  <si>
    <t>リスク分析コード</t>
    <rPh sb="3" eb="5">
      <t>ブンセキ</t>
    </rPh>
    <phoneticPr fontId="2"/>
  </si>
  <si>
    <t>大分類</t>
    <rPh sb="0" eb="3">
      <t>ダイブンルイ</t>
    </rPh>
    <phoneticPr fontId="2"/>
  </si>
  <si>
    <t>カテゴリー</t>
    <phoneticPr fontId="2"/>
  </si>
  <si>
    <t>要因</t>
    <rPh sb="0" eb="2">
      <t>ヨウイン</t>
    </rPh>
    <phoneticPr fontId="2"/>
  </si>
  <si>
    <t>現象</t>
    <rPh sb="0" eb="2">
      <t>ゲンショウ</t>
    </rPh>
    <phoneticPr fontId="2"/>
  </si>
  <si>
    <t>該当</t>
    <rPh sb="0" eb="2">
      <t>ガイトウ</t>
    </rPh>
    <phoneticPr fontId="2"/>
  </si>
  <si>
    <t>RA-</t>
    <phoneticPr fontId="2"/>
  </si>
  <si>
    <t>見積</t>
    <rPh sb="0" eb="2">
      <t>ミツモリ</t>
    </rPh>
    <phoneticPr fontId="2"/>
  </si>
  <si>
    <t>見積前提条件の不足
・再見積条件不明確
・検収条件不適当
・納入物件不明確
・別料金条件不適当
・ソフトウェアライセンス不足</t>
    <rPh sb="0" eb="2">
      <t>ミツモ</t>
    </rPh>
    <rPh sb="2" eb="4">
      <t>ゼンテイ</t>
    </rPh>
    <rPh sb="4" eb="6">
      <t>ジョウケン</t>
    </rPh>
    <rPh sb="7" eb="9">
      <t>フソク</t>
    </rPh>
    <rPh sb="39" eb="42">
      <t>ベツリョウキン</t>
    </rPh>
    <rPh sb="42" eb="44">
      <t>ジョウケン</t>
    </rPh>
    <rPh sb="44" eb="47">
      <t>フテキトウ</t>
    </rPh>
    <phoneticPr fontId="2"/>
  </si>
  <si>
    <t>工程遅延、コストオーバー、現金収支で赤字</t>
    <rPh sb="0" eb="2">
      <t>コウテイ</t>
    </rPh>
    <rPh sb="2" eb="4">
      <t>チエン</t>
    </rPh>
    <rPh sb="13" eb="15">
      <t>ゲンキン</t>
    </rPh>
    <rPh sb="15" eb="17">
      <t>シュウシ</t>
    </rPh>
    <rPh sb="18" eb="20">
      <t>アカジ</t>
    </rPh>
    <phoneticPr fontId="2"/>
  </si>
  <si>
    <t>受注能力不足（難易度・規模＞技術力・体制・経験・知識）</t>
    <rPh sb="0" eb="2">
      <t>ジュチュウ</t>
    </rPh>
    <rPh sb="2" eb="4">
      <t>ノウリョク</t>
    </rPh>
    <rPh sb="4" eb="6">
      <t>フソク</t>
    </rPh>
    <rPh sb="7" eb="10">
      <t>ナンイド</t>
    </rPh>
    <rPh sb="11" eb="13">
      <t>キボ</t>
    </rPh>
    <rPh sb="14" eb="17">
      <t>ギジュツリョク</t>
    </rPh>
    <rPh sb="18" eb="20">
      <t>タイセイ</t>
    </rPh>
    <rPh sb="21" eb="23">
      <t>ケイケン</t>
    </rPh>
    <rPh sb="24" eb="26">
      <t>チシキ</t>
    </rPh>
    <phoneticPr fontId="2"/>
  </si>
  <si>
    <t>プロジェクト崩れ、過小見積、工程遅延、生産性低下、未完成</t>
    <rPh sb="6" eb="7">
      <t>クズ</t>
    </rPh>
    <rPh sb="9" eb="11">
      <t>カショウ</t>
    </rPh>
    <rPh sb="11" eb="13">
      <t>ミツモリ</t>
    </rPh>
    <rPh sb="14" eb="16">
      <t>コウテイ</t>
    </rPh>
    <rPh sb="16" eb="18">
      <t>チエン</t>
    </rPh>
    <rPh sb="19" eb="22">
      <t>セイサンセイ</t>
    </rPh>
    <rPh sb="22" eb="24">
      <t>テイカ</t>
    </rPh>
    <rPh sb="25" eb="28">
      <t>ミカンセイ</t>
    </rPh>
    <phoneticPr fontId="2"/>
  </si>
  <si>
    <t>正式見積での過小見積り
・規模（作業規模、FP、LOC、モジュール）見通し誤り
・アクティビティ漏れ（要件定義、移行、立会い、教育、インストール、チューニング、データクリーニング）
・生産性への過度な期待
・開発難易度の過小評価
・移行リスク検討不十分
・手戻り（レビュー差し戻し、バグ、検査不合格、移行データ不良等）考慮不足
・間接経費（トレーニング、出張経費、家賃、ツール、マシン、回線、サポート費、瑕疵担保期間中の対応費用等）漏れ</t>
    <rPh sb="0" eb="2">
      <t>セイシキ</t>
    </rPh>
    <rPh sb="2" eb="4">
      <t>ミツモリ</t>
    </rPh>
    <rPh sb="6" eb="8">
      <t>カショウ</t>
    </rPh>
    <rPh sb="8" eb="10">
      <t>ミツモ</t>
    </rPh>
    <rPh sb="48" eb="49">
      <t>モ</t>
    </rPh>
    <rPh sb="51" eb="53">
      <t>ヨウケン</t>
    </rPh>
    <rPh sb="53" eb="55">
      <t>テイギ</t>
    </rPh>
    <rPh sb="56" eb="58">
      <t>イコウ</t>
    </rPh>
    <rPh sb="59" eb="61">
      <t>タチア</t>
    </rPh>
    <rPh sb="63" eb="65">
      <t>キョウイク</t>
    </rPh>
    <rPh sb="92" eb="95">
      <t>セイサンセイ</t>
    </rPh>
    <rPh sb="97" eb="99">
      <t>カド</t>
    </rPh>
    <rPh sb="100" eb="102">
      <t>キタイ</t>
    </rPh>
    <rPh sb="202" eb="204">
      <t>カシ</t>
    </rPh>
    <rPh sb="204" eb="206">
      <t>タンポ</t>
    </rPh>
    <rPh sb="206" eb="208">
      <t>キカン</t>
    </rPh>
    <rPh sb="208" eb="209">
      <t>チュウ</t>
    </rPh>
    <rPh sb="210" eb="212">
      <t>タイオウ</t>
    </rPh>
    <rPh sb="212" eb="214">
      <t>ヒヨウ</t>
    </rPh>
    <phoneticPr fontId="2"/>
  </si>
  <si>
    <t>コストオーバー、納期遅延</t>
    <rPh sb="8" eb="10">
      <t>ノウキ</t>
    </rPh>
    <rPh sb="10" eb="12">
      <t>チエン</t>
    </rPh>
    <phoneticPr fontId="2"/>
  </si>
  <si>
    <t>概算見積での過小見積り</t>
    <rPh sb="0" eb="2">
      <t>ガイサン</t>
    </rPh>
    <rPh sb="2" eb="4">
      <t>ミツモリ</t>
    </rPh>
    <rPh sb="6" eb="8">
      <t>カショウ</t>
    </rPh>
    <rPh sb="8" eb="10">
      <t>ミツモ</t>
    </rPh>
    <phoneticPr fontId="2"/>
  </si>
  <si>
    <t>正式見積時のトラブル（予算不足、ロスト、過剰値引きによる予算圧迫、正式見積でも過小見積り）</t>
    <rPh sb="0" eb="2">
      <t>セイシキ</t>
    </rPh>
    <rPh sb="2" eb="4">
      <t>ミツモリ</t>
    </rPh>
    <rPh sb="4" eb="5">
      <t>ジ</t>
    </rPh>
    <rPh sb="11" eb="13">
      <t>ヨサン</t>
    </rPh>
    <rPh sb="13" eb="15">
      <t>フソク</t>
    </rPh>
    <rPh sb="20" eb="22">
      <t>カジョウ</t>
    </rPh>
    <rPh sb="22" eb="24">
      <t>ネビ</t>
    </rPh>
    <rPh sb="28" eb="30">
      <t>ヨサン</t>
    </rPh>
    <rPh sb="30" eb="32">
      <t>アッパク</t>
    </rPh>
    <rPh sb="33" eb="35">
      <t>セイシキ</t>
    </rPh>
    <rPh sb="35" eb="37">
      <t>ミツモリ</t>
    </rPh>
    <rPh sb="39" eb="41">
      <t>カショウ</t>
    </rPh>
    <rPh sb="41" eb="43">
      <t>ミツモ</t>
    </rPh>
    <phoneticPr fontId="2"/>
  </si>
  <si>
    <t>要求品質レベルの過小評価
・ノンストップ運転
・不特定多数ユーザ
・大量配布製品
・ドキュメント記述レベル
・製造業の品質合格基準
・第三者品質検証体制（元請、コンサル、顧客検査部門）の存在</t>
    <rPh sb="0" eb="2">
      <t>ヨウキュウ</t>
    </rPh>
    <rPh sb="2" eb="4">
      <t>ヒンシツ</t>
    </rPh>
    <rPh sb="8" eb="10">
      <t>カショウ</t>
    </rPh>
    <rPh sb="10" eb="12">
      <t>ヒョウカ</t>
    </rPh>
    <rPh sb="20" eb="22">
      <t>ウンテン</t>
    </rPh>
    <rPh sb="24" eb="27">
      <t>フトクテイ</t>
    </rPh>
    <rPh sb="27" eb="29">
      <t>タスウ</t>
    </rPh>
    <rPh sb="34" eb="36">
      <t>タイリョウ</t>
    </rPh>
    <rPh sb="36" eb="38">
      <t>ハイフ</t>
    </rPh>
    <rPh sb="38" eb="40">
      <t>セイヒン</t>
    </rPh>
    <rPh sb="48" eb="50">
      <t>キジュツ</t>
    </rPh>
    <rPh sb="55" eb="58">
      <t>セイゾウギョウ</t>
    </rPh>
    <rPh sb="59" eb="61">
      <t>ヒンシツ</t>
    </rPh>
    <rPh sb="61" eb="63">
      <t>ゴウカク</t>
    </rPh>
    <rPh sb="63" eb="65">
      <t>キジュン</t>
    </rPh>
    <rPh sb="67" eb="70">
      <t>ダイサンシャ</t>
    </rPh>
    <rPh sb="70" eb="72">
      <t>ヒンシツ</t>
    </rPh>
    <rPh sb="72" eb="74">
      <t>ケンショウ</t>
    </rPh>
    <rPh sb="74" eb="76">
      <t>タイセイ</t>
    </rPh>
    <rPh sb="77" eb="79">
      <t>モトウケ</t>
    </rPh>
    <rPh sb="85" eb="87">
      <t>コキャク</t>
    </rPh>
    <rPh sb="87" eb="89">
      <t>ケンサ</t>
    </rPh>
    <rPh sb="89" eb="91">
      <t>ブモン</t>
    </rPh>
    <rPh sb="93" eb="95">
      <t>ソンザイ</t>
    </rPh>
    <phoneticPr fontId="2"/>
  </si>
  <si>
    <t>設計工数肥大、テスト工数肥大、顧客差戻し多発</t>
    <rPh sb="0" eb="2">
      <t>セッケイ</t>
    </rPh>
    <rPh sb="2" eb="4">
      <t>コウスウ</t>
    </rPh>
    <rPh sb="4" eb="6">
      <t>ヒダイ</t>
    </rPh>
    <rPh sb="10" eb="12">
      <t>コウスウ</t>
    </rPh>
    <rPh sb="12" eb="14">
      <t>ヒダイ</t>
    </rPh>
    <rPh sb="15" eb="17">
      <t>コキャク</t>
    </rPh>
    <rPh sb="17" eb="19">
      <t>サシモド</t>
    </rPh>
    <rPh sb="20" eb="22">
      <t>タハツ</t>
    </rPh>
    <phoneticPr fontId="2"/>
  </si>
  <si>
    <t>顧客体質</t>
    <rPh sb="0" eb="2">
      <t>コキャク</t>
    </rPh>
    <rPh sb="2" eb="4">
      <t>タイシツ</t>
    </rPh>
    <phoneticPr fontId="2"/>
  </si>
  <si>
    <t>顧客組織の意思決定プロセス未確認
・独裁者オーナー
・ＥＯ（エグゼクティブオーナー）のシステム化投資目的不明
・顧客担当者とＥＯのコミニュケーション不足</t>
    <rPh sb="0" eb="2">
      <t>コキャク</t>
    </rPh>
    <rPh sb="2" eb="4">
      <t>ソシキ</t>
    </rPh>
    <rPh sb="5" eb="7">
      <t>イシ</t>
    </rPh>
    <rPh sb="7" eb="9">
      <t>ケッテイ</t>
    </rPh>
    <rPh sb="13" eb="16">
      <t>ミカクニン</t>
    </rPh>
    <rPh sb="18" eb="21">
      <t>ドクサイシャ</t>
    </rPh>
    <rPh sb="47" eb="48">
      <t>カ</t>
    </rPh>
    <rPh sb="48" eb="50">
      <t>トウシ</t>
    </rPh>
    <rPh sb="50" eb="52">
      <t>モクテキ</t>
    </rPh>
    <rPh sb="52" eb="54">
      <t>フメイ</t>
    </rPh>
    <rPh sb="56" eb="58">
      <t>コキャク</t>
    </rPh>
    <rPh sb="58" eb="61">
      <t>タントウシャ</t>
    </rPh>
    <rPh sb="74" eb="76">
      <t>フソク</t>
    </rPh>
    <phoneticPr fontId="2"/>
  </si>
  <si>
    <t>ＥＯの意思による大幅手戻り、キャンセル、要件肥大、顧客担当者の離脱</t>
    <rPh sb="3" eb="5">
      <t>イシ</t>
    </rPh>
    <rPh sb="8" eb="10">
      <t>オオハバ</t>
    </rPh>
    <rPh sb="10" eb="11">
      <t>テ</t>
    </rPh>
    <rPh sb="11" eb="12">
      <t>モド</t>
    </rPh>
    <rPh sb="20" eb="22">
      <t>ヨウケン</t>
    </rPh>
    <rPh sb="22" eb="24">
      <t>ヒダイ</t>
    </rPh>
    <rPh sb="25" eb="27">
      <t>コキャク</t>
    </rPh>
    <rPh sb="27" eb="30">
      <t>タントウシャ</t>
    </rPh>
    <rPh sb="31" eb="33">
      <t>リダツ</t>
    </rPh>
    <phoneticPr fontId="2"/>
  </si>
  <si>
    <t>顧客文化の確認不足</t>
    <rPh sb="0" eb="2">
      <t>コキャク</t>
    </rPh>
    <rPh sb="2" eb="4">
      <t>ブンカ</t>
    </rPh>
    <rPh sb="5" eb="7">
      <t>カクニン</t>
    </rPh>
    <rPh sb="7" eb="9">
      <t>フソク</t>
    </rPh>
    <phoneticPr fontId="2"/>
  </si>
  <si>
    <t>承認プロセスの拒否、意思決定の遅延、情報入手困難、顧客意見の集約不能、検収遅延</t>
    <rPh sb="0" eb="2">
      <t>ショウニン</t>
    </rPh>
    <rPh sb="7" eb="9">
      <t>キョヒ</t>
    </rPh>
    <rPh sb="10" eb="12">
      <t>イシ</t>
    </rPh>
    <rPh sb="12" eb="14">
      <t>ケッテイ</t>
    </rPh>
    <rPh sb="15" eb="17">
      <t>チエン</t>
    </rPh>
    <rPh sb="18" eb="20">
      <t>ジョウホウ</t>
    </rPh>
    <rPh sb="20" eb="22">
      <t>ニュウシュ</t>
    </rPh>
    <rPh sb="22" eb="24">
      <t>コンナン</t>
    </rPh>
    <rPh sb="25" eb="27">
      <t>コキャク</t>
    </rPh>
    <rPh sb="27" eb="29">
      <t>イケン</t>
    </rPh>
    <rPh sb="30" eb="32">
      <t>シュウヤク</t>
    </rPh>
    <rPh sb="32" eb="34">
      <t>フノウ</t>
    </rPh>
    <rPh sb="35" eb="37">
      <t>ケンシュウ</t>
    </rPh>
    <rPh sb="37" eb="39">
      <t>チエン</t>
    </rPh>
    <phoneticPr fontId="2"/>
  </si>
  <si>
    <t>顧客運用テスト、並行本番の欠如</t>
    <rPh sb="0" eb="2">
      <t>コキャク</t>
    </rPh>
    <rPh sb="2" eb="4">
      <t>ウンヨウ</t>
    </rPh>
    <rPh sb="8" eb="10">
      <t>ヘイコウ</t>
    </rPh>
    <rPh sb="10" eb="12">
      <t>ホンバン</t>
    </rPh>
    <rPh sb="13" eb="15">
      <t>ケツジョ</t>
    </rPh>
    <phoneticPr fontId="2"/>
  </si>
  <si>
    <t>本番障害による大トラブル、損害賠償</t>
    <rPh sb="0" eb="2">
      <t>ホンバン</t>
    </rPh>
    <rPh sb="2" eb="4">
      <t>ショウガイ</t>
    </rPh>
    <rPh sb="7" eb="8">
      <t>ダイ</t>
    </rPh>
    <rPh sb="13" eb="15">
      <t>ソンガイ</t>
    </rPh>
    <rPh sb="15" eb="17">
      <t>バイショウ</t>
    </rPh>
    <phoneticPr fontId="2"/>
  </si>
  <si>
    <t>契約管理（顧客）</t>
    <rPh sb="0" eb="2">
      <t>ケイヤク</t>
    </rPh>
    <rPh sb="2" eb="4">
      <t>カンリ</t>
    </rPh>
    <rPh sb="5" eb="7">
      <t>コキャク</t>
    </rPh>
    <phoneticPr fontId="2"/>
  </si>
  <si>
    <t>契約確認不足または許容できない契約リスク
・高額な遅延損害金
・限界のない損害賠償金額
・人命に影響があるシステム
・現行システム機能の保証</t>
    <rPh sb="0" eb="2">
      <t>ケイヤク</t>
    </rPh>
    <rPh sb="2" eb="4">
      <t>カクニン</t>
    </rPh>
    <rPh sb="4" eb="6">
      <t>フソク</t>
    </rPh>
    <rPh sb="9" eb="11">
      <t>キョヨウ</t>
    </rPh>
    <rPh sb="15" eb="17">
      <t>ケイヤク</t>
    </rPh>
    <rPh sb="22" eb="24">
      <t>コウガク</t>
    </rPh>
    <rPh sb="25" eb="27">
      <t>チエン</t>
    </rPh>
    <rPh sb="27" eb="30">
      <t>ソンガイキン</t>
    </rPh>
    <rPh sb="32" eb="34">
      <t>ゲンカイ</t>
    </rPh>
    <rPh sb="37" eb="39">
      <t>ソンガイ</t>
    </rPh>
    <rPh sb="39" eb="41">
      <t>バイショウ</t>
    </rPh>
    <rPh sb="41" eb="43">
      <t>キンガク</t>
    </rPh>
    <rPh sb="45" eb="47">
      <t>ジンメイ</t>
    </rPh>
    <rPh sb="48" eb="50">
      <t>エイキョウ</t>
    </rPh>
    <rPh sb="59" eb="61">
      <t>ゲンコウ</t>
    </rPh>
    <rPh sb="65" eb="67">
      <t>キノウ</t>
    </rPh>
    <rPh sb="68" eb="70">
      <t>ホショウ</t>
    </rPh>
    <phoneticPr fontId="2"/>
  </si>
  <si>
    <t>納期遅延時の損害賠償、巨額損失、出荷後障害による大事故、多大な品質確保工数</t>
    <phoneticPr fontId="2"/>
  </si>
  <si>
    <t>顧客の発注者責任不履行
・契約遅延
・顧客要件提示遅れ
・顧客キーパーソン、エンドユーザ参画不足
・基幹業務システム開発での経営層不参加
・仕様承認の遅れまたは拒否
・検収遅延
・マシン調達遅延</t>
    <rPh sb="0" eb="2">
      <t>コキャク</t>
    </rPh>
    <rPh sb="3" eb="6">
      <t>ハッチュウシャ</t>
    </rPh>
    <rPh sb="6" eb="8">
      <t>セキニン</t>
    </rPh>
    <rPh sb="8" eb="11">
      <t>フリコウ</t>
    </rPh>
    <rPh sb="13" eb="15">
      <t>ケイヤク</t>
    </rPh>
    <rPh sb="15" eb="17">
      <t>チエン</t>
    </rPh>
    <rPh sb="29" eb="31">
      <t>コキャク</t>
    </rPh>
    <rPh sb="84" eb="86">
      <t>ケンシュウ</t>
    </rPh>
    <rPh sb="86" eb="88">
      <t>チエン</t>
    </rPh>
    <rPh sb="93" eb="95">
      <t>チョウタツ</t>
    </rPh>
    <rPh sb="95" eb="97">
      <t>チエン</t>
    </rPh>
    <phoneticPr fontId="2"/>
  </si>
  <si>
    <t>仕様確定の遅延に伴う全体の工程遅延、仕様肥大、頻発する仕様変更、体制維持コストの発生、マシン不足による工程遅延、検収時トラブル、外注先撤収</t>
    <rPh sb="0" eb="2">
      <t>シヨウ</t>
    </rPh>
    <rPh sb="2" eb="4">
      <t>カクテイ</t>
    </rPh>
    <rPh sb="5" eb="7">
      <t>チエン</t>
    </rPh>
    <rPh sb="8" eb="9">
      <t>トモナ</t>
    </rPh>
    <rPh sb="10" eb="12">
      <t>ゼンタイ</t>
    </rPh>
    <rPh sb="13" eb="15">
      <t>コウテイ</t>
    </rPh>
    <rPh sb="15" eb="17">
      <t>チエン</t>
    </rPh>
    <rPh sb="18" eb="20">
      <t>シヨウ</t>
    </rPh>
    <rPh sb="20" eb="22">
      <t>ヒダイ</t>
    </rPh>
    <rPh sb="46" eb="48">
      <t>フソク</t>
    </rPh>
    <rPh sb="51" eb="53">
      <t>コウテイ</t>
    </rPh>
    <rPh sb="53" eb="55">
      <t>チエン</t>
    </rPh>
    <phoneticPr fontId="2"/>
  </si>
  <si>
    <t>顧客責任による影響
・顧客提供品（要求仕様書等）の精度不良
・顧客提供品（Web画面デザイン等）の受け取り遅延
・顧客側作業または外部システムの工程遅延
・移行元データの不整合
・不明確な顧客責任範囲
・顧客都合による中断</t>
    <rPh sb="0" eb="2">
      <t>コキャク</t>
    </rPh>
    <rPh sb="2" eb="4">
      <t>セキニン</t>
    </rPh>
    <rPh sb="7" eb="9">
      <t>エイキョウ</t>
    </rPh>
    <rPh sb="11" eb="13">
      <t>コキャク</t>
    </rPh>
    <rPh sb="13" eb="16">
      <t>テイキョウヒン</t>
    </rPh>
    <rPh sb="17" eb="19">
      <t>ヨウキュウ</t>
    </rPh>
    <rPh sb="19" eb="21">
      <t>シヨウ</t>
    </rPh>
    <rPh sb="21" eb="22">
      <t>ショ</t>
    </rPh>
    <rPh sb="22" eb="23">
      <t>トウ</t>
    </rPh>
    <rPh sb="25" eb="27">
      <t>セイド</t>
    </rPh>
    <rPh sb="27" eb="29">
      <t>フリョウ</t>
    </rPh>
    <rPh sb="31" eb="33">
      <t>コキャク</t>
    </rPh>
    <rPh sb="33" eb="36">
      <t>テイキョウヒン</t>
    </rPh>
    <rPh sb="40" eb="42">
      <t>ガメン</t>
    </rPh>
    <rPh sb="46" eb="47">
      <t>トウ</t>
    </rPh>
    <rPh sb="49" eb="52">
      <t>ウケト</t>
    </rPh>
    <rPh sb="53" eb="55">
      <t>チエン</t>
    </rPh>
    <rPh sb="57" eb="59">
      <t>コキャク</t>
    </rPh>
    <rPh sb="59" eb="60">
      <t>ガワ</t>
    </rPh>
    <rPh sb="60" eb="62">
      <t>サギョウ</t>
    </rPh>
    <rPh sb="65" eb="67">
      <t>ガイブ</t>
    </rPh>
    <rPh sb="72" eb="74">
      <t>コウテイ</t>
    </rPh>
    <rPh sb="74" eb="76">
      <t>チエン</t>
    </rPh>
    <rPh sb="78" eb="80">
      <t>イコウ</t>
    </rPh>
    <rPh sb="80" eb="81">
      <t>モト</t>
    </rPh>
    <rPh sb="85" eb="88">
      <t>フセイゴウ</t>
    </rPh>
    <rPh sb="90" eb="93">
      <t>フメイカク</t>
    </rPh>
    <rPh sb="94" eb="96">
      <t>コキャク</t>
    </rPh>
    <rPh sb="96" eb="98">
      <t>セキニン</t>
    </rPh>
    <rPh sb="98" eb="100">
      <t>ハンイ</t>
    </rPh>
    <rPh sb="102" eb="104">
      <t>コキャク</t>
    </rPh>
    <rPh sb="104" eb="106">
      <t>ツゴウ</t>
    </rPh>
    <rPh sb="109" eb="111">
      <t>チュウダン</t>
    </rPh>
    <phoneticPr fontId="2"/>
  </si>
  <si>
    <t>FS作業の発生、当社作業のアイドリング発生、顧客側支援に伴う追加コスト、移行データ補正作業の増大</t>
    <rPh sb="2" eb="4">
      <t>サギョウ</t>
    </rPh>
    <rPh sb="5" eb="7">
      <t>ハッセイ</t>
    </rPh>
    <rPh sb="36" eb="38">
      <t>イコウ</t>
    </rPh>
    <rPh sb="41" eb="43">
      <t>ホセイ</t>
    </rPh>
    <rPh sb="43" eb="45">
      <t>サギョウ</t>
    </rPh>
    <rPh sb="46" eb="48">
      <t>ゾウダイ</t>
    </rPh>
    <phoneticPr fontId="2"/>
  </si>
  <si>
    <t>要件定義前の正式見積・受注</t>
    <rPh sb="0" eb="2">
      <t>ヨウケン</t>
    </rPh>
    <rPh sb="2" eb="4">
      <t>テイギ</t>
    </rPh>
    <rPh sb="4" eb="5">
      <t>マエ</t>
    </rPh>
    <rPh sb="6" eb="8">
      <t>セイシキ</t>
    </rPh>
    <rPh sb="8" eb="10">
      <t>ミツモリ</t>
    </rPh>
    <rPh sb="11" eb="13">
      <t>ジュチュウ</t>
    </rPh>
    <phoneticPr fontId="2"/>
  </si>
  <si>
    <t>見積条件が不明確なことにより、プロジェクトのGoalを見失う</t>
    <rPh sb="0" eb="2">
      <t>ミツモリ</t>
    </rPh>
    <rPh sb="2" eb="4">
      <t>ジョウケン</t>
    </rPh>
    <rPh sb="5" eb="8">
      <t>フメイカク</t>
    </rPh>
    <rPh sb="27" eb="29">
      <t>ミウシナ</t>
    </rPh>
    <phoneticPr fontId="2"/>
  </si>
  <si>
    <t>コンサル会社の介入、コンサル会社の能力不足、コンサル会社責任の不履行</t>
    <rPh sb="4" eb="6">
      <t>カイシャ</t>
    </rPh>
    <rPh sb="7" eb="9">
      <t>カイニュウ</t>
    </rPh>
    <rPh sb="14" eb="16">
      <t>カイシャ</t>
    </rPh>
    <rPh sb="17" eb="19">
      <t>ノウリョク</t>
    </rPh>
    <rPh sb="19" eb="21">
      <t>フソク</t>
    </rPh>
    <rPh sb="26" eb="28">
      <t>ガイシャ</t>
    </rPh>
    <rPh sb="28" eb="30">
      <t>セキニン</t>
    </rPh>
    <rPh sb="31" eb="34">
      <t>フリコウ</t>
    </rPh>
    <phoneticPr fontId="2"/>
  </si>
  <si>
    <t>コンサル会社の責任範囲に依存する作業の肥大、厳しい検収合格基準</t>
    <rPh sb="4" eb="6">
      <t>カイシャ</t>
    </rPh>
    <rPh sb="7" eb="9">
      <t>セキニン</t>
    </rPh>
    <rPh sb="9" eb="11">
      <t>ハンイ</t>
    </rPh>
    <rPh sb="12" eb="14">
      <t>イゾン</t>
    </rPh>
    <rPh sb="16" eb="18">
      <t>サギョウ</t>
    </rPh>
    <rPh sb="19" eb="21">
      <t>ヒダイ</t>
    </rPh>
    <rPh sb="22" eb="23">
      <t>キビ</t>
    </rPh>
    <rPh sb="25" eb="27">
      <t>ケンシュウ</t>
    </rPh>
    <rPh sb="27" eb="29">
      <t>ゴウカク</t>
    </rPh>
    <rPh sb="29" eb="31">
      <t>キジュン</t>
    </rPh>
    <phoneticPr fontId="2"/>
  </si>
  <si>
    <t>エンドユーザ要望の抑え込み失敗
・顧客システム部署とエンドユーザ部署の不仲
・BPRに対する顧客内コンセンサス不十分
・エンドユーザ取り纏め部門の不在、責任不履行</t>
    <rPh sb="17" eb="19">
      <t>コキャク</t>
    </rPh>
    <rPh sb="23" eb="25">
      <t>ブショ</t>
    </rPh>
    <rPh sb="32" eb="34">
      <t>ブショ</t>
    </rPh>
    <rPh sb="35" eb="37">
      <t>フナカ</t>
    </rPh>
    <rPh sb="43" eb="44">
      <t>タイ</t>
    </rPh>
    <rPh sb="46" eb="48">
      <t>コキャク</t>
    </rPh>
    <rPh sb="48" eb="49">
      <t>ナイ</t>
    </rPh>
    <rPh sb="55" eb="58">
      <t>フジュウブン</t>
    </rPh>
    <rPh sb="66" eb="69">
      <t>トリマト</t>
    </rPh>
    <rPh sb="70" eb="72">
      <t>ブモン</t>
    </rPh>
    <rPh sb="73" eb="75">
      <t>フザイ</t>
    </rPh>
    <rPh sb="76" eb="78">
      <t>セキニン</t>
    </rPh>
    <rPh sb="78" eb="81">
      <t>フリコウ</t>
    </rPh>
    <phoneticPr fontId="2"/>
  </si>
  <si>
    <t>仕様肥大、検収時トラブル</t>
    <rPh sb="0" eb="2">
      <t>シヨウ</t>
    </rPh>
    <rPh sb="2" eb="4">
      <t>ヒダイ</t>
    </rPh>
    <rPh sb="5" eb="7">
      <t>ケンシュウ</t>
    </rPh>
    <rPh sb="7" eb="8">
      <t>ジ</t>
    </rPh>
    <phoneticPr fontId="2"/>
  </si>
  <si>
    <t>曖昧な保守条件</t>
    <rPh sb="0" eb="2">
      <t>アイマイ</t>
    </rPh>
    <rPh sb="3" eb="5">
      <t>ホシュ</t>
    </rPh>
    <rPh sb="5" eb="7">
      <t>ジョウケン</t>
    </rPh>
    <phoneticPr fontId="2"/>
  </si>
  <si>
    <t>保守コスト超過</t>
    <rPh sb="0" eb="2">
      <t>ホシュ</t>
    </rPh>
    <rPh sb="5" eb="7">
      <t>チョウカ</t>
    </rPh>
    <phoneticPr fontId="2"/>
  </si>
  <si>
    <t>不明確な受注条件、開発方針確認漏れ
・成果物の内訳
・再見積条件
・当社責任外の費用追加
・仕様承認、仕様凍結
・知的所有権の帰属</t>
    <rPh sb="0" eb="3">
      <t>フメイカク</t>
    </rPh>
    <rPh sb="4" eb="6">
      <t>ジュチュウ</t>
    </rPh>
    <rPh sb="6" eb="8">
      <t>ジョウケン</t>
    </rPh>
    <rPh sb="9" eb="11">
      <t>カイハツ</t>
    </rPh>
    <rPh sb="11" eb="13">
      <t>ホウシン</t>
    </rPh>
    <rPh sb="13" eb="15">
      <t>カクニン</t>
    </rPh>
    <rPh sb="15" eb="16">
      <t>モ</t>
    </rPh>
    <rPh sb="19" eb="21">
      <t>セイカ</t>
    </rPh>
    <rPh sb="21" eb="22">
      <t>ブツ</t>
    </rPh>
    <rPh sb="23" eb="25">
      <t>ウチワケ</t>
    </rPh>
    <rPh sb="27" eb="30">
      <t>サイミツモリ</t>
    </rPh>
    <rPh sb="30" eb="32">
      <t>ジョウケン</t>
    </rPh>
    <rPh sb="34" eb="36">
      <t>トウシャ</t>
    </rPh>
    <rPh sb="36" eb="38">
      <t>セキニン</t>
    </rPh>
    <rPh sb="38" eb="39">
      <t>ガイ</t>
    </rPh>
    <rPh sb="40" eb="42">
      <t>ヒヨウ</t>
    </rPh>
    <rPh sb="42" eb="44">
      <t>ツイカ</t>
    </rPh>
    <rPh sb="46" eb="48">
      <t>シヨウ</t>
    </rPh>
    <rPh sb="48" eb="50">
      <t>ショウニン</t>
    </rPh>
    <rPh sb="51" eb="53">
      <t>シヨウ</t>
    </rPh>
    <rPh sb="53" eb="55">
      <t>トウケツ</t>
    </rPh>
    <rPh sb="57" eb="59">
      <t>チテキ</t>
    </rPh>
    <rPh sb="59" eb="62">
      <t>ショユウケン</t>
    </rPh>
    <rPh sb="63" eb="65">
      <t>キゾク</t>
    </rPh>
    <phoneticPr fontId="2"/>
  </si>
  <si>
    <t>成果物の追加、仕様の肥大、折衝で不利、検収不合格、損害賠償請求</t>
    <rPh sb="0" eb="2">
      <t>セイカ</t>
    </rPh>
    <rPh sb="2" eb="3">
      <t>ブツ</t>
    </rPh>
    <rPh sb="4" eb="6">
      <t>ツイカ</t>
    </rPh>
    <rPh sb="7" eb="9">
      <t>シヨウ</t>
    </rPh>
    <rPh sb="10" eb="12">
      <t>ヒダイ</t>
    </rPh>
    <rPh sb="13" eb="15">
      <t>セッショウ</t>
    </rPh>
    <rPh sb="16" eb="18">
      <t>フリ</t>
    </rPh>
    <rPh sb="19" eb="21">
      <t>ケンシュウ</t>
    </rPh>
    <rPh sb="21" eb="24">
      <t>フゴウカク</t>
    </rPh>
    <rPh sb="25" eb="27">
      <t>ソンガイ</t>
    </rPh>
    <rPh sb="27" eb="29">
      <t>バイショウ</t>
    </rPh>
    <rPh sb="29" eb="31">
      <t>セイキュウ</t>
    </rPh>
    <phoneticPr fontId="2"/>
  </si>
  <si>
    <t>バックアップシステムの提案忘れ</t>
    <rPh sb="11" eb="13">
      <t>テイアン</t>
    </rPh>
    <rPh sb="13" eb="14">
      <t>ワス</t>
    </rPh>
    <phoneticPr fontId="2"/>
  </si>
  <si>
    <t>損害賠償</t>
    <rPh sb="0" eb="2">
      <t>ソンガイ</t>
    </rPh>
    <rPh sb="2" eb="4">
      <t>バイショウ</t>
    </rPh>
    <phoneticPr fontId="2"/>
  </si>
  <si>
    <t>実行不可能な短納期</t>
    <rPh sb="0" eb="2">
      <t>ジッコウ</t>
    </rPh>
    <rPh sb="2" eb="5">
      <t>フカノウ</t>
    </rPh>
    <rPh sb="6" eb="7">
      <t>タン</t>
    </rPh>
    <rPh sb="7" eb="9">
      <t>ノウキ</t>
    </rPh>
    <phoneticPr fontId="2"/>
  </si>
  <si>
    <t>納期遅延、残業時間増大</t>
    <rPh sb="0" eb="2">
      <t>ノウキ</t>
    </rPh>
    <rPh sb="2" eb="4">
      <t>チエン</t>
    </rPh>
    <rPh sb="5" eb="7">
      <t>ザンギョウ</t>
    </rPh>
    <rPh sb="7" eb="9">
      <t>ジカン</t>
    </rPh>
    <rPh sb="9" eb="11">
      <t>ゾウダイ</t>
    </rPh>
    <phoneticPr fontId="2"/>
  </si>
  <si>
    <t>過剰品質要求、顧客の理解力不足</t>
    <rPh sb="0" eb="2">
      <t>カジョウ</t>
    </rPh>
    <rPh sb="2" eb="4">
      <t>ヒンシツ</t>
    </rPh>
    <rPh sb="4" eb="6">
      <t>ヨウキュウ</t>
    </rPh>
    <rPh sb="7" eb="9">
      <t>コキャク</t>
    </rPh>
    <rPh sb="10" eb="13">
      <t>リカイリョク</t>
    </rPh>
    <rPh sb="13" eb="15">
      <t>フソク</t>
    </rPh>
    <phoneticPr fontId="2"/>
  </si>
  <si>
    <t>ドキュメントページ数の増大、検収支援工数肥大、検収差戻し多発</t>
    <rPh sb="9" eb="10">
      <t>スウ</t>
    </rPh>
    <rPh sb="11" eb="13">
      <t>ゾウダイ</t>
    </rPh>
    <rPh sb="14" eb="16">
      <t>ケンシュウ</t>
    </rPh>
    <rPh sb="16" eb="18">
      <t>シエン</t>
    </rPh>
    <rPh sb="18" eb="20">
      <t>コウスウ</t>
    </rPh>
    <rPh sb="20" eb="22">
      <t>ヒダイ</t>
    </rPh>
    <rPh sb="23" eb="25">
      <t>ケンシュウ</t>
    </rPh>
    <rPh sb="25" eb="27">
      <t>サシモド</t>
    </rPh>
    <rPh sb="28" eb="30">
      <t>タハツ</t>
    </rPh>
    <phoneticPr fontId="2"/>
  </si>
  <si>
    <t>受注前の開発先行着手および外注手配、正式見積後の空白期間考慮不足</t>
    <rPh sb="0" eb="2">
      <t>ジュチュウ</t>
    </rPh>
    <rPh sb="2" eb="3">
      <t>マエ</t>
    </rPh>
    <rPh sb="4" eb="6">
      <t>カイハツ</t>
    </rPh>
    <rPh sb="6" eb="8">
      <t>センコウ</t>
    </rPh>
    <rPh sb="8" eb="10">
      <t>チャクシュ</t>
    </rPh>
    <rPh sb="13" eb="15">
      <t>ガイチュウ</t>
    </rPh>
    <rPh sb="15" eb="17">
      <t>テハイ</t>
    </rPh>
    <rPh sb="18" eb="20">
      <t>セイシキ</t>
    </rPh>
    <rPh sb="20" eb="22">
      <t>ミツモリ</t>
    </rPh>
    <rPh sb="22" eb="23">
      <t>ゴ</t>
    </rPh>
    <rPh sb="24" eb="26">
      <t>クウハク</t>
    </rPh>
    <rPh sb="26" eb="28">
      <t>キカン</t>
    </rPh>
    <rPh sb="28" eb="30">
      <t>コウリョ</t>
    </rPh>
    <rPh sb="30" eb="32">
      <t>フソク</t>
    </rPh>
    <phoneticPr fontId="2"/>
  </si>
  <si>
    <t>ロスト時の出費、不利な契約条件を容認せざるを得なくなる</t>
    <rPh sb="3" eb="4">
      <t>ジ</t>
    </rPh>
    <rPh sb="5" eb="7">
      <t>シュッピ</t>
    </rPh>
    <rPh sb="8" eb="10">
      <t>フリ</t>
    </rPh>
    <rPh sb="11" eb="13">
      <t>ケイヤク</t>
    </rPh>
    <rPh sb="13" eb="15">
      <t>ジョウケン</t>
    </rPh>
    <rPh sb="16" eb="18">
      <t>ヨウニン</t>
    </rPh>
    <rPh sb="22" eb="23">
      <t>エ</t>
    </rPh>
    <phoneticPr fontId="2"/>
  </si>
  <si>
    <t>計画</t>
    <rPh sb="0" eb="2">
      <t>ケイカク</t>
    </rPh>
    <phoneticPr fontId="2"/>
  </si>
  <si>
    <t>体制未定</t>
    <rPh sb="0" eb="2">
      <t>タイセイ</t>
    </rPh>
    <rPh sb="2" eb="4">
      <t>ミテイ</t>
    </rPh>
    <phoneticPr fontId="2"/>
  </si>
  <si>
    <t>不十分な体制</t>
    <rPh sb="0" eb="3">
      <t>フジュウブン</t>
    </rPh>
    <rPh sb="4" eb="6">
      <t>タイセイ</t>
    </rPh>
    <phoneticPr fontId="2"/>
  </si>
  <si>
    <t>品質計画の不備
・設計項目の未計画
・設計書、テスト仕様書の作成基準未達成
・ドキュメント軽視、ドキュメント化計画の過小見積り</t>
    <rPh sb="0" eb="2">
      <t>ヒンシツ</t>
    </rPh>
    <rPh sb="2" eb="4">
      <t>ケイカク</t>
    </rPh>
    <rPh sb="5" eb="7">
      <t>フビ</t>
    </rPh>
    <rPh sb="9" eb="11">
      <t>セッケイ</t>
    </rPh>
    <rPh sb="11" eb="13">
      <t>コウモク</t>
    </rPh>
    <rPh sb="14" eb="15">
      <t>ミ</t>
    </rPh>
    <rPh sb="15" eb="17">
      <t>ケイカク</t>
    </rPh>
    <rPh sb="30" eb="32">
      <t>サクセイ</t>
    </rPh>
    <phoneticPr fontId="2"/>
  </si>
  <si>
    <t>設計不十分、設計不良による後工程の膨大な手戻り、レビュー差戻しによる手戻り、品質低下、ドキュメント整備作業の発生、第人数での共有情報不備による生産性低下</t>
    <rPh sb="0" eb="2">
      <t>セッケイ</t>
    </rPh>
    <rPh sb="2" eb="5">
      <t>フジュウブン</t>
    </rPh>
    <rPh sb="6" eb="8">
      <t>セッケイ</t>
    </rPh>
    <rPh sb="8" eb="10">
      <t>フリョウ</t>
    </rPh>
    <rPh sb="13" eb="14">
      <t>アト</t>
    </rPh>
    <rPh sb="14" eb="16">
      <t>コウテイ</t>
    </rPh>
    <rPh sb="17" eb="19">
      <t>ボウダイ</t>
    </rPh>
    <rPh sb="20" eb="21">
      <t>テ</t>
    </rPh>
    <rPh sb="21" eb="22">
      <t>モド</t>
    </rPh>
    <rPh sb="49" eb="51">
      <t>セイビ</t>
    </rPh>
    <rPh sb="51" eb="53">
      <t>サギョウ</t>
    </rPh>
    <rPh sb="54" eb="56">
      <t>ハッセイ</t>
    </rPh>
    <rPh sb="57" eb="58">
      <t>ダイ</t>
    </rPh>
    <rPh sb="58" eb="60">
      <t>ニンズウ</t>
    </rPh>
    <rPh sb="62" eb="64">
      <t>キョウユウ</t>
    </rPh>
    <rPh sb="64" eb="66">
      <t>ジョウホウ</t>
    </rPh>
    <rPh sb="66" eb="68">
      <t>フビ</t>
    </rPh>
    <rPh sb="71" eb="74">
      <t>セイサンセイ</t>
    </rPh>
    <rPh sb="74" eb="76">
      <t>テイカ</t>
    </rPh>
    <phoneticPr fontId="2"/>
  </si>
  <si>
    <t>日程計画の不備
・予備日を持たないスケジュール
・粗い日程計画
・差戻し日程考慮漏れ
・タスク重複によるオーバーロード</t>
    <rPh sb="0" eb="2">
      <t>ニッテイ</t>
    </rPh>
    <rPh sb="2" eb="4">
      <t>ケイカク</t>
    </rPh>
    <rPh sb="5" eb="7">
      <t>フビ</t>
    </rPh>
    <rPh sb="9" eb="12">
      <t>ヨビビ</t>
    </rPh>
    <rPh sb="13" eb="14">
      <t>モ</t>
    </rPh>
    <rPh sb="25" eb="26">
      <t>アラ</t>
    </rPh>
    <rPh sb="27" eb="29">
      <t>ニッテイ</t>
    </rPh>
    <rPh sb="29" eb="31">
      <t>ケイカク</t>
    </rPh>
    <rPh sb="33" eb="35">
      <t>サシモド</t>
    </rPh>
    <rPh sb="36" eb="38">
      <t>ニッテイ</t>
    </rPh>
    <rPh sb="38" eb="40">
      <t>コウリョ</t>
    </rPh>
    <rPh sb="40" eb="41">
      <t>モ</t>
    </rPh>
    <phoneticPr fontId="2"/>
  </si>
  <si>
    <t>工程遅延、開発メンバーの体調不良、モチベーション低下</t>
    <phoneticPr fontId="2"/>
  </si>
  <si>
    <t>顧客能力に対する過度な期待</t>
    <rPh sb="0" eb="2">
      <t>コキャク</t>
    </rPh>
    <rPh sb="2" eb="4">
      <t>ノウリョク</t>
    </rPh>
    <rPh sb="5" eb="6">
      <t>タイ</t>
    </rPh>
    <rPh sb="8" eb="10">
      <t>カド</t>
    </rPh>
    <rPh sb="11" eb="13">
      <t>キタイ</t>
    </rPh>
    <phoneticPr fontId="2"/>
  </si>
  <si>
    <t>要件漏れ、仕様不良が多発、根本的な設計変更、スケジュール変更に伴うロス</t>
    <rPh sb="0" eb="2">
      <t>ヨウケン</t>
    </rPh>
    <rPh sb="2" eb="3">
      <t>モ</t>
    </rPh>
    <rPh sb="5" eb="7">
      <t>シヨウ</t>
    </rPh>
    <rPh sb="7" eb="9">
      <t>フリョウ</t>
    </rPh>
    <rPh sb="10" eb="12">
      <t>タハツ</t>
    </rPh>
    <rPh sb="13" eb="16">
      <t>コンポンテキ</t>
    </rPh>
    <rPh sb="17" eb="19">
      <t>セッケイ</t>
    </rPh>
    <rPh sb="19" eb="21">
      <t>ヘンコウ</t>
    </rPh>
    <rPh sb="28" eb="30">
      <t>ヘンコウ</t>
    </rPh>
    <rPh sb="31" eb="32">
      <t>トモナ</t>
    </rPh>
    <phoneticPr fontId="2"/>
  </si>
  <si>
    <t>品質評価作業の計画漏れ
・改造母体のある開発での、母体品質の見極め計画漏れ
・見極めるための品質評価工数漏れ
・評価計画がないことによる改造部分への影響考慮漏れ</t>
    <rPh sb="0" eb="2">
      <t>ヒンシツ</t>
    </rPh>
    <rPh sb="2" eb="4">
      <t>ヒョウカ</t>
    </rPh>
    <rPh sb="4" eb="6">
      <t>サギョウ</t>
    </rPh>
    <rPh sb="7" eb="9">
      <t>ケイカク</t>
    </rPh>
    <rPh sb="9" eb="10">
      <t>モ</t>
    </rPh>
    <rPh sb="13" eb="15">
      <t>カイゾウ</t>
    </rPh>
    <rPh sb="33" eb="35">
      <t>ケイカク</t>
    </rPh>
    <rPh sb="35" eb="36">
      <t>モ</t>
    </rPh>
    <rPh sb="39" eb="41">
      <t>ミキワ</t>
    </rPh>
    <rPh sb="52" eb="53">
      <t>モ</t>
    </rPh>
    <rPh sb="56" eb="58">
      <t>ヒョウカ</t>
    </rPh>
    <rPh sb="58" eb="60">
      <t>ケイカク</t>
    </rPh>
    <rPh sb="68" eb="70">
      <t>カイゾウ</t>
    </rPh>
    <rPh sb="70" eb="72">
      <t>ブブン</t>
    </rPh>
    <rPh sb="74" eb="76">
      <t>エイキョウ</t>
    </rPh>
    <rPh sb="76" eb="78">
      <t>コウリョ</t>
    </rPh>
    <rPh sb="78" eb="79">
      <t>モ</t>
    </rPh>
    <phoneticPr fontId="2"/>
  </si>
  <si>
    <t>障害対応の工数肥大。テスト工数肥大。品質不良。</t>
    <rPh sb="0" eb="2">
      <t>ショウガイ</t>
    </rPh>
    <rPh sb="2" eb="4">
      <t>タイオウ</t>
    </rPh>
    <rPh sb="5" eb="7">
      <t>コウスウ</t>
    </rPh>
    <rPh sb="7" eb="9">
      <t>ヒダイ</t>
    </rPh>
    <rPh sb="13" eb="15">
      <t>コウスウ</t>
    </rPh>
    <rPh sb="15" eb="17">
      <t>ヒダイ</t>
    </rPh>
    <rPh sb="18" eb="20">
      <t>ヒンシツ</t>
    </rPh>
    <rPh sb="20" eb="22">
      <t>フリョウ</t>
    </rPh>
    <phoneticPr fontId="2"/>
  </si>
  <si>
    <t>アクティビティ漏れ
・単体テスト不足、省略
・負荷テストのリソース、方法検討不足
・ドキュメントレビュー不十分</t>
    <rPh sb="7" eb="8">
      <t>モ</t>
    </rPh>
    <rPh sb="11" eb="13">
      <t>タンタイ</t>
    </rPh>
    <rPh sb="16" eb="18">
      <t>フソク</t>
    </rPh>
    <rPh sb="19" eb="21">
      <t>ショウリャク</t>
    </rPh>
    <rPh sb="34" eb="36">
      <t>ホウホウ</t>
    </rPh>
    <rPh sb="36" eb="38">
      <t>ケントウ</t>
    </rPh>
    <rPh sb="38" eb="40">
      <t>フソク</t>
    </rPh>
    <phoneticPr fontId="2"/>
  </si>
  <si>
    <t>手戻りコスト大、不良多発、致命的な不良によるC/O遅延</t>
    <rPh sb="0" eb="1">
      <t>テ</t>
    </rPh>
    <rPh sb="1" eb="2">
      <t>モド</t>
    </rPh>
    <rPh sb="6" eb="7">
      <t>ダイ</t>
    </rPh>
    <rPh sb="8" eb="10">
      <t>フリョウ</t>
    </rPh>
    <rPh sb="10" eb="12">
      <t>タハツ</t>
    </rPh>
    <rPh sb="13" eb="16">
      <t>チメイテキ</t>
    </rPh>
    <rPh sb="17" eb="19">
      <t>フリョウ</t>
    </rPh>
    <rPh sb="25" eb="27">
      <t>チエン</t>
    </rPh>
    <phoneticPr fontId="2"/>
  </si>
  <si>
    <t>開発部隊の散在</t>
    <rPh sb="0" eb="2">
      <t>カイハツ</t>
    </rPh>
    <rPh sb="2" eb="4">
      <t>ブタイ</t>
    </rPh>
    <rPh sb="5" eb="7">
      <t>サンザイ</t>
    </rPh>
    <phoneticPr fontId="2"/>
  </si>
  <si>
    <t>コミニュケーションギャップによる手戻り、構成管理問題の噴出</t>
    <rPh sb="16" eb="17">
      <t>テ</t>
    </rPh>
    <rPh sb="17" eb="18">
      <t>モド</t>
    </rPh>
    <rPh sb="20" eb="22">
      <t>コウセイ</t>
    </rPh>
    <rPh sb="22" eb="24">
      <t>カンリ</t>
    </rPh>
    <rPh sb="24" eb="26">
      <t>モンダイ</t>
    </rPh>
    <rPh sb="27" eb="29">
      <t>フンシュツ</t>
    </rPh>
    <phoneticPr fontId="2"/>
  </si>
  <si>
    <t>システムの重要性に対する不適切な品質確保計画（インスペクション、テスト密度、不良摘出目標値）
・公共性の高いシステム
・無停止システム
・基幹系システム
・コンシューマ向けパッケージソフトウェア
・人命に影響するシステム</t>
    <rPh sb="5" eb="8">
      <t>ジュウヨウセイ</t>
    </rPh>
    <rPh sb="9" eb="10">
      <t>タイ</t>
    </rPh>
    <rPh sb="12" eb="15">
      <t>フテキセツ</t>
    </rPh>
    <rPh sb="16" eb="18">
      <t>ヒンシツ</t>
    </rPh>
    <rPh sb="18" eb="20">
      <t>カクホ</t>
    </rPh>
    <rPh sb="20" eb="22">
      <t>ケイカク</t>
    </rPh>
    <rPh sb="35" eb="37">
      <t>ミツド</t>
    </rPh>
    <rPh sb="38" eb="40">
      <t>フリョウ</t>
    </rPh>
    <rPh sb="40" eb="42">
      <t>テキシュツ</t>
    </rPh>
    <rPh sb="42" eb="45">
      <t>モクヒョウチ</t>
    </rPh>
    <rPh sb="48" eb="50">
      <t>コウキョウ</t>
    </rPh>
    <rPh sb="50" eb="51">
      <t>セイ</t>
    </rPh>
    <rPh sb="52" eb="53">
      <t>タカ</t>
    </rPh>
    <rPh sb="60" eb="61">
      <t>ム</t>
    </rPh>
    <rPh sb="61" eb="63">
      <t>テイシ</t>
    </rPh>
    <rPh sb="69" eb="71">
      <t>キカン</t>
    </rPh>
    <rPh sb="71" eb="72">
      <t>ケイ</t>
    </rPh>
    <rPh sb="84" eb="85">
      <t>ム</t>
    </rPh>
    <rPh sb="99" eb="101">
      <t>ジンメイ</t>
    </rPh>
    <rPh sb="102" eb="104">
      <t>エイキョウ</t>
    </rPh>
    <phoneticPr fontId="2"/>
  </si>
  <si>
    <t>出荷後障害によるマスコミ報道、多大な品質確保工数、移行作業の工数肥大、出荷後障害による損失</t>
    <rPh sb="0" eb="2">
      <t>シュッカ</t>
    </rPh>
    <rPh sb="2" eb="3">
      <t>ゴ</t>
    </rPh>
    <rPh sb="3" eb="5">
      <t>ショウガイ</t>
    </rPh>
    <rPh sb="12" eb="14">
      <t>ホウドウ</t>
    </rPh>
    <rPh sb="15" eb="17">
      <t>タダイ</t>
    </rPh>
    <rPh sb="18" eb="20">
      <t>ヒンシツ</t>
    </rPh>
    <rPh sb="20" eb="22">
      <t>カクホ</t>
    </rPh>
    <rPh sb="22" eb="24">
      <t>コウスウ</t>
    </rPh>
    <phoneticPr fontId="2"/>
  </si>
  <si>
    <t>ＣＱＭＳ遵守違反による差し戻し</t>
    <rPh sb="4" eb="6">
      <t>ジュンシュ</t>
    </rPh>
    <rPh sb="6" eb="8">
      <t>イハン</t>
    </rPh>
    <rPh sb="11" eb="14">
      <t>サシモド</t>
    </rPh>
    <phoneticPr fontId="2"/>
  </si>
  <si>
    <t>ドキュメント完成遅延</t>
    <rPh sb="6" eb="8">
      <t>カンセイ</t>
    </rPh>
    <rPh sb="8" eb="10">
      <t>チエン</t>
    </rPh>
    <phoneticPr fontId="2"/>
  </si>
  <si>
    <t>ドキュメント軽視によるプログラミング先行</t>
    <rPh sb="6" eb="8">
      <t>ケイシ</t>
    </rPh>
    <rPh sb="18" eb="20">
      <t>センコウ</t>
    </rPh>
    <phoneticPr fontId="2"/>
  </si>
  <si>
    <t>ドキュメント化以上の手戻り工数が発生、仕様不良多発、追加費用請求交渉不能</t>
    <rPh sb="6" eb="7">
      <t>カ</t>
    </rPh>
    <rPh sb="7" eb="9">
      <t>イジョウ</t>
    </rPh>
    <rPh sb="10" eb="11">
      <t>テ</t>
    </rPh>
    <rPh sb="11" eb="12">
      <t>モド</t>
    </rPh>
    <rPh sb="13" eb="15">
      <t>コウスウ</t>
    </rPh>
    <rPh sb="16" eb="18">
      <t>ハッセイ</t>
    </rPh>
    <rPh sb="19" eb="21">
      <t>シヨウ</t>
    </rPh>
    <rPh sb="21" eb="23">
      <t>フリョウ</t>
    </rPh>
    <rPh sb="23" eb="25">
      <t>タハツ</t>
    </rPh>
    <rPh sb="26" eb="28">
      <t>ツイカ</t>
    </rPh>
    <rPh sb="28" eb="30">
      <t>ヒヨウ</t>
    </rPh>
    <rPh sb="30" eb="32">
      <t>セイキュウ</t>
    </rPh>
    <rPh sb="32" eb="34">
      <t>コウショウ</t>
    </rPh>
    <rPh sb="34" eb="36">
      <t>フノウ</t>
    </rPh>
    <phoneticPr fontId="2"/>
  </si>
  <si>
    <t>作業標準、品質基準の無視</t>
    <rPh sb="0" eb="2">
      <t>サギョウ</t>
    </rPh>
    <rPh sb="2" eb="4">
      <t>ヒョウジュン</t>
    </rPh>
    <rPh sb="5" eb="7">
      <t>ヒンシツ</t>
    </rPh>
    <rPh sb="7" eb="9">
      <t>キジュン</t>
    </rPh>
    <phoneticPr fontId="2"/>
  </si>
  <si>
    <t>品質不良、検収不合格、大きな手戻り</t>
    <rPh sb="0" eb="2">
      <t>ヒンシツ</t>
    </rPh>
    <rPh sb="2" eb="4">
      <t>フリョウ</t>
    </rPh>
    <rPh sb="5" eb="7">
      <t>ケンシュウ</t>
    </rPh>
    <rPh sb="7" eb="10">
      <t>フゴウカク</t>
    </rPh>
    <rPh sb="11" eb="12">
      <t>オオ</t>
    </rPh>
    <rPh sb="14" eb="15">
      <t>テ</t>
    </rPh>
    <rPh sb="15" eb="16">
      <t>モド</t>
    </rPh>
    <phoneticPr fontId="2"/>
  </si>
  <si>
    <t>曖昧な開発計画</t>
    <rPh sb="0" eb="2">
      <t>アイマイ</t>
    </rPh>
    <rPh sb="3" eb="5">
      <t>カイハツ</t>
    </rPh>
    <rPh sb="5" eb="7">
      <t>ケイカク</t>
    </rPh>
    <phoneticPr fontId="2"/>
  </si>
  <si>
    <t>工程遅延、開発途中の追加アクティビティ、品質基準達成不能</t>
    <rPh sb="0" eb="2">
      <t>コウテイ</t>
    </rPh>
    <rPh sb="2" eb="4">
      <t>チエン</t>
    </rPh>
    <rPh sb="5" eb="7">
      <t>カイハツ</t>
    </rPh>
    <rPh sb="7" eb="9">
      <t>トチュウ</t>
    </rPh>
    <rPh sb="10" eb="12">
      <t>ツイカ</t>
    </rPh>
    <rPh sb="20" eb="22">
      <t>ヒンシツ</t>
    </rPh>
    <rPh sb="22" eb="24">
      <t>キジュン</t>
    </rPh>
    <rPh sb="24" eb="26">
      <t>タッセイ</t>
    </rPh>
    <rPh sb="26" eb="28">
      <t>フノウ</t>
    </rPh>
    <phoneticPr fontId="2"/>
  </si>
  <si>
    <t>納期から本番開始までの期間が長すぎる</t>
    <rPh sb="0" eb="2">
      <t>ノウキ</t>
    </rPh>
    <rPh sb="4" eb="6">
      <t>ホンバン</t>
    </rPh>
    <rPh sb="6" eb="8">
      <t>カイシ</t>
    </rPh>
    <rPh sb="11" eb="13">
      <t>キカン</t>
    </rPh>
    <rPh sb="14" eb="15">
      <t>ナガ</t>
    </rPh>
    <phoneticPr fontId="2"/>
  </si>
  <si>
    <t>納入後、変更要望が多発</t>
    <rPh sb="0" eb="2">
      <t>ノウニュウ</t>
    </rPh>
    <rPh sb="2" eb="3">
      <t>ゴ</t>
    </rPh>
    <rPh sb="4" eb="6">
      <t>ヘンコウ</t>
    </rPh>
    <rPh sb="6" eb="8">
      <t>ヨウボウ</t>
    </rPh>
    <rPh sb="9" eb="11">
      <t>タハツ</t>
    </rPh>
    <phoneticPr fontId="2"/>
  </si>
  <si>
    <t>不適切なスパイラルモデルによる開発</t>
    <rPh sb="0" eb="3">
      <t>フテキセツ</t>
    </rPh>
    <rPh sb="15" eb="17">
      <t>カイハツ</t>
    </rPh>
    <phoneticPr fontId="2"/>
  </si>
  <si>
    <t>無限スパイラル、変更による品質劣化、仕様変更交渉の拠り所（ドキュメント）がなくなる</t>
    <rPh sb="0" eb="2">
      <t>ムゲン</t>
    </rPh>
    <rPh sb="8" eb="10">
      <t>ヘンコウ</t>
    </rPh>
    <rPh sb="13" eb="15">
      <t>ヒンシツ</t>
    </rPh>
    <rPh sb="15" eb="17">
      <t>レッカ</t>
    </rPh>
    <rPh sb="18" eb="20">
      <t>シヨウ</t>
    </rPh>
    <rPh sb="20" eb="22">
      <t>ヘンコウ</t>
    </rPh>
    <rPh sb="22" eb="24">
      <t>コウショウ</t>
    </rPh>
    <rPh sb="25" eb="28">
      <t>ヨリドコロ</t>
    </rPh>
    <phoneticPr fontId="2"/>
  </si>
  <si>
    <t>体制</t>
    <rPh sb="0" eb="2">
      <t>タイセイ</t>
    </rPh>
    <phoneticPr fontId="2"/>
  </si>
  <si>
    <t>経験不足または能力不足
・PM/AEの折衝力不足、リーダーシップ不足
・業務パッケージ開発における業務知識の不足
・上流設計ＳＥ、ＡＥの不在、関連業務知識の不足
・システム全体を把握しているアーキテクトの不足
・大規模開発経験不足
・開発手法、ツールの経験不足
・CQMS理解度不足</t>
    <rPh sb="0" eb="2">
      <t>ケイケン</t>
    </rPh>
    <rPh sb="2" eb="4">
      <t>フソク</t>
    </rPh>
    <rPh sb="7" eb="9">
      <t>ノウリョク</t>
    </rPh>
    <rPh sb="9" eb="11">
      <t>フソク</t>
    </rPh>
    <rPh sb="19" eb="21">
      <t>セッショウ</t>
    </rPh>
    <rPh sb="21" eb="22">
      <t>リョク</t>
    </rPh>
    <rPh sb="22" eb="24">
      <t>フソク</t>
    </rPh>
    <rPh sb="32" eb="34">
      <t>フソク</t>
    </rPh>
    <rPh sb="36" eb="38">
      <t>ギョウム</t>
    </rPh>
    <rPh sb="43" eb="45">
      <t>カイハツ</t>
    </rPh>
    <rPh sb="49" eb="51">
      <t>ギョウム</t>
    </rPh>
    <rPh sb="51" eb="53">
      <t>チシキ</t>
    </rPh>
    <rPh sb="54" eb="56">
      <t>フソク</t>
    </rPh>
    <rPh sb="86" eb="88">
      <t>ゼンタイ</t>
    </rPh>
    <rPh sb="89" eb="91">
      <t>ハアク</t>
    </rPh>
    <rPh sb="102" eb="104">
      <t>フソク</t>
    </rPh>
    <rPh sb="136" eb="139">
      <t>リカイド</t>
    </rPh>
    <rPh sb="139" eb="141">
      <t>フソク</t>
    </rPh>
    <phoneticPr fontId="2"/>
  </si>
  <si>
    <t>仕様肥大、仕様不良多発、機能不足多発、根本的な設計変更多発、アクティビティ漏れ、低い生産性、各種作業の過小見積り、難易度の過小評価、調査工数発生、手戻り多数、モチベーション低下、外注見積評価ミス、テスト漏れ多発</t>
    <rPh sb="0" eb="2">
      <t>シヨウ</t>
    </rPh>
    <rPh sb="2" eb="4">
      <t>ヒダイ</t>
    </rPh>
    <rPh sb="5" eb="7">
      <t>シヨウ</t>
    </rPh>
    <rPh sb="7" eb="9">
      <t>フリョウ</t>
    </rPh>
    <rPh sb="9" eb="11">
      <t>タハツ</t>
    </rPh>
    <rPh sb="12" eb="14">
      <t>キノウ</t>
    </rPh>
    <rPh sb="14" eb="16">
      <t>フソク</t>
    </rPh>
    <rPh sb="16" eb="18">
      <t>タハツ</t>
    </rPh>
    <rPh sb="19" eb="22">
      <t>コンポンテキ</t>
    </rPh>
    <rPh sb="23" eb="25">
      <t>セッケイ</t>
    </rPh>
    <rPh sb="25" eb="27">
      <t>ヘンコウ</t>
    </rPh>
    <rPh sb="27" eb="29">
      <t>タハツ</t>
    </rPh>
    <rPh sb="37" eb="38">
      <t>モ</t>
    </rPh>
    <rPh sb="40" eb="41">
      <t>ヒク</t>
    </rPh>
    <rPh sb="42" eb="45">
      <t>セイサンセイ</t>
    </rPh>
    <rPh sb="46" eb="48">
      <t>カクシュ</t>
    </rPh>
    <rPh sb="48" eb="50">
      <t>サギョウ</t>
    </rPh>
    <rPh sb="51" eb="53">
      <t>カショウ</t>
    </rPh>
    <rPh sb="53" eb="55">
      <t>ミツモ</t>
    </rPh>
    <rPh sb="57" eb="60">
      <t>ナンイド</t>
    </rPh>
    <rPh sb="61" eb="63">
      <t>カショウ</t>
    </rPh>
    <rPh sb="63" eb="65">
      <t>ヒョウカ</t>
    </rPh>
    <rPh sb="66" eb="68">
      <t>チョウサ</t>
    </rPh>
    <rPh sb="68" eb="70">
      <t>コウスウ</t>
    </rPh>
    <rPh sb="70" eb="72">
      <t>ハッセイ</t>
    </rPh>
    <rPh sb="73" eb="74">
      <t>テ</t>
    </rPh>
    <rPh sb="74" eb="75">
      <t>モド</t>
    </rPh>
    <rPh sb="76" eb="78">
      <t>タスウ</t>
    </rPh>
    <rPh sb="86" eb="88">
      <t>テイカ</t>
    </rPh>
    <rPh sb="89" eb="91">
      <t>ガイチュウ</t>
    </rPh>
    <rPh sb="91" eb="93">
      <t>ミツモリ</t>
    </rPh>
    <rPh sb="93" eb="95">
      <t>ヒョウカ</t>
    </rPh>
    <rPh sb="101" eb="102">
      <t>モ</t>
    </rPh>
    <rPh sb="103" eb="105">
      <t>タハツ</t>
    </rPh>
    <phoneticPr fontId="2"/>
  </si>
  <si>
    <t>無責任体制
・実質的なPMの不在
・社内体制の仕様把握不十分または技術力不足
・他案件との掛け持ちによるオーバーロード</t>
    <rPh sb="0" eb="3">
      <t>ムセキニン</t>
    </rPh>
    <rPh sb="3" eb="5">
      <t>タイセイ</t>
    </rPh>
    <rPh sb="7" eb="10">
      <t>ジッシツテキ</t>
    </rPh>
    <rPh sb="14" eb="16">
      <t>フザイ</t>
    </rPh>
    <rPh sb="40" eb="41">
      <t>タ</t>
    </rPh>
    <rPh sb="41" eb="43">
      <t>アンケン</t>
    </rPh>
    <rPh sb="45" eb="48">
      <t>カケモ</t>
    </rPh>
    <phoneticPr fontId="2"/>
  </si>
  <si>
    <t>個人の管理能力限界を超えるとトラブルへ発展、設計品質不良、受入検査の不良見落し</t>
    <rPh sb="0" eb="2">
      <t>コジン</t>
    </rPh>
    <rPh sb="3" eb="5">
      <t>カンリ</t>
    </rPh>
    <rPh sb="5" eb="7">
      <t>ノウリョク</t>
    </rPh>
    <rPh sb="7" eb="9">
      <t>ゲンカイ</t>
    </rPh>
    <rPh sb="10" eb="11">
      <t>コ</t>
    </rPh>
    <rPh sb="19" eb="21">
      <t>ハッテン</t>
    </rPh>
    <phoneticPr fontId="2"/>
  </si>
  <si>
    <t>役割不在（DBA、インフラ、メインアーキテクト、各種管理、標準化等）</t>
    <rPh sb="0" eb="2">
      <t>ヤクワリ</t>
    </rPh>
    <rPh sb="2" eb="4">
      <t>フザイ</t>
    </rPh>
    <rPh sb="24" eb="26">
      <t>カクシュ</t>
    </rPh>
    <rPh sb="26" eb="28">
      <t>カンリ</t>
    </rPh>
    <rPh sb="29" eb="32">
      <t>ヒョウジュンカ</t>
    </rPh>
    <rPh sb="32" eb="33">
      <t>トウ</t>
    </rPh>
    <phoneticPr fontId="2"/>
  </si>
  <si>
    <t>頻発するDB変更・設計変更、変更管理通知ミス、SIミス、インフラ問題の長期化</t>
    <rPh sb="0" eb="2">
      <t>ヒンパツ</t>
    </rPh>
    <rPh sb="6" eb="8">
      <t>ヘンコウ</t>
    </rPh>
    <rPh sb="9" eb="11">
      <t>セッケイ</t>
    </rPh>
    <rPh sb="11" eb="13">
      <t>ヘンコウ</t>
    </rPh>
    <rPh sb="14" eb="16">
      <t>ヘンコウ</t>
    </rPh>
    <rPh sb="16" eb="18">
      <t>カンリ</t>
    </rPh>
    <rPh sb="18" eb="20">
      <t>ツウチ</t>
    </rPh>
    <rPh sb="32" eb="34">
      <t>モンダイ</t>
    </rPh>
    <rPh sb="35" eb="38">
      <t>チョウキカ</t>
    </rPh>
    <phoneticPr fontId="2"/>
  </si>
  <si>
    <t>ＰＭ、キーマンの交替、離脱</t>
    <rPh sb="8" eb="10">
      <t>コウタイ</t>
    </rPh>
    <rPh sb="11" eb="13">
      <t>リダツ</t>
    </rPh>
    <phoneticPr fontId="2"/>
  </si>
  <si>
    <t>知識獲得の予定外工数が発生、折衝不利、引継ぎ不十分による仕様不良・機能不足</t>
    <rPh sb="0" eb="2">
      <t>チシキ</t>
    </rPh>
    <rPh sb="2" eb="4">
      <t>カクトク</t>
    </rPh>
    <rPh sb="5" eb="8">
      <t>ヨテイガイ</t>
    </rPh>
    <rPh sb="8" eb="10">
      <t>コウスウ</t>
    </rPh>
    <rPh sb="11" eb="13">
      <t>ハッセイ</t>
    </rPh>
    <rPh sb="14" eb="16">
      <t>セッショウ</t>
    </rPh>
    <rPh sb="16" eb="18">
      <t>フリ</t>
    </rPh>
    <rPh sb="19" eb="21">
      <t>ヒキツ</t>
    </rPh>
    <rPh sb="22" eb="25">
      <t>フジュウブン</t>
    </rPh>
    <rPh sb="28" eb="30">
      <t>シヨウ</t>
    </rPh>
    <rPh sb="30" eb="32">
      <t>フリョウ</t>
    </rPh>
    <rPh sb="33" eb="35">
      <t>キノウ</t>
    </rPh>
    <rPh sb="35" eb="37">
      <t>フソク</t>
    </rPh>
    <phoneticPr fontId="2"/>
  </si>
  <si>
    <t>メンバーのモラル低下</t>
    <rPh sb="8" eb="10">
      <t>テイカ</t>
    </rPh>
    <phoneticPr fontId="2"/>
  </si>
  <si>
    <t>生産性低下、機密流出事故、担当者失踪・退職、問題状況の隠蔽による被害拡大</t>
    <rPh sb="0" eb="3">
      <t>セイサンセイ</t>
    </rPh>
    <rPh sb="3" eb="5">
      <t>テイカ</t>
    </rPh>
    <rPh sb="6" eb="8">
      <t>キミツ</t>
    </rPh>
    <rPh sb="8" eb="10">
      <t>リュウシュツ</t>
    </rPh>
    <rPh sb="10" eb="12">
      <t>ジコ</t>
    </rPh>
    <rPh sb="13" eb="16">
      <t>タントウシャ</t>
    </rPh>
    <rPh sb="16" eb="18">
      <t>シッソウ</t>
    </rPh>
    <rPh sb="19" eb="21">
      <t>タイショク</t>
    </rPh>
    <rPh sb="22" eb="24">
      <t>モンダイ</t>
    </rPh>
    <rPh sb="24" eb="26">
      <t>ジョウキョウ</t>
    </rPh>
    <rPh sb="27" eb="29">
      <t>インペイ</t>
    </rPh>
    <rPh sb="32" eb="34">
      <t>ヒガイ</t>
    </rPh>
    <rPh sb="34" eb="36">
      <t>カクダイ</t>
    </rPh>
    <phoneticPr fontId="2"/>
  </si>
  <si>
    <t>メンバーの関与率が過去に担当したシステムの対応で低下</t>
    <rPh sb="5" eb="7">
      <t>カンヨ</t>
    </rPh>
    <rPh sb="7" eb="8">
      <t>リツ</t>
    </rPh>
    <rPh sb="9" eb="11">
      <t>カコ</t>
    </rPh>
    <rPh sb="12" eb="14">
      <t>タントウ</t>
    </rPh>
    <rPh sb="21" eb="23">
      <t>タイオウ</t>
    </rPh>
    <rPh sb="24" eb="26">
      <t>テイカ</t>
    </rPh>
    <phoneticPr fontId="2"/>
  </si>
  <si>
    <t>工程遅延、キーマンの不在で手戻り</t>
    <rPh sb="0" eb="2">
      <t>コウテイ</t>
    </rPh>
    <rPh sb="2" eb="4">
      <t>チエン</t>
    </rPh>
    <rPh sb="10" eb="12">
      <t>フザイ</t>
    </rPh>
    <rPh sb="13" eb="14">
      <t>テ</t>
    </rPh>
    <rPh sb="14" eb="15">
      <t>モド</t>
    </rPh>
    <phoneticPr fontId="2"/>
  </si>
  <si>
    <t>元請会社の力量不足、無責任</t>
    <rPh sb="0" eb="2">
      <t>モトウケ</t>
    </rPh>
    <rPh sb="2" eb="4">
      <t>カイシャ</t>
    </rPh>
    <rPh sb="5" eb="7">
      <t>リキリョウ</t>
    </rPh>
    <rPh sb="7" eb="9">
      <t>フソク</t>
    </rPh>
    <rPh sb="10" eb="13">
      <t>ムセキニン</t>
    </rPh>
    <phoneticPr fontId="2"/>
  </si>
  <si>
    <t>顧客の言いなりで作業増大</t>
    <rPh sb="0" eb="2">
      <t>コキャク</t>
    </rPh>
    <rPh sb="3" eb="4">
      <t>イ</t>
    </rPh>
    <rPh sb="8" eb="10">
      <t>サギョウ</t>
    </rPh>
    <rPh sb="10" eb="12">
      <t>ゾウダイ</t>
    </rPh>
    <phoneticPr fontId="2"/>
  </si>
  <si>
    <t>未経験技術、未経験開発手法</t>
    <rPh sb="0" eb="3">
      <t>ミケイケン</t>
    </rPh>
    <rPh sb="3" eb="5">
      <t>ギジュツ</t>
    </rPh>
    <rPh sb="6" eb="9">
      <t>ミケイケン</t>
    </rPh>
    <rPh sb="9" eb="11">
      <t>カイハツ</t>
    </rPh>
    <rPh sb="11" eb="13">
      <t>シュホウ</t>
    </rPh>
    <phoneticPr fontId="2"/>
  </si>
  <si>
    <t>実装設計不良、生産性低下、大幅手戻り</t>
    <rPh sb="0" eb="2">
      <t>ジッソウ</t>
    </rPh>
    <rPh sb="2" eb="4">
      <t>セッケイ</t>
    </rPh>
    <rPh sb="4" eb="6">
      <t>フリョウ</t>
    </rPh>
    <rPh sb="7" eb="10">
      <t>セイサンセイ</t>
    </rPh>
    <rPh sb="10" eb="12">
      <t>テイカ</t>
    </rPh>
    <rPh sb="13" eb="14">
      <t>ダイキボ</t>
    </rPh>
    <rPh sb="14" eb="15">
      <t>ハバ</t>
    </rPh>
    <rPh sb="15" eb="16">
      <t>テ</t>
    </rPh>
    <rPh sb="16" eb="17">
      <t>モド</t>
    </rPh>
    <phoneticPr fontId="2"/>
  </si>
  <si>
    <t>前提プロダクト</t>
    <rPh sb="0" eb="2">
      <t>ゼンテイ</t>
    </rPh>
    <phoneticPr fontId="2"/>
  </si>
  <si>
    <t>未経験または国内実績不十分のプロダクト
・適合性調査不十分
・プロダクトの品質不良、ローカライズ不十分
・プロダクトの使い方ミス</t>
    <rPh sb="0" eb="3">
      <t>ミケイケン</t>
    </rPh>
    <rPh sb="6" eb="8">
      <t>コクナイ</t>
    </rPh>
    <rPh sb="8" eb="10">
      <t>ジッセキ</t>
    </rPh>
    <rPh sb="10" eb="13">
      <t>フジュウブン</t>
    </rPh>
    <rPh sb="21" eb="24">
      <t>テキゴウセイ</t>
    </rPh>
    <rPh sb="24" eb="26">
      <t>チョウサ</t>
    </rPh>
    <rPh sb="26" eb="29">
      <t>フジュウブン</t>
    </rPh>
    <rPh sb="48" eb="51">
      <t>フジュウブン</t>
    </rPh>
    <phoneticPr fontId="2"/>
  </si>
  <si>
    <t>開発途中での前提プロダクトの適用を断念、極端に大きなカスタマイズ、工程遅延、コストオーバー、ワークアラウンドに伴う手戻り</t>
    <rPh sb="0" eb="2">
      <t>カイハツ</t>
    </rPh>
    <rPh sb="2" eb="4">
      <t>トチュウ</t>
    </rPh>
    <rPh sb="6" eb="8">
      <t>ゼンテイ</t>
    </rPh>
    <rPh sb="14" eb="16">
      <t>テキヨウ</t>
    </rPh>
    <rPh sb="17" eb="19">
      <t>ダンネン</t>
    </rPh>
    <rPh sb="20" eb="22">
      <t>キョクタン</t>
    </rPh>
    <rPh sb="23" eb="24">
      <t>オオ</t>
    </rPh>
    <phoneticPr fontId="2"/>
  </si>
  <si>
    <t>前提プロダクトの適用バージョン不明確または開発途中でのバージョンアップ</t>
    <rPh sb="0" eb="2">
      <t>ゼンテイ</t>
    </rPh>
    <rPh sb="8" eb="10">
      <t>テキヨウ</t>
    </rPh>
    <rPh sb="15" eb="18">
      <t>フメイカク</t>
    </rPh>
    <rPh sb="21" eb="23">
      <t>カイハツ</t>
    </rPh>
    <rPh sb="23" eb="25">
      <t>トチュウ</t>
    </rPh>
    <phoneticPr fontId="2"/>
  </si>
  <si>
    <t>追加移行作業、APの作り直し、新たなプロダクト不良、リリース遅延による工程への影響</t>
    <rPh sb="0" eb="2">
      <t>ツイカ</t>
    </rPh>
    <rPh sb="2" eb="4">
      <t>イコウ</t>
    </rPh>
    <rPh sb="4" eb="6">
      <t>サギョウ</t>
    </rPh>
    <rPh sb="10" eb="13">
      <t>ツクリナオ</t>
    </rPh>
    <rPh sb="15" eb="16">
      <t>アラ</t>
    </rPh>
    <rPh sb="23" eb="25">
      <t>フリョウ</t>
    </rPh>
    <rPh sb="30" eb="32">
      <t>チエン</t>
    </rPh>
    <rPh sb="35" eb="37">
      <t>コウテイ</t>
    </rPh>
    <rPh sb="39" eb="41">
      <t>エイキョウ</t>
    </rPh>
    <phoneticPr fontId="2"/>
  </si>
  <si>
    <t>プロダクトのサポートが不十分</t>
    <rPh sb="11" eb="14">
      <t>フジュウブン</t>
    </rPh>
    <phoneticPr fontId="2"/>
  </si>
  <si>
    <t>パラメタ設定の不備が進捗を阻害、適用可否誤判断による大規模設計変更、複数プロダクトの場合で原因特定困難</t>
    <rPh sb="4" eb="6">
      <t>セッテイ</t>
    </rPh>
    <rPh sb="7" eb="9">
      <t>フビ</t>
    </rPh>
    <rPh sb="10" eb="12">
      <t>シンチョク</t>
    </rPh>
    <rPh sb="16" eb="18">
      <t>テキヨウ</t>
    </rPh>
    <rPh sb="18" eb="20">
      <t>カヒ</t>
    </rPh>
    <rPh sb="20" eb="21">
      <t>アヤマ</t>
    </rPh>
    <rPh sb="21" eb="23">
      <t>ハンダン</t>
    </rPh>
    <rPh sb="26" eb="29">
      <t>ダイキボ</t>
    </rPh>
    <rPh sb="29" eb="31">
      <t>セッケイ</t>
    </rPh>
    <rPh sb="31" eb="33">
      <t>ヘンコウ</t>
    </rPh>
    <rPh sb="34" eb="36">
      <t>フクスウ</t>
    </rPh>
    <rPh sb="42" eb="44">
      <t>バアイ</t>
    </rPh>
    <rPh sb="45" eb="47">
      <t>ゲンイン</t>
    </rPh>
    <rPh sb="47" eb="49">
      <t>トクテイ</t>
    </rPh>
    <rPh sb="49" eb="51">
      <t>コンナン</t>
    </rPh>
    <phoneticPr fontId="2"/>
  </si>
  <si>
    <t>要件定義</t>
    <rPh sb="0" eb="2">
      <t>ヨウケン</t>
    </rPh>
    <rPh sb="2" eb="4">
      <t>テイギ</t>
    </rPh>
    <phoneticPr fontId="2"/>
  </si>
  <si>
    <t>注文文書化不足、顧客要件確認不足</t>
    <rPh sb="0" eb="2">
      <t>チュウモン</t>
    </rPh>
    <rPh sb="2" eb="5">
      <t>ブンショカ</t>
    </rPh>
    <rPh sb="5" eb="7">
      <t>フソク</t>
    </rPh>
    <phoneticPr fontId="2"/>
  </si>
  <si>
    <t>仕様肥大、運用テストでの手戻り</t>
    <rPh sb="0" eb="2">
      <t>シヨウ</t>
    </rPh>
    <rPh sb="2" eb="4">
      <t>ヒダイ</t>
    </rPh>
    <phoneticPr fontId="2"/>
  </si>
  <si>
    <t>不明確なシステム化目的、顧客経営者の合意形成不足、現行業務の問題点把握不十分</t>
    <rPh sb="0" eb="3">
      <t>フメイカク</t>
    </rPh>
    <rPh sb="4" eb="9">
      <t>システムカ</t>
    </rPh>
    <rPh sb="9" eb="11">
      <t>モクテキ</t>
    </rPh>
    <rPh sb="12" eb="14">
      <t>コキャク</t>
    </rPh>
    <rPh sb="14" eb="17">
      <t>ケイエイシャ</t>
    </rPh>
    <rPh sb="18" eb="20">
      <t>ゴウイ</t>
    </rPh>
    <rPh sb="20" eb="22">
      <t>ケイセイ</t>
    </rPh>
    <rPh sb="22" eb="24">
      <t>フソク</t>
    </rPh>
    <rPh sb="25" eb="27">
      <t>ゲンコウ</t>
    </rPh>
    <rPh sb="27" eb="29">
      <t>ギョウム</t>
    </rPh>
    <phoneticPr fontId="2"/>
  </si>
  <si>
    <t>経営者の指示による開発途中での仕様肥大、設計変更、検収不合格</t>
    <rPh sb="0" eb="3">
      <t>ケイエイシャ</t>
    </rPh>
    <rPh sb="4" eb="6">
      <t>シジ</t>
    </rPh>
    <rPh sb="9" eb="11">
      <t>カイハツ</t>
    </rPh>
    <rPh sb="11" eb="13">
      <t>トチュウ</t>
    </rPh>
    <rPh sb="15" eb="17">
      <t>シヨウ</t>
    </rPh>
    <rPh sb="17" eb="19">
      <t>ヒダイ</t>
    </rPh>
    <rPh sb="20" eb="22">
      <t>セッケイ</t>
    </rPh>
    <rPh sb="22" eb="24">
      <t>ヘンコウ</t>
    </rPh>
    <rPh sb="25" eb="27">
      <t>ケンシュウ</t>
    </rPh>
    <rPh sb="27" eb="28">
      <t>フ</t>
    </rPh>
    <rPh sb="28" eb="30">
      <t>ゴウカク</t>
    </rPh>
    <phoneticPr fontId="2"/>
  </si>
  <si>
    <t>現状業務または現行システムの情報不足、分析不足
・現行システムのドキュメントがない
・現行システムを操作する環境がない
・現行システム開発担当会社の不参加</t>
    <rPh sb="0" eb="2">
      <t>ゲンジョウ</t>
    </rPh>
    <rPh sb="2" eb="4">
      <t>ギョウム</t>
    </rPh>
    <rPh sb="19" eb="21">
      <t>ブンセキ</t>
    </rPh>
    <rPh sb="21" eb="23">
      <t>ブソク</t>
    </rPh>
    <rPh sb="25" eb="27">
      <t>ゲンコウ</t>
    </rPh>
    <rPh sb="43" eb="45">
      <t>ゲンコウ</t>
    </rPh>
    <rPh sb="50" eb="52">
      <t>ソウサ</t>
    </rPh>
    <rPh sb="54" eb="56">
      <t>カンキョウ</t>
    </rPh>
    <rPh sb="61" eb="63">
      <t>ゲンコウ</t>
    </rPh>
    <rPh sb="67" eb="69">
      <t>カイハツ</t>
    </rPh>
    <rPh sb="69" eb="71">
      <t>タントウ</t>
    </rPh>
    <rPh sb="71" eb="73">
      <t>カイシャ</t>
    </rPh>
    <rPh sb="74" eb="77">
      <t>フサンカ</t>
    </rPh>
    <phoneticPr fontId="2"/>
  </si>
  <si>
    <t>現行保証のための工数肥大</t>
    <rPh sb="0" eb="2">
      <t>ゲンコウ</t>
    </rPh>
    <rPh sb="2" eb="4">
      <t>ホショウ</t>
    </rPh>
    <rPh sb="8" eb="10">
      <t>コウスウ</t>
    </rPh>
    <rPh sb="10" eb="12">
      <t>ヒダイ</t>
    </rPh>
    <phoneticPr fontId="2"/>
  </si>
  <si>
    <t>不明確なシステム化対象範囲、曖昧な仕様書表現</t>
    <rPh sb="0" eb="3">
      <t>フメイカク</t>
    </rPh>
    <rPh sb="4" eb="9">
      <t>システムカ</t>
    </rPh>
    <rPh sb="9" eb="11">
      <t>タイショウ</t>
    </rPh>
    <rPh sb="11" eb="13">
      <t>ハンイ</t>
    </rPh>
    <rPh sb="14" eb="16">
      <t>アイマイ</t>
    </rPh>
    <rPh sb="17" eb="20">
      <t>シヨウショ</t>
    </rPh>
    <rPh sb="20" eb="22">
      <t>ヒョウゲン</t>
    </rPh>
    <phoneticPr fontId="2"/>
  </si>
  <si>
    <t>予定外の開発、仕様肥大</t>
    <rPh sb="0" eb="3">
      <t>ヨテイガイ</t>
    </rPh>
    <rPh sb="4" eb="6">
      <t>カイハツ</t>
    </rPh>
    <rPh sb="7" eb="9">
      <t>シヨウ</t>
    </rPh>
    <rPh sb="9" eb="11">
      <t>ヒダイ</t>
    </rPh>
    <phoneticPr fontId="2"/>
  </si>
  <si>
    <t>新業務フローの検討不十分
・機能要件洗い出し不十分
・ユーザの運用ミス検討不十分
・新システムでの解決策不十分</t>
    <rPh sb="0" eb="3">
      <t>シンギョウム</t>
    </rPh>
    <rPh sb="7" eb="9">
      <t>ケントウ</t>
    </rPh>
    <rPh sb="9" eb="12">
      <t>フジュウブン</t>
    </rPh>
    <phoneticPr fontId="2"/>
  </si>
  <si>
    <t>要件漏れ、仕様不良、業務不能</t>
    <rPh sb="0" eb="2">
      <t>ヨウケン</t>
    </rPh>
    <rPh sb="2" eb="3">
      <t>モ</t>
    </rPh>
    <rPh sb="5" eb="7">
      <t>シヨウ</t>
    </rPh>
    <rPh sb="7" eb="9">
      <t>フリョウ</t>
    </rPh>
    <rPh sb="10" eb="12">
      <t>ギョウム</t>
    </rPh>
    <rPh sb="12" eb="14">
      <t>フノウ</t>
    </rPh>
    <phoneticPr fontId="2"/>
  </si>
  <si>
    <t>概念DB設計の欠落、情報構造の誤り</t>
    <rPh sb="0" eb="2">
      <t>ガイネン</t>
    </rPh>
    <rPh sb="4" eb="6">
      <t>セッケイ</t>
    </rPh>
    <rPh sb="7" eb="9">
      <t>ケツラク</t>
    </rPh>
    <phoneticPr fontId="2"/>
  </si>
  <si>
    <t>基本設計工程でのDB設計遅延に伴う手戻り</t>
    <rPh sb="0" eb="2">
      <t>キホン</t>
    </rPh>
    <rPh sb="2" eb="4">
      <t>セッケイ</t>
    </rPh>
    <rPh sb="4" eb="6">
      <t>コウテイ</t>
    </rPh>
    <rPh sb="10" eb="12">
      <t>セッケイ</t>
    </rPh>
    <rPh sb="12" eb="14">
      <t>チエン</t>
    </rPh>
    <rPh sb="15" eb="16">
      <t>トモナ</t>
    </rPh>
    <rPh sb="17" eb="18">
      <t>テ</t>
    </rPh>
    <rPh sb="18" eb="19">
      <t>モド</t>
    </rPh>
    <phoneticPr fontId="2"/>
  </si>
  <si>
    <t xml:space="preserve">性能目標不明確、性能目標の前提条件不明確、非現実的な性能目標
</t>
    <rPh sb="0" eb="2">
      <t>セイノウ</t>
    </rPh>
    <rPh sb="2" eb="4">
      <t>モクヒョウ</t>
    </rPh>
    <rPh sb="4" eb="7">
      <t>フメイカク</t>
    </rPh>
    <rPh sb="8" eb="10">
      <t>セイノウ</t>
    </rPh>
    <rPh sb="10" eb="12">
      <t>モクヒョウ</t>
    </rPh>
    <rPh sb="13" eb="15">
      <t>ゼンテイ</t>
    </rPh>
    <rPh sb="15" eb="17">
      <t>ジョウケン</t>
    </rPh>
    <rPh sb="17" eb="20">
      <t>フメイカク</t>
    </rPh>
    <rPh sb="21" eb="25">
      <t>ヒゲンジツテキ</t>
    </rPh>
    <rPh sb="26" eb="28">
      <t>セイノウ</t>
    </rPh>
    <rPh sb="28" eb="30">
      <t>モクヒョウ</t>
    </rPh>
    <phoneticPr fontId="2"/>
  </si>
  <si>
    <t>過度な性能要求による検収不合格、追加ハードウェアコスト</t>
    <rPh sb="0" eb="2">
      <t>カド</t>
    </rPh>
    <rPh sb="3" eb="5">
      <t>セイノウ</t>
    </rPh>
    <rPh sb="5" eb="7">
      <t>ヨウキュウ</t>
    </rPh>
    <rPh sb="10" eb="12">
      <t>ケンシュウ</t>
    </rPh>
    <rPh sb="12" eb="15">
      <t>フゴウカク</t>
    </rPh>
    <phoneticPr fontId="2"/>
  </si>
  <si>
    <t>高トランザクション密度、大量の端末数</t>
    <rPh sb="0" eb="1">
      <t>コウ</t>
    </rPh>
    <rPh sb="9" eb="11">
      <t>ミツド</t>
    </rPh>
    <rPh sb="12" eb="14">
      <t>タイリョウ</t>
    </rPh>
    <rPh sb="15" eb="17">
      <t>タンマツ</t>
    </rPh>
    <rPh sb="17" eb="18">
      <t>スウ</t>
    </rPh>
    <phoneticPr fontId="2"/>
  </si>
  <si>
    <t>致命的な性能不良による作り直し</t>
    <rPh sb="0" eb="3">
      <t>チメイテキ</t>
    </rPh>
    <rPh sb="4" eb="6">
      <t>セイノウ</t>
    </rPh>
    <rPh sb="6" eb="8">
      <t>フリョウ</t>
    </rPh>
    <rPh sb="11" eb="14">
      <t>ツクリナオ</t>
    </rPh>
    <phoneticPr fontId="2"/>
  </si>
  <si>
    <t>大ボリュームデータ、将来のデータ増分過小見積り</t>
    <rPh sb="0" eb="1">
      <t>ダイ</t>
    </rPh>
    <phoneticPr fontId="2"/>
  </si>
  <si>
    <t>性能不良、追加ハードウェアコスト、ディスク不足、システムテストでの重大な設計変更</t>
    <rPh sb="0" eb="2">
      <t>セイノウ</t>
    </rPh>
    <rPh sb="2" eb="4">
      <t>フリョウ</t>
    </rPh>
    <rPh sb="5" eb="7">
      <t>ツイカ</t>
    </rPh>
    <rPh sb="21" eb="23">
      <t>フソク</t>
    </rPh>
    <rPh sb="33" eb="35">
      <t>ジュウダイ</t>
    </rPh>
    <rPh sb="36" eb="38">
      <t>セッケイ</t>
    </rPh>
    <rPh sb="38" eb="40">
      <t>ヘンコウ</t>
    </rPh>
    <phoneticPr fontId="2"/>
  </si>
  <si>
    <t>可用性要件確認漏れ、不適切なバックアップ設計</t>
    <rPh sb="0" eb="1">
      <t>カヨウセイ</t>
    </rPh>
    <rPh sb="1" eb="2">
      <t>ヨウト</t>
    </rPh>
    <rPh sb="2" eb="3">
      <t>セイ</t>
    </rPh>
    <rPh sb="3" eb="5">
      <t>ヨウケン</t>
    </rPh>
    <rPh sb="5" eb="7">
      <t>カクニン</t>
    </rPh>
    <rPh sb="7" eb="8">
      <t>モ</t>
    </rPh>
    <phoneticPr fontId="2"/>
  </si>
  <si>
    <t>マシンダウンによる重大な損失、データ消失、業務停止、損害賠償</t>
    <rPh sb="9" eb="11">
      <t>ジュウダイ</t>
    </rPh>
    <rPh sb="12" eb="14">
      <t>ソンシツ</t>
    </rPh>
    <rPh sb="26" eb="28">
      <t>ソンガイ</t>
    </rPh>
    <rPh sb="28" eb="30">
      <t>バイショウ</t>
    </rPh>
    <phoneticPr fontId="2"/>
  </si>
  <si>
    <t>不明確なシステム管理者の責任範囲</t>
    <rPh sb="8" eb="11">
      <t>カンリシャ</t>
    </rPh>
    <rPh sb="12" eb="14">
      <t>セキニン</t>
    </rPh>
    <rPh sb="14" eb="16">
      <t>ハンイ</t>
    </rPh>
    <phoneticPr fontId="2"/>
  </si>
  <si>
    <t>運用管理支援機能の肥大、運用時の性能低下</t>
    <rPh sb="0" eb="2">
      <t>ウンヨウ</t>
    </rPh>
    <rPh sb="2" eb="4">
      <t>カンリ</t>
    </rPh>
    <rPh sb="4" eb="6">
      <t>シエン</t>
    </rPh>
    <rPh sb="6" eb="8">
      <t>キノウ</t>
    </rPh>
    <rPh sb="9" eb="11">
      <t>ヒダイ</t>
    </rPh>
    <rPh sb="12" eb="14">
      <t>ウンヨウ</t>
    </rPh>
    <rPh sb="14" eb="15">
      <t>ジ</t>
    </rPh>
    <rPh sb="16" eb="18">
      <t>セイノウ</t>
    </rPh>
    <rPh sb="18" eb="20">
      <t>テイカ</t>
    </rPh>
    <phoneticPr fontId="2"/>
  </si>
  <si>
    <t>不明確な移行要件（データ移行、システム移行）</t>
    <rPh sb="4" eb="6">
      <t>イコウ</t>
    </rPh>
    <rPh sb="6" eb="8">
      <t>ヨウケン</t>
    </rPh>
    <rPh sb="12" eb="14">
      <t>イコウ</t>
    </rPh>
    <rPh sb="19" eb="21">
      <t>イコウ</t>
    </rPh>
    <phoneticPr fontId="2"/>
  </si>
  <si>
    <t>予定外の移行作業</t>
    <rPh sb="0" eb="2">
      <t>ヨテイ</t>
    </rPh>
    <rPh sb="2" eb="3">
      <t>ガイ</t>
    </rPh>
    <rPh sb="4" eb="6">
      <t>イコウ</t>
    </rPh>
    <rPh sb="6" eb="8">
      <t>サギョウ</t>
    </rPh>
    <phoneticPr fontId="2"/>
  </si>
  <si>
    <t>パッケージのFIT&amp;GAP分析漏れ、不十分または大きすぎるGAP</t>
    <rPh sb="13" eb="15">
      <t>ブンセキ</t>
    </rPh>
    <rPh sb="15" eb="16">
      <t>モ</t>
    </rPh>
    <rPh sb="18" eb="21">
      <t>フジュウブン</t>
    </rPh>
    <rPh sb="24" eb="25">
      <t>オオ</t>
    </rPh>
    <phoneticPr fontId="2"/>
  </si>
  <si>
    <t>パッケージ不採用に伴う計画変更、カスタマイズ工数肥大</t>
    <phoneticPr fontId="2"/>
  </si>
  <si>
    <t>玉虫色のシステム化目的</t>
    <rPh sb="0" eb="3">
      <t>タマムシイロ</t>
    </rPh>
    <rPh sb="8" eb="9">
      <t>カ</t>
    </rPh>
    <rPh sb="9" eb="11">
      <t>モクテキ</t>
    </rPh>
    <phoneticPr fontId="2"/>
  </si>
  <si>
    <t>仕様肥大、キャンセル、検収遅延</t>
    <rPh sb="0" eb="2">
      <t>シヨウ</t>
    </rPh>
    <rPh sb="2" eb="4">
      <t>ヒダイ</t>
    </rPh>
    <rPh sb="11" eb="13">
      <t>ケンシュウ</t>
    </rPh>
    <rPh sb="13" eb="15">
      <t>チエン</t>
    </rPh>
    <phoneticPr fontId="2"/>
  </si>
  <si>
    <t>設計</t>
    <rPh sb="0" eb="2">
      <t>セッケイ</t>
    </rPh>
    <phoneticPr fontId="2"/>
  </si>
  <si>
    <t>外部（基本）設計</t>
    <rPh sb="0" eb="2">
      <t>ガイブ</t>
    </rPh>
    <rPh sb="3" eb="5">
      <t>キホン</t>
    </rPh>
    <rPh sb="6" eb="8">
      <t>セッケイ</t>
    </rPh>
    <phoneticPr fontId="2"/>
  </si>
  <si>
    <t>アーキテクチャ設計ミス</t>
    <rPh sb="7" eb="9">
      <t>セッケイ</t>
    </rPh>
    <phoneticPr fontId="2"/>
  </si>
  <si>
    <t>チューニングでは解決しない全体的な性能不良、H/W増強用追加コスト、全面・部分の作り直し、頻発する出荷後障害、バグ多発</t>
    <rPh sb="8" eb="10">
      <t>カイケツ</t>
    </rPh>
    <rPh sb="13" eb="16">
      <t>ゼンタイテキ</t>
    </rPh>
    <rPh sb="17" eb="19">
      <t>セイノウ</t>
    </rPh>
    <rPh sb="19" eb="21">
      <t>フリョウ</t>
    </rPh>
    <rPh sb="25" eb="27">
      <t>ゾウキョウ</t>
    </rPh>
    <rPh sb="27" eb="28">
      <t>ヨウ</t>
    </rPh>
    <rPh sb="28" eb="30">
      <t>ツイカ</t>
    </rPh>
    <phoneticPr fontId="2"/>
  </si>
  <si>
    <t>不適切なサブシステム分割</t>
    <rPh sb="0" eb="3">
      <t>フテキセツ</t>
    </rPh>
    <rPh sb="10" eb="12">
      <t>ブンカツ</t>
    </rPh>
    <phoneticPr fontId="2"/>
  </si>
  <si>
    <t>デバッグ時間の肥大、修正品質低下</t>
    <rPh sb="4" eb="6">
      <t>ジカン</t>
    </rPh>
    <rPh sb="7" eb="9">
      <t>ヒダイ</t>
    </rPh>
    <rPh sb="10" eb="12">
      <t>シュウセイ</t>
    </rPh>
    <rPh sb="12" eb="14">
      <t>ヒンシツ</t>
    </rPh>
    <rPh sb="14" eb="16">
      <t>テイカ</t>
    </rPh>
    <phoneticPr fontId="2"/>
  </si>
  <si>
    <t>業務運用考慮不足</t>
    <rPh sb="0" eb="2">
      <t>ギョウム</t>
    </rPh>
    <rPh sb="2" eb="4">
      <t>ウンヨウ</t>
    </rPh>
    <rPh sb="4" eb="6">
      <t>コウリョ</t>
    </rPh>
    <rPh sb="6" eb="8">
      <t>フソク</t>
    </rPh>
    <phoneticPr fontId="2"/>
  </si>
  <si>
    <t>機能不足、顧客検収での差し戻し、最終フェーズでの大きな仕様追加、本番クレーム多発</t>
    <rPh sb="0" eb="2">
      <t>キノウ</t>
    </rPh>
    <rPh sb="2" eb="4">
      <t>フソク</t>
    </rPh>
    <rPh sb="5" eb="7">
      <t>コキャク</t>
    </rPh>
    <rPh sb="7" eb="9">
      <t>ケンシュウ</t>
    </rPh>
    <rPh sb="11" eb="14">
      <t>サシモド</t>
    </rPh>
    <rPh sb="16" eb="18">
      <t>サイシュウ</t>
    </rPh>
    <rPh sb="24" eb="25">
      <t>オオ</t>
    </rPh>
    <rPh sb="27" eb="29">
      <t>シヨウ</t>
    </rPh>
    <rPh sb="29" eb="31">
      <t>ツイカ</t>
    </rPh>
    <rPh sb="32" eb="34">
      <t>ホンバン</t>
    </rPh>
    <rPh sb="38" eb="40">
      <t>タハツ</t>
    </rPh>
    <phoneticPr fontId="2"/>
  </si>
  <si>
    <t>クリティカルシステムでの不適切なRAS設計</t>
    <rPh sb="12" eb="15">
      <t>フテキセツ</t>
    </rPh>
    <rPh sb="19" eb="21">
      <t>セッケイ</t>
    </rPh>
    <phoneticPr fontId="2"/>
  </si>
  <si>
    <t>業務停止、人命損傷、多大な損害、重大クレーム、マスコミ報道障害</t>
    <rPh sb="0" eb="2">
      <t>ギョウム</t>
    </rPh>
    <rPh sb="2" eb="4">
      <t>テイシ</t>
    </rPh>
    <rPh sb="5" eb="7">
      <t>ジンメイ</t>
    </rPh>
    <rPh sb="7" eb="9">
      <t>ソンショウ</t>
    </rPh>
    <rPh sb="10" eb="12">
      <t>タダイ</t>
    </rPh>
    <rPh sb="13" eb="15">
      <t>ソンガイ</t>
    </rPh>
    <rPh sb="16" eb="18">
      <t>ジュウダイ</t>
    </rPh>
    <rPh sb="27" eb="29">
      <t>ホウドウ</t>
    </rPh>
    <rPh sb="29" eb="31">
      <t>ショウガイ</t>
    </rPh>
    <phoneticPr fontId="2"/>
  </si>
  <si>
    <t>機密データを扱うシステムでのセキュリティ設計不良</t>
    <rPh sb="0" eb="2">
      <t>キミツ</t>
    </rPh>
    <rPh sb="6" eb="7">
      <t>アツカ</t>
    </rPh>
    <rPh sb="20" eb="22">
      <t>セッケイ</t>
    </rPh>
    <rPh sb="22" eb="24">
      <t>フリョウ</t>
    </rPh>
    <phoneticPr fontId="2"/>
  </si>
  <si>
    <t>機密漏洩事故</t>
    <rPh sb="0" eb="2">
      <t>キミツ</t>
    </rPh>
    <rPh sb="2" eb="4">
      <t>ロウエイ</t>
    </rPh>
    <rPh sb="4" eb="6">
      <t>ジコ</t>
    </rPh>
    <phoneticPr fontId="2"/>
  </si>
  <si>
    <t>大規模開発における設計事項の不十分な文書化</t>
    <rPh sb="0" eb="3">
      <t>ダイキボ</t>
    </rPh>
    <rPh sb="3" eb="5">
      <t>カイハツ</t>
    </rPh>
    <rPh sb="9" eb="11">
      <t>セッケイ</t>
    </rPh>
    <rPh sb="11" eb="13">
      <t>ジコウ</t>
    </rPh>
    <rPh sb="14" eb="17">
      <t>フジュウブン</t>
    </rPh>
    <rPh sb="18" eb="21">
      <t>ブンショカ</t>
    </rPh>
    <phoneticPr fontId="2"/>
  </si>
  <si>
    <t>開発チーム間のコミニュケーションエラー</t>
    <rPh sb="0" eb="2">
      <t>カイハツ</t>
    </rPh>
    <rPh sb="5" eb="6">
      <t>カン</t>
    </rPh>
    <phoneticPr fontId="2"/>
  </si>
  <si>
    <t>データフローダイアグラム未作成</t>
    <rPh sb="12" eb="15">
      <t>ミサクセイ</t>
    </rPh>
    <phoneticPr fontId="2"/>
  </si>
  <si>
    <t>システム内不整合、結合テストケース設計での効率低下</t>
    <rPh sb="4" eb="5">
      <t>ナイ</t>
    </rPh>
    <rPh sb="5" eb="8">
      <t>フセイゴウ</t>
    </rPh>
    <rPh sb="9" eb="11">
      <t>ケツゴウ</t>
    </rPh>
    <rPh sb="17" eb="19">
      <t>セッケイ</t>
    </rPh>
    <rPh sb="21" eb="23">
      <t>コウリツ</t>
    </rPh>
    <rPh sb="23" eb="25">
      <t>テイカ</t>
    </rPh>
    <phoneticPr fontId="2"/>
  </si>
  <si>
    <t>不適切なUI設計、UI設計の詳細化不足</t>
    <rPh sb="0" eb="3">
      <t>フテキセツ</t>
    </rPh>
    <rPh sb="6" eb="8">
      <t>セッケイ</t>
    </rPh>
    <rPh sb="11" eb="13">
      <t>セッケイ</t>
    </rPh>
    <rPh sb="14" eb="17">
      <t>ショウサイカ</t>
    </rPh>
    <rPh sb="17" eb="19">
      <t>フソク</t>
    </rPh>
    <phoneticPr fontId="2"/>
  </si>
  <si>
    <t>検収不合格、頻発する操作性不良、変更要望に歯止めが利かない</t>
    <rPh sb="0" eb="2">
      <t>ケンシュウ</t>
    </rPh>
    <rPh sb="2" eb="3">
      <t>フ</t>
    </rPh>
    <rPh sb="3" eb="5">
      <t>ゴウカク</t>
    </rPh>
    <rPh sb="6" eb="8">
      <t>ヒンパツ</t>
    </rPh>
    <rPh sb="10" eb="13">
      <t>ソウサセイ</t>
    </rPh>
    <rPh sb="13" eb="15">
      <t>フリョウ</t>
    </rPh>
    <rPh sb="16" eb="18">
      <t>ヘンコウ</t>
    </rPh>
    <rPh sb="18" eb="20">
      <t>ヨウボウ</t>
    </rPh>
    <rPh sb="21" eb="23">
      <t>ハド</t>
    </rPh>
    <rPh sb="25" eb="26">
      <t>キ</t>
    </rPh>
    <phoneticPr fontId="2"/>
  </si>
  <si>
    <t>エンドユーザのレビュー不参加</t>
    <rPh sb="11" eb="14">
      <t>フサンカ</t>
    </rPh>
    <phoneticPr fontId="2"/>
  </si>
  <si>
    <t>運用テスト中の変更要望多発</t>
    <rPh sb="0" eb="2">
      <t>ウンヨウ</t>
    </rPh>
    <rPh sb="2" eb="6">
      <t>テストチュウ</t>
    </rPh>
    <rPh sb="7" eb="9">
      <t>ヘンコウ</t>
    </rPh>
    <rPh sb="9" eb="11">
      <t>ヨウボウ</t>
    </rPh>
    <rPh sb="11" eb="13">
      <t>タハツ</t>
    </rPh>
    <phoneticPr fontId="2"/>
  </si>
  <si>
    <t>計算項目の検討不十分</t>
    <rPh sb="0" eb="2">
      <t>ケイサン</t>
    </rPh>
    <rPh sb="2" eb="4">
      <t>コウモク</t>
    </rPh>
    <rPh sb="5" eb="7">
      <t>ケントウ</t>
    </rPh>
    <rPh sb="7" eb="10">
      <t>フジュウブン</t>
    </rPh>
    <phoneticPr fontId="2"/>
  </si>
  <si>
    <t>金額不正等の重要障害</t>
    <rPh sb="0" eb="2">
      <t>キンガク</t>
    </rPh>
    <rPh sb="2" eb="4">
      <t>フセイ</t>
    </rPh>
    <rPh sb="4" eb="5">
      <t>トウ</t>
    </rPh>
    <rPh sb="6" eb="8">
      <t>ジュウヨウ</t>
    </rPh>
    <rPh sb="8" eb="10">
      <t>ショウガイ</t>
    </rPh>
    <phoneticPr fontId="2"/>
  </si>
  <si>
    <t>不明確な外部I/F設計、接続先とのレビュー不足</t>
    <rPh sb="0" eb="3">
      <t>フメイカク</t>
    </rPh>
    <rPh sb="4" eb="6">
      <t>ガイブ</t>
    </rPh>
    <rPh sb="9" eb="11">
      <t>セッケイ</t>
    </rPh>
    <rPh sb="12" eb="14">
      <t>セツゾク</t>
    </rPh>
    <rPh sb="14" eb="15">
      <t>サキ</t>
    </rPh>
    <rPh sb="21" eb="23">
      <t>フソク</t>
    </rPh>
    <phoneticPr fontId="2"/>
  </si>
  <si>
    <t>外部システムとのI/F不良多発、接続テストでの手戻り多発</t>
    <rPh sb="0" eb="2">
      <t>ガイブ</t>
    </rPh>
    <rPh sb="11" eb="13">
      <t>フリョウ</t>
    </rPh>
    <rPh sb="13" eb="15">
      <t>タハツ</t>
    </rPh>
    <rPh sb="16" eb="18">
      <t>セツゾク</t>
    </rPh>
    <rPh sb="23" eb="24">
      <t>テ</t>
    </rPh>
    <rPh sb="24" eb="25">
      <t>モド</t>
    </rPh>
    <rPh sb="26" eb="28">
      <t>タハツ</t>
    </rPh>
    <phoneticPr fontId="2"/>
  </si>
  <si>
    <t>外部システムデータのチェック処理欠落</t>
    <rPh sb="0" eb="2">
      <t>ガイブ</t>
    </rPh>
    <rPh sb="14" eb="16">
      <t>ショリ</t>
    </rPh>
    <rPh sb="16" eb="18">
      <t>ケツラク</t>
    </rPh>
    <phoneticPr fontId="2"/>
  </si>
  <si>
    <t>外部システムデータ不正に伴う調査工数肥大</t>
    <rPh sb="0" eb="2">
      <t>ガイブ</t>
    </rPh>
    <rPh sb="9" eb="11">
      <t>フセイ</t>
    </rPh>
    <rPh sb="12" eb="13">
      <t>トモナ</t>
    </rPh>
    <rPh sb="14" eb="16">
      <t>チョウサ</t>
    </rPh>
    <rPh sb="16" eb="18">
      <t>コウスウ</t>
    </rPh>
    <rPh sb="18" eb="20">
      <t>ヒダイ</t>
    </rPh>
    <phoneticPr fontId="2"/>
  </si>
  <si>
    <t>DB設計不良（情報構造の誤り、項目不足、項目属性不足）</t>
    <rPh sb="2" eb="4">
      <t>セッケイ</t>
    </rPh>
    <rPh sb="4" eb="6">
      <t>フリョウ</t>
    </rPh>
    <rPh sb="7" eb="9">
      <t>ジョウホウ</t>
    </rPh>
    <rPh sb="9" eb="11">
      <t>コウゾウ</t>
    </rPh>
    <rPh sb="12" eb="13">
      <t>アヤマ</t>
    </rPh>
    <phoneticPr fontId="2"/>
  </si>
  <si>
    <t>性能不良、運用不能、重複項目・導出項目のデータ不整合、拡張性の低さ、頻発するDB変更に伴う大量の手戻り、プログラム変更時の修正ミス多発</t>
    <rPh sb="0" eb="2">
      <t>セイノウ</t>
    </rPh>
    <rPh sb="2" eb="4">
      <t>フリョウ</t>
    </rPh>
    <rPh sb="5" eb="7">
      <t>ウンヨウ</t>
    </rPh>
    <rPh sb="7" eb="9">
      <t>フノウ</t>
    </rPh>
    <rPh sb="10" eb="12">
      <t>チョウフク</t>
    </rPh>
    <rPh sb="12" eb="14">
      <t>コウモク</t>
    </rPh>
    <rPh sb="15" eb="17">
      <t>ドウシュツ</t>
    </rPh>
    <rPh sb="17" eb="19">
      <t>コウモク</t>
    </rPh>
    <rPh sb="23" eb="26">
      <t>フセイゴウ</t>
    </rPh>
    <rPh sb="27" eb="30">
      <t>カクチョウセイ</t>
    </rPh>
    <rPh sb="31" eb="32">
      <t>ヒク</t>
    </rPh>
    <rPh sb="34" eb="36">
      <t>ヒンパツ</t>
    </rPh>
    <rPh sb="40" eb="42">
      <t>ヘンコウ</t>
    </rPh>
    <rPh sb="43" eb="44">
      <t>トモナ</t>
    </rPh>
    <rPh sb="45" eb="47">
      <t>タイリョウ</t>
    </rPh>
    <rPh sb="48" eb="49">
      <t>テ</t>
    </rPh>
    <rPh sb="49" eb="50">
      <t>モド</t>
    </rPh>
    <rPh sb="57" eb="59">
      <t>ヘンコウ</t>
    </rPh>
    <rPh sb="59" eb="60">
      <t>ジ</t>
    </rPh>
    <rPh sb="61" eb="63">
      <t>シュウセイ</t>
    </rPh>
    <rPh sb="65" eb="67">
      <t>タハツ</t>
    </rPh>
    <phoneticPr fontId="2"/>
  </si>
  <si>
    <t>キャパシティ設計検討不十分</t>
    <rPh sb="6" eb="8">
      <t>セッケイ</t>
    </rPh>
    <rPh sb="8" eb="10">
      <t>ケントウ</t>
    </rPh>
    <rPh sb="10" eb="13">
      <t>フジュウブン</t>
    </rPh>
    <phoneticPr fontId="2"/>
  </si>
  <si>
    <t>ディスク領域枯渇、性能不良</t>
    <rPh sb="4" eb="6">
      <t>リョウイキ</t>
    </rPh>
    <rPh sb="6" eb="8">
      <t>コカツ</t>
    </rPh>
    <rPh sb="9" eb="11">
      <t>セイノウ</t>
    </rPh>
    <rPh sb="11" eb="13">
      <t>フリョウ</t>
    </rPh>
    <phoneticPr fontId="2"/>
  </si>
  <si>
    <t>インフラ設計検討不十分</t>
    <rPh sb="4" eb="6">
      <t>セッケイ</t>
    </rPh>
    <rPh sb="6" eb="8">
      <t>ケントウ</t>
    </rPh>
    <rPh sb="8" eb="11">
      <t>フジュウブン</t>
    </rPh>
    <phoneticPr fontId="2"/>
  </si>
  <si>
    <t>AP開発の工数肥大、チューニング工数肥大</t>
    <rPh sb="2" eb="4">
      <t>カイハツ</t>
    </rPh>
    <rPh sb="5" eb="7">
      <t>コウスウ</t>
    </rPh>
    <rPh sb="7" eb="9">
      <t>ヒダイ</t>
    </rPh>
    <rPh sb="16" eb="18">
      <t>コウスウ</t>
    </rPh>
    <rPh sb="18" eb="20">
      <t>ヒダイ</t>
    </rPh>
    <phoneticPr fontId="2"/>
  </si>
  <si>
    <t>共通モジュール設計遅延</t>
    <rPh sb="0" eb="2">
      <t>キョウツウ</t>
    </rPh>
    <rPh sb="7" eb="9">
      <t>セッケイ</t>
    </rPh>
    <rPh sb="9" eb="11">
      <t>チエン</t>
    </rPh>
    <phoneticPr fontId="2"/>
  </si>
  <si>
    <t>内部（詳細）設計遅延</t>
    <rPh sb="0" eb="2">
      <t>ナイブ</t>
    </rPh>
    <rPh sb="3" eb="5">
      <t>ショウサイ</t>
    </rPh>
    <rPh sb="6" eb="8">
      <t>セッケイ</t>
    </rPh>
    <rPh sb="8" eb="10">
      <t>チエン</t>
    </rPh>
    <phoneticPr fontId="2"/>
  </si>
  <si>
    <t>上流設計（要求分析、要件定義、外部（基本）設計）の品質不良、システム化目的の未達成</t>
    <rPh sb="0" eb="2">
      <t>ジョウリュウ</t>
    </rPh>
    <rPh sb="2" eb="4">
      <t>セッケイ</t>
    </rPh>
    <rPh sb="5" eb="7">
      <t>ヨウキュウ</t>
    </rPh>
    <rPh sb="7" eb="9">
      <t>ブンセキ</t>
    </rPh>
    <rPh sb="10" eb="12">
      <t>ヨウケン</t>
    </rPh>
    <rPh sb="12" eb="14">
      <t>テイギ</t>
    </rPh>
    <rPh sb="15" eb="17">
      <t>ガイブ</t>
    </rPh>
    <rPh sb="18" eb="20">
      <t>キホン</t>
    </rPh>
    <rPh sb="21" eb="23">
      <t>セッケイ</t>
    </rPh>
    <rPh sb="25" eb="27">
      <t>ヒンシツ</t>
    </rPh>
    <rPh sb="27" eb="29">
      <t>フリョウ</t>
    </rPh>
    <phoneticPr fontId="2"/>
  </si>
  <si>
    <t>後工程での膨大な手戻り</t>
    <rPh sb="0" eb="1">
      <t>アト</t>
    </rPh>
    <rPh sb="1" eb="3">
      <t>コウテイ</t>
    </rPh>
    <rPh sb="5" eb="7">
      <t>ボウダイ</t>
    </rPh>
    <rPh sb="8" eb="9">
      <t>テ</t>
    </rPh>
    <rPh sb="9" eb="10">
      <t>モド</t>
    </rPh>
    <phoneticPr fontId="2"/>
  </si>
  <si>
    <t>業務知識不足、稚拙な仕様策定交渉</t>
    <rPh sb="0" eb="2">
      <t>ギョウム</t>
    </rPh>
    <rPh sb="2" eb="4">
      <t>チシキ</t>
    </rPh>
    <rPh sb="4" eb="6">
      <t>フソク</t>
    </rPh>
    <rPh sb="7" eb="9">
      <t>チセツ</t>
    </rPh>
    <rPh sb="10" eb="12">
      <t>シヨウ</t>
    </rPh>
    <rPh sb="12" eb="14">
      <t>サクテイ</t>
    </rPh>
    <rPh sb="14" eb="16">
      <t>コウショウ</t>
    </rPh>
    <phoneticPr fontId="2"/>
  </si>
  <si>
    <t>仕様肥大による工程遅延、コストオーバー</t>
    <rPh sb="0" eb="2">
      <t>シヨウ</t>
    </rPh>
    <rPh sb="2" eb="4">
      <t>ヒダイ</t>
    </rPh>
    <rPh sb="7" eb="9">
      <t>コウテイ</t>
    </rPh>
    <rPh sb="9" eb="11">
      <t>チエン</t>
    </rPh>
    <phoneticPr fontId="2"/>
  </si>
  <si>
    <t>運用管理設計不良
・ソフトウェア配付設計漏れ
・障害対応設計検討不十分
・バックアップ、ジャーナル取得漏れ</t>
    <rPh sb="0" eb="2">
      <t>ウンヨウ</t>
    </rPh>
    <rPh sb="2" eb="4">
      <t>カンリ</t>
    </rPh>
    <rPh sb="4" eb="6">
      <t>セッケイ</t>
    </rPh>
    <rPh sb="6" eb="8">
      <t>フリョウ</t>
    </rPh>
    <rPh sb="16" eb="18">
      <t>ハイフ</t>
    </rPh>
    <rPh sb="18" eb="20">
      <t>セッケイ</t>
    </rPh>
    <rPh sb="20" eb="21">
      <t>モ</t>
    </rPh>
    <phoneticPr fontId="2"/>
  </si>
  <si>
    <t>ソフトウェアインストールの作業コスト負担、マシン障害時の対応工数肥大、ダウン時間の増大、瑕疵担保保証期間のコスト増大、復旧不能障害</t>
    <rPh sb="13" eb="15">
      <t>サギョウ</t>
    </rPh>
    <rPh sb="18" eb="20">
      <t>フタン</t>
    </rPh>
    <phoneticPr fontId="2"/>
  </si>
  <si>
    <t>内部（詳細）設計</t>
    <rPh sb="0" eb="2">
      <t>ナイブ</t>
    </rPh>
    <rPh sb="3" eb="5">
      <t>ショウサイ</t>
    </rPh>
    <rPh sb="6" eb="8">
      <t>セッケイ</t>
    </rPh>
    <phoneticPr fontId="2"/>
  </si>
  <si>
    <t>内部（詳細）設計の問題
・実装設計不十分
・不適切なモジュール分割設計
・ドキュメント省略またはレビュー不十分
・保守ドキュメント省略</t>
    <rPh sb="0" eb="2">
      <t>ナイブ</t>
    </rPh>
    <rPh sb="3" eb="5">
      <t>ショウサイ</t>
    </rPh>
    <rPh sb="6" eb="8">
      <t>セッケイ</t>
    </rPh>
    <rPh sb="9" eb="11">
      <t>モンダイ</t>
    </rPh>
    <rPh sb="13" eb="15">
      <t>ジッソウ</t>
    </rPh>
    <rPh sb="15" eb="17">
      <t>セッケイ</t>
    </rPh>
    <rPh sb="17" eb="20">
      <t>フジュウブン</t>
    </rPh>
    <rPh sb="22" eb="25">
      <t>フテキセツ</t>
    </rPh>
    <rPh sb="31" eb="33">
      <t>ブンカツ</t>
    </rPh>
    <rPh sb="33" eb="35">
      <t>セッケイ</t>
    </rPh>
    <rPh sb="43" eb="45">
      <t>ショウリャク</t>
    </rPh>
    <rPh sb="52" eb="55">
      <t>フジュウブン</t>
    </rPh>
    <rPh sb="57" eb="59">
      <t>ホシュ</t>
    </rPh>
    <rPh sb="65" eb="67">
      <t>ショウリャク</t>
    </rPh>
    <phoneticPr fontId="2"/>
  </si>
  <si>
    <t>プログラミング工程からの手戻り、バグ多発、保守性低下、作り直し、単体テスト漏れ、性能不良、テスト不能、応援要員の無効化</t>
    <rPh sb="7" eb="9">
      <t>コウテイ</t>
    </rPh>
    <rPh sb="12" eb="13">
      <t>テ</t>
    </rPh>
    <rPh sb="13" eb="14">
      <t>モド</t>
    </rPh>
    <rPh sb="18" eb="20">
      <t>タハツ</t>
    </rPh>
    <rPh sb="21" eb="24">
      <t>ホシュセイ</t>
    </rPh>
    <rPh sb="24" eb="26">
      <t>テイカ</t>
    </rPh>
    <rPh sb="27" eb="30">
      <t>ツクリナオ</t>
    </rPh>
    <rPh sb="32" eb="34">
      <t>タンタイ</t>
    </rPh>
    <rPh sb="37" eb="38">
      <t>モ</t>
    </rPh>
    <rPh sb="40" eb="42">
      <t>セイノウ</t>
    </rPh>
    <rPh sb="42" eb="44">
      <t>フリョウ</t>
    </rPh>
    <rPh sb="48" eb="50">
      <t>フノウ</t>
    </rPh>
    <rPh sb="51" eb="53">
      <t>オウエン</t>
    </rPh>
    <rPh sb="53" eb="55">
      <t>ヨウイン</t>
    </rPh>
    <rPh sb="56" eb="59">
      <t>ムコウカ</t>
    </rPh>
    <phoneticPr fontId="2"/>
  </si>
  <si>
    <t>管理</t>
    <rPh sb="0" eb="2">
      <t>カンリ</t>
    </rPh>
    <phoneticPr fontId="2"/>
  </si>
  <si>
    <t>取引先選定</t>
    <rPh sb="0" eb="2">
      <t>トリヒキ</t>
    </rPh>
    <rPh sb="2" eb="3">
      <t>サキ</t>
    </rPh>
    <rPh sb="3" eb="5">
      <t>センテイ</t>
    </rPh>
    <phoneticPr fontId="2"/>
  </si>
  <si>
    <t>新規外部委託先への発注
・新規取引先への外注
・外部委託先メンバー変更
・外部委託先未経験分野、未経験規模</t>
    <rPh sb="0" eb="2">
      <t>シンキ</t>
    </rPh>
    <rPh sb="2" eb="4">
      <t>ガイブ</t>
    </rPh>
    <rPh sb="4" eb="6">
      <t>イタク</t>
    </rPh>
    <rPh sb="6" eb="7">
      <t>サキ</t>
    </rPh>
    <rPh sb="9" eb="11">
      <t>ハッチュウ</t>
    </rPh>
    <rPh sb="13" eb="15">
      <t>シンキ</t>
    </rPh>
    <rPh sb="15" eb="17">
      <t>トリヒキ</t>
    </rPh>
    <rPh sb="17" eb="18">
      <t>サキ</t>
    </rPh>
    <rPh sb="20" eb="22">
      <t>ガイチュウ</t>
    </rPh>
    <rPh sb="24" eb="26">
      <t>ガイブ</t>
    </rPh>
    <rPh sb="26" eb="28">
      <t>イタク</t>
    </rPh>
    <rPh sb="28" eb="29">
      <t>サキ</t>
    </rPh>
    <rPh sb="33" eb="35">
      <t>ヘンコウ</t>
    </rPh>
    <rPh sb="37" eb="39">
      <t>ガイブ</t>
    </rPh>
    <rPh sb="39" eb="41">
      <t>イタク</t>
    </rPh>
    <rPh sb="41" eb="42">
      <t>サキ</t>
    </rPh>
    <rPh sb="42" eb="45">
      <t>ミケイケン</t>
    </rPh>
    <rPh sb="45" eb="47">
      <t>ブンヤ</t>
    </rPh>
    <rPh sb="48" eb="51">
      <t>ミケイケン</t>
    </rPh>
    <rPh sb="51" eb="53">
      <t>キボ</t>
    </rPh>
    <phoneticPr fontId="2"/>
  </si>
  <si>
    <t>外部委託先関連トラブル</t>
    <rPh sb="0" eb="2">
      <t>ガイブ</t>
    </rPh>
    <rPh sb="2" eb="4">
      <t>イタク</t>
    </rPh>
    <rPh sb="4" eb="5">
      <t>サキ</t>
    </rPh>
    <rPh sb="5" eb="7">
      <t>カンレン</t>
    </rPh>
    <phoneticPr fontId="2"/>
  </si>
  <si>
    <t>与信以上の発注、外注先経営者の無責任体質</t>
    <rPh sb="0" eb="2">
      <t>ヨシン</t>
    </rPh>
    <rPh sb="2" eb="4">
      <t>イジョウ</t>
    </rPh>
    <rPh sb="5" eb="7">
      <t>ハッチュウ</t>
    </rPh>
    <phoneticPr fontId="2"/>
  </si>
  <si>
    <t>外部委託先ギブアップ、外部委託先トンズラ、外部委託先倒産、外部委託先への追加支払</t>
    <rPh sb="0" eb="2">
      <t>ガイブ</t>
    </rPh>
    <rPh sb="2" eb="4">
      <t>イタク</t>
    </rPh>
    <rPh sb="4" eb="5">
      <t>サキ</t>
    </rPh>
    <rPh sb="11" eb="13">
      <t>ガイブ</t>
    </rPh>
    <rPh sb="13" eb="15">
      <t>イタク</t>
    </rPh>
    <rPh sb="15" eb="16">
      <t>サキ</t>
    </rPh>
    <rPh sb="21" eb="23">
      <t>ガイブ</t>
    </rPh>
    <rPh sb="23" eb="25">
      <t>イタク</t>
    </rPh>
    <rPh sb="25" eb="26">
      <t>サキ</t>
    </rPh>
    <rPh sb="26" eb="28">
      <t>トウサン</t>
    </rPh>
    <rPh sb="29" eb="31">
      <t>ガイブ</t>
    </rPh>
    <rPh sb="31" eb="33">
      <t>イタク</t>
    </rPh>
    <rPh sb="33" eb="34">
      <t>サキ</t>
    </rPh>
    <rPh sb="36" eb="38">
      <t>ツイカ</t>
    </rPh>
    <rPh sb="38" eb="40">
      <t>シハライ</t>
    </rPh>
    <phoneticPr fontId="2"/>
  </si>
  <si>
    <t>外部委託先担当者との面談不足
・外部委託先担当者のスキル不足（管理、設計技術、製造技術等）
・外部委託先のCQMS知識不足、</t>
    <rPh sb="0" eb="2">
      <t>ガイブ</t>
    </rPh>
    <rPh sb="2" eb="4">
      <t>イタク</t>
    </rPh>
    <rPh sb="16" eb="18">
      <t>ガイブ</t>
    </rPh>
    <rPh sb="18" eb="20">
      <t>イタク</t>
    </rPh>
    <rPh sb="20" eb="21">
      <t>サキ</t>
    </rPh>
    <rPh sb="21" eb="24">
      <t>タントウシャ</t>
    </rPh>
    <rPh sb="28" eb="30">
      <t>フソク</t>
    </rPh>
    <rPh sb="47" eb="49">
      <t>ガイブ</t>
    </rPh>
    <rPh sb="49" eb="51">
      <t>イタク</t>
    </rPh>
    <phoneticPr fontId="2"/>
  </si>
  <si>
    <t>品質不良、工程遅延</t>
    <rPh sb="0" eb="2">
      <t>ヒンシツ</t>
    </rPh>
    <rPh sb="2" eb="4">
      <t>フリョウ</t>
    </rPh>
    <rPh sb="5" eb="7">
      <t>コウテイ</t>
    </rPh>
    <rPh sb="7" eb="9">
      <t>チエン</t>
    </rPh>
    <phoneticPr fontId="2"/>
  </si>
  <si>
    <t>2社以上への分散発注</t>
    <rPh sb="0" eb="2">
      <t>２シャ</t>
    </rPh>
    <rPh sb="2" eb="4">
      <t>イジョウ</t>
    </rPh>
    <rPh sb="6" eb="8">
      <t>ブンサン</t>
    </rPh>
    <rPh sb="8" eb="10">
      <t>ハッチュウ</t>
    </rPh>
    <phoneticPr fontId="2"/>
  </si>
  <si>
    <t>2社間の調整工数発生、責任範囲の欠落・重複、1社の遅延による他社への補償費用発生、仕様不統一、整合性不良、標準化作業の当社負担</t>
    <rPh sb="0" eb="3">
      <t>２シャカン</t>
    </rPh>
    <rPh sb="4" eb="6">
      <t>チョウセイ</t>
    </rPh>
    <rPh sb="6" eb="8">
      <t>コウスウ</t>
    </rPh>
    <rPh sb="8" eb="10">
      <t>ハッセイ</t>
    </rPh>
    <rPh sb="11" eb="13">
      <t>セキニン</t>
    </rPh>
    <rPh sb="13" eb="15">
      <t>ハンイ</t>
    </rPh>
    <rPh sb="16" eb="18">
      <t>ケツラク</t>
    </rPh>
    <rPh sb="19" eb="21">
      <t>チョウフク</t>
    </rPh>
    <rPh sb="22" eb="24">
      <t>１シャ</t>
    </rPh>
    <rPh sb="25" eb="27">
      <t>チエン</t>
    </rPh>
    <rPh sb="30" eb="32">
      <t>タシャ</t>
    </rPh>
    <rPh sb="34" eb="36">
      <t>ホショウ</t>
    </rPh>
    <rPh sb="36" eb="38">
      <t>ヒヨウ</t>
    </rPh>
    <rPh sb="38" eb="40">
      <t>ハッセイ</t>
    </rPh>
    <rPh sb="41" eb="43">
      <t>シヨウ</t>
    </rPh>
    <rPh sb="43" eb="46">
      <t>フトウイツ</t>
    </rPh>
    <rPh sb="47" eb="50">
      <t>セイゴウセイ</t>
    </rPh>
    <rPh sb="50" eb="52">
      <t>フリョウ</t>
    </rPh>
    <rPh sb="53" eb="56">
      <t>ヒョウジュンカ</t>
    </rPh>
    <rPh sb="56" eb="58">
      <t>サギョウ</t>
    </rPh>
    <rPh sb="59" eb="61">
      <t>トウシャ</t>
    </rPh>
    <rPh sb="61" eb="63">
      <t>フタン</t>
    </rPh>
    <phoneticPr fontId="2"/>
  </si>
  <si>
    <t>外部委託見積評価ミス</t>
    <rPh sb="0" eb="2">
      <t>ガイブ</t>
    </rPh>
    <rPh sb="2" eb="4">
      <t>イタク</t>
    </rPh>
    <rPh sb="4" eb="6">
      <t>ミツモリ</t>
    </rPh>
    <rPh sb="6" eb="8">
      <t>ヒョウカ</t>
    </rPh>
    <phoneticPr fontId="2"/>
  </si>
  <si>
    <t>外部委託先遅延、外部委託先ギブアップ</t>
    <rPh sb="0" eb="2">
      <t>ガイブ</t>
    </rPh>
    <rPh sb="2" eb="4">
      <t>イタク</t>
    </rPh>
    <rPh sb="4" eb="5">
      <t>サキ</t>
    </rPh>
    <rPh sb="5" eb="7">
      <t>チエン</t>
    </rPh>
    <rPh sb="8" eb="10">
      <t>ガイブ</t>
    </rPh>
    <rPh sb="10" eb="12">
      <t>イタク</t>
    </rPh>
    <rPh sb="12" eb="13">
      <t>サキ</t>
    </rPh>
    <phoneticPr fontId="2"/>
  </si>
  <si>
    <t>契約管理（外部委託）</t>
    <rPh sb="0" eb="2">
      <t>ケイヤク</t>
    </rPh>
    <rPh sb="2" eb="4">
      <t>カンリ</t>
    </rPh>
    <rPh sb="5" eb="7">
      <t>ガイブ</t>
    </rPh>
    <rPh sb="7" eb="9">
      <t>イタク</t>
    </rPh>
    <phoneticPr fontId="2"/>
  </si>
  <si>
    <t>外部委託先との保守契約条件未決定</t>
    <rPh sb="0" eb="2">
      <t>ガイブ</t>
    </rPh>
    <rPh sb="2" eb="4">
      <t>イタク</t>
    </rPh>
    <rPh sb="4" eb="5">
      <t>サキ</t>
    </rPh>
    <rPh sb="7" eb="9">
      <t>ホシュ</t>
    </rPh>
    <rPh sb="9" eb="11">
      <t>ケイヤク</t>
    </rPh>
    <rPh sb="11" eb="13">
      <t>ジョウケン</t>
    </rPh>
    <rPh sb="13" eb="16">
      <t>ミケッテイ</t>
    </rPh>
    <phoneticPr fontId="2"/>
  </si>
  <si>
    <t>保守不能</t>
    <rPh sb="0" eb="2">
      <t>ホシュ</t>
    </rPh>
    <rPh sb="2" eb="4">
      <t>フノウ</t>
    </rPh>
    <phoneticPr fontId="2"/>
  </si>
  <si>
    <t>外部委託先合意形成不足、外部委託契約確認不足
・不明確な発注作業、発注工程
・不明確な最終成果物の仕様
・不明確な作業条件
・不明確な外部委託品納期
・不明確または不十分な成果物およびその品質基準
・不明確な外部委託先管理方法（報告内容、提出物、レビュー、立ち入り検査）
・不明確な各社責任範囲</t>
    <rPh sb="0" eb="2">
      <t>ガイブ</t>
    </rPh>
    <rPh sb="2" eb="4">
      <t>イタク</t>
    </rPh>
    <rPh sb="4" eb="5">
      <t>サキ</t>
    </rPh>
    <rPh sb="5" eb="7">
      <t>ゴウイ</t>
    </rPh>
    <rPh sb="7" eb="9">
      <t>ケイセイ</t>
    </rPh>
    <rPh sb="9" eb="11">
      <t>フソク</t>
    </rPh>
    <rPh sb="12" eb="14">
      <t>ガイブ</t>
    </rPh>
    <rPh sb="14" eb="16">
      <t>イタク</t>
    </rPh>
    <rPh sb="67" eb="69">
      <t>ガイブ</t>
    </rPh>
    <rPh sb="69" eb="71">
      <t>イタク</t>
    </rPh>
    <rPh sb="104" eb="106">
      <t>ガイブ</t>
    </rPh>
    <rPh sb="106" eb="108">
      <t>イタク</t>
    </rPh>
    <rPh sb="108" eb="109">
      <t>サキ</t>
    </rPh>
    <rPh sb="137" eb="140">
      <t>フメイカク</t>
    </rPh>
    <rPh sb="141" eb="143">
      <t>カクシャ</t>
    </rPh>
    <rPh sb="143" eb="145">
      <t>セキニン</t>
    </rPh>
    <rPh sb="145" eb="147">
      <t>ハンイ</t>
    </rPh>
    <phoneticPr fontId="2"/>
  </si>
  <si>
    <t>外部委託先納期遅延、外部委託品品質不良、追加外部委託費用、発注キャンセル、外部委託先ギブアップ、外部委託先管理不能、保守ドキュメント未完成</t>
    <rPh sb="0" eb="2">
      <t>ガイブ</t>
    </rPh>
    <rPh sb="2" eb="4">
      <t>イタク</t>
    </rPh>
    <rPh sb="10" eb="12">
      <t>ガイブ</t>
    </rPh>
    <rPh sb="12" eb="14">
      <t>イタク</t>
    </rPh>
    <rPh sb="22" eb="24">
      <t>ガイブ</t>
    </rPh>
    <rPh sb="24" eb="26">
      <t>イタク</t>
    </rPh>
    <rPh sb="37" eb="39">
      <t>ガイブ</t>
    </rPh>
    <rPh sb="39" eb="41">
      <t>イタク</t>
    </rPh>
    <rPh sb="48" eb="50">
      <t>ガイブ</t>
    </rPh>
    <rPh sb="50" eb="52">
      <t>イタク</t>
    </rPh>
    <rPh sb="52" eb="53">
      <t>サキ</t>
    </rPh>
    <rPh sb="58" eb="60">
      <t>ホシュ</t>
    </rPh>
    <rPh sb="66" eb="69">
      <t>ミカンセイ</t>
    </rPh>
    <phoneticPr fontId="2"/>
  </si>
  <si>
    <t>先行着手の口頭内示</t>
    <rPh sb="0" eb="2">
      <t>センコウ</t>
    </rPh>
    <rPh sb="2" eb="4">
      <t>チャクシュ</t>
    </rPh>
    <rPh sb="5" eb="7">
      <t>コウトウ</t>
    </rPh>
    <rPh sb="7" eb="9">
      <t>ナイジ</t>
    </rPh>
    <phoneticPr fontId="2"/>
  </si>
  <si>
    <t>キャンセル時の出費、契約時の発注額増大</t>
    <rPh sb="5" eb="6">
      <t>ジ</t>
    </rPh>
    <rPh sb="7" eb="9">
      <t>シュッピ</t>
    </rPh>
    <rPh sb="10" eb="12">
      <t>ケイヤク</t>
    </rPh>
    <rPh sb="12" eb="13">
      <t>ジ</t>
    </rPh>
    <rPh sb="14" eb="16">
      <t>ハッチュウ</t>
    </rPh>
    <rPh sb="16" eb="17">
      <t>ガク</t>
    </rPh>
    <rPh sb="17" eb="19">
      <t>ゾウダイ</t>
    </rPh>
    <phoneticPr fontId="2"/>
  </si>
  <si>
    <t>外部委託先管理</t>
    <rPh sb="0" eb="2">
      <t>ガイブ</t>
    </rPh>
    <rPh sb="2" eb="4">
      <t>イタク</t>
    </rPh>
    <rPh sb="4" eb="5">
      <t>サキ</t>
    </rPh>
    <rPh sb="5" eb="7">
      <t>カンリ</t>
    </rPh>
    <phoneticPr fontId="2"/>
  </si>
  <si>
    <t>受入検査省略または不十分な受入検査</t>
    <rPh sb="0" eb="2">
      <t>ウケイレ</t>
    </rPh>
    <rPh sb="2" eb="4">
      <t>ケンサ</t>
    </rPh>
    <rPh sb="4" eb="6">
      <t>ショウリャク</t>
    </rPh>
    <rPh sb="9" eb="12">
      <t>フジュウブン</t>
    </rPh>
    <rPh sb="13" eb="15">
      <t>ウケイレ</t>
    </rPh>
    <rPh sb="15" eb="17">
      <t>ケンサ</t>
    </rPh>
    <phoneticPr fontId="2"/>
  </si>
  <si>
    <t>外部委託品品質不良リカバリのための追加コスト、納期遅延</t>
    <rPh sb="0" eb="2">
      <t>ガイブ</t>
    </rPh>
    <rPh sb="2" eb="4">
      <t>イタク</t>
    </rPh>
    <rPh sb="4" eb="5">
      <t>ヒン</t>
    </rPh>
    <rPh sb="5" eb="7">
      <t>ヒンシツ</t>
    </rPh>
    <rPh sb="7" eb="9">
      <t>フリョウ</t>
    </rPh>
    <rPh sb="17" eb="19">
      <t>ツイカ</t>
    </rPh>
    <rPh sb="23" eb="25">
      <t>ノウキ</t>
    </rPh>
    <rPh sb="25" eb="27">
      <t>チエン</t>
    </rPh>
    <phoneticPr fontId="2"/>
  </si>
  <si>
    <t>外部委託先からの報告精度不良</t>
    <rPh sb="0" eb="2">
      <t>ガイブ</t>
    </rPh>
    <rPh sb="2" eb="4">
      <t>イタク</t>
    </rPh>
    <rPh sb="4" eb="5">
      <t>サキ</t>
    </rPh>
    <rPh sb="8" eb="10">
      <t>ホウコク</t>
    </rPh>
    <rPh sb="10" eb="12">
      <t>セイド</t>
    </rPh>
    <rPh sb="12" eb="14">
      <t>フリョウ</t>
    </rPh>
    <phoneticPr fontId="2"/>
  </si>
  <si>
    <t>問題発見の遅れが事態を深刻化</t>
    <rPh sb="0" eb="2">
      <t>モンダイ</t>
    </rPh>
    <rPh sb="2" eb="4">
      <t>ハッケン</t>
    </rPh>
    <rPh sb="5" eb="6">
      <t>オク</t>
    </rPh>
    <rPh sb="8" eb="10">
      <t>ジタイ</t>
    </rPh>
    <rPh sb="11" eb="14">
      <t>シンコクカ</t>
    </rPh>
    <phoneticPr fontId="2"/>
  </si>
  <si>
    <t>無責任な外部委託先依存</t>
    <rPh sb="0" eb="3">
      <t>ムセキニン</t>
    </rPh>
    <rPh sb="4" eb="6">
      <t>ガイブ</t>
    </rPh>
    <rPh sb="6" eb="8">
      <t>イタク</t>
    </rPh>
    <rPh sb="8" eb="9">
      <t>サキ</t>
    </rPh>
    <rPh sb="9" eb="11">
      <t>イゾン</t>
    </rPh>
    <phoneticPr fontId="2"/>
  </si>
  <si>
    <t>プロジェクト崩れ</t>
    <rPh sb="6" eb="7">
      <t>クズ</t>
    </rPh>
    <phoneticPr fontId="2"/>
  </si>
  <si>
    <t>プロジェクト管理</t>
    <rPh sb="6" eb="8">
      <t>カンリ</t>
    </rPh>
    <phoneticPr fontId="2"/>
  </si>
  <si>
    <t>報告に頼った定性的な進捗管理</t>
    <phoneticPr fontId="2"/>
  </si>
  <si>
    <t>工程遅延の発見遅れ</t>
    <rPh sb="0" eb="2">
      <t>コウテイ</t>
    </rPh>
    <rPh sb="2" eb="4">
      <t>チエン</t>
    </rPh>
    <rPh sb="5" eb="7">
      <t>ハッケン</t>
    </rPh>
    <rPh sb="7" eb="8">
      <t>オク</t>
    </rPh>
    <phoneticPr fontId="2"/>
  </si>
  <si>
    <t>開発要員のモチベーション低下、モラル不足</t>
    <rPh sb="0" eb="2">
      <t>カイハツ</t>
    </rPh>
    <rPh sb="2" eb="4">
      <t>ヨウイン</t>
    </rPh>
    <rPh sb="12" eb="14">
      <t>テイカ</t>
    </rPh>
    <rPh sb="18" eb="20">
      <t>フソク</t>
    </rPh>
    <phoneticPr fontId="2"/>
  </si>
  <si>
    <t>生産性低下、品質不良、工程遅延</t>
    <rPh sb="0" eb="3">
      <t>セイサンセイ</t>
    </rPh>
    <rPh sb="3" eb="5">
      <t>テイカ</t>
    </rPh>
    <rPh sb="6" eb="8">
      <t>ヒンシツ</t>
    </rPh>
    <rPh sb="8" eb="10">
      <t>フリョウ</t>
    </rPh>
    <rPh sb="11" eb="13">
      <t>コウテイ</t>
    </rPh>
    <rPh sb="13" eb="15">
      <t>チエン</t>
    </rPh>
    <phoneticPr fontId="2"/>
  </si>
  <si>
    <t>コミニュケーション不十分（プロジェクト内）</t>
    <rPh sb="9" eb="12">
      <t>フジュウブン</t>
    </rPh>
    <rPh sb="19" eb="20">
      <t>ナイ</t>
    </rPh>
    <phoneticPr fontId="2"/>
  </si>
  <si>
    <t>設計変更連絡漏れ、仕様伝達不十分、作業の重複</t>
    <rPh sb="0" eb="2">
      <t>セッケイ</t>
    </rPh>
    <rPh sb="2" eb="4">
      <t>ヘンコウ</t>
    </rPh>
    <rPh sb="4" eb="6">
      <t>レンラク</t>
    </rPh>
    <rPh sb="6" eb="7">
      <t>モ</t>
    </rPh>
    <rPh sb="9" eb="11">
      <t>シヨウ</t>
    </rPh>
    <rPh sb="11" eb="13">
      <t>デンタツ</t>
    </rPh>
    <rPh sb="13" eb="16">
      <t>フジュウブン</t>
    </rPh>
    <rPh sb="17" eb="19">
      <t>サギョウ</t>
    </rPh>
    <rPh sb="20" eb="22">
      <t>チョウフク</t>
    </rPh>
    <phoneticPr fontId="2"/>
  </si>
  <si>
    <t>コミニュケーション不十分（プロジェクト外）</t>
    <rPh sb="9" eb="12">
      <t>フジュウブン</t>
    </rPh>
    <rPh sb="19" eb="20">
      <t>ソト</t>
    </rPh>
    <phoneticPr fontId="2"/>
  </si>
  <si>
    <t>顧客ニーズの把握不足、営業担当情報の把握不足、外注先へのクレーム遅延</t>
    <rPh sb="0" eb="2">
      <t>コキャク</t>
    </rPh>
    <rPh sb="6" eb="8">
      <t>ハアク</t>
    </rPh>
    <rPh sb="8" eb="10">
      <t>フソク</t>
    </rPh>
    <rPh sb="11" eb="13">
      <t>エイギョウ</t>
    </rPh>
    <rPh sb="13" eb="15">
      <t>タントウ</t>
    </rPh>
    <rPh sb="15" eb="17">
      <t>ジョウホウ</t>
    </rPh>
    <rPh sb="18" eb="20">
      <t>ハアク</t>
    </rPh>
    <rPh sb="20" eb="22">
      <t>フソク</t>
    </rPh>
    <rPh sb="23" eb="26">
      <t>ガイチュウサキ</t>
    </rPh>
    <rPh sb="32" eb="34">
      <t>チエン</t>
    </rPh>
    <phoneticPr fontId="2"/>
  </si>
  <si>
    <t>当社の工程遅延</t>
    <phoneticPr fontId="2"/>
  </si>
  <si>
    <t>外部システム開発への影響により損害賠償</t>
    <rPh sb="0" eb="2">
      <t>ガイブ</t>
    </rPh>
    <rPh sb="6" eb="8">
      <t>カイハツ</t>
    </rPh>
    <rPh sb="10" eb="12">
      <t>エイキョウ</t>
    </rPh>
    <rPh sb="15" eb="17">
      <t>ソンガイ</t>
    </rPh>
    <rPh sb="17" eb="19">
      <t>バイショウ</t>
    </rPh>
    <phoneticPr fontId="2"/>
  </si>
  <si>
    <t>不適切な変更管理、構成管理</t>
    <rPh sb="0" eb="3">
      <t>フテキセツ</t>
    </rPh>
    <rPh sb="4" eb="6">
      <t>ヘンコウ</t>
    </rPh>
    <rPh sb="6" eb="8">
      <t>カンリ</t>
    </rPh>
    <rPh sb="9" eb="11">
      <t>コウセイ</t>
    </rPh>
    <rPh sb="11" eb="13">
      <t>カンリ</t>
    </rPh>
    <phoneticPr fontId="2"/>
  </si>
  <si>
    <t>デグレード、修正ミスの多発</t>
    <rPh sb="6" eb="8">
      <t>シュウセイ</t>
    </rPh>
    <rPh sb="11" eb="13">
      <t>タハツ</t>
    </rPh>
    <phoneticPr fontId="2"/>
  </si>
  <si>
    <t>不適切な原価管理</t>
    <rPh sb="0" eb="3">
      <t>フテキセツ</t>
    </rPh>
    <rPh sb="4" eb="6">
      <t>ゲンカ</t>
    </rPh>
    <rPh sb="6" eb="8">
      <t>カンリ</t>
    </rPh>
    <phoneticPr fontId="2"/>
  </si>
  <si>
    <t>コストオーバー</t>
    <phoneticPr fontId="2"/>
  </si>
  <si>
    <t>不適切な機密管理</t>
    <rPh sb="0" eb="3">
      <t>フテキセツ</t>
    </rPh>
    <rPh sb="4" eb="6">
      <t>キミツ</t>
    </rPh>
    <rPh sb="6" eb="8">
      <t>カンリ</t>
    </rPh>
    <phoneticPr fontId="2"/>
  </si>
  <si>
    <t>不適切な開発環境管理、バックアップの欠落</t>
    <rPh sb="0" eb="3">
      <t>フテキセツ</t>
    </rPh>
    <rPh sb="4" eb="6">
      <t>カイハツ</t>
    </rPh>
    <rPh sb="6" eb="8">
      <t>カンキョウ</t>
    </rPh>
    <rPh sb="8" eb="10">
      <t>カンリ</t>
    </rPh>
    <rPh sb="18" eb="20">
      <t>ケツラク</t>
    </rPh>
    <phoneticPr fontId="2"/>
  </si>
  <si>
    <t>ソース、データの破壊に伴う手戻り</t>
    <rPh sb="8" eb="10">
      <t>ハカイ</t>
    </rPh>
    <rPh sb="11" eb="12">
      <t>トモナ</t>
    </rPh>
    <rPh sb="13" eb="14">
      <t>テ</t>
    </rPh>
    <rPh sb="14" eb="15">
      <t>モド</t>
    </rPh>
    <phoneticPr fontId="2"/>
  </si>
  <si>
    <t>ウィルス感染防止</t>
    <rPh sb="4" eb="6">
      <t>カンセン</t>
    </rPh>
    <rPh sb="6" eb="8">
      <t>ボウシ</t>
    </rPh>
    <phoneticPr fontId="2"/>
  </si>
  <si>
    <t>ウィルスの社外流出</t>
    <rPh sb="5" eb="7">
      <t>シャガイ</t>
    </rPh>
    <rPh sb="7" eb="9">
      <t>リュウシュツ</t>
    </rPh>
    <phoneticPr fontId="2"/>
  </si>
  <si>
    <t>工程遅延状態および品質状況の把握不十分
・遅延回復に必要な情報が不十分
・リカバリの難易度が不明
・エキスパートによる妥当性評価(必要スキル、期間など）なし</t>
    <rPh sb="0" eb="2">
      <t>コウテイ</t>
    </rPh>
    <rPh sb="2" eb="4">
      <t>チエン</t>
    </rPh>
    <rPh sb="4" eb="6">
      <t>ジョウタイ</t>
    </rPh>
    <rPh sb="9" eb="11">
      <t>ヒンシツ</t>
    </rPh>
    <rPh sb="11" eb="13">
      <t>ジョウキョウ</t>
    </rPh>
    <rPh sb="14" eb="16">
      <t>ハアク</t>
    </rPh>
    <rPh sb="16" eb="19">
      <t>フジュウブン</t>
    </rPh>
    <rPh sb="21" eb="23">
      <t>チエン</t>
    </rPh>
    <rPh sb="23" eb="25">
      <t>カイフク</t>
    </rPh>
    <rPh sb="26" eb="28">
      <t>ヒツヨウ</t>
    </rPh>
    <rPh sb="29" eb="31">
      <t>ジョウホウ</t>
    </rPh>
    <rPh sb="32" eb="35">
      <t>フジュウブン</t>
    </rPh>
    <rPh sb="42" eb="45">
      <t>ナンイド</t>
    </rPh>
    <rPh sb="46" eb="48">
      <t>フメイ</t>
    </rPh>
    <rPh sb="59" eb="62">
      <t>ダトウセイ</t>
    </rPh>
    <rPh sb="62" eb="64">
      <t>ヒョウカ</t>
    </rPh>
    <rPh sb="65" eb="67">
      <t>ヒツヨウ</t>
    </rPh>
    <rPh sb="71" eb="73">
      <t>キカン</t>
    </rPh>
    <phoneticPr fontId="2"/>
  </si>
  <si>
    <t>リカバリ不充分（テスト時であればテスト不充分）、品質不良、問題の先延ばし</t>
    <rPh sb="4" eb="7">
      <t>フジュウブン</t>
    </rPh>
    <rPh sb="11" eb="12">
      <t>ドキ</t>
    </rPh>
    <rPh sb="19" eb="22">
      <t>フジュウブン</t>
    </rPh>
    <rPh sb="24" eb="26">
      <t>ヒンシツ</t>
    </rPh>
    <rPh sb="26" eb="28">
      <t>フリョウ</t>
    </rPh>
    <rPh sb="29" eb="31">
      <t>モンダイ</t>
    </rPh>
    <rPh sb="32" eb="34">
      <t>サキノ</t>
    </rPh>
    <phoneticPr fontId="2"/>
  </si>
  <si>
    <t>製造</t>
    <rPh sb="0" eb="2">
      <t>セイゾウ</t>
    </rPh>
    <phoneticPr fontId="2"/>
  </si>
  <si>
    <t>テスト</t>
    <phoneticPr fontId="2"/>
  </si>
  <si>
    <t>流用母体の品質不良</t>
    <rPh sb="0" eb="2">
      <t>リュウヨウ</t>
    </rPh>
    <rPh sb="2" eb="4">
      <t>ボタイ</t>
    </rPh>
    <rPh sb="5" eb="7">
      <t>ヒンシツ</t>
    </rPh>
    <rPh sb="7" eb="9">
      <t>フリョウ</t>
    </rPh>
    <phoneticPr fontId="2"/>
  </si>
  <si>
    <t>デバッグ時間の肥大、修正時の影響分析漏れ多発</t>
    <rPh sb="4" eb="6">
      <t>ジカン</t>
    </rPh>
    <rPh sb="7" eb="9">
      <t>ヒダイ</t>
    </rPh>
    <rPh sb="10" eb="12">
      <t>シュウセイ</t>
    </rPh>
    <rPh sb="12" eb="13">
      <t>ジ</t>
    </rPh>
    <rPh sb="14" eb="16">
      <t>エイキョウ</t>
    </rPh>
    <rPh sb="16" eb="18">
      <t>ブンセキ</t>
    </rPh>
    <rPh sb="18" eb="19">
      <t>モ</t>
    </rPh>
    <rPh sb="20" eb="22">
      <t>タハツ</t>
    </rPh>
    <phoneticPr fontId="2"/>
  </si>
  <si>
    <t>システムテスト（検収条件確認）不足</t>
    <rPh sb="8" eb="10">
      <t>ケンシュウ</t>
    </rPh>
    <rPh sb="10" eb="12">
      <t>ジョウケン</t>
    </rPh>
    <rPh sb="12" eb="14">
      <t>カクニン</t>
    </rPh>
    <rPh sb="15" eb="17">
      <t>フソク</t>
    </rPh>
    <phoneticPr fontId="2"/>
  </si>
  <si>
    <t>検収不合格、重大な手戻り</t>
    <rPh sb="0" eb="2">
      <t>ケンシュウ</t>
    </rPh>
    <rPh sb="2" eb="3">
      <t>フ</t>
    </rPh>
    <rPh sb="3" eb="5">
      <t>ゴウカク</t>
    </rPh>
    <rPh sb="6" eb="8">
      <t>ジュウダイ</t>
    </rPh>
    <rPh sb="9" eb="10">
      <t>テ</t>
    </rPh>
    <rPh sb="10" eb="11">
      <t>モド</t>
    </rPh>
    <phoneticPr fontId="2"/>
  </si>
  <si>
    <t>システムテスト（本番環境テスト）不足</t>
    <rPh sb="8" eb="10">
      <t>ホンバン</t>
    </rPh>
    <rPh sb="10" eb="12">
      <t>カンキョウ</t>
    </rPh>
    <rPh sb="16" eb="18">
      <t>フソク</t>
    </rPh>
    <phoneticPr fontId="2"/>
  </si>
  <si>
    <t>性能不良、高負荷でダウン、予定外のデータにより業務結果不正、ディスク容量不足、メモリ不足でダウン、障害回復不能、機密漏洩事故</t>
    <rPh sb="0" eb="2">
      <t>セイノウ</t>
    </rPh>
    <rPh sb="2" eb="4">
      <t>フリョウ</t>
    </rPh>
    <rPh sb="5" eb="6">
      <t>コウ</t>
    </rPh>
    <rPh sb="6" eb="8">
      <t>フカ</t>
    </rPh>
    <rPh sb="13" eb="16">
      <t>ヨテイガイ</t>
    </rPh>
    <rPh sb="23" eb="25">
      <t>ギョウム</t>
    </rPh>
    <rPh sb="25" eb="27">
      <t>ケッカ</t>
    </rPh>
    <rPh sb="27" eb="29">
      <t>フセイ</t>
    </rPh>
    <rPh sb="34" eb="36">
      <t>ヨウリョウ</t>
    </rPh>
    <rPh sb="36" eb="38">
      <t>フソク</t>
    </rPh>
    <rPh sb="42" eb="44">
      <t>フソク</t>
    </rPh>
    <rPh sb="49" eb="51">
      <t>ショウガイジ</t>
    </rPh>
    <rPh sb="51" eb="53">
      <t>カイフク</t>
    </rPh>
    <rPh sb="53" eb="55">
      <t>フノウ</t>
    </rPh>
    <rPh sb="56" eb="58">
      <t>キミツ</t>
    </rPh>
    <rPh sb="58" eb="60">
      <t>ロウエイ</t>
    </rPh>
    <rPh sb="60" eb="62">
      <t>ジコ</t>
    </rPh>
    <phoneticPr fontId="2"/>
  </si>
  <si>
    <t>結合テスト不足（テスト密度、テスト網羅度）</t>
    <rPh sb="0" eb="2">
      <t>ケツゴウ</t>
    </rPh>
    <rPh sb="5" eb="7">
      <t>フソク</t>
    </rPh>
    <phoneticPr fontId="2"/>
  </si>
  <si>
    <t>業務結果不正、運用不能、設計不良見逃し、データ不整合見逃し、検収不合格、データリカバリコスト増大、検証時間増大、手戻りが大きな出荷後障害</t>
    <rPh sb="0" eb="2">
      <t>ギョウム</t>
    </rPh>
    <rPh sb="2" eb="4">
      <t>ケッカ</t>
    </rPh>
    <rPh sb="4" eb="6">
      <t>フセイ</t>
    </rPh>
    <rPh sb="7" eb="9">
      <t>ウンヨウ</t>
    </rPh>
    <rPh sb="9" eb="11">
      <t>フノウ</t>
    </rPh>
    <rPh sb="12" eb="14">
      <t>セッケイ</t>
    </rPh>
    <rPh sb="14" eb="16">
      <t>フリョウ</t>
    </rPh>
    <rPh sb="16" eb="18">
      <t>ミノガ</t>
    </rPh>
    <rPh sb="23" eb="26">
      <t>フセイゴウ</t>
    </rPh>
    <rPh sb="26" eb="28">
      <t>ミノガ</t>
    </rPh>
    <rPh sb="30" eb="32">
      <t>ケンシュウ</t>
    </rPh>
    <rPh sb="32" eb="33">
      <t>フ</t>
    </rPh>
    <rPh sb="33" eb="35">
      <t>ゴウカク</t>
    </rPh>
    <rPh sb="46" eb="48">
      <t>ゾウダイ</t>
    </rPh>
    <rPh sb="49" eb="51">
      <t>ケンショウ</t>
    </rPh>
    <rPh sb="51" eb="53">
      <t>ジカン</t>
    </rPh>
    <rPh sb="53" eb="55">
      <t>ゾウダイ</t>
    </rPh>
    <rPh sb="56" eb="57">
      <t>テ</t>
    </rPh>
    <rPh sb="57" eb="58">
      <t>モド</t>
    </rPh>
    <rPh sb="60" eb="61">
      <t>オオ</t>
    </rPh>
    <rPh sb="63" eb="65">
      <t>シュッカ</t>
    </rPh>
    <rPh sb="65" eb="66">
      <t>ゴ</t>
    </rPh>
    <rPh sb="66" eb="68">
      <t>ショウガイ</t>
    </rPh>
    <phoneticPr fontId="2"/>
  </si>
  <si>
    <t>単体テスト不足（テスト密度、テスト網羅度）</t>
    <rPh sb="0" eb="2">
      <t>タンタイ</t>
    </rPh>
    <rPh sb="5" eb="7">
      <t>フソク</t>
    </rPh>
    <rPh sb="11" eb="13">
      <t>ミツド</t>
    </rPh>
    <rPh sb="17" eb="19">
      <t>モウラ</t>
    </rPh>
    <rPh sb="19" eb="20">
      <t>ド</t>
    </rPh>
    <phoneticPr fontId="2"/>
  </si>
  <si>
    <t>後工程の効率低下、結合テストの停滞、例外発生時の出荷後障害、境界条件での不具合多発</t>
    <rPh sb="0" eb="1">
      <t>アト</t>
    </rPh>
    <rPh sb="1" eb="3">
      <t>コウテイ</t>
    </rPh>
    <rPh sb="4" eb="6">
      <t>コウリツ</t>
    </rPh>
    <rPh sb="6" eb="8">
      <t>テイカ</t>
    </rPh>
    <rPh sb="9" eb="11">
      <t>ケツゴウ</t>
    </rPh>
    <rPh sb="15" eb="17">
      <t>テイタイ</t>
    </rPh>
    <rPh sb="18" eb="20">
      <t>レイガイ</t>
    </rPh>
    <rPh sb="20" eb="22">
      <t>ハッセイ</t>
    </rPh>
    <rPh sb="22" eb="23">
      <t>ジ</t>
    </rPh>
    <rPh sb="24" eb="26">
      <t>シュッカ</t>
    </rPh>
    <rPh sb="26" eb="27">
      <t>ゴ</t>
    </rPh>
    <rPh sb="27" eb="29">
      <t>ショウガイ</t>
    </rPh>
    <rPh sb="30" eb="32">
      <t>キョウカイ</t>
    </rPh>
    <rPh sb="32" eb="34">
      <t>ジョウケン</t>
    </rPh>
    <rPh sb="36" eb="39">
      <t>フグアイ</t>
    </rPh>
    <rPh sb="39" eb="41">
      <t>タハツ</t>
    </rPh>
    <phoneticPr fontId="2"/>
  </si>
  <si>
    <t>稼働環境（ＯＳ、マシン、ブラウザ種類、ＰＤＡ種類、ソフトバージョン）テストの不足</t>
    <rPh sb="0" eb="2">
      <t>カドウ</t>
    </rPh>
    <rPh sb="2" eb="4">
      <t>カンキョウ</t>
    </rPh>
    <rPh sb="16" eb="18">
      <t>シュルイ</t>
    </rPh>
    <rPh sb="22" eb="24">
      <t>シュルイ</t>
    </rPh>
    <rPh sb="38" eb="40">
      <t>フソク</t>
    </rPh>
    <phoneticPr fontId="2"/>
  </si>
  <si>
    <t>環境依存の不具合、環境側不具合によるワークアラウンド、テスト工数の肥大</t>
    <rPh sb="0" eb="2">
      <t>カンキョウ</t>
    </rPh>
    <rPh sb="2" eb="4">
      <t>イゾン</t>
    </rPh>
    <rPh sb="5" eb="8">
      <t>フグアイ</t>
    </rPh>
    <rPh sb="9" eb="11">
      <t>カンキョウ</t>
    </rPh>
    <rPh sb="11" eb="12">
      <t>ガワ</t>
    </rPh>
    <rPh sb="12" eb="15">
      <t>フグアイ</t>
    </rPh>
    <rPh sb="30" eb="32">
      <t>コウスウ</t>
    </rPh>
    <rPh sb="33" eb="35">
      <t>ヒダイ</t>
    </rPh>
    <phoneticPr fontId="2"/>
  </si>
  <si>
    <t>移行</t>
    <rPh sb="0" eb="2">
      <t>イコウ</t>
    </rPh>
    <phoneticPr fontId="2"/>
  </si>
  <si>
    <t>移行作業ミス</t>
    <rPh sb="0" eb="2">
      <t>イコウ</t>
    </rPh>
    <rPh sb="2" eb="4">
      <t>サギョウ</t>
    </rPh>
    <phoneticPr fontId="2"/>
  </si>
  <si>
    <t>データ消失、業務停止</t>
    <rPh sb="3" eb="5">
      <t>ショウシツ</t>
    </rPh>
    <rPh sb="6" eb="8">
      <t>ギョウム</t>
    </rPh>
    <rPh sb="8" eb="10">
      <t>テイシ</t>
    </rPh>
    <phoneticPr fontId="2"/>
  </si>
  <si>
    <t>データ移行結果確認不足</t>
    <rPh sb="3" eb="5">
      <t>イコウ</t>
    </rPh>
    <rPh sb="5" eb="7">
      <t>ケッカ</t>
    </rPh>
    <rPh sb="7" eb="9">
      <t>カクニン</t>
    </rPh>
    <rPh sb="9" eb="11">
      <t>フソク</t>
    </rPh>
    <phoneticPr fontId="2"/>
  </si>
  <si>
    <t>データ破壊、重大障害</t>
    <rPh sb="3" eb="5">
      <t>ハカイ</t>
    </rPh>
    <rPh sb="6" eb="8">
      <t>ジュウダイ</t>
    </rPh>
    <rPh sb="8" eb="10">
      <t>ショウガイ</t>
    </rPh>
    <phoneticPr fontId="2"/>
  </si>
  <si>
    <t>本番移行リスクの検討不足</t>
    <rPh sb="0" eb="2">
      <t>ホンバン</t>
    </rPh>
    <rPh sb="2" eb="4">
      <t>イコウ</t>
    </rPh>
    <rPh sb="8" eb="10">
      <t>ケントウ</t>
    </rPh>
    <rPh sb="10" eb="12">
      <t>フソク</t>
    </rPh>
    <phoneticPr fontId="2"/>
  </si>
  <si>
    <t>業務停止、重大障害</t>
    <rPh sb="0" eb="2">
      <t>ギョウム</t>
    </rPh>
    <rPh sb="2" eb="4">
      <t>テイシ</t>
    </rPh>
    <rPh sb="5" eb="7">
      <t>ジュウダイ</t>
    </rPh>
    <rPh sb="7" eb="9">
      <t>ショウガイ</t>
    </rPh>
    <phoneticPr fontId="2"/>
  </si>
  <si>
    <t>店舗会計step2</t>
    <rPh sb="0" eb="4">
      <t>テンポカイケイ</t>
    </rPh>
    <phoneticPr fontId="2"/>
  </si>
  <si>
    <t>リスクイベント</t>
    <phoneticPr fontId="2"/>
  </si>
  <si>
    <t xml:space="preserve">顧客側のレビュー担当者が複数案件（店舗会計STEP1、共通管理、インボイス、取引データ化、ほか）を担当していることから、レビュー作業が停滞する。
</t>
    <rPh sb="0" eb="2">
      <t>コキャク</t>
    </rPh>
    <rPh sb="2" eb="3">
      <t>ガワ</t>
    </rPh>
    <rPh sb="8" eb="11">
      <t>タントウシャ</t>
    </rPh>
    <rPh sb="12" eb="14">
      <t>フクスウ</t>
    </rPh>
    <rPh sb="14" eb="16">
      <t>アンケン</t>
    </rPh>
    <rPh sb="17" eb="21">
      <t>テンポカイケイ</t>
    </rPh>
    <rPh sb="27" eb="31">
      <t>キョウツウカンリ</t>
    </rPh>
    <rPh sb="38" eb="40">
      <t>トリヒキ</t>
    </rPh>
    <rPh sb="43" eb="44">
      <t>カ</t>
    </rPh>
    <rPh sb="49" eb="51">
      <t>タントウ</t>
    </rPh>
    <rPh sb="64" eb="66">
      <t>サギョウ</t>
    </rPh>
    <rPh sb="67" eb="69">
      <t>テイタイ</t>
    </rPh>
    <phoneticPr fontId="2"/>
  </si>
  <si>
    <t xml:space="preserve">作業待ちが発生し、リカバリのため、要員追加が必要となる。
[1人月]
レビュー遅延による待機・リカバリ工数5人日*４レビュー想定
</t>
    <rPh sb="0" eb="2">
      <t>サギョウ</t>
    </rPh>
    <rPh sb="2" eb="3">
      <t>マ</t>
    </rPh>
    <rPh sb="5" eb="7">
      <t>ハッセイ</t>
    </rPh>
    <rPh sb="17" eb="19">
      <t>ヨウイン</t>
    </rPh>
    <rPh sb="19" eb="21">
      <t>ツイカ</t>
    </rPh>
    <rPh sb="22" eb="24">
      <t>ヒツヨウ</t>
    </rPh>
    <rPh sb="32" eb="33">
      <t>ニン</t>
    </rPh>
    <rPh sb="33" eb="34">
      <t>ゲツ</t>
    </rPh>
    <rPh sb="40" eb="42">
      <t>チエン</t>
    </rPh>
    <rPh sb="45" eb="47">
      <t>タイキ</t>
    </rPh>
    <rPh sb="52" eb="54">
      <t>コウスウ</t>
    </rPh>
    <rPh sb="55" eb="56">
      <t>ニン</t>
    </rPh>
    <rPh sb="56" eb="57">
      <t>ヒ</t>
    </rPh>
    <rPh sb="63" eb="65">
      <t>ソウテイ</t>
    </rPh>
    <phoneticPr fontId="2"/>
  </si>
  <si>
    <t>外部設計期間中</t>
    <rPh sb="0" eb="4">
      <t>ガイブセッケイ</t>
    </rPh>
    <rPh sb="4" eb="7">
      <t>キカンチュウ</t>
    </rPh>
    <phoneticPr fontId="2"/>
  </si>
  <si>
    <t>・社内外含めた事前レビュースケジュール計画・予定を合意する。
・遅延起因としてスケジュール超過の場合は影響及び追加対応が発生する旨前提条件に追加する。</t>
    <rPh sb="1" eb="3">
      <t>シャナイ</t>
    </rPh>
    <rPh sb="3" eb="4">
      <t>ガイ</t>
    </rPh>
    <rPh sb="4" eb="5">
      <t>フク</t>
    </rPh>
    <rPh sb="7" eb="9">
      <t>ジゼン</t>
    </rPh>
    <rPh sb="19" eb="21">
      <t>ケイカク</t>
    </rPh>
    <rPh sb="22" eb="24">
      <t>ヨテイ</t>
    </rPh>
    <rPh sb="25" eb="27">
      <t>ゴウイ</t>
    </rPh>
    <rPh sb="32" eb="34">
      <t>チエン</t>
    </rPh>
    <rPh sb="34" eb="36">
      <t>キイン</t>
    </rPh>
    <rPh sb="45" eb="47">
      <t>チョウカ</t>
    </rPh>
    <rPh sb="48" eb="50">
      <t>バアイ</t>
    </rPh>
    <rPh sb="51" eb="53">
      <t>エイキョウ</t>
    </rPh>
    <rPh sb="53" eb="54">
      <t>オヨ</t>
    </rPh>
    <rPh sb="55" eb="57">
      <t>ツイカ</t>
    </rPh>
    <rPh sb="57" eb="59">
      <t>タイオウ</t>
    </rPh>
    <rPh sb="60" eb="62">
      <t>ハッセイ</t>
    </rPh>
    <rPh sb="64" eb="65">
      <t>ムネ</t>
    </rPh>
    <rPh sb="65" eb="67">
      <t>ゼンテイ</t>
    </rPh>
    <rPh sb="67" eb="69">
      <t>ジョウケン</t>
    </rPh>
    <rPh sb="70" eb="72">
      <t>ツイカ</t>
    </rPh>
    <phoneticPr fontId="2"/>
  </si>
  <si>
    <t>高橋慎</t>
    <rPh sb="0" eb="2">
      <t>タカハシ</t>
    </rPh>
    <rPh sb="2" eb="3">
      <t>シン</t>
    </rPh>
    <phoneticPr fontId="2"/>
  </si>
  <si>
    <t>外部設計終了まで</t>
    <phoneticPr fontId="2"/>
  </si>
  <si>
    <t>・顧客タスクの進捗遅延</t>
    <rPh sb="1" eb="3">
      <t>コキャク</t>
    </rPh>
    <rPh sb="7" eb="9">
      <t>シンチョク</t>
    </rPh>
    <rPh sb="9" eb="11">
      <t>チエン</t>
    </rPh>
    <phoneticPr fontId="2"/>
  </si>
  <si>
    <t xml:space="preserve">スケジュールへの影響と対応策を顧客へ説明し、併せて変更管理を合意する
</t>
    <phoneticPr fontId="2"/>
  </si>
  <si>
    <t>提示するコストが顧客の予算に収まらないことから、要件定義に引き続き外部設計工程でも機能削減の検討・提案を求められる。</t>
    <rPh sb="0" eb="2">
      <t>テイジ</t>
    </rPh>
    <rPh sb="8" eb="10">
      <t>コキャク</t>
    </rPh>
    <rPh sb="11" eb="13">
      <t>ヨサン</t>
    </rPh>
    <rPh sb="14" eb="15">
      <t>オサ</t>
    </rPh>
    <rPh sb="24" eb="28">
      <t>ヨウケンテイギ</t>
    </rPh>
    <rPh sb="29" eb="30">
      <t>ヒ</t>
    </rPh>
    <rPh sb="31" eb="32">
      <t>ツヅ</t>
    </rPh>
    <rPh sb="33" eb="39">
      <t>ガイブセッケイコウテイ</t>
    </rPh>
    <rPh sb="41" eb="43">
      <t>キノウ</t>
    </rPh>
    <rPh sb="43" eb="45">
      <t>サクゲン</t>
    </rPh>
    <rPh sb="46" eb="48">
      <t>ケントウ</t>
    </rPh>
    <rPh sb="49" eb="51">
      <t>テイアン</t>
    </rPh>
    <rPh sb="52" eb="53">
      <t>モト</t>
    </rPh>
    <phoneticPr fontId="2"/>
  </si>
  <si>
    <t>費用削減に向けた、検討・提案のため、スケジュールが遅延し、要員追加が必要となる。
[2人月]
2人月×1か月
※継続機能削減の検討・提案活動
工数</t>
    <rPh sb="0" eb="4">
      <t>ヒヨウサクゲン</t>
    </rPh>
    <rPh sb="5" eb="6">
      <t>ム</t>
    </rPh>
    <rPh sb="9" eb="11">
      <t>ケントウ</t>
    </rPh>
    <rPh sb="12" eb="14">
      <t>テイアン</t>
    </rPh>
    <rPh sb="25" eb="27">
      <t>チエン</t>
    </rPh>
    <rPh sb="29" eb="31">
      <t>ヨウイン</t>
    </rPh>
    <rPh sb="31" eb="33">
      <t>ツイカ</t>
    </rPh>
    <rPh sb="49" eb="51">
      <t>ニンゲツ</t>
    </rPh>
    <rPh sb="54" eb="55">
      <t>ゲツ</t>
    </rPh>
    <phoneticPr fontId="2"/>
  </si>
  <si>
    <t>軽減</t>
    <rPh sb="0" eb="2">
      <t>ケイゲン</t>
    </rPh>
    <phoneticPr fontId="2"/>
  </si>
  <si>
    <t>・要件定義工程で削減案を継続提示。
・外部設計工程時に、参考価格として全体費用を提示し、早期判断を仰ぐ。</t>
    <rPh sb="1" eb="5">
      <t>ヨウケンテイギ</t>
    </rPh>
    <rPh sb="5" eb="7">
      <t>コウテイ</t>
    </rPh>
    <rPh sb="8" eb="11">
      <t>サクゲンアン</t>
    </rPh>
    <rPh sb="12" eb="14">
      <t>ケイゾク</t>
    </rPh>
    <rPh sb="14" eb="16">
      <t>テイジ</t>
    </rPh>
    <rPh sb="19" eb="25">
      <t>ガイブセッケイコウテイ</t>
    </rPh>
    <rPh sb="25" eb="26">
      <t>ジ</t>
    </rPh>
    <rPh sb="28" eb="32">
      <t>サンコウカカク</t>
    </rPh>
    <rPh sb="35" eb="37">
      <t>ゼンタイ</t>
    </rPh>
    <rPh sb="37" eb="39">
      <t>ヒヨウ</t>
    </rPh>
    <rPh sb="40" eb="42">
      <t>テイジ</t>
    </rPh>
    <rPh sb="44" eb="46">
      <t>ソウキ</t>
    </rPh>
    <rPh sb="46" eb="48">
      <t>ハンダン</t>
    </rPh>
    <rPh sb="49" eb="50">
      <t>アオ</t>
    </rPh>
    <phoneticPr fontId="2"/>
  </si>
  <si>
    <t>外部設計終了まで</t>
    <rPh sb="4" eb="6">
      <t>シュウリョウ</t>
    </rPh>
    <phoneticPr fontId="2"/>
  </si>
  <si>
    <t>・追加要員が必要となる削減案の提示要求が判明。</t>
    <rPh sb="1" eb="3">
      <t>ツイカ</t>
    </rPh>
    <rPh sb="3" eb="5">
      <t>ヨウイン</t>
    </rPh>
    <rPh sb="6" eb="8">
      <t>ヒツヨウ</t>
    </rPh>
    <rPh sb="11" eb="14">
      <t>サクゲンアン</t>
    </rPh>
    <rPh sb="15" eb="17">
      <t>テイジ</t>
    </rPh>
    <rPh sb="17" eb="19">
      <t>ヨウキュウ</t>
    </rPh>
    <rPh sb="20" eb="22">
      <t>ハンメイ</t>
    </rPh>
    <phoneticPr fontId="2"/>
  </si>
  <si>
    <t xml:space="preserve">・変更管理へ記載、スケジュールへの影響とタスクスケジュール、追加コストを顧客へ提示し合意する
</t>
    <rPh sb="30" eb="32">
      <t>ツイカ</t>
    </rPh>
    <rPh sb="36" eb="38">
      <t>コキャク</t>
    </rPh>
    <rPh sb="39" eb="41">
      <t>テイジ</t>
    </rPh>
    <phoneticPr fontId="2"/>
  </si>
  <si>
    <t xml:space="preserve">要件定義に引き続き、顧客からの追加要望が発生し、対応スコープが増加する。
</t>
    <rPh sb="0" eb="4">
      <t>ヨウケンテイギ</t>
    </rPh>
    <rPh sb="5" eb="6">
      <t>ヒ</t>
    </rPh>
    <rPh sb="7" eb="8">
      <t>ツヅ</t>
    </rPh>
    <rPh sb="10" eb="12">
      <t>コキャク</t>
    </rPh>
    <rPh sb="15" eb="17">
      <t>ツイカ</t>
    </rPh>
    <rPh sb="17" eb="19">
      <t>ヨウボウ</t>
    </rPh>
    <rPh sb="20" eb="22">
      <t>ハッセイ</t>
    </rPh>
    <rPh sb="24" eb="26">
      <t>タイオウ</t>
    </rPh>
    <rPh sb="31" eb="33">
      <t>ゾウカ</t>
    </rPh>
    <phoneticPr fontId="2"/>
  </si>
  <si>
    <t>追加要件定義が必要となる。
[3人月]
1要件＝1人月
※3要件追加を想定</t>
    <rPh sb="0" eb="2">
      <t>ツイカ</t>
    </rPh>
    <rPh sb="2" eb="6">
      <t>ヨウケンテイギ</t>
    </rPh>
    <rPh sb="7" eb="9">
      <t>ヒツヨウ</t>
    </rPh>
    <rPh sb="17" eb="18">
      <t>ニン</t>
    </rPh>
    <rPh sb="18" eb="19">
      <t>ゲツ</t>
    </rPh>
    <rPh sb="22" eb="24">
      <t>ヨウケン</t>
    </rPh>
    <rPh sb="26" eb="27">
      <t>ニン</t>
    </rPh>
    <rPh sb="27" eb="28">
      <t>ゲツ</t>
    </rPh>
    <rPh sb="31" eb="33">
      <t>ヨウケン</t>
    </rPh>
    <rPh sb="33" eb="35">
      <t>ツイカ</t>
    </rPh>
    <rPh sb="36" eb="38">
      <t>ソウテイ</t>
    </rPh>
    <phoneticPr fontId="2"/>
  </si>
  <si>
    <t>外部設計開始期間中</t>
    <rPh sb="0" eb="4">
      <t>ガイブセッケイ</t>
    </rPh>
    <rPh sb="4" eb="6">
      <t>カイシ</t>
    </rPh>
    <rPh sb="6" eb="9">
      <t>キカンチュウ</t>
    </rPh>
    <phoneticPr fontId="2"/>
  </si>
  <si>
    <t xml:space="preserve">・未決の追加要望については、見積対象外と提案書に明記する。
・新規マスタ検討対象となった場合、即時追加対応として顧客側と調整する。
</t>
    <rPh sb="31" eb="33">
      <t>シンキ</t>
    </rPh>
    <rPh sb="36" eb="38">
      <t>ケントウ</t>
    </rPh>
    <rPh sb="38" eb="40">
      <t>タイショウ</t>
    </rPh>
    <rPh sb="44" eb="46">
      <t>バアイ</t>
    </rPh>
    <rPh sb="47" eb="49">
      <t>ソクジ</t>
    </rPh>
    <rPh sb="49" eb="51">
      <t>ツイカ</t>
    </rPh>
    <rPh sb="51" eb="53">
      <t>タイオウ</t>
    </rPh>
    <rPh sb="56" eb="58">
      <t>コキャク</t>
    </rPh>
    <rPh sb="58" eb="59">
      <t>ガワ</t>
    </rPh>
    <rPh sb="60" eb="62">
      <t>チョウセイ</t>
    </rPh>
    <phoneticPr fontId="2"/>
  </si>
  <si>
    <t>外部設計終了まで</t>
    <rPh sb="0" eb="4">
      <t>ガイブセッケイ</t>
    </rPh>
    <rPh sb="4" eb="6">
      <t>シュウリョウ</t>
    </rPh>
    <phoneticPr fontId="2"/>
  </si>
  <si>
    <t>・他領域との要件時の要望追加</t>
    <rPh sb="1" eb="2">
      <t>タ</t>
    </rPh>
    <rPh sb="2" eb="4">
      <t>リョウイキ</t>
    </rPh>
    <rPh sb="6" eb="8">
      <t>ヨウケン</t>
    </rPh>
    <rPh sb="8" eb="9">
      <t>ジ</t>
    </rPh>
    <rPh sb="10" eb="12">
      <t>ヨウボウ</t>
    </rPh>
    <rPh sb="12" eb="14">
      <t>ツイカ</t>
    </rPh>
    <phoneticPr fontId="2"/>
  </si>
  <si>
    <t xml:space="preserve">CL領域を担当しているNECの要件定義が遅延しており充分なシステム化要件定義ができていないと想定される。このことから、外部設計工程でのI/Fの確定の遅延や、想定外の追加外部設計作業が発生。
</t>
    <rPh sb="5" eb="7">
      <t>タントウ</t>
    </rPh>
    <rPh sb="15" eb="19">
      <t>ヨウケンテイギ</t>
    </rPh>
    <rPh sb="20" eb="22">
      <t>チエン</t>
    </rPh>
    <rPh sb="26" eb="28">
      <t>ジュウブン</t>
    </rPh>
    <rPh sb="33" eb="34">
      <t>カ</t>
    </rPh>
    <rPh sb="34" eb="38">
      <t>ヨウケンテイギ</t>
    </rPh>
    <rPh sb="46" eb="48">
      <t>ソウテイ</t>
    </rPh>
    <rPh sb="59" eb="65">
      <t>ガイブセッケイコウテイ</t>
    </rPh>
    <rPh sb="71" eb="73">
      <t>カクテイ</t>
    </rPh>
    <rPh sb="74" eb="76">
      <t>チエン</t>
    </rPh>
    <rPh sb="78" eb="80">
      <t>ソウテイ</t>
    </rPh>
    <rPh sb="80" eb="81">
      <t>ガイ</t>
    </rPh>
    <rPh sb="82" eb="84">
      <t>ツイカ</t>
    </rPh>
    <rPh sb="84" eb="88">
      <t>ガイブセッケイ</t>
    </rPh>
    <rPh sb="88" eb="90">
      <t>サギョウ</t>
    </rPh>
    <rPh sb="91" eb="93">
      <t>ハッセイ</t>
    </rPh>
    <phoneticPr fontId="2"/>
  </si>
  <si>
    <t xml:space="preserve">CL領域とのI/F確定が遅延又は追加が発生することにより、後続工程でも引き続き外部設計が必要となる。
CL領域とのI/Fにかかる外部設計の延期
[2人月]
2人月×1か月
</t>
    <rPh sb="2" eb="4">
      <t>リョウイキ</t>
    </rPh>
    <rPh sb="9" eb="11">
      <t>カクテイ</t>
    </rPh>
    <rPh sb="12" eb="14">
      <t>チエン</t>
    </rPh>
    <rPh sb="14" eb="15">
      <t>マタ</t>
    </rPh>
    <rPh sb="16" eb="18">
      <t>ツイカ</t>
    </rPh>
    <rPh sb="19" eb="21">
      <t>ハッセイ</t>
    </rPh>
    <rPh sb="29" eb="31">
      <t>コウゾク</t>
    </rPh>
    <rPh sb="31" eb="33">
      <t>コウテイ</t>
    </rPh>
    <rPh sb="35" eb="36">
      <t>ヒ</t>
    </rPh>
    <rPh sb="37" eb="38">
      <t>ツヅ</t>
    </rPh>
    <rPh sb="39" eb="43">
      <t>ガイブセッケイ</t>
    </rPh>
    <rPh sb="54" eb="56">
      <t>リョウイキ</t>
    </rPh>
    <rPh sb="65" eb="69">
      <t>ガイブセッケイ</t>
    </rPh>
    <rPh sb="70" eb="72">
      <t>エンキ</t>
    </rPh>
    <phoneticPr fontId="2"/>
  </si>
  <si>
    <t>・外部設計工程の提案において、I/Fの前提を置いて作業を開始する。
・外部設計工程の作業においても、外部I/Fに関する取り決めスケジュールについて早期に合意を取り付ける。</t>
    <rPh sb="1" eb="5">
      <t>ガイブセッケイ</t>
    </rPh>
    <rPh sb="5" eb="7">
      <t>コウテイ</t>
    </rPh>
    <rPh sb="8" eb="10">
      <t>テイアン</t>
    </rPh>
    <rPh sb="19" eb="21">
      <t>ゼンテイ</t>
    </rPh>
    <rPh sb="22" eb="23">
      <t>オ</t>
    </rPh>
    <rPh sb="25" eb="27">
      <t>サギョウ</t>
    </rPh>
    <rPh sb="28" eb="30">
      <t>カイシ</t>
    </rPh>
    <rPh sb="35" eb="39">
      <t>ガイブセッケイ</t>
    </rPh>
    <rPh sb="39" eb="41">
      <t>コウテイ</t>
    </rPh>
    <rPh sb="42" eb="44">
      <t>サギョウ</t>
    </rPh>
    <rPh sb="50" eb="52">
      <t>ガイブ</t>
    </rPh>
    <rPh sb="56" eb="57">
      <t>カン</t>
    </rPh>
    <rPh sb="59" eb="60">
      <t>ト</t>
    </rPh>
    <rPh sb="61" eb="62">
      <t>キ</t>
    </rPh>
    <rPh sb="73" eb="75">
      <t>ソウキ</t>
    </rPh>
    <rPh sb="76" eb="78">
      <t>ゴウイ</t>
    </rPh>
    <rPh sb="79" eb="80">
      <t>ト</t>
    </rPh>
    <rPh sb="81" eb="82">
      <t>ツ</t>
    </rPh>
    <phoneticPr fontId="2"/>
  </si>
  <si>
    <t>追加要員の必要となる要件定義作業の追加が判明。</t>
    <rPh sb="0" eb="2">
      <t>ツイカ</t>
    </rPh>
    <rPh sb="2" eb="4">
      <t>ヨウイン</t>
    </rPh>
    <rPh sb="5" eb="7">
      <t>ヒツヨウ</t>
    </rPh>
    <rPh sb="10" eb="12">
      <t>ヨウケン</t>
    </rPh>
    <rPh sb="12" eb="14">
      <t>テイギ</t>
    </rPh>
    <rPh sb="14" eb="16">
      <t>サギョウ</t>
    </rPh>
    <rPh sb="17" eb="19">
      <t>ツイカ</t>
    </rPh>
    <rPh sb="20" eb="22">
      <t>ハンメイ</t>
    </rPh>
    <phoneticPr fontId="2"/>
  </si>
  <si>
    <t>・速やかに顧客に報告すると共に、必要に応じスケジュール調整と協議を行う。
・追加要件として整理可能な場合は、変更一覧にて追加要件を管理し、対応時期について顧客と調整。</t>
    <rPh sb="16" eb="18">
      <t>ヒツヨウ</t>
    </rPh>
    <rPh sb="19" eb="20">
      <t>オウ</t>
    </rPh>
    <rPh sb="27" eb="29">
      <t>チョウセイ</t>
    </rPh>
    <rPh sb="30" eb="32">
      <t>キョウギ</t>
    </rPh>
    <rPh sb="33" eb="34">
      <t>オコナ</t>
    </rPh>
    <rPh sb="69" eb="71">
      <t>タイオウ</t>
    </rPh>
    <rPh sb="71" eb="73">
      <t>ジキ</t>
    </rPh>
    <phoneticPr fontId="2"/>
  </si>
  <si>
    <t xml:space="preserve">要件定義に基づく外部設計スコープに対し、CTC側で確認漏れ・考慮漏れがあり、想定外の外部設計作業が発生する。
</t>
    <rPh sb="0" eb="4">
      <t>ヨウケンテイギ</t>
    </rPh>
    <rPh sb="5" eb="6">
      <t>モト</t>
    </rPh>
    <rPh sb="8" eb="12">
      <t>ガイブセッケイ</t>
    </rPh>
    <rPh sb="17" eb="18">
      <t>タイ</t>
    </rPh>
    <rPh sb="23" eb="24">
      <t>ガワ</t>
    </rPh>
    <rPh sb="25" eb="27">
      <t>カクニン</t>
    </rPh>
    <rPh sb="27" eb="28">
      <t>モ</t>
    </rPh>
    <rPh sb="30" eb="33">
      <t>コウリョモ</t>
    </rPh>
    <rPh sb="35" eb="39">
      <t>ガイブセッケイ</t>
    </rPh>
    <rPh sb="39" eb="41">
      <t>サギョウ</t>
    </rPh>
    <rPh sb="42" eb="44">
      <t>ハッセイ</t>
    </rPh>
    <phoneticPr fontId="2"/>
  </si>
  <si>
    <t>追加の外部設計のための新規メンバーのアサインが必要となる。
[4人月]
2人月×2か月</t>
    <rPh sb="0" eb="2">
      <t>ツイカ</t>
    </rPh>
    <rPh sb="3" eb="7">
      <t>ガイブセッケイ</t>
    </rPh>
    <rPh sb="11" eb="13">
      <t>シンキ</t>
    </rPh>
    <phoneticPr fontId="2"/>
  </si>
  <si>
    <t xml:space="preserve">・要件定義の残工程において、追加要望を明確にし、合意していく。
</t>
    <rPh sb="1" eb="5">
      <t>ヨウケンテイギ</t>
    </rPh>
    <rPh sb="6" eb="9">
      <t>ザンコウテイ</t>
    </rPh>
    <rPh sb="14" eb="16">
      <t>ツイカ</t>
    </rPh>
    <rPh sb="16" eb="18">
      <t>ヨウボウ</t>
    </rPh>
    <rPh sb="19" eb="21">
      <t>メイカク</t>
    </rPh>
    <rPh sb="24" eb="26">
      <t>ゴウイ</t>
    </rPh>
    <phoneticPr fontId="2"/>
  </si>
  <si>
    <t>・追加要員が必要となる外部設計作業の追加が判明。</t>
    <rPh sb="1" eb="3">
      <t>ツイカ</t>
    </rPh>
    <rPh sb="3" eb="5">
      <t>ヨウイン</t>
    </rPh>
    <rPh sb="6" eb="8">
      <t>ヒツヨウ</t>
    </rPh>
    <rPh sb="11" eb="15">
      <t>ガイブセッケイ</t>
    </rPh>
    <rPh sb="15" eb="17">
      <t>サギョウ</t>
    </rPh>
    <rPh sb="18" eb="20">
      <t>ツイカ</t>
    </rPh>
    <rPh sb="21" eb="23">
      <t>ハンメイ</t>
    </rPh>
    <phoneticPr fontId="2"/>
  </si>
  <si>
    <t>要件のうち脱ホストに関する検討事項に関し、想定外の技術的な問題が発生。</t>
    <rPh sb="5" eb="6">
      <t>ダツ</t>
    </rPh>
    <rPh sb="10" eb="11">
      <t>カン</t>
    </rPh>
    <rPh sb="13" eb="15">
      <t>ケントウ</t>
    </rPh>
    <rPh sb="15" eb="17">
      <t>ジコウ</t>
    </rPh>
    <rPh sb="18" eb="19">
      <t>カン</t>
    </rPh>
    <rPh sb="21" eb="23">
      <t>ソウテイ</t>
    </rPh>
    <rPh sb="23" eb="24">
      <t>ガイ</t>
    </rPh>
    <rPh sb="29" eb="31">
      <t>モンダイ</t>
    </rPh>
    <rPh sb="32" eb="34">
      <t>ハッセイ</t>
    </rPh>
    <phoneticPr fontId="2"/>
  </si>
  <si>
    <t>脱CTCホストに関する技術的な問題が発生し、外部設計が予定どおり進まない状況が発生、リカバリのた新規メンバーのアサインが必要となる。
[3人月]
3人月×1か月（脱ホスト関連の体制）</t>
    <rPh sb="0" eb="1">
      <t>ダツ</t>
    </rPh>
    <rPh sb="8" eb="9">
      <t>カン</t>
    </rPh>
    <rPh sb="11" eb="14">
      <t>ギジュツテキ</t>
    </rPh>
    <rPh sb="15" eb="17">
      <t>モンダイ</t>
    </rPh>
    <rPh sb="18" eb="20">
      <t>ハッセイ</t>
    </rPh>
    <rPh sb="22" eb="26">
      <t>ガイブセッケイ</t>
    </rPh>
    <rPh sb="27" eb="29">
      <t>ヨテイ</t>
    </rPh>
    <rPh sb="32" eb="33">
      <t>スス</t>
    </rPh>
    <rPh sb="36" eb="38">
      <t>ジョウキョウ</t>
    </rPh>
    <rPh sb="39" eb="41">
      <t>ハッセイ</t>
    </rPh>
    <rPh sb="48" eb="50">
      <t>シンキ</t>
    </rPh>
    <rPh sb="60" eb="62">
      <t>ヒツヨウ</t>
    </rPh>
    <rPh sb="75" eb="76">
      <t>ニン</t>
    </rPh>
    <rPh sb="76" eb="77">
      <t>ゲツ</t>
    </rPh>
    <rPh sb="80" eb="81">
      <t>ゲツ</t>
    </rPh>
    <rPh sb="82" eb="83">
      <t>ダツ</t>
    </rPh>
    <rPh sb="86" eb="88">
      <t>カンレン</t>
    </rPh>
    <rPh sb="89" eb="91">
      <t>タイセイ</t>
    </rPh>
    <phoneticPr fontId="2"/>
  </si>
  <si>
    <t>・検討体制において、技術的な問題を解決するための体制を構築する。
・また、事前に技術的に問題となることが想定される機能についてあ早期情報収集し、解決策を準備しておく。</t>
    <rPh sb="1" eb="3">
      <t>ケントウ</t>
    </rPh>
    <rPh sb="3" eb="5">
      <t>タイセイ</t>
    </rPh>
    <rPh sb="10" eb="13">
      <t>ギジュツテキ</t>
    </rPh>
    <rPh sb="14" eb="16">
      <t>モンダイ</t>
    </rPh>
    <rPh sb="17" eb="19">
      <t>カイケツ</t>
    </rPh>
    <rPh sb="24" eb="26">
      <t>タイセイ</t>
    </rPh>
    <rPh sb="27" eb="29">
      <t>コウチク</t>
    </rPh>
    <rPh sb="37" eb="39">
      <t>ジゼン</t>
    </rPh>
    <rPh sb="40" eb="43">
      <t>ギジュツテキ</t>
    </rPh>
    <rPh sb="44" eb="46">
      <t>モンダイ</t>
    </rPh>
    <rPh sb="52" eb="54">
      <t>ソウテイ</t>
    </rPh>
    <rPh sb="57" eb="59">
      <t>キノウ</t>
    </rPh>
    <rPh sb="64" eb="66">
      <t>ソウキ</t>
    </rPh>
    <rPh sb="66" eb="68">
      <t>ジョウホウ</t>
    </rPh>
    <rPh sb="68" eb="70">
      <t>シュウシュウ</t>
    </rPh>
    <rPh sb="72" eb="75">
      <t>カイケツサク</t>
    </rPh>
    <rPh sb="76" eb="78">
      <t>ジュンビ</t>
    </rPh>
    <phoneticPr fontId="2"/>
  </si>
  <si>
    <t>先行する次期会計STEP1やインボイス他、並行して進む他の開発案件の影響で、要件定義の内容を変更しかねない検討作業が発生。</t>
    <rPh sb="0" eb="2">
      <t>センコウ</t>
    </rPh>
    <rPh sb="4" eb="6">
      <t>ジキ</t>
    </rPh>
    <rPh sb="6" eb="8">
      <t>カイケイ</t>
    </rPh>
    <rPh sb="19" eb="20">
      <t>ホカ</t>
    </rPh>
    <rPh sb="21" eb="23">
      <t>ヘイコウ</t>
    </rPh>
    <rPh sb="25" eb="26">
      <t>スス</t>
    </rPh>
    <rPh sb="27" eb="28">
      <t>タ</t>
    </rPh>
    <rPh sb="29" eb="31">
      <t>カイハツ</t>
    </rPh>
    <rPh sb="31" eb="33">
      <t>アンケン</t>
    </rPh>
    <rPh sb="34" eb="36">
      <t>エイキョウ</t>
    </rPh>
    <rPh sb="38" eb="42">
      <t>ヨウケンテイギ</t>
    </rPh>
    <rPh sb="43" eb="45">
      <t>ナイヨウ</t>
    </rPh>
    <rPh sb="46" eb="48">
      <t>ヘンコウ</t>
    </rPh>
    <rPh sb="53" eb="55">
      <t>ケントウ</t>
    </rPh>
    <rPh sb="55" eb="57">
      <t>サギョウ</t>
    </rPh>
    <rPh sb="58" eb="60">
      <t>ハッセイ</t>
    </rPh>
    <phoneticPr fontId="2"/>
  </si>
  <si>
    <t>・インボイス対応で影響が判明した件については提案時に、インボイス側で対応する方針である旨合意する。
・店舗会計STEP1他プロジェクト間の情報連携を行い、本案件への影響有無を早期検知する。
・リスクが顕在化することが見込まれる場合は、早期参画を促し全体スケジュールへの影響がないよう事前準備する。</t>
    <rPh sb="6" eb="8">
      <t>タイオウ</t>
    </rPh>
    <rPh sb="9" eb="11">
      <t>エイキョウ</t>
    </rPh>
    <rPh sb="12" eb="14">
      <t>ハンメイ</t>
    </rPh>
    <rPh sb="16" eb="17">
      <t>ケン</t>
    </rPh>
    <rPh sb="22" eb="25">
      <t>テイアンジ</t>
    </rPh>
    <rPh sb="32" eb="33">
      <t>ガワ</t>
    </rPh>
    <rPh sb="34" eb="36">
      <t>タイオウ</t>
    </rPh>
    <rPh sb="38" eb="40">
      <t>ホウシン</t>
    </rPh>
    <rPh sb="43" eb="44">
      <t>ムネ</t>
    </rPh>
    <rPh sb="44" eb="46">
      <t>ゴウイ</t>
    </rPh>
    <rPh sb="51" eb="55">
      <t>テンポカイケイ</t>
    </rPh>
    <rPh sb="60" eb="61">
      <t>ホカ</t>
    </rPh>
    <rPh sb="77" eb="78">
      <t>ホン</t>
    </rPh>
    <rPh sb="78" eb="80">
      <t>アンケン</t>
    </rPh>
    <rPh sb="82" eb="84">
      <t>エイキョウ</t>
    </rPh>
    <rPh sb="84" eb="86">
      <t>ウム</t>
    </rPh>
    <rPh sb="87" eb="89">
      <t>ソウキ</t>
    </rPh>
    <rPh sb="89" eb="91">
      <t>ケンチ</t>
    </rPh>
    <rPh sb="100" eb="103">
      <t>ケンザイカ</t>
    </rPh>
    <rPh sb="108" eb="110">
      <t>ミコ</t>
    </rPh>
    <rPh sb="113" eb="115">
      <t>バアイ</t>
    </rPh>
    <phoneticPr fontId="2"/>
  </si>
  <si>
    <t>コロナウィルス感染等の影響により、新規要員のアサインが必要となる。</t>
    <rPh sb="7" eb="9">
      <t>カンセン</t>
    </rPh>
    <rPh sb="9" eb="10">
      <t>トウ</t>
    </rPh>
    <rPh sb="11" eb="13">
      <t>エイキョウ</t>
    </rPh>
    <rPh sb="17" eb="19">
      <t>シンキ</t>
    </rPh>
    <rPh sb="19" eb="21">
      <t>ヨウイン</t>
    </rPh>
    <rPh sb="27" eb="29">
      <t>ヒツヨウ</t>
    </rPh>
    <phoneticPr fontId="2"/>
  </si>
  <si>
    <t>新規メンバーのアサインが必要となる。
[1人月]
1人月×1か月</t>
    <rPh sb="0" eb="2">
      <t>シンキ</t>
    </rPh>
    <rPh sb="12" eb="14">
      <t>ヒツヨウ</t>
    </rPh>
    <rPh sb="32" eb="33">
      <t>ゲツ</t>
    </rPh>
    <phoneticPr fontId="2"/>
  </si>
  <si>
    <t>・感染対策を徹底する。
・テレワークやスライドワークを活用する。
・作業が属人化しないようにタスクをメンバー間で共有する。</t>
    <rPh sb="1" eb="3">
      <t>カンセン</t>
    </rPh>
    <rPh sb="3" eb="5">
      <t>タイサク</t>
    </rPh>
    <rPh sb="6" eb="8">
      <t>テッテイ</t>
    </rPh>
    <rPh sb="27" eb="29">
      <t>カツヨウ</t>
    </rPh>
    <phoneticPr fontId="2"/>
  </si>
  <si>
    <t>追加要員の必要性が判明。</t>
    <rPh sb="0" eb="2">
      <t>ツイカ</t>
    </rPh>
    <rPh sb="2" eb="4">
      <t>ヨウイン</t>
    </rPh>
    <rPh sb="5" eb="8">
      <t>ヒツヨウセイ</t>
    </rPh>
    <rPh sb="9" eb="11">
      <t>ハンメイ</t>
    </rPh>
    <phoneticPr fontId="2"/>
  </si>
  <si>
    <t>・追加アサインを調整。</t>
    <rPh sb="1" eb="3">
      <t>ツイカ</t>
    </rPh>
    <rPh sb="8" eb="10">
      <t>チョウセイ</t>
    </rPh>
    <phoneticPr fontId="2"/>
  </si>
  <si>
    <t>ひとり親</t>
    <rPh sb="3" eb="4">
      <t>オヤ</t>
    </rPh>
    <phoneticPr fontId="2"/>
  </si>
  <si>
    <t>開発ベンダー（TEC社）の源泉徴収税に関する法令の専門知識は持ち合わせていないことから、対応の認識に相違がある可能性がある。</t>
    <rPh sb="0" eb="2">
      <t>カイハツ</t>
    </rPh>
    <rPh sb="13" eb="15">
      <t>ゲンセン</t>
    </rPh>
    <rPh sb="15" eb="17">
      <t>チョウシュウ</t>
    </rPh>
    <rPh sb="17" eb="18">
      <t>ゼイ</t>
    </rPh>
    <rPh sb="19" eb="20">
      <t>カン</t>
    </rPh>
    <rPh sb="22" eb="24">
      <t>ホウレイ</t>
    </rPh>
    <rPh sb="25" eb="27">
      <t>センモン</t>
    </rPh>
    <rPh sb="27" eb="29">
      <t>チシキ</t>
    </rPh>
    <rPh sb="30" eb="31">
      <t>モ</t>
    </rPh>
    <rPh sb="32" eb="33">
      <t>ア</t>
    </rPh>
    <rPh sb="44" eb="46">
      <t>タイオウ</t>
    </rPh>
    <rPh sb="47" eb="49">
      <t>ニンシキ</t>
    </rPh>
    <rPh sb="50" eb="52">
      <t>ソウイ</t>
    </rPh>
    <rPh sb="55" eb="58">
      <t>カノウセイ</t>
    </rPh>
    <phoneticPr fontId="2"/>
  </si>
  <si>
    <t>外部設計書での認識齟齬があり、手戻りや再出荷が発生する。
【外部設計の認識齟齬による手戻り】
外部設計見直し・レビュー工程：1人日
システムテストでの品質強化：5人日</t>
    <rPh sb="0" eb="2">
      <t>ガイブ</t>
    </rPh>
    <rPh sb="2" eb="5">
      <t>セッケイショ</t>
    </rPh>
    <rPh sb="7" eb="9">
      <t>ニンシキ</t>
    </rPh>
    <rPh sb="9" eb="11">
      <t>ソゴ</t>
    </rPh>
    <rPh sb="15" eb="17">
      <t>テモド</t>
    </rPh>
    <rPh sb="19" eb="22">
      <t>サイシュッカ</t>
    </rPh>
    <rPh sb="23" eb="25">
      <t>ハッセイ</t>
    </rPh>
    <rPh sb="31" eb="33">
      <t>ガイブ</t>
    </rPh>
    <rPh sb="33" eb="35">
      <t>セッケイ</t>
    </rPh>
    <rPh sb="36" eb="38">
      <t>ニンシキ</t>
    </rPh>
    <rPh sb="38" eb="40">
      <t>ソゴ</t>
    </rPh>
    <rPh sb="43" eb="45">
      <t>テモド</t>
    </rPh>
    <rPh sb="48" eb="50">
      <t>ガイブ</t>
    </rPh>
    <rPh sb="50" eb="52">
      <t>セッケイ</t>
    </rPh>
    <rPh sb="52" eb="54">
      <t>ミナオ</t>
    </rPh>
    <rPh sb="60" eb="62">
      <t>コウテイ</t>
    </rPh>
    <rPh sb="64" eb="65">
      <t>ニン</t>
    </rPh>
    <rPh sb="65" eb="66">
      <t>ニチ</t>
    </rPh>
    <rPh sb="76" eb="78">
      <t>ヒンシツ</t>
    </rPh>
    <rPh sb="78" eb="80">
      <t>キョウカ</t>
    </rPh>
    <rPh sb="82" eb="83">
      <t>ニン</t>
    </rPh>
    <rPh sb="83" eb="84">
      <t>ニチ</t>
    </rPh>
    <phoneticPr fontId="2"/>
  </si>
  <si>
    <t>外部設計工程</t>
    <phoneticPr fontId="2"/>
  </si>
  <si>
    <t xml:space="preserve">・仕様FIX後は、変更管理プロセスに沿って管理する旨を見積前提条件に明記する。
・外部設計工程でユーザ部署にもレビュー参加を依頼する。
</t>
    <rPh sb="34" eb="36">
      <t>メイキ</t>
    </rPh>
    <phoneticPr fontId="2"/>
  </si>
  <si>
    <t>下斗米</t>
    <rPh sb="0" eb="3">
      <t>シモトマイ</t>
    </rPh>
    <phoneticPr fontId="2"/>
  </si>
  <si>
    <t>総合試験完了まで</t>
    <phoneticPr fontId="2"/>
  </si>
  <si>
    <t>外部設計書に手戻りが発生し、タスクの遅延が見込まれる場合。</t>
    <rPh sb="0" eb="2">
      <t>ガイブ</t>
    </rPh>
    <rPh sb="2" eb="5">
      <t>セッケイショ</t>
    </rPh>
    <rPh sb="6" eb="8">
      <t>テモド</t>
    </rPh>
    <rPh sb="10" eb="12">
      <t>ハッセイ</t>
    </rPh>
    <rPh sb="26" eb="28">
      <t>バアイ</t>
    </rPh>
    <phoneticPr fontId="1"/>
  </si>
  <si>
    <t>・遅延原因を整理し、要員の稼働率を上げることによる対応を検討する。
・顧客に申入れを行い、コスト・スケジュールへの影響を説明する。</t>
    <rPh sb="10" eb="12">
      <t>ヨウイン</t>
    </rPh>
    <rPh sb="13" eb="15">
      <t>カドウ</t>
    </rPh>
    <rPh sb="15" eb="16">
      <t>リツ</t>
    </rPh>
    <rPh sb="17" eb="18">
      <t>ア</t>
    </rPh>
    <phoneticPr fontId="1"/>
  </si>
  <si>
    <t>免税</t>
    <rPh sb="0" eb="2">
      <t>メンゼイ</t>
    </rPh>
    <phoneticPr fontId="2"/>
  </si>
  <si>
    <t>TEC社の開発が遅延し、総合テストが予定とおり開始できない。
※リリース日は予定とおりでテスト工期が短縮されるケースを想定。</t>
    <rPh sb="3" eb="4">
      <t>シャ</t>
    </rPh>
    <rPh sb="5" eb="7">
      <t>カイハツ</t>
    </rPh>
    <rPh sb="8" eb="10">
      <t>チエン</t>
    </rPh>
    <rPh sb="12" eb="14">
      <t>ソウゴウ</t>
    </rPh>
    <rPh sb="18" eb="20">
      <t>ヨテイ</t>
    </rPh>
    <rPh sb="23" eb="25">
      <t>カイシ</t>
    </rPh>
    <rPh sb="36" eb="37">
      <t>ヒ</t>
    </rPh>
    <rPh sb="38" eb="40">
      <t>ヨテイ</t>
    </rPh>
    <rPh sb="47" eb="49">
      <t>コウキ</t>
    </rPh>
    <rPh sb="50" eb="52">
      <t>タンシュク</t>
    </rPh>
    <rPh sb="59" eb="61">
      <t>ソウテイ</t>
    </rPh>
    <phoneticPr fontId="2"/>
  </si>
  <si>
    <t>短納期総合試験のため追加要員にて対応する。
店舗で3名を追加
1M×3名×１か月=3M
前バージョンの自動釣銭機対応が大規模案件のため、そちらで緊急対応等が発生した場合、免税法令対応案件の総合テスト開始遅延が発生すること想定し、通常より多めにリスクを算出。</t>
    <rPh sb="0" eb="3">
      <t>タンノウキ</t>
    </rPh>
    <rPh sb="3" eb="5">
      <t>ソウゴウ</t>
    </rPh>
    <rPh sb="5" eb="7">
      <t>シケン</t>
    </rPh>
    <rPh sb="10" eb="12">
      <t>ツイカ</t>
    </rPh>
    <rPh sb="12" eb="14">
      <t>ヨウイン</t>
    </rPh>
    <rPh sb="16" eb="18">
      <t>タイオウ</t>
    </rPh>
    <rPh sb="22" eb="24">
      <t>テンポ</t>
    </rPh>
    <rPh sb="26" eb="27">
      <t>メイ</t>
    </rPh>
    <rPh sb="28" eb="30">
      <t>ツイカ</t>
    </rPh>
    <rPh sb="35" eb="36">
      <t>メイ</t>
    </rPh>
    <rPh sb="39" eb="40">
      <t>ゲツ</t>
    </rPh>
    <rPh sb="95" eb="97">
      <t>ソウゴウ</t>
    </rPh>
    <rPh sb="100" eb="102">
      <t>カイシ</t>
    </rPh>
    <rPh sb="102" eb="104">
      <t>チエン</t>
    </rPh>
    <phoneticPr fontId="1"/>
  </si>
  <si>
    <t>受容</t>
    <rPh sb="0" eb="2">
      <t>ジュヨウ</t>
    </rPh>
    <phoneticPr fontId="2"/>
  </si>
  <si>
    <t>TECの開発状況を随時確認し、総合試験に間に合うようチェックする。</t>
    <rPh sb="4" eb="6">
      <t>カイハツ</t>
    </rPh>
    <rPh sb="6" eb="8">
      <t>ジョウキョウ</t>
    </rPh>
    <rPh sb="9" eb="11">
      <t>ズイジ</t>
    </rPh>
    <rPh sb="11" eb="13">
      <t>カクニン</t>
    </rPh>
    <rPh sb="15" eb="17">
      <t>ソウゴウ</t>
    </rPh>
    <rPh sb="17" eb="19">
      <t>シケン</t>
    </rPh>
    <rPh sb="20" eb="21">
      <t>マ</t>
    </rPh>
    <rPh sb="22" eb="23">
      <t>ア</t>
    </rPh>
    <phoneticPr fontId="1"/>
  </si>
  <si>
    <t>植田</t>
    <rPh sb="0" eb="2">
      <t>ウエダ</t>
    </rPh>
    <phoneticPr fontId="2"/>
  </si>
  <si>
    <t>2021/8/15
総合試験完了まで</t>
    <phoneticPr fontId="2"/>
  </si>
  <si>
    <t>TEC社の開発が遅延し、総合試験スケジュールが守れないと判明した場合。</t>
    <rPh sb="12" eb="14">
      <t>ソウゴウ</t>
    </rPh>
    <rPh sb="14" eb="16">
      <t>シケン</t>
    </rPh>
    <rPh sb="23" eb="24">
      <t>マモ</t>
    </rPh>
    <rPh sb="28" eb="30">
      <t>ハンメイ</t>
    </rPh>
    <rPh sb="32" eb="34">
      <t>バアイ</t>
    </rPh>
    <phoneticPr fontId="1"/>
  </si>
  <si>
    <t>総合試験開始が遅延するが、リリーススケジュールは変更できないため、追加要員で短納期総合試験を実施して対応する。</t>
    <rPh sb="0" eb="2">
      <t>ソウゴウ</t>
    </rPh>
    <rPh sb="2" eb="4">
      <t>シケン</t>
    </rPh>
    <rPh sb="4" eb="6">
      <t>カイシ</t>
    </rPh>
    <rPh sb="7" eb="9">
      <t>チエン</t>
    </rPh>
    <rPh sb="24" eb="26">
      <t>ヘンコウ</t>
    </rPh>
    <rPh sb="33" eb="35">
      <t>ツイカ</t>
    </rPh>
    <rPh sb="35" eb="37">
      <t>ヨウイン</t>
    </rPh>
    <rPh sb="38" eb="41">
      <t>タンノウキ</t>
    </rPh>
    <rPh sb="41" eb="43">
      <t>ソウゴウ</t>
    </rPh>
    <rPh sb="43" eb="45">
      <t>シケン</t>
    </rPh>
    <rPh sb="46" eb="48">
      <t>ジッシ</t>
    </rPh>
    <rPh sb="50" eb="52">
      <t>タイオウ</t>
    </rPh>
    <phoneticPr fontId="2"/>
  </si>
  <si>
    <t>TEC社が開発を行う店舗システムの品質悪化が発生する。</t>
    <rPh sb="3" eb="4">
      <t>シャ</t>
    </rPh>
    <rPh sb="5" eb="7">
      <t>カイハツ</t>
    </rPh>
    <rPh sb="8" eb="9">
      <t>オコナ</t>
    </rPh>
    <rPh sb="10" eb="12">
      <t>テンポ</t>
    </rPh>
    <rPh sb="17" eb="19">
      <t>ヒンシツ</t>
    </rPh>
    <rPh sb="19" eb="21">
      <t>アッカ</t>
    </rPh>
    <rPh sb="22" eb="24">
      <t>ハッセイ</t>
    </rPh>
    <phoneticPr fontId="1"/>
  </si>
  <si>
    <t>5.要員計画&gt;21.委託先・動員力</t>
    <rPh sb="2" eb="4">
      <t>ヨウイン</t>
    </rPh>
    <rPh sb="4" eb="6">
      <t>ケイカク</t>
    </rPh>
    <rPh sb="10" eb="13">
      <t>イタクサキ</t>
    </rPh>
    <rPh sb="14" eb="17">
      <t>ドウインリョク</t>
    </rPh>
    <phoneticPr fontId="2"/>
  </si>
  <si>
    <t>総合試験でTEC社の品質悪化が判明し、総合試験のおよそ40%が再試験対象となる。
総合試験4.5M×40%=1.8M
前バージョンの自動釣銭機対応が大規模案件のため、そちらで緊急対応等が発生した場合、TEC側リソース投入により、免税法令対応案件の品質悪化が発生すること想定し、通常より多めにリスクを算出。</t>
    <rPh sb="0" eb="2">
      <t>ソウゴウ</t>
    </rPh>
    <rPh sb="2" eb="4">
      <t>シケン</t>
    </rPh>
    <rPh sb="8" eb="9">
      <t>シャ</t>
    </rPh>
    <rPh sb="10" eb="12">
      <t>ヒンシツ</t>
    </rPh>
    <rPh sb="12" eb="14">
      <t>アッカ</t>
    </rPh>
    <rPh sb="15" eb="17">
      <t>ハンメイ</t>
    </rPh>
    <rPh sb="19" eb="21">
      <t>ソウゴウ</t>
    </rPh>
    <rPh sb="21" eb="23">
      <t>シケン</t>
    </rPh>
    <rPh sb="31" eb="34">
      <t>サイシケン</t>
    </rPh>
    <rPh sb="34" eb="36">
      <t>タイショウ</t>
    </rPh>
    <rPh sb="41" eb="43">
      <t>ソウゴウ</t>
    </rPh>
    <rPh sb="43" eb="45">
      <t>シケン</t>
    </rPh>
    <rPh sb="135" eb="137">
      <t>ソウテイ</t>
    </rPh>
    <rPh sb="139" eb="141">
      <t>ツウジョウ</t>
    </rPh>
    <rPh sb="143" eb="144">
      <t>オオ</t>
    </rPh>
    <rPh sb="150" eb="152">
      <t>サンシュツ</t>
    </rPh>
    <phoneticPr fontId="1"/>
  </si>
  <si>
    <t>・外部設計、要求仕様書での受入確認により品質の一時チェックを行う。上記に加え、TECのSE課長の佐藤氏に隔日で単体テスト結合テストの障害発生状況などTEC内品質状況確認を実施する。
・予め総合テストスケジュールに予備日を確保する。</t>
    <rPh sb="48" eb="50">
      <t>サトウ</t>
    </rPh>
    <phoneticPr fontId="1"/>
  </si>
  <si>
    <t>2021/8/15
総合試験完了まで</t>
  </si>
  <si>
    <t xml:space="preserve">外部設計、要求仕様書の受入確認中または、総合試験実施中に、品質計画と実態の品質に想定外の差異が検出される。
</t>
    <rPh sb="15" eb="16">
      <t>チュウ</t>
    </rPh>
    <phoneticPr fontId="2"/>
  </si>
  <si>
    <t>レビューにて指摘が多発する場合は、委託先に体制強化を申し入れる。
品質悪化の原因を整理し、要員追加による対応を検討する。</t>
    <rPh sb="33" eb="35">
      <t>ヒンシツ</t>
    </rPh>
    <rPh sb="34" eb="36">
      <t>アッカ</t>
    </rPh>
    <phoneticPr fontId="2"/>
  </si>
  <si>
    <t>GB社との仕様認識齟齬が発生する。
（総合試験実施に影響を及ぼす、影響の大きい仕様齟齬を想定）</t>
    <rPh sb="2" eb="3">
      <t>シャ</t>
    </rPh>
    <rPh sb="5" eb="7">
      <t>シヨウ</t>
    </rPh>
    <rPh sb="7" eb="9">
      <t>ニンシキ</t>
    </rPh>
    <rPh sb="9" eb="11">
      <t>ソゴ</t>
    </rPh>
    <rPh sb="12" eb="14">
      <t>ハッセイ</t>
    </rPh>
    <rPh sb="19" eb="21">
      <t>ソウゴウ</t>
    </rPh>
    <rPh sb="21" eb="23">
      <t>シケン</t>
    </rPh>
    <rPh sb="23" eb="25">
      <t>ジッシ</t>
    </rPh>
    <rPh sb="26" eb="28">
      <t>エイキョウ</t>
    </rPh>
    <rPh sb="29" eb="30">
      <t>オヨ</t>
    </rPh>
    <rPh sb="36" eb="37">
      <t>オオ</t>
    </rPh>
    <phoneticPr fontId="2"/>
  </si>
  <si>
    <t>GB社とのIFにおいて仕様変更が発生。
IF2機能
2機能×2.0M＝4.0M</t>
    <rPh sb="2" eb="3">
      <t>シャ</t>
    </rPh>
    <rPh sb="11" eb="13">
      <t>シヨウ</t>
    </rPh>
    <rPh sb="13" eb="15">
      <t>ヘンコウ</t>
    </rPh>
    <rPh sb="16" eb="18">
      <t>ハッセイ</t>
    </rPh>
    <rPh sb="27" eb="29">
      <t>キノウ</t>
    </rPh>
    <phoneticPr fontId="1"/>
  </si>
  <si>
    <t>顧客を含めた関係者で事前にやり取りしているQA表に、CTCが認識している要件を通常時よりも詳細に明記する。</t>
    <rPh sb="0" eb="2">
      <t>コキャク</t>
    </rPh>
    <rPh sb="3" eb="4">
      <t>フク</t>
    </rPh>
    <rPh sb="6" eb="9">
      <t>カンケイシャ</t>
    </rPh>
    <rPh sb="10" eb="12">
      <t>ジゼン</t>
    </rPh>
    <rPh sb="15" eb="16">
      <t>ト</t>
    </rPh>
    <rPh sb="23" eb="24">
      <t>ヒョウ</t>
    </rPh>
    <rPh sb="30" eb="32">
      <t>ニンシキ</t>
    </rPh>
    <rPh sb="36" eb="38">
      <t>ヨウケン</t>
    </rPh>
    <rPh sb="39" eb="41">
      <t>ツウジョウ</t>
    </rPh>
    <rPh sb="41" eb="42">
      <t>ジ</t>
    </rPh>
    <rPh sb="45" eb="47">
      <t>ショウサイ</t>
    </rPh>
    <rPh sb="48" eb="50">
      <t>メイキ</t>
    </rPh>
    <phoneticPr fontId="1"/>
  </si>
  <si>
    <t>要件の認識齟齬または定義書に記載されていない要件が判明した場合。</t>
    <rPh sb="0" eb="2">
      <t>ヨウケン</t>
    </rPh>
    <rPh sb="3" eb="5">
      <t>ニンシキ</t>
    </rPh>
    <rPh sb="5" eb="7">
      <t>ソゴ</t>
    </rPh>
    <rPh sb="10" eb="12">
      <t>テイギ</t>
    </rPh>
    <rPh sb="12" eb="13">
      <t>ショ</t>
    </rPh>
    <rPh sb="14" eb="16">
      <t>キサイ</t>
    </rPh>
    <rPh sb="22" eb="24">
      <t>ヨウケン</t>
    </rPh>
    <rPh sb="25" eb="27">
      <t>ハンメイ</t>
    </rPh>
    <rPh sb="29" eb="31">
      <t>バアイ</t>
    </rPh>
    <phoneticPr fontId="1"/>
  </si>
  <si>
    <t>顧客への要件確認と共に、影響範囲について確認を行い、スケジュールが厳しい場合は、要員追加にて対応する。</t>
    <rPh sb="4" eb="6">
      <t>ヨウケン</t>
    </rPh>
    <rPh sb="6" eb="8">
      <t>カクニン</t>
    </rPh>
    <rPh sb="9" eb="10">
      <t>トモ</t>
    </rPh>
    <rPh sb="12" eb="14">
      <t>エイキョウ</t>
    </rPh>
    <rPh sb="14" eb="16">
      <t>ハンイ</t>
    </rPh>
    <rPh sb="20" eb="22">
      <t>カクニン</t>
    </rPh>
    <rPh sb="23" eb="24">
      <t>オコナ</t>
    </rPh>
    <rPh sb="33" eb="34">
      <t>キビ</t>
    </rPh>
    <rPh sb="36" eb="38">
      <t>バアイ</t>
    </rPh>
    <rPh sb="40" eb="42">
      <t>ヨウイン</t>
    </rPh>
    <rPh sb="42" eb="44">
      <t>ツイカ</t>
    </rPh>
    <rPh sb="46" eb="48">
      <t>タイオウ</t>
    </rPh>
    <phoneticPr fontId="2"/>
  </si>
  <si>
    <t>GB社との仕様認識齟齬が発生する。
（影響の小さい仕様齟齬を想定）</t>
    <rPh sb="2" eb="3">
      <t>シャ</t>
    </rPh>
    <rPh sb="5" eb="7">
      <t>シヨウ</t>
    </rPh>
    <rPh sb="7" eb="9">
      <t>ニンシキ</t>
    </rPh>
    <rPh sb="9" eb="11">
      <t>ソゴ</t>
    </rPh>
    <rPh sb="12" eb="14">
      <t>ハッセイ</t>
    </rPh>
    <rPh sb="19" eb="21">
      <t>エイキョウ</t>
    </rPh>
    <rPh sb="22" eb="23">
      <t>チイ</t>
    </rPh>
    <rPh sb="25" eb="27">
      <t>シヨウ</t>
    </rPh>
    <rPh sb="27" eb="29">
      <t>ソゴ</t>
    </rPh>
    <rPh sb="30" eb="32">
      <t>ソウテイ</t>
    </rPh>
    <phoneticPr fontId="2"/>
  </si>
  <si>
    <t>GB社とのIFにおいて仕様変更が発生。
IF5機能
5機能×0.5M＝2.5M</t>
    <rPh sb="2" eb="3">
      <t>シャ</t>
    </rPh>
    <rPh sb="11" eb="13">
      <t>シヨウ</t>
    </rPh>
    <rPh sb="13" eb="15">
      <t>ヘンコウ</t>
    </rPh>
    <rPh sb="16" eb="18">
      <t>ハッセイ</t>
    </rPh>
    <rPh sb="27" eb="29">
      <t>キノウ</t>
    </rPh>
    <phoneticPr fontId="1"/>
  </si>
  <si>
    <t>FMとの仕様認識齟齬が発生する。</t>
    <rPh sb="4" eb="6">
      <t>シヨウ</t>
    </rPh>
    <rPh sb="6" eb="8">
      <t>ニンシキ</t>
    </rPh>
    <rPh sb="8" eb="10">
      <t>ソゴ</t>
    </rPh>
    <rPh sb="11" eb="13">
      <t>ハッセイ</t>
    </rPh>
    <phoneticPr fontId="2"/>
  </si>
  <si>
    <t xml:space="preserve">店舗システムで仕様変更が発生。
店舗6機能（機能数56のおよそ10%）
6機能×1.0M＝6.0M
</t>
    <rPh sb="0" eb="2">
      <t>テンポ</t>
    </rPh>
    <rPh sb="7" eb="9">
      <t>シヨウ</t>
    </rPh>
    <rPh sb="9" eb="11">
      <t>ヘンコウ</t>
    </rPh>
    <rPh sb="12" eb="14">
      <t>ハッセイ</t>
    </rPh>
    <rPh sb="16" eb="18">
      <t>テンポ</t>
    </rPh>
    <rPh sb="19" eb="21">
      <t>キノウ</t>
    </rPh>
    <phoneticPr fontId="1"/>
  </si>
  <si>
    <t>NTTD社のNW構築遅延により、GB社と接続した総合テストが予定とおり開始できない。
※リリース日は予定とおりでテスト工期が短縮されるケースを想定。</t>
    <rPh sb="4" eb="5">
      <t>シャ</t>
    </rPh>
    <rPh sb="18" eb="19">
      <t>シャ</t>
    </rPh>
    <rPh sb="20" eb="22">
      <t>セツゾク</t>
    </rPh>
    <rPh sb="24" eb="26">
      <t>ソウゴウ</t>
    </rPh>
    <rPh sb="30" eb="32">
      <t>ヨテイ</t>
    </rPh>
    <rPh sb="35" eb="37">
      <t>カイシ</t>
    </rPh>
    <rPh sb="48" eb="49">
      <t>ヒ</t>
    </rPh>
    <rPh sb="50" eb="52">
      <t>ヨテイ</t>
    </rPh>
    <rPh sb="59" eb="61">
      <t>コウキ</t>
    </rPh>
    <rPh sb="62" eb="64">
      <t>タンシュク</t>
    </rPh>
    <rPh sb="71" eb="73">
      <t>ソウテイ</t>
    </rPh>
    <phoneticPr fontId="2"/>
  </si>
  <si>
    <t>短納期総合試験のため追加要員にて対応する。
店舗で3名を追加
1M×3名×１か月=3M</t>
    <rPh sb="0" eb="3">
      <t>タンノウキ</t>
    </rPh>
    <rPh sb="3" eb="5">
      <t>ソウゴウ</t>
    </rPh>
    <rPh sb="5" eb="7">
      <t>シケン</t>
    </rPh>
    <rPh sb="10" eb="12">
      <t>ツイカ</t>
    </rPh>
    <rPh sb="12" eb="14">
      <t>ヨウイン</t>
    </rPh>
    <rPh sb="16" eb="18">
      <t>タイオウ</t>
    </rPh>
    <rPh sb="22" eb="24">
      <t>テンポ</t>
    </rPh>
    <rPh sb="26" eb="27">
      <t>メイ</t>
    </rPh>
    <rPh sb="28" eb="30">
      <t>ツイカ</t>
    </rPh>
    <rPh sb="35" eb="36">
      <t>メイ</t>
    </rPh>
    <rPh sb="39" eb="40">
      <t>ゲツ</t>
    </rPh>
    <phoneticPr fontId="1"/>
  </si>
  <si>
    <t>NW構築を前倒しで実施できるように調整する。</t>
    <rPh sb="2" eb="4">
      <t>コウチク</t>
    </rPh>
    <rPh sb="5" eb="7">
      <t>マエダオ</t>
    </rPh>
    <rPh sb="9" eb="11">
      <t>ジッシ</t>
    </rPh>
    <rPh sb="17" eb="19">
      <t>チョウセイ</t>
    </rPh>
    <phoneticPr fontId="1"/>
  </si>
  <si>
    <t>NW構築遅延が判明した場合。</t>
    <rPh sb="2" eb="4">
      <t>コウチク</t>
    </rPh>
    <rPh sb="4" eb="6">
      <t>チエン</t>
    </rPh>
    <rPh sb="7" eb="9">
      <t>ハンメイ</t>
    </rPh>
    <rPh sb="11" eb="13">
      <t>バアイ</t>
    </rPh>
    <phoneticPr fontId="1"/>
  </si>
  <si>
    <t>PJチーム内にコロナ罹患者により、CTC担当分の遅延が発生する。(コロナ感染拡大により数名の要員がPJに従事できない状況となる）</t>
    <rPh sb="5" eb="6">
      <t>ナイ</t>
    </rPh>
    <rPh sb="10" eb="12">
      <t>リカン</t>
    </rPh>
    <rPh sb="12" eb="13">
      <t>シャ</t>
    </rPh>
    <rPh sb="20" eb="22">
      <t>タントウ</t>
    </rPh>
    <rPh sb="22" eb="23">
      <t>ブン</t>
    </rPh>
    <rPh sb="24" eb="26">
      <t>チエン</t>
    </rPh>
    <rPh sb="27" eb="29">
      <t>ハッセイ</t>
    </rPh>
    <rPh sb="36" eb="38">
      <t>カンセン</t>
    </rPh>
    <rPh sb="38" eb="40">
      <t>カクダイ</t>
    </rPh>
    <rPh sb="43" eb="45">
      <t>スウメイ</t>
    </rPh>
    <rPh sb="46" eb="48">
      <t>ヨウイン</t>
    </rPh>
    <rPh sb="52" eb="54">
      <t>ジュウジ</t>
    </rPh>
    <rPh sb="58" eb="60">
      <t>ジョウキョウ</t>
    </rPh>
    <phoneticPr fontId="2"/>
  </si>
  <si>
    <t>CTC担当システムにてコロナ蔓延のため、開発遅延が発生。
（店舗・本部での追加要員3人×1M＝3M</t>
    <rPh sb="3" eb="5">
      <t>タントウ</t>
    </rPh>
    <rPh sb="14" eb="16">
      <t>マンエン</t>
    </rPh>
    <rPh sb="20" eb="22">
      <t>カイハツ</t>
    </rPh>
    <rPh sb="22" eb="24">
      <t>チエン</t>
    </rPh>
    <rPh sb="25" eb="27">
      <t>ハッセイ</t>
    </rPh>
    <rPh sb="30" eb="32">
      <t>テンポ</t>
    </rPh>
    <rPh sb="33" eb="35">
      <t>ホンブ</t>
    </rPh>
    <rPh sb="37" eb="39">
      <t>ツイカ</t>
    </rPh>
    <rPh sb="39" eb="41">
      <t>ヨウイン</t>
    </rPh>
    <rPh sb="42" eb="43">
      <t>ニン</t>
    </rPh>
    <phoneticPr fontId="1"/>
  </si>
  <si>
    <t>コロナ蔓延のため別要員の調整を考慮しておく。
システム側の対応はクリティカルパスとならないようプランニングする。
上記に加え、開発ルーム、検証ルームでの作業時は検温・換気・消毒を徹底するなどできる限りの感染抑止策をとる。</t>
    <phoneticPr fontId="1"/>
  </si>
  <si>
    <t>コロナ罹患者がPJメンバに発生する。</t>
    <rPh sb="3" eb="5">
      <t>リカン</t>
    </rPh>
    <rPh sb="5" eb="6">
      <t>シャ</t>
    </rPh>
    <rPh sb="13" eb="15">
      <t>ハッセイ</t>
    </rPh>
    <phoneticPr fontId="1"/>
  </si>
  <si>
    <t>コロナ罹患者の蔓延状況を踏まえ、別要員の調整、リスケを行う。（クリティカルパスとしないのでリリース遅延に直結しないように調整する）</t>
    <rPh sb="3" eb="5">
      <t>リカン</t>
    </rPh>
    <rPh sb="5" eb="6">
      <t>シャ</t>
    </rPh>
    <rPh sb="7" eb="9">
      <t>マンエン</t>
    </rPh>
    <rPh sb="9" eb="11">
      <t>ジョウキョウ</t>
    </rPh>
    <rPh sb="12" eb="13">
      <t>フ</t>
    </rPh>
    <rPh sb="16" eb="17">
      <t>ベツ</t>
    </rPh>
    <rPh sb="17" eb="19">
      <t>ヨウイン</t>
    </rPh>
    <rPh sb="20" eb="22">
      <t>チョウセイ</t>
    </rPh>
    <rPh sb="27" eb="28">
      <t>オコナ</t>
    </rPh>
    <rPh sb="49" eb="51">
      <t>チエン</t>
    </rPh>
    <rPh sb="52" eb="54">
      <t>チョッケツ</t>
    </rPh>
    <rPh sb="60" eb="62">
      <t>チョウセイ</t>
    </rPh>
    <phoneticPr fontId="2"/>
  </si>
  <si>
    <t>HACCP</t>
    <phoneticPr fontId="2"/>
  </si>
  <si>
    <t>店舗システムの開発ボリュームに対しプロジェクトスケジュールが短期間である為、TEC社が開発を行う店舗システムの品質悪化が発生する。</t>
    <rPh sb="0" eb="2">
      <t>テンポ</t>
    </rPh>
    <rPh sb="15" eb="16">
      <t>タイ</t>
    </rPh>
    <rPh sb="30" eb="33">
      <t>タンキカン</t>
    </rPh>
    <rPh sb="36" eb="37">
      <t>タメ</t>
    </rPh>
    <rPh sb="41" eb="42">
      <t>シャ</t>
    </rPh>
    <rPh sb="43" eb="45">
      <t>カイハツ</t>
    </rPh>
    <rPh sb="46" eb="47">
      <t>オコナ</t>
    </rPh>
    <rPh sb="48" eb="50">
      <t>テンポ</t>
    </rPh>
    <rPh sb="55" eb="57">
      <t>ヒンシツ</t>
    </rPh>
    <rPh sb="57" eb="59">
      <t>アッカ</t>
    </rPh>
    <rPh sb="60" eb="62">
      <t>ハッセイ</t>
    </rPh>
    <phoneticPr fontId="1"/>
  </si>
  <si>
    <t>総合試験でTEC社の品質悪化が判明し、総合試験のおよそ50%が再試験対象となる。
総合試験20M×50%=10M</t>
    <rPh sb="0" eb="2">
      <t>ソウゴウ</t>
    </rPh>
    <rPh sb="2" eb="4">
      <t>シケン</t>
    </rPh>
    <rPh sb="8" eb="9">
      <t>シャ</t>
    </rPh>
    <rPh sb="10" eb="12">
      <t>ヒンシツ</t>
    </rPh>
    <rPh sb="12" eb="14">
      <t>アッカ</t>
    </rPh>
    <rPh sb="15" eb="17">
      <t>ハンメイ</t>
    </rPh>
    <rPh sb="19" eb="21">
      <t>ソウゴウ</t>
    </rPh>
    <rPh sb="21" eb="23">
      <t>シケン</t>
    </rPh>
    <rPh sb="31" eb="34">
      <t>サイシケン</t>
    </rPh>
    <rPh sb="34" eb="36">
      <t>タイショウ</t>
    </rPh>
    <rPh sb="41" eb="43">
      <t>ソウゴウ</t>
    </rPh>
    <rPh sb="43" eb="45">
      <t>シケン</t>
    </rPh>
    <phoneticPr fontId="1"/>
  </si>
  <si>
    <t>・外部設計での受入確認により品質の一時チェックを行うとともに、進捗管理でTEC社の品質状況を定期定期に報告するよう依頼する。</t>
    <rPh sb="1" eb="3">
      <t>ガイブ</t>
    </rPh>
    <rPh sb="3" eb="5">
      <t>セッケイ</t>
    </rPh>
    <rPh sb="7" eb="9">
      <t>ウケイレ</t>
    </rPh>
    <rPh sb="9" eb="11">
      <t>カクニン</t>
    </rPh>
    <rPh sb="14" eb="16">
      <t>ヒンシツ</t>
    </rPh>
    <rPh sb="17" eb="19">
      <t>イチジ</t>
    </rPh>
    <rPh sb="24" eb="25">
      <t>オコナ</t>
    </rPh>
    <rPh sb="39" eb="40">
      <t>シャ</t>
    </rPh>
    <rPh sb="41" eb="43">
      <t>ヒンシツ</t>
    </rPh>
    <rPh sb="43" eb="45">
      <t>ジョウキョウ</t>
    </rPh>
    <rPh sb="46" eb="48">
      <t>テイキ</t>
    </rPh>
    <rPh sb="48" eb="50">
      <t>テイキ</t>
    </rPh>
    <rPh sb="51" eb="53">
      <t>ホウコク</t>
    </rPh>
    <rPh sb="57" eb="59">
      <t>イライ</t>
    </rPh>
    <phoneticPr fontId="1"/>
  </si>
  <si>
    <t>照沼</t>
    <rPh sb="0" eb="2">
      <t>テルヌマ</t>
    </rPh>
    <phoneticPr fontId="2"/>
  </si>
  <si>
    <t>2021/3/19
総合試験完了まで</t>
    <phoneticPr fontId="2"/>
  </si>
  <si>
    <t>品質計画と実態の品質に想定外の差異が検出される。</t>
    <phoneticPr fontId="2"/>
  </si>
  <si>
    <t>顧客に確認した要件について、CTCの要件に対する認識齟齬が発生し、仕様の見直しが発生する。（店舗システムと本部システムのI/F項目においてCTC責の認識違いによる設定不備が発覚する）</t>
    <rPh sb="0" eb="2">
      <t>コキャク</t>
    </rPh>
    <rPh sb="3" eb="5">
      <t>カクニン</t>
    </rPh>
    <rPh sb="7" eb="9">
      <t>ヨウケン</t>
    </rPh>
    <rPh sb="18" eb="20">
      <t>ヨウケン</t>
    </rPh>
    <rPh sb="21" eb="22">
      <t>タイ</t>
    </rPh>
    <rPh sb="24" eb="26">
      <t>ニンシキ</t>
    </rPh>
    <rPh sb="26" eb="28">
      <t>ソゴ</t>
    </rPh>
    <rPh sb="29" eb="31">
      <t>ハッセイ</t>
    </rPh>
    <rPh sb="33" eb="35">
      <t>シヨウ</t>
    </rPh>
    <rPh sb="36" eb="38">
      <t>ミナオ</t>
    </rPh>
    <rPh sb="40" eb="42">
      <t>ハッセイ</t>
    </rPh>
    <rPh sb="46" eb="48">
      <t>テンポ</t>
    </rPh>
    <rPh sb="53" eb="55">
      <t>ホンブ</t>
    </rPh>
    <rPh sb="63" eb="65">
      <t>コウモク</t>
    </rPh>
    <rPh sb="72" eb="73">
      <t>セキ</t>
    </rPh>
    <rPh sb="74" eb="76">
      <t>ニンシキ</t>
    </rPh>
    <rPh sb="76" eb="77">
      <t>チガ</t>
    </rPh>
    <rPh sb="81" eb="83">
      <t>セッテイ</t>
    </rPh>
    <rPh sb="83" eb="85">
      <t>フビ</t>
    </rPh>
    <rPh sb="86" eb="88">
      <t>ハッカク</t>
    </rPh>
    <phoneticPr fontId="1"/>
  </si>
  <si>
    <t xml:space="preserve">店舗・本部システムでそれぞれ仕様変更が発生。
店舗4機能（機能数のおよそ10%）＋本部3機能（機能数のおよそ10%）=7機能
7機能×2M＝14M
</t>
    <rPh sb="0" eb="2">
      <t>テンポ</t>
    </rPh>
    <rPh sb="3" eb="5">
      <t>ホンブ</t>
    </rPh>
    <rPh sb="14" eb="16">
      <t>シヨウ</t>
    </rPh>
    <rPh sb="16" eb="18">
      <t>ヘンコウ</t>
    </rPh>
    <rPh sb="19" eb="21">
      <t>ハッセイ</t>
    </rPh>
    <rPh sb="23" eb="25">
      <t>テンポ</t>
    </rPh>
    <rPh sb="26" eb="28">
      <t>キノウ</t>
    </rPh>
    <rPh sb="29" eb="31">
      <t>キノウ</t>
    </rPh>
    <rPh sb="31" eb="32">
      <t>スウ</t>
    </rPh>
    <rPh sb="41" eb="43">
      <t>ホンブ</t>
    </rPh>
    <rPh sb="44" eb="46">
      <t>キノウ</t>
    </rPh>
    <rPh sb="47" eb="49">
      <t>キノウ</t>
    </rPh>
    <rPh sb="49" eb="50">
      <t>スウ</t>
    </rPh>
    <rPh sb="60" eb="62">
      <t>キノウ</t>
    </rPh>
    <phoneticPr fontId="1"/>
  </si>
  <si>
    <t>顧客への要件確認と共に、影響範囲について確認を行い、費用・スケジュールの見直しについて顧客に説明する。</t>
    <rPh sb="4" eb="6">
      <t>ヨウケン</t>
    </rPh>
    <rPh sb="6" eb="8">
      <t>カクニン</t>
    </rPh>
    <rPh sb="9" eb="10">
      <t>トモ</t>
    </rPh>
    <rPh sb="12" eb="14">
      <t>エイキョウ</t>
    </rPh>
    <rPh sb="14" eb="16">
      <t>ハンイ</t>
    </rPh>
    <rPh sb="20" eb="22">
      <t>カクニン</t>
    </rPh>
    <rPh sb="23" eb="24">
      <t>オコナ</t>
    </rPh>
    <rPh sb="26" eb="28">
      <t>ヒヨウ</t>
    </rPh>
    <rPh sb="36" eb="38">
      <t>ミナオ</t>
    </rPh>
    <rPh sb="43" eb="45">
      <t>コキャク</t>
    </rPh>
    <rPh sb="46" eb="48">
      <t>セツメイ</t>
    </rPh>
    <phoneticPr fontId="2"/>
  </si>
  <si>
    <t>NEC担当分（マスタおよびSAT)との仕様認識齟齬が発生する。（責任の所在が曖昧で且つ軽微な仕様変更を対応せざるを得ない）</t>
    <rPh sb="3" eb="5">
      <t>タントウ</t>
    </rPh>
    <rPh sb="5" eb="6">
      <t>ブン</t>
    </rPh>
    <rPh sb="19" eb="21">
      <t>シヨウ</t>
    </rPh>
    <rPh sb="21" eb="23">
      <t>ニンシキ</t>
    </rPh>
    <rPh sb="23" eb="25">
      <t>ソゴ</t>
    </rPh>
    <rPh sb="26" eb="28">
      <t>ハッセイ</t>
    </rPh>
    <rPh sb="32" eb="34">
      <t>セキニン</t>
    </rPh>
    <rPh sb="35" eb="37">
      <t>ショザイ</t>
    </rPh>
    <rPh sb="38" eb="40">
      <t>アイマイ</t>
    </rPh>
    <rPh sb="41" eb="42">
      <t>カ</t>
    </rPh>
    <rPh sb="43" eb="45">
      <t>ケイビ</t>
    </rPh>
    <rPh sb="46" eb="48">
      <t>シヨウ</t>
    </rPh>
    <rPh sb="48" eb="50">
      <t>ヘンコウ</t>
    </rPh>
    <rPh sb="51" eb="53">
      <t>タイオウ</t>
    </rPh>
    <rPh sb="57" eb="58">
      <t>エ</t>
    </rPh>
    <phoneticPr fontId="2"/>
  </si>
  <si>
    <t>NEC担当領域（マスタおよびSAT)との連携仕様において仕様変更が発生。
（店舗/SAT通信（2機能）+本部/バッチ連携（2機能））×1M＝4M</t>
    <rPh sb="3" eb="5">
      <t>タントウ</t>
    </rPh>
    <rPh sb="5" eb="7">
      <t>リョウイキ</t>
    </rPh>
    <rPh sb="20" eb="22">
      <t>レンケイ</t>
    </rPh>
    <rPh sb="22" eb="24">
      <t>シヨウ</t>
    </rPh>
    <rPh sb="28" eb="30">
      <t>シヨウ</t>
    </rPh>
    <rPh sb="30" eb="32">
      <t>ヘンコウ</t>
    </rPh>
    <rPh sb="33" eb="35">
      <t>ハッセイ</t>
    </rPh>
    <rPh sb="38" eb="40">
      <t>テンポ</t>
    </rPh>
    <rPh sb="44" eb="46">
      <t>ツウシン</t>
    </rPh>
    <rPh sb="48" eb="50">
      <t>キノウ</t>
    </rPh>
    <rPh sb="52" eb="54">
      <t>ホンブ</t>
    </rPh>
    <rPh sb="58" eb="60">
      <t>レンケイ</t>
    </rPh>
    <rPh sb="62" eb="64">
      <t>キノウ</t>
    </rPh>
    <phoneticPr fontId="1"/>
  </si>
  <si>
    <t>WingArc担当分において、CTC責の認識違いによる仕様追加が発生（WingArc構築範囲において必要機能の不足を検知し、追加開発が必要となる）</t>
    <rPh sb="7" eb="9">
      <t>タントウ</t>
    </rPh>
    <rPh sb="9" eb="10">
      <t>ブン</t>
    </rPh>
    <rPh sb="18" eb="19">
      <t>セキ</t>
    </rPh>
    <rPh sb="20" eb="22">
      <t>ニンシキ</t>
    </rPh>
    <rPh sb="22" eb="23">
      <t>チガ</t>
    </rPh>
    <rPh sb="27" eb="29">
      <t>シヨウ</t>
    </rPh>
    <rPh sb="29" eb="31">
      <t>ツイカ</t>
    </rPh>
    <rPh sb="32" eb="34">
      <t>ハッセイ</t>
    </rPh>
    <rPh sb="42" eb="44">
      <t>コウチク</t>
    </rPh>
    <rPh sb="44" eb="46">
      <t>ハンイ</t>
    </rPh>
    <rPh sb="50" eb="52">
      <t>ヒツヨウ</t>
    </rPh>
    <rPh sb="52" eb="54">
      <t>キノウ</t>
    </rPh>
    <rPh sb="55" eb="57">
      <t>フソク</t>
    </rPh>
    <rPh sb="58" eb="60">
      <t>ケンチ</t>
    </rPh>
    <rPh sb="62" eb="64">
      <t>ツイカ</t>
    </rPh>
    <rPh sb="64" eb="66">
      <t>カイハツ</t>
    </rPh>
    <rPh sb="67" eb="69">
      <t>ヒツヨウ</t>
    </rPh>
    <phoneticPr fontId="2"/>
  </si>
  <si>
    <t>WingArc担当領域の仕様において、追加仕様が発生。本部系２４機能のうち20%の機能で仕様追加発生
24×10%×3M=7.2M</t>
    <rPh sb="7" eb="9">
      <t>タントウ</t>
    </rPh>
    <rPh sb="9" eb="11">
      <t>リョウイキ</t>
    </rPh>
    <rPh sb="12" eb="14">
      <t>シヨウ</t>
    </rPh>
    <rPh sb="19" eb="21">
      <t>ツイカ</t>
    </rPh>
    <rPh sb="21" eb="23">
      <t>シヨウ</t>
    </rPh>
    <rPh sb="24" eb="26">
      <t>ハッセイ</t>
    </rPh>
    <rPh sb="27" eb="29">
      <t>ホンブ</t>
    </rPh>
    <rPh sb="29" eb="30">
      <t>ケイ</t>
    </rPh>
    <rPh sb="32" eb="34">
      <t>キノウ</t>
    </rPh>
    <rPh sb="41" eb="43">
      <t>キノウ</t>
    </rPh>
    <rPh sb="44" eb="46">
      <t>シヨウ</t>
    </rPh>
    <rPh sb="46" eb="48">
      <t>ツイカ</t>
    </rPh>
    <rPh sb="48" eb="50">
      <t>ハッセイ</t>
    </rPh>
    <phoneticPr fontId="2"/>
  </si>
  <si>
    <t>AWS環境上で構築するため、バッチ連携、ID連携等で想定外の事象が発生し、設計の見直しや設定作業が追加で発生する。
(AWSの特性を十分に理解しないで設計してしまう）</t>
    <rPh sb="3" eb="5">
      <t>カンキョウ</t>
    </rPh>
    <rPh sb="5" eb="6">
      <t>ウエ</t>
    </rPh>
    <rPh sb="7" eb="9">
      <t>コウチク</t>
    </rPh>
    <rPh sb="17" eb="19">
      <t>レンケイ</t>
    </rPh>
    <rPh sb="22" eb="24">
      <t>レンケイ</t>
    </rPh>
    <rPh sb="24" eb="25">
      <t>トウ</t>
    </rPh>
    <rPh sb="26" eb="28">
      <t>ソウテイ</t>
    </rPh>
    <rPh sb="28" eb="29">
      <t>ガイ</t>
    </rPh>
    <rPh sb="30" eb="32">
      <t>ジショウ</t>
    </rPh>
    <rPh sb="33" eb="35">
      <t>ハッセイ</t>
    </rPh>
    <rPh sb="37" eb="39">
      <t>セッケイ</t>
    </rPh>
    <rPh sb="40" eb="42">
      <t>ミナオ</t>
    </rPh>
    <rPh sb="44" eb="46">
      <t>セッテイ</t>
    </rPh>
    <rPh sb="46" eb="48">
      <t>サギョウ</t>
    </rPh>
    <rPh sb="49" eb="51">
      <t>ツイカ</t>
    </rPh>
    <rPh sb="52" eb="54">
      <t>ハッセイ</t>
    </rPh>
    <phoneticPr fontId="2"/>
  </si>
  <si>
    <t>HACCPシステム構築中に、店舗システム間との連携で問題が発生し機能追加等、対応が必要となる。
処理改善機能追加4M×3機能＝12M</t>
    <rPh sb="9" eb="11">
      <t>コウチク</t>
    </rPh>
    <rPh sb="11" eb="12">
      <t>チュウ</t>
    </rPh>
    <rPh sb="14" eb="16">
      <t>テンポ</t>
    </rPh>
    <rPh sb="20" eb="21">
      <t>カン</t>
    </rPh>
    <rPh sb="23" eb="25">
      <t>レンケイ</t>
    </rPh>
    <rPh sb="26" eb="28">
      <t>モンダイ</t>
    </rPh>
    <rPh sb="29" eb="31">
      <t>ハッセイ</t>
    </rPh>
    <rPh sb="32" eb="34">
      <t>キノウ</t>
    </rPh>
    <rPh sb="34" eb="36">
      <t>ツイカ</t>
    </rPh>
    <rPh sb="36" eb="37">
      <t>トウ</t>
    </rPh>
    <rPh sb="38" eb="40">
      <t>タイオウ</t>
    </rPh>
    <rPh sb="41" eb="43">
      <t>ヒツヨウ</t>
    </rPh>
    <rPh sb="48" eb="50">
      <t>ショリ</t>
    </rPh>
    <rPh sb="50" eb="52">
      <t>カイゼン</t>
    </rPh>
    <rPh sb="52" eb="54">
      <t>キノウ</t>
    </rPh>
    <rPh sb="54" eb="56">
      <t>ツイカ</t>
    </rPh>
    <rPh sb="60" eb="62">
      <t>キノウ</t>
    </rPh>
    <phoneticPr fontId="2"/>
  </si>
  <si>
    <t>2/30</t>
    <phoneticPr fontId="2"/>
  </si>
  <si>
    <t xml:space="preserve">有識者（クラウドアーキテクト課）のレビューを行う。
</t>
    <rPh sb="0" eb="3">
      <t>ユウシキシャ</t>
    </rPh>
    <rPh sb="14" eb="15">
      <t>カ</t>
    </rPh>
    <rPh sb="22" eb="23">
      <t>オコナ</t>
    </rPh>
    <phoneticPr fontId="1"/>
  </si>
  <si>
    <t>CTC担当システムにてコロナ蔓延のため、開発遅延が発生。
（店舗・本部での追加要員3人×2M＝6M</t>
    <rPh sb="3" eb="5">
      <t>タントウ</t>
    </rPh>
    <rPh sb="14" eb="16">
      <t>マンエン</t>
    </rPh>
    <rPh sb="20" eb="22">
      <t>カイハツ</t>
    </rPh>
    <rPh sb="22" eb="24">
      <t>チエン</t>
    </rPh>
    <rPh sb="25" eb="27">
      <t>ハッセイ</t>
    </rPh>
    <rPh sb="30" eb="32">
      <t>テンポ</t>
    </rPh>
    <rPh sb="33" eb="35">
      <t>ホンブ</t>
    </rPh>
    <rPh sb="37" eb="39">
      <t>ツイカ</t>
    </rPh>
    <rPh sb="39" eb="41">
      <t>ヨウイン</t>
    </rPh>
    <rPh sb="42" eb="43">
      <t>ニン</t>
    </rPh>
    <phoneticPr fontId="1"/>
  </si>
  <si>
    <t>コロナ蔓延のため別要員の調整を考慮しておく。
システム側の対応はクリティカルパスとならないようプランニングする。</t>
    <rPh sb="3" eb="5">
      <t>マンエン</t>
    </rPh>
    <rPh sb="8" eb="9">
      <t>ベツ</t>
    </rPh>
    <rPh sb="9" eb="11">
      <t>ヨウイン</t>
    </rPh>
    <rPh sb="12" eb="14">
      <t>チョウセイ</t>
    </rPh>
    <rPh sb="15" eb="17">
      <t>コウリョ</t>
    </rPh>
    <rPh sb="27" eb="28">
      <t>ガワ</t>
    </rPh>
    <rPh sb="29" eb="31">
      <t>タイオウ</t>
    </rPh>
    <phoneticPr fontId="1"/>
  </si>
  <si>
    <t>見積標準化ワークグループ　リスク管理シート（リスク例）</t>
    <rPh sb="0" eb="2">
      <t>ミツモ</t>
    </rPh>
    <rPh sb="2" eb="5">
      <t>ヒョウジュンカ</t>
    </rPh>
    <rPh sb="16" eb="18">
      <t>カンリ</t>
    </rPh>
    <rPh sb="25" eb="26">
      <t>レイ</t>
    </rPh>
    <phoneticPr fontId="2"/>
  </si>
  <si>
    <t>顧客側のレビュー担当者が複数案件（店舗会計STEP1、共通管理、インボイス、取引データ化、ほか）を担当していることから、レビュー作業が停滞する。</t>
    <phoneticPr fontId="2"/>
  </si>
  <si>
    <t>作業待ちが発生し、リカバリのため、要員追加が必要となる。
[1人月]
レビュー遅延による待機・リカバリ工数5人日*４レビュー想定</t>
    <phoneticPr fontId="2"/>
  </si>
  <si>
    <t>・社内外含めた事前レビュースケジュール計画・予定を合意する。
・遅延起因としてスケジュール超過の場合は影響及び追加対応が発生する旨前提条件に追加する。</t>
    <phoneticPr fontId="2"/>
  </si>
  <si>
    <t>TEC社の開発が遅延し、総合テストが予定とおり開始できない。
※リリース日は予定とおりでテスト工期が短縮されるケースを想定。</t>
    <phoneticPr fontId="2"/>
  </si>
  <si>
    <t>短納期総合試験のため追加要員にて対応する。
店舗で3名を追加
1M×3名×１か月=3M
前バージョンの自動釣銭機対応が大規模案件のため、そちらで緊急対応等が発生した場合、免税法令対応案件の総合テスト開始遅延が発生すること想定し、通常より多めにリスクを算出。</t>
    <phoneticPr fontId="2"/>
  </si>
  <si>
    <t>TECの開発状況を随時確認し、総合試験に間に合うようチェックする。</t>
    <phoneticPr fontId="2"/>
  </si>
  <si>
    <t>PJチーム内にコロナ罹患者により、CTC担当分の遅延が発生する。(コロナ感染拡大により数名の要員がPJに従事できない状況となる）</t>
    <phoneticPr fontId="2"/>
  </si>
  <si>
    <t>CTC担当システムにてコロナ蔓延のため、開発遅延が発生。
（店舗・本部での追加要員3人×1M＝3M</t>
    <phoneticPr fontId="2"/>
  </si>
  <si>
    <t>コロナ蔓延のため別要員の調整を考慮しておく。
システム側の対応はクリティカルパスとならないようプランニングする。
上記に加え、開発ルーム、検証ルームでの作業時は検温・換気・消毒を徹底するなどできる限りの感染抑止策をとる。</t>
    <phoneticPr fontId="2"/>
  </si>
  <si>
    <t>店舗システムの開発ボリュームに対しプロジェクトスケジュールが短期間である為、TEC社が開発を行う店舗システムの品質悪化が発生する。</t>
    <phoneticPr fontId="2"/>
  </si>
  <si>
    <t>改　訂　履　歴</t>
    <rPh sb="0" eb="1">
      <t>カイ</t>
    </rPh>
    <rPh sb="2" eb="3">
      <t>テイ</t>
    </rPh>
    <rPh sb="4" eb="5">
      <t>クツ</t>
    </rPh>
    <rPh sb="6" eb="7">
      <t>レキ</t>
    </rPh>
    <phoneticPr fontId="2"/>
  </si>
  <si>
    <t>案件チェックリスト</t>
    <rPh sb="0" eb="2">
      <t>アンケン</t>
    </rPh>
    <phoneticPr fontId="2"/>
  </si>
  <si>
    <t>版数</t>
    <rPh sb="0" eb="2">
      <t>ハンスウ</t>
    </rPh>
    <phoneticPr fontId="2"/>
  </si>
  <si>
    <t>改訂日</t>
    <rPh sb="0" eb="2">
      <t>カイテイ</t>
    </rPh>
    <rPh sb="2" eb="3">
      <t>ビ</t>
    </rPh>
    <phoneticPr fontId="2"/>
  </si>
  <si>
    <t>改訂内容</t>
    <rPh sb="0" eb="2">
      <t>カイテイ</t>
    </rPh>
    <rPh sb="2" eb="4">
      <t>ナイヨウ</t>
    </rPh>
    <phoneticPr fontId="2"/>
  </si>
  <si>
    <t>改訂者</t>
    <rPh sb="0" eb="2">
      <t>カイテイ</t>
    </rPh>
    <rPh sb="2" eb="3">
      <t>シャ</t>
    </rPh>
    <phoneticPr fontId="2"/>
  </si>
  <si>
    <t>改訂指摘番号</t>
    <rPh sb="0" eb="2">
      <t>カイテイ</t>
    </rPh>
    <rPh sb="2" eb="4">
      <t>シテキ</t>
    </rPh>
    <rPh sb="4" eb="6">
      <t>バンゴウ</t>
    </rPh>
    <phoneticPr fontId="2"/>
  </si>
  <si>
    <t>新規作成。</t>
    <rPh sb="0" eb="2">
      <t>シンキ</t>
    </rPh>
    <rPh sb="2" eb="4">
      <t>サクセイ</t>
    </rPh>
    <phoneticPr fontId="2"/>
  </si>
  <si>
    <t>全社CQMS事務局</t>
    <phoneticPr fontId="2"/>
  </si>
  <si>
    <t>否定疑問文の場合、Yes/Noどちらに該当するか判断できないという問題に対して、否定疑問文の修正（No.3、11）及び</t>
    <rPh sb="0" eb="2">
      <t>ヒテイ</t>
    </rPh>
    <rPh sb="2" eb="5">
      <t>ギモンブン</t>
    </rPh>
    <rPh sb="6" eb="8">
      <t>バアイ</t>
    </rPh>
    <rPh sb="19" eb="21">
      <t>ガイトウ</t>
    </rPh>
    <rPh sb="24" eb="26">
      <t>ハンダン</t>
    </rPh>
    <rPh sb="33" eb="35">
      <t>モンダイ</t>
    </rPh>
    <rPh sb="36" eb="37">
      <t>タイ</t>
    </rPh>
    <rPh sb="40" eb="42">
      <t>ヒテイ</t>
    </rPh>
    <rPh sb="42" eb="45">
      <t>ギモンブン</t>
    </rPh>
    <rPh sb="46" eb="48">
      <t>シュウセイ</t>
    </rPh>
    <rPh sb="57" eb="58">
      <t>オヨ</t>
    </rPh>
    <phoneticPr fontId="2"/>
  </si>
  <si>
    <t>《YES回答に該当するか否かの判断条件例》が、NO回答に該当する判断条件例になっていた箇所を訂正。
（No.3、4、6、10）</t>
    <rPh sb="25" eb="27">
      <t>カイトウ</t>
    </rPh>
    <rPh sb="28" eb="30">
      <t>ガイトウ</t>
    </rPh>
    <rPh sb="32" eb="34">
      <t>ハンダン</t>
    </rPh>
    <rPh sb="34" eb="36">
      <t>ジョウケン</t>
    </rPh>
    <rPh sb="36" eb="37">
      <t>レイ</t>
    </rPh>
    <rPh sb="43" eb="45">
      <t>カショ</t>
    </rPh>
    <rPh sb="46" eb="48">
      <t>テイセイ</t>
    </rPh>
    <phoneticPr fontId="2"/>
  </si>
  <si>
    <t>質問内容に対し、どのような場合にYesなのかを補足する列（E）を追加。</t>
    <rPh sb="0" eb="2">
      <t>シツモン</t>
    </rPh>
    <rPh sb="2" eb="4">
      <t>ナイヨウ</t>
    </rPh>
    <rPh sb="5" eb="6">
      <t>タイ</t>
    </rPh>
    <rPh sb="13" eb="15">
      <t>バアイ</t>
    </rPh>
    <rPh sb="23" eb="25">
      <t>ホソク</t>
    </rPh>
    <rPh sb="27" eb="28">
      <t>レツ</t>
    </rPh>
    <rPh sb="32" eb="34">
      <t>ツイカ</t>
    </rPh>
    <phoneticPr fontId="2"/>
  </si>
  <si>
    <t>顧客名/案件名/日付欄を新設。</t>
    <phoneticPr fontId="2"/>
  </si>
  <si>
    <t>No9～No11の説明に「非機能一覧(開発見積用）」活用の注釈を追加</t>
    <rPh sb="9" eb="11">
      <t>セツメイ</t>
    </rPh>
    <rPh sb="26" eb="28">
      <t>カツヨウ</t>
    </rPh>
    <rPh sb="29" eb="31">
      <t>チュウシャク</t>
    </rPh>
    <rPh sb="32" eb="34">
      <t>ツイカ</t>
    </rPh>
    <phoneticPr fontId="2"/>
  </si>
  <si>
    <t>Yes/No回答においてリスクがない回答の場合、背景色を変更する機能を追加</t>
  </si>
  <si>
    <t>案件チェックリスト運用説明で、リスク管理計画シートへの記載説明に項目の紐づけを追加</t>
    <rPh sb="18" eb="20">
      <t>カンリ</t>
    </rPh>
    <rPh sb="20" eb="22">
      <t>ケイカク</t>
    </rPh>
    <rPh sb="27" eb="29">
      <t>キサイ</t>
    </rPh>
    <rPh sb="29" eb="31">
      <t>セツメイ</t>
    </rPh>
    <rPh sb="32" eb="34">
      <t>コウモク</t>
    </rPh>
    <rPh sb="35" eb="36">
      <t>ヒモ</t>
    </rPh>
    <rPh sb="39" eb="41">
      <t>ツイカ</t>
    </rPh>
    <phoneticPr fontId="2"/>
  </si>
  <si>
    <t>No3の条件例にオープンソースを利用する場合の覚書の例を追加</t>
    <rPh sb="4" eb="6">
      <t>ジョウケン</t>
    </rPh>
    <rPh sb="6" eb="7">
      <t>レイ</t>
    </rPh>
    <rPh sb="16" eb="18">
      <t>リヨウ</t>
    </rPh>
    <rPh sb="20" eb="22">
      <t>バアイ</t>
    </rPh>
    <rPh sb="23" eb="25">
      <t>オボエガキ</t>
    </rPh>
    <rPh sb="26" eb="27">
      <t>レイ</t>
    </rPh>
    <rPh sb="28" eb="30">
      <t>ツイカ</t>
    </rPh>
    <phoneticPr fontId="2"/>
  </si>
  <si>
    <t>05.00</t>
    <phoneticPr fontId="2"/>
  </si>
  <si>
    <t>案件規模毎に対象チェック項目を指定するため「案件規模」の項目を追加</t>
    <rPh sb="0" eb="2">
      <t>アンケン</t>
    </rPh>
    <rPh sb="2" eb="4">
      <t>キボ</t>
    </rPh>
    <rPh sb="4" eb="5">
      <t>ゴト</t>
    </rPh>
    <rPh sb="6" eb="8">
      <t>タイショウ</t>
    </rPh>
    <rPh sb="12" eb="14">
      <t>コウモク</t>
    </rPh>
    <rPh sb="15" eb="17">
      <t>シテイ</t>
    </rPh>
    <rPh sb="22" eb="24">
      <t>アンケン</t>
    </rPh>
    <rPh sb="24" eb="26">
      <t>キボ</t>
    </rPh>
    <phoneticPr fontId="2"/>
  </si>
  <si>
    <t>チェック項目の見直し。これまで一度もチェックされない項目は削除し、項目17にPMのチェックを追加</t>
    <rPh sb="4" eb="6">
      <t>コウモク</t>
    </rPh>
    <rPh sb="7" eb="9">
      <t>ミナオ</t>
    </rPh>
    <rPh sb="15" eb="17">
      <t>イチド</t>
    </rPh>
    <rPh sb="26" eb="28">
      <t>コウモク</t>
    </rPh>
    <rPh sb="29" eb="31">
      <t>サクジョ</t>
    </rPh>
    <rPh sb="33" eb="35">
      <t>コウモク</t>
    </rPh>
    <rPh sb="46" eb="48">
      <t>ツイカ</t>
    </rPh>
    <phoneticPr fontId="2"/>
  </si>
  <si>
    <t>パッケージのチェック項目は、インフラ製品にも適用できるため、インフラ製品もチェックできるように表現を変更</t>
    <phoneticPr fontId="2"/>
  </si>
  <si>
    <t>案件チェックリストの運用説明に「案件規模」の説明を追加</t>
    <phoneticPr fontId="2"/>
  </si>
  <si>
    <t>案件チェックリストの運用説明に採算原価見積表の添付の説明を追加</t>
    <rPh sb="26" eb="28">
      <t>セツメイ</t>
    </rPh>
    <rPh sb="29" eb="31">
      <t>ツイカ</t>
    </rPh>
    <phoneticPr fontId="2"/>
  </si>
  <si>
    <t>作成・審査承認欄を変更。併せて運用説明の文章も修正</t>
    <rPh sb="0" eb="2">
      <t>サクセイ</t>
    </rPh>
    <rPh sb="3" eb="5">
      <t>シンサ</t>
    </rPh>
    <rPh sb="5" eb="7">
      <t>ショウニン</t>
    </rPh>
    <rPh sb="7" eb="8">
      <t>ラン</t>
    </rPh>
    <rPh sb="9" eb="11">
      <t>ヘンコウ</t>
    </rPh>
    <rPh sb="12" eb="13">
      <t>アワ</t>
    </rPh>
    <rPh sb="15" eb="17">
      <t>ウンヨウ</t>
    </rPh>
    <rPh sb="17" eb="19">
      <t>セツメイ</t>
    </rPh>
    <rPh sb="20" eb="22">
      <t>ブンショウ</t>
    </rPh>
    <rPh sb="23" eb="25">
      <t>シュウセイ</t>
    </rPh>
    <phoneticPr fontId="2"/>
  </si>
  <si>
    <t>06.00</t>
    <phoneticPr fontId="2"/>
  </si>
  <si>
    <t>CQMS改訂(06.00)に伴い、テンプレートのバージョンをVer05.00からVer06.00に修正。</t>
    <rPh sb="4" eb="6">
      <t>カイテイ</t>
    </rPh>
    <rPh sb="14" eb="15">
      <t>トモナ</t>
    </rPh>
    <rPh sb="49" eb="51">
      <t>シュウセイ</t>
    </rPh>
    <phoneticPr fontId="2"/>
  </si>
  <si>
    <t>07.00</t>
  </si>
  <si>
    <t>品質マニュアル改訂に伴い、バージョンを07.00に変更</t>
  </si>
  <si>
    <t>08.00</t>
    <phoneticPr fontId="2"/>
  </si>
  <si>
    <t>CQMS体系見直しに伴い、以下の変更を実施。
【案件チェックリスト運用説明シート】
①案件規模の説明を修正
【案件チェックリスト】
①案件規模のカテゴリを「3000万円以上」「全案件」の2種類に変更
②承認欄の文言を修正</t>
    <rPh sb="13" eb="15">
      <t>イカ</t>
    </rPh>
    <rPh sb="16" eb="18">
      <t>ヘンコウ</t>
    </rPh>
    <rPh sb="19" eb="21">
      <t>ジッシ</t>
    </rPh>
    <rPh sb="25" eb="27">
      <t>アンケン</t>
    </rPh>
    <rPh sb="34" eb="36">
      <t>ウンヨウ</t>
    </rPh>
    <rPh sb="36" eb="38">
      <t>セツメイ</t>
    </rPh>
    <rPh sb="44" eb="46">
      <t>アンケン</t>
    </rPh>
    <rPh sb="46" eb="48">
      <t>キボ</t>
    </rPh>
    <rPh sb="49" eb="51">
      <t>セツメイ</t>
    </rPh>
    <rPh sb="52" eb="54">
      <t>シュウセイ</t>
    </rPh>
    <rPh sb="56" eb="58">
      <t>アンケン</t>
    </rPh>
    <rPh sb="68" eb="70">
      <t>アンケン</t>
    </rPh>
    <rPh sb="70" eb="72">
      <t>キボ</t>
    </rPh>
    <rPh sb="83" eb="85">
      <t>マンエン</t>
    </rPh>
    <rPh sb="85" eb="87">
      <t>イジョウ</t>
    </rPh>
    <rPh sb="89" eb="90">
      <t>ゼン</t>
    </rPh>
    <rPh sb="90" eb="92">
      <t>アンケン</t>
    </rPh>
    <rPh sb="95" eb="97">
      <t>シュルイ</t>
    </rPh>
    <rPh sb="98" eb="100">
      <t>ヘンコウ</t>
    </rPh>
    <phoneticPr fontId="2"/>
  </si>
  <si>
    <t>全社CQMS事務局</t>
    <rPh sb="0" eb="2">
      <t>ゼンシャ</t>
    </rPh>
    <rPh sb="6" eb="9">
      <t>ジムキョク</t>
    </rPh>
    <phoneticPr fontId="2"/>
  </si>
  <si>
    <t>09.00</t>
    <phoneticPr fontId="2"/>
  </si>
  <si>
    <t>CQMSバージョン更新</t>
    <phoneticPr fontId="2"/>
  </si>
  <si>
    <t xml:space="preserve"> リスク管理計画シート</t>
    <rPh sb="4" eb="6">
      <t>カンリ</t>
    </rPh>
    <rPh sb="6" eb="8">
      <t>ケイカク</t>
    </rPh>
    <phoneticPr fontId="2"/>
  </si>
  <si>
    <t>シート右上に作成日/作成者、更新日/更新者の記入項目を追加</t>
    <rPh sb="3" eb="5">
      <t>ミギウエ</t>
    </rPh>
    <rPh sb="6" eb="8">
      <t>サクセイ</t>
    </rPh>
    <rPh sb="8" eb="9">
      <t>ビ</t>
    </rPh>
    <rPh sb="10" eb="12">
      <t>サクセイ</t>
    </rPh>
    <rPh sb="12" eb="13">
      <t>シャ</t>
    </rPh>
    <rPh sb="14" eb="16">
      <t>コウシン</t>
    </rPh>
    <rPh sb="16" eb="17">
      <t>ビ</t>
    </rPh>
    <rPh sb="18" eb="20">
      <t>コウシン</t>
    </rPh>
    <rPh sb="20" eb="21">
      <t>シャ</t>
    </rPh>
    <rPh sb="22" eb="24">
      <t>キニュウ</t>
    </rPh>
    <rPh sb="24" eb="26">
      <t>コウモク</t>
    </rPh>
    <rPh sb="27" eb="29">
      <t>ツイカ</t>
    </rPh>
    <phoneticPr fontId="2"/>
  </si>
  <si>
    <t>リスクを洗い出した案件チェックリストの項目と紐づける「リスク観点」を追加</t>
    <rPh sb="4" eb="5">
      <t>アラ</t>
    </rPh>
    <rPh sb="6" eb="7">
      <t>ダ</t>
    </rPh>
    <rPh sb="19" eb="21">
      <t>コウモク</t>
    </rPh>
    <rPh sb="22" eb="23">
      <t>ヒモ</t>
    </rPh>
    <rPh sb="30" eb="32">
      <t>カンテン</t>
    </rPh>
    <rPh sb="34" eb="36">
      <t>ツイカ</t>
    </rPh>
    <phoneticPr fontId="2"/>
  </si>
  <si>
    <t>期限の対象を明確にするため、「対応期限」と「監視期限」に別け、項目の位置を変更</t>
    <rPh sb="0" eb="2">
      <t>キゲン</t>
    </rPh>
    <rPh sb="3" eb="5">
      <t>タイショウ</t>
    </rPh>
    <rPh sb="6" eb="8">
      <t>メイカク</t>
    </rPh>
    <rPh sb="15" eb="17">
      <t>タイオウ</t>
    </rPh>
    <rPh sb="17" eb="19">
      <t>キゲン</t>
    </rPh>
    <rPh sb="22" eb="24">
      <t>カンシ</t>
    </rPh>
    <rPh sb="24" eb="26">
      <t>キゲン</t>
    </rPh>
    <rPh sb="28" eb="29">
      <t>ワ</t>
    </rPh>
    <rPh sb="31" eb="33">
      <t>コウモク</t>
    </rPh>
    <rPh sb="34" eb="36">
      <t>イチ</t>
    </rPh>
    <rPh sb="37" eb="39">
      <t>ヘンコウ</t>
    </rPh>
    <phoneticPr fontId="2"/>
  </si>
  <si>
    <t>「結果区分」を「結果」項目から分離</t>
    <rPh sb="1" eb="3">
      <t>ケッカ</t>
    </rPh>
    <rPh sb="3" eb="5">
      <t>クブン</t>
    </rPh>
    <rPh sb="8" eb="10">
      <t>ケッカ</t>
    </rPh>
    <rPh sb="11" eb="13">
      <t>コウモク</t>
    </rPh>
    <rPh sb="15" eb="17">
      <t>ブンリ</t>
    </rPh>
    <phoneticPr fontId="2"/>
  </si>
  <si>
    <t>確率の「高い(H)、中程度(M)、低い(L)」表現ルールの削除</t>
    <rPh sb="23" eb="25">
      <t>ヒョウゲン</t>
    </rPh>
    <rPh sb="29" eb="31">
      <t>サクジョ</t>
    </rPh>
    <phoneticPr fontId="2"/>
  </si>
  <si>
    <t>リスクインパクトにリスク金額を算出する上で根拠となる数値も記入するルールを追加</t>
    <phoneticPr fontId="2"/>
  </si>
  <si>
    <t>案件チェックリストの項目変更に従って、「リスク観点」を変更</t>
    <rPh sb="0" eb="2">
      <t>アンケン</t>
    </rPh>
    <rPh sb="10" eb="12">
      <t>コウモク</t>
    </rPh>
    <rPh sb="12" eb="14">
      <t>ヘンコウ</t>
    </rPh>
    <rPh sb="15" eb="16">
      <t>シタガ</t>
    </rPh>
    <rPh sb="23" eb="25">
      <t>カンテン</t>
    </rPh>
    <rPh sb="27" eb="29">
      <t>ヘンコウ</t>
    </rPh>
    <phoneticPr fontId="2"/>
  </si>
  <si>
    <t>リスク管理計画の立案手順ガイドを追加</t>
    <rPh sb="3" eb="5">
      <t>カンリ</t>
    </rPh>
    <rPh sb="5" eb="7">
      <t>ケイカク</t>
    </rPh>
    <rPh sb="8" eb="10">
      <t>リツアン</t>
    </rPh>
    <rPh sb="10" eb="12">
      <t>テジュン</t>
    </rPh>
    <rPh sb="16" eb="18">
      <t>ツイカ</t>
    </rPh>
    <phoneticPr fontId="2"/>
  </si>
  <si>
    <t>予測値について自動計算式を埋め込み (算出式：予測値 = 金額×確率)</t>
    <rPh sb="0" eb="2">
      <t>ヨソク</t>
    </rPh>
    <rPh sb="2" eb="3">
      <t>アタイ</t>
    </rPh>
    <rPh sb="7" eb="9">
      <t>ジドウ</t>
    </rPh>
    <rPh sb="9" eb="11">
      <t>ケイサン</t>
    </rPh>
    <rPh sb="11" eb="12">
      <t>シキ</t>
    </rPh>
    <rPh sb="13" eb="14">
      <t>ウ</t>
    </rPh>
    <rPh sb="15" eb="16">
      <t>コ</t>
    </rPh>
    <rPh sb="19" eb="21">
      <t>サンシュツ</t>
    </rPh>
    <rPh sb="21" eb="22">
      <t>シキ</t>
    </rPh>
    <rPh sb="23" eb="25">
      <t>ヨソク</t>
    </rPh>
    <rPh sb="25" eb="26">
      <t>アタイ</t>
    </rPh>
    <rPh sb="29" eb="31">
      <t>キンガク</t>
    </rPh>
    <rPh sb="32" eb="34">
      <t>カクリツ</t>
    </rPh>
    <phoneticPr fontId="2"/>
  </si>
  <si>
    <t>コンティンジェンシー予備費・コンティンジェンシー消費の欄を追加</t>
    <rPh sb="10" eb="13">
      <t>ヨビヒ</t>
    </rPh>
    <rPh sb="24" eb="26">
      <t>ショウヒ</t>
    </rPh>
    <rPh sb="27" eb="28">
      <t>ラン</t>
    </rPh>
    <rPh sb="29" eb="31">
      <t>ツイカ</t>
    </rPh>
    <phoneticPr fontId="2"/>
  </si>
  <si>
    <t>金額、予測値、コンティンジェンシー予備費、コンティンジェンシー消費について合計欄を追加</t>
    <rPh sb="0" eb="2">
      <t>キンガク</t>
    </rPh>
    <rPh sb="3" eb="5">
      <t>ヨソク</t>
    </rPh>
    <rPh sb="5" eb="6">
      <t>アタイ</t>
    </rPh>
    <rPh sb="17" eb="19">
      <t>ヨビ</t>
    </rPh>
    <rPh sb="19" eb="20">
      <t>ヒ</t>
    </rPh>
    <rPh sb="31" eb="33">
      <t>ショウヒ</t>
    </rPh>
    <rPh sb="37" eb="39">
      <t>ゴウケイ</t>
    </rPh>
    <rPh sb="39" eb="40">
      <t>ラン</t>
    </rPh>
    <rPh sb="41" eb="43">
      <t>ツイカ</t>
    </rPh>
    <phoneticPr fontId="2"/>
  </si>
  <si>
    <t>実施日を状況確認日に修正。また、対応策の実施完了日を追加。</t>
    <rPh sb="0" eb="2">
      <t>ジッシ</t>
    </rPh>
    <rPh sb="2" eb="3">
      <t>ビ</t>
    </rPh>
    <rPh sb="4" eb="6">
      <t>ジョウキョウ</t>
    </rPh>
    <rPh sb="6" eb="8">
      <t>カクニン</t>
    </rPh>
    <rPh sb="8" eb="9">
      <t>ビ</t>
    </rPh>
    <rPh sb="10" eb="12">
      <t>シュウセイ</t>
    </rPh>
    <rPh sb="16" eb="18">
      <t>タイオウ</t>
    </rPh>
    <rPh sb="18" eb="19">
      <t>サク</t>
    </rPh>
    <rPh sb="20" eb="22">
      <t>ジッシ</t>
    </rPh>
    <rPh sb="22" eb="25">
      <t>カンリョウビ</t>
    </rPh>
    <rPh sb="26" eb="28">
      <t>ツイカ</t>
    </rPh>
    <phoneticPr fontId="2"/>
  </si>
  <si>
    <t>確認結果(OK、NG)を、(監視継続、顕在化、消滅)の選択肢に変更</t>
    <rPh sb="0" eb="2">
      <t>カクニン</t>
    </rPh>
    <rPh sb="2" eb="4">
      <t>ケッカ</t>
    </rPh>
    <rPh sb="14" eb="16">
      <t>カンシ</t>
    </rPh>
    <rPh sb="16" eb="18">
      <t>ケイゾク</t>
    </rPh>
    <rPh sb="19" eb="22">
      <t>ケンザイカ</t>
    </rPh>
    <rPh sb="23" eb="25">
      <t>ショウメツ</t>
    </rPh>
    <rPh sb="27" eb="30">
      <t>センタクシ</t>
    </rPh>
    <rPh sb="31" eb="33">
      <t>ヘンコウ</t>
    </rPh>
    <phoneticPr fontId="2"/>
  </si>
  <si>
    <t>項目に対する説明コメントについて、より立案手順がわかるように改善を実施</t>
    <rPh sb="0" eb="2">
      <t>コウモク</t>
    </rPh>
    <rPh sb="3" eb="4">
      <t>タイ</t>
    </rPh>
    <rPh sb="6" eb="8">
      <t>セツメイ</t>
    </rPh>
    <rPh sb="19" eb="21">
      <t>リツアン</t>
    </rPh>
    <rPh sb="21" eb="23">
      <t>テジュン</t>
    </rPh>
    <rPh sb="30" eb="32">
      <t>カイゼン</t>
    </rPh>
    <rPh sb="33" eb="35">
      <t>ジッシ</t>
    </rPh>
    <phoneticPr fontId="2"/>
  </si>
  <si>
    <t>06.01</t>
    <phoneticPr fontId="2"/>
  </si>
  <si>
    <t>確認結果欄を「消滅」にした場合、該当行をグレーアウトするように書式を追加</t>
    <rPh sb="31" eb="33">
      <t>ショシキ</t>
    </rPh>
    <rPh sb="34" eb="36">
      <t>ツイカ</t>
    </rPh>
    <phoneticPr fontId="2"/>
  </si>
  <si>
    <t>20140617-01
20140828-01
20140909-01</t>
    <phoneticPr fontId="2"/>
  </si>
  <si>
    <t>項目を追加
　「顧客名／SI案件名」
　「SI案件コード」
　「対応責任者」</t>
    <rPh sb="0" eb="2">
      <t>コウモク</t>
    </rPh>
    <rPh sb="3" eb="5">
      <t>ツイカ</t>
    </rPh>
    <phoneticPr fontId="2"/>
  </si>
  <si>
    <t>項目名称を変更
　「顧客名／プロジェクト名」⇒「プロジェクト名」
　「プロジェクトコード」⇒「プロジェクトコード(複数可)」
　「コンティンジェンシー消費」⇒「リスク顕在化による対応費用実績」
　「リスク対応予備費 予定・実績合計」⇒「コンティンジェンシー予備費・対応費用実績合計」</t>
    <rPh sb="0" eb="2">
      <t>コウモク</t>
    </rPh>
    <rPh sb="2" eb="4">
      <t>メイショウ</t>
    </rPh>
    <rPh sb="5" eb="7">
      <t>ヘンコウ</t>
    </rPh>
    <phoneticPr fontId="2"/>
  </si>
  <si>
    <t>項目のコメントを修正
　「コンティンジェンシー予備費」
　「リスク顕在化による対応費用実績」</t>
    <rPh sb="0" eb="2">
      <t>コウモク</t>
    </rPh>
    <rPh sb="8" eb="10">
      <t>シュウセイ</t>
    </rPh>
    <phoneticPr fontId="2"/>
  </si>
  <si>
    <t>リスク管理計画立案手順ガイドの誤記及び説明文を修正、注意事項を追記</t>
    <rPh sb="15" eb="17">
      <t>ゴキ</t>
    </rPh>
    <rPh sb="17" eb="18">
      <t>オヨ</t>
    </rPh>
    <rPh sb="19" eb="21">
      <t>セツメイ</t>
    </rPh>
    <rPh sb="21" eb="22">
      <t>ブン</t>
    </rPh>
    <rPh sb="23" eb="25">
      <t>シュウセイ</t>
    </rPh>
    <rPh sb="26" eb="28">
      <t>チュウイ</t>
    </rPh>
    <rPh sb="28" eb="30">
      <t>ジコウ</t>
    </rPh>
    <rPh sb="31" eb="33">
      <t>ツイキ</t>
    </rPh>
    <phoneticPr fontId="2"/>
  </si>
  <si>
    <t>リスク管理計画立案手順ガイドのオブジェクトサイズを変更</t>
    <rPh sb="25" eb="27">
      <t>ヘンコウ</t>
    </rPh>
    <phoneticPr fontId="2"/>
  </si>
  <si>
    <t>「確認結果」の項目のプルダウンリストの設定を修正</t>
    <rPh sb="7" eb="9">
      <t>コウモク</t>
    </rPh>
    <rPh sb="19" eb="21">
      <t>セッテイ</t>
    </rPh>
    <rPh sb="22" eb="24">
      <t>シュウセイ</t>
    </rPh>
    <phoneticPr fontId="2"/>
  </si>
  <si>
    <t>【リスク管理計画立案手順ガイド】
①シート名「【NEW】リスク管理計画立案手順ガイド」の【NEW】を削除
【リスク管理計画シート、リスク管理計画立案手順ガイド】
①シート上部にリスク見直し/実績を管理する表を追加
②リスク管理計画表に「リスク状況確認日」「確認結果」「確認状況」項目を追加
③「対応方針」を追加し、プルダウンリストにて回避、転嫁、軽減、受容を選択
④表の項目行の金額記載を修正「M\」⇒「\M」
⑤その他体裁を修正</t>
    <rPh sb="153" eb="155">
      <t>ツイカ</t>
    </rPh>
    <phoneticPr fontId="2"/>
  </si>
  <si>
    <t>①スコープ定義</t>
    <phoneticPr fontId="2"/>
  </si>
  <si>
    <t>1.顧客</t>
    <rPh sb="2" eb="4">
      <t>コキャク</t>
    </rPh>
    <phoneticPr fontId="2"/>
  </si>
  <si>
    <t>2.顧客・体制</t>
    <rPh sb="2" eb="4">
      <t>コキャク</t>
    </rPh>
    <rPh sb="5" eb="7">
      <t>タイセイ</t>
    </rPh>
    <phoneticPr fontId="2"/>
  </si>
  <si>
    <t>3.顧客・契約</t>
    <rPh sb="2" eb="4">
      <t>コキャク</t>
    </rPh>
    <rPh sb="5" eb="7">
      <t>ケイヤク</t>
    </rPh>
    <phoneticPr fontId="2"/>
  </si>
  <si>
    <t>4.顧客・予算</t>
    <rPh sb="2" eb="4">
      <t>コキャク</t>
    </rPh>
    <rPh sb="5" eb="7">
      <t>ヨサン</t>
    </rPh>
    <phoneticPr fontId="2"/>
  </si>
  <si>
    <t>5.社内・体制</t>
    <rPh sb="2" eb="4">
      <t>シャナイ</t>
    </rPh>
    <rPh sb="5" eb="7">
      <t>タイセイ</t>
    </rPh>
    <phoneticPr fontId="2"/>
  </si>
  <si>
    <t>6.工期・納期</t>
    <rPh sb="2" eb="4">
      <t>コウキ</t>
    </rPh>
    <rPh sb="5" eb="7">
      <t>ノウキ</t>
    </rPh>
    <phoneticPr fontId="2"/>
  </si>
  <si>
    <t>②要件洗い出し</t>
    <phoneticPr fontId="2"/>
  </si>
  <si>
    <t>7.役割・責任</t>
    <phoneticPr fontId="2"/>
  </si>
  <si>
    <t>8.コミュニケーション</t>
    <phoneticPr fontId="2"/>
  </si>
  <si>
    <t>9.要求・要件</t>
    <phoneticPr fontId="2"/>
  </si>
  <si>
    <t>10.要求・要件</t>
    <phoneticPr fontId="2"/>
  </si>
  <si>
    <t>11.要求・要件</t>
    <phoneticPr fontId="2"/>
  </si>
  <si>
    <t>12.要件・難易度</t>
    <phoneticPr fontId="2"/>
  </si>
  <si>
    <t>13.要件・コンプライアンス</t>
    <phoneticPr fontId="2"/>
  </si>
  <si>
    <t>14.パッケージ・スコープ</t>
    <phoneticPr fontId="2"/>
  </si>
  <si>
    <t>③作業洗い出し</t>
    <phoneticPr fontId="2"/>
  </si>
  <si>
    <t>15.成果物、タスク</t>
    <phoneticPr fontId="2"/>
  </si>
  <si>
    <t>16.パッケージ</t>
    <phoneticPr fontId="2"/>
  </si>
  <si>
    <t>17.オフショア</t>
    <phoneticPr fontId="2"/>
  </si>
  <si>
    <t>④工数見積</t>
    <phoneticPr fontId="2"/>
  </si>
  <si>
    <t>⑤要員計画</t>
    <phoneticPr fontId="2"/>
  </si>
  <si>
    <t>18.社内・体制</t>
    <phoneticPr fontId="2"/>
  </si>
  <si>
    <t>19.社内・組織支援</t>
    <phoneticPr fontId="2"/>
  </si>
  <si>
    <t>20.委託先・見積</t>
    <phoneticPr fontId="2"/>
  </si>
  <si>
    <t>21.委託先・動員力</t>
    <phoneticPr fontId="2"/>
  </si>
  <si>
    <t>22.委託先・経営状況</t>
    <phoneticPr fontId="2"/>
  </si>
  <si>
    <t>23.パッケージ</t>
    <phoneticPr fontId="2"/>
  </si>
  <si>
    <t>⑥作業計画</t>
    <phoneticPr fontId="2"/>
  </si>
  <si>
    <t>24.成果物、タスク</t>
    <phoneticPr fontId="2"/>
  </si>
  <si>
    <t>⑦全体コスト見積</t>
    <phoneticPr fontId="2"/>
  </si>
  <si>
    <t>25.その他費用</t>
    <phoneticPr fontId="2"/>
  </si>
  <si>
    <t>その他</t>
    <rPh sb="2" eb="3">
      <t>タ</t>
    </rPh>
    <phoneticPr fontId="2"/>
  </si>
  <si>
    <t>岩瀬（人日単価）</t>
    <rPh sb="0" eb="2">
      <t>イワセ</t>
    </rPh>
    <rPh sb="2" eb="3">
      <t>ニチ</t>
    </rPh>
    <rPh sb="3" eb="5">
      <t>タンカ</t>
    </rPh>
    <phoneticPr fontId="2"/>
  </si>
  <si>
    <t>山口　勇/滋賀　泰樹（人日単価）</t>
    <rPh sb="0" eb="2">
      <t>ヤマグチ</t>
    </rPh>
    <rPh sb="3" eb="4">
      <t>イサム</t>
    </rPh>
    <rPh sb="5" eb="7">
      <t>シガ</t>
    </rPh>
    <rPh sb="8" eb="10">
      <t>ヤスキ</t>
    </rPh>
    <phoneticPr fontId="1"/>
  </si>
  <si>
    <t>TAB（人日単価）</t>
    <phoneticPr fontId="2"/>
  </si>
  <si>
    <t>品質不良により再度、製造・テストが必要となる。（製造・単体テスト工程／結合テスト工程）
例：製造・単体テスト0.5か月分のやり直し：1人月＊0.5=0.5人月
TAB単価：9000*8h * 10日  = 0.7</t>
  </si>
  <si>
    <t>追加要件定義が必要となる。
例：[3人月]
1要件＝1人月
※3要件追加を想定
TAB単価：9000*8 * 1  = 0.1</t>
    <rPh sb="0" eb="2">
      <t>ツイカ</t>
    </rPh>
    <rPh sb="2" eb="6">
      <t>ヨウケンテイギ</t>
    </rPh>
    <rPh sb="7" eb="9">
      <t>ヒツヨウ</t>
    </rPh>
    <rPh sb="15" eb="16">
      <t>レイ</t>
    </rPh>
    <rPh sb="19" eb="20">
      <t>ニン</t>
    </rPh>
    <rPh sb="20" eb="21">
      <t>ゲツ</t>
    </rPh>
    <rPh sb="24" eb="26">
      <t>ヨウケン</t>
    </rPh>
    <rPh sb="28" eb="29">
      <t>ニン</t>
    </rPh>
    <rPh sb="29" eb="30">
      <t>ゲツ</t>
    </rPh>
    <rPh sb="33" eb="35">
      <t>ヨウケン</t>
    </rPh>
    <rPh sb="35" eb="37">
      <t>ツイカ</t>
    </rPh>
    <rPh sb="38" eb="40">
      <t>ソウテイ</t>
    </rPh>
    <phoneticPr fontId="2"/>
  </si>
  <si>
    <t>未経験、及び知識不十分による手戻りが発生する。
例：全4レクチャー中、2レクチャーに3人日程度の手戻りが生じる。
　　3人日＊2＝6人日
TAB単価：9000*8 * 6  = 0.4</t>
    <rPh sb="0" eb="3">
      <t>ミケイケン</t>
    </rPh>
    <rPh sb="4" eb="5">
      <t>オヨ</t>
    </rPh>
    <rPh sb="6" eb="8">
      <t>チシキ</t>
    </rPh>
    <rPh sb="8" eb="11">
      <t>フジュウブン</t>
    </rPh>
    <rPh sb="14" eb="16">
      <t>テモド</t>
    </rPh>
    <rPh sb="18" eb="20">
      <t>ハッセイ</t>
    </rPh>
    <rPh sb="24" eb="25">
      <t>レイ</t>
    </rPh>
    <rPh sb="26" eb="27">
      <t>ゼン</t>
    </rPh>
    <rPh sb="33" eb="34">
      <t>チュウ</t>
    </rPh>
    <rPh sb="43" eb="45">
      <t>ヒトヒ</t>
    </rPh>
    <rPh sb="45" eb="47">
      <t>テイド</t>
    </rPh>
    <rPh sb="48" eb="50">
      <t>テモド</t>
    </rPh>
    <rPh sb="52" eb="53">
      <t>ショウ</t>
    </rPh>
    <rPh sb="60" eb="62">
      <t>ヒトヒ</t>
    </rPh>
    <rPh sb="66" eb="68">
      <t>ヒトヒ</t>
    </rPh>
    <phoneticPr fontId="2"/>
  </si>
  <si>
    <t>工程が計画通り進まず、リカバリのため、要員追加が必要となる。
例：CTC側の作業遅延による待機・リカバリ工数１人日
TAB単価：9000*8 * 2  = 0.1</t>
    <rPh sb="36" eb="37">
      <t>ガワ</t>
    </rPh>
    <rPh sb="38" eb="40">
      <t>サギョウ</t>
    </rPh>
    <rPh sb="55" eb="56">
      <t>ヒト</t>
    </rPh>
    <rPh sb="56" eb="57">
      <t>ニチ</t>
    </rPh>
    <phoneticPr fontId="2"/>
  </si>
  <si>
    <t>パートナーで実施してもらう想定だった作業について、追加工数が必要となる。
例：付帯する資料作成のため、5人日追加となる。
TAB単価：9000*8 * 5  = 0.4</t>
    <rPh sb="39" eb="41">
      <t>フタイ</t>
    </rPh>
    <rPh sb="43" eb="45">
      <t>シリョウ</t>
    </rPh>
    <phoneticPr fontId="2"/>
  </si>
  <si>
    <t>他ベンダーで実施してもらう想定だった作業について、追加工数が必要となる。
例：他ベンダーを含む領域の移行計画作成のため、立案検討に5人日追加となる。
TAB単価：9000*8 * 5  = 0.4</t>
    <rPh sb="0" eb="1">
      <t>ホカ</t>
    </rPh>
    <rPh sb="6" eb="8">
      <t>ジッシ</t>
    </rPh>
    <rPh sb="13" eb="15">
      <t>ソウテイ</t>
    </rPh>
    <rPh sb="18" eb="20">
      <t>サギョウ</t>
    </rPh>
    <rPh sb="25" eb="27">
      <t>ツイカ</t>
    </rPh>
    <rPh sb="27" eb="29">
      <t>コウスウ</t>
    </rPh>
    <rPh sb="30" eb="32">
      <t>ヒツヨウ</t>
    </rPh>
    <rPh sb="37" eb="38">
      <t>レイ</t>
    </rPh>
    <rPh sb="39" eb="40">
      <t>ホカ</t>
    </rPh>
    <rPh sb="45" eb="46">
      <t>フク</t>
    </rPh>
    <rPh sb="47" eb="49">
      <t>リョウイキ</t>
    </rPh>
    <rPh sb="50" eb="52">
      <t>イコウ</t>
    </rPh>
    <rPh sb="52" eb="54">
      <t>ケイカク</t>
    </rPh>
    <rPh sb="54" eb="56">
      <t>サクセイ</t>
    </rPh>
    <rPh sb="60" eb="62">
      <t>リツアン</t>
    </rPh>
    <rPh sb="62" eb="64">
      <t>ケントウ</t>
    </rPh>
    <rPh sb="66" eb="68">
      <t>ニンニチ</t>
    </rPh>
    <rPh sb="68" eb="70">
      <t>ツイカ</t>
    </rPh>
    <phoneticPr fontId="2"/>
  </si>
  <si>
    <t>追加の外部設計のための新規メンバーのアサインが必要となる。
例：[1人月]
1人月×0.5か月
TAB単価：9000*8h * 20日 * 0.5  = 0.7</t>
  </si>
  <si>
    <t>技術的な問題が発生により外部設計が止まる状況発生したため、急遽有識者確保が必要となる。
例：[1人月]
1人月×1か月
TAB単価：9000*8h * 20日 * 0.5  = 0.7</t>
  </si>
  <si>
    <t>成果物の修正コストが生じる。
例：要件定義書の記載粒度や章立ての認識相違により、修正コストが生じる。要件定義工程の訳20%相当である1.5人月が追加発生する。
TAB単価：9000*8 * 1.5  = 0.1</t>
    <rPh sb="0" eb="3">
      <t>セイカブツ</t>
    </rPh>
    <rPh sb="4" eb="6">
      <t>シュウセイ</t>
    </rPh>
    <rPh sb="10" eb="11">
      <t>ショウ</t>
    </rPh>
    <rPh sb="15" eb="16">
      <t>レイ</t>
    </rPh>
    <rPh sb="17" eb="22">
      <t>ヨウケンテイギショ</t>
    </rPh>
    <rPh sb="23" eb="25">
      <t>キサイ</t>
    </rPh>
    <rPh sb="25" eb="27">
      <t>リュウド</t>
    </rPh>
    <rPh sb="28" eb="30">
      <t>ショウダ</t>
    </rPh>
    <rPh sb="32" eb="34">
      <t>ニンシキ</t>
    </rPh>
    <rPh sb="34" eb="36">
      <t>ソウイ</t>
    </rPh>
    <rPh sb="40" eb="42">
      <t>シュウセイ</t>
    </rPh>
    <rPh sb="46" eb="47">
      <t>ショウ</t>
    </rPh>
    <rPh sb="50" eb="52">
      <t>ヨウケン</t>
    </rPh>
    <rPh sb="52" eb="54">
      <t>テイギ</t>
    </rPh>
    <rPh sb="54" eb="56">
      <t>コウテイ</t>
    </rPh>
    <rPh sb="57" eb="58">
      <t>ヤク</t>
    </rPh>
    <rPh sb="61" eb="63">
      <t>ソウトウ</t>
    </rPh>
    <rPh sb="69" eb="71">
      <t>ヒトゲツ</t>
    </rPh>
    <rPh sb="72" eb="74">
      <t>ツイカ</t>
    </rPh>
    <rPh sb="74" eb="76">
      <t>ハッセイ</t>
    </rPh>
    <phoneticPr fontId="2"/>
  </si>
  <si>
    <t>外部設計書での認識齟齬があり、手戻りや再出荷が発生する。
例：外部設計の認識齟齬による手戻り
外部設計見直し・レビュー工程：1人日
システムテストでの品質強化：5人日
TAB単価：9000*8 * 6  = 0.4</t>
  </si>
  <si>
    <t>パッケージの仕様詳細を確認するための追加調査や検証、ドキュメント作成コストが生じる。
例：
パッケージ標準機能の仕様調査、ドキュメント作成工数
調査/問い合わせ：10人日
ドキュメント作成　：10人日
TAB単価：9000*8 * 20  = 0.7</t>
    <rPh sb="6" eb="10">
      <t>シヨウショウサイ</t>
    </rPh>
    <rPh sb="11" eb="13">
      <t>カクニン</t>
    </rPh>
    <rPh sb="18" eb="20">
      <t>ツイカ</t>
    </rPh>
    <rPh sb="20" eb="22">
      <t>チョウサ</t>
    </rPh>
    <rPh sb="23" eb="25">
      <t>ケンショウ</t>
    </rPh>
    <rPh sb="32" eb="34">
      <t>サクセイ</t>
    </rPh>
    <rPh sb="38" eb="39">
      <t>ショウ</t>
    </rPh>
    <rPh sb="51" eb="53">
      <t>ヒョウジュン</t>
    </rPh>
    <rPh sb="53" eb="55">
      <t>キノウ</t>
    </rPh>
    <rPh sb="56" eb="58">
      <t>シヨウ</t>
    </rPh>
    <rPh sb="58" eb="60">
      <t>チョウサ</t>
    </rPh>
    <rPh sb="67" eb="69">
      <t>サクセイ</t>
    </rPh>
    <rPh sb="69" eb="71">
      <t>コウスウ</t>
    </rPh>
    <rPh sb="72" eb="74">
      <t>チョウサ</t>
    </rPh>
    <rPh sb="75" eb="76">
      <t>ト</t>
    </rPh>
    <rPh sb="77" eb="78">
      <t>ア</t>
    </rPh>
    <rPh sb="83" eb="85">
      <t>ニンビ</t>
    </rPh>
    <rPh sb="92" eb="94">
      <t>サクセイ</t>
    </rPh>
    <rPh sb="98" eb="100">
      <t>ニンビ</t>
    </rPh>
    <phoneticPr fontId="2"/>
  </si>
  <si>
    <t>要件が定まらない、もしくは変更が多発して手戻り工数が必要となる。
例：要件定義工程の20%相当
10人日 × 0.2 = 2
TAB単価：9000*8 * 2  = 0.1</t>
    <rPh sb="0" eb="2">
      <t>ヨウケン</t>
    </rPh>
    <rPh sb="3" eb="4">
      <t>サダ</t>
    </rPh>
    <rPh sb="13" eb="15">
      <t>ヘンコウ</t>
    </rPh>
    <rPh sb="16" eb="18">
      <t>タハツ</t>
    </rPh>
    <rPh sb="20" eb="22">
      <t>テモド</t>
    </rPh>
    <rPh sb="23" eb="25">
      <t>コウスウ</t>
    </rPh>
    <rPh sb="26" eb="28">
      <t>ヒツヨウ</t>
    </rPh>
    <rPh sb="33" eb="34">
      <t>レイ</t>
    </rPh>
    <rPh sb="35" eb="39">
      <t>ヨウケンテイギ</t>
    </rPh>
    <rPh sb="39" eb="41">
      <t>コウテイ</t>
    </rPh>
    <rPh sb="45" eb="47">
      <t>ソウトウ</t>
    </rPh>
    <rPh sb="50" eb="51">
      <t>ニン</t>
    </rPh>
    <rPh sb="51" eb="52">
      <t>ニチ</t>
    </rPh>
    <phoneticPr fontId="2"/>
  </si>
  <si>
    <t>追加のデグレテストが発生する。
例：追加のテスト工数：2人日
TAB単価：9000*8 * 2  = 0.1</t>
    <rPh sb="0" eb="2">
      <t>ツイカ</t>
    </rPh>
    <rPh sb="10" eb="12">
      <t>ハッセイ</t>
    </rPh>
    <rPh sb="16" eb="17">
      <t>レイ</t>
    </rPh>
    <rPh sb="18" eb="20">
      <t>ツイカ</t>
    </rPh>
    <rPh sb="28" eb="30">
      <t>ニンニチ</t>
    </rPh>
    <phoneticPr fontId="2"/>
  </si>
  <si>
    <t>伊藤（人日単価）</t>
    <rPh sb="0" eb="2">
      <t>イトウ</t>
    </rPh>
    <rPh sb="2" eb="3">
      <t>ニチ</t>
    </rPh>
    <rPh sb="3" eb="5">
      <t>タンカ</t>
    </rPh>
    <phoneticPr fontId="2"/>
  </si>
  <si>
    <t>TAB(SAP)（人日単価）</t>
    <phoneticPr fontId="1"/>
  </si>
  <si>
    <t>顧客で実施してもらう想定だった作業について、追加工数が必要となる。
例：付帯する資料作成のため、5人日追加となる。
TAB単価：9000 * 5  = 0.4</t>
    <rPh sb="0" eb="2">
      <t>コキャク</t>
    </rPh>
    <rPh sb="36" eb="38">
      <t>フタイ</t>
    </rPh>
    <rPh sb="40" eb="42">
      <t>シリョウ</t>
    </rPh>
    <phoneticPr fontId="2"/>
  </si>
  <si>
    <t>スケジュールリカバリのため、要員追加が必要となる。
例：要件定義書作成をリカバリするため、1名要員追加する
TAB単価：9000*10 = 0.4</t>
    <rPh sb="26" eb="27">
      <t>レイ</t>
    </rPh>
    <rPh sb="28" eb="32">
      <t>ヨウケンテイギ</t>
    </rPh>
    <rPh sb="32" eb="33">
      <t>ショ</t>
    </rPh>
    <rPh sb="33" eb="35">
      <t>サクセイ</t>
    </rPh>
    <rPh sb="46" eb="47">
      <t>メイ</t>
    </rPh>
    <rPh sb="47" eb="51">
      <t>ヨウインツイカ</t>
    </rPh>
    <phoneticPr fontId="2"/>
  </si>
  <si>
    <t>工程が計画通り進まず、リカバリのため、要員追加が必要となる。
例：レビュー遅延による待機・リカバリ工数5人日*４レビュー想定
TAB単価：9000 * 5 *4</t>
    <rPh sb="0" eb="2">
      <t>コウテイ</t>
    </rPh>
    <rPh sb="3" eb="6">
      <t>ケイカクドオ</t>
    </rPh>
    <rPh sb="7" eb="8">
      <t>スス</t>
    </rPh>
    <rPh sb="31" eb="32">
      <t>レイ</t>
    </rPh>
    <rPh sb="66" eb="68">
      <t>タンカ</t>
    </rPh>
    <phoneticPr fontId="2"/>
  </si>
  <si>
    <t>作業待ちが発生し、リカバリのため、要員追加が必要となる。
例：レビュー遅延による待機・リカバリ工数5人日*４レビュー想定
TAB単価：9000 * 5 *4</t>
    <rPh sb="29" eb="30">
      <t>レイ</t>
    </rPh>
    <phoneticPr fontId="2"/>
  </si>
  <si>
    <t xml:space="preserve">参考価格を超える理由の説明を要求され、想定外の工数が生じる。
例：過去の工程別工数を確認し、当初提示済みの参考価格との乖離原因の説明資料を作成する。
資料作成工数：3人日
TAB単価：9000* 3 </t>
    <rPh sb="0" eb="4">
      <t>サンコウカカク</t>
    </rPh>
    <rPh sb="5" eb="6">
      <t>コ</t>
    </rPh>
    <rPh sb="8" eb="10">
      <t>リユウ</t>
    </rPh>
    <rPh sb="11" eb="13">
      <t>セツメイ</t>
    </rPh>
    <rPh sb="14" eb="16">
      <t>ヨウキュウ</t>
    </rPh>
    <rPh sb="19" eb="22">
      <t>ソウテイガイ</t>
    </rPh>
    <rPh sb="23" eb="25">
      <t>コウスウ</t>
    </rPh>
    <rPh sb="26" eb="27">
      <t>ショウ</t>
    </rPh>
    <rPh sb="31" eb="32">
      <t>レイ</t>
    </rPh>
    <rPh sb="33" eb="35">
      <t>カコ</t>
    </rPh>
    <rPh sb="36" eb="41">
      <t>コウテイベツコウスウ</t>
    </rPh>
    <rPh sb="42" eb="44">
      <t>カクニン</t>
    </rPh>
    <rPh sb="46" eb="48">
      <t>トウショ</t>
    </rPh>
    <rPh sb="48" eb="50">
      <t>テイジ</t>
    </rPh>
    <rPh sb="50" eb="51">
      <t>ズ</t>
    </rPh>
    <rPh sb="53" eb="57">
      <t>サンコウカカク</t>
    </rPh>
    <rPh sb="59" eb="61">
      <t>カイリ</t>
    </rPh>
    <rPh sb="61" eb="63">
      <t>ゲンイン</t>
    </rPh>
    <rPh sb="64" eb="68">
      <t>セツメイシリョウ</t>
    </rPh>
    <rPh sb="69" eb="71">
      <t>サクセイ</t>
    </rPh>
    <rPh sb="75" eb="77">
      <t>シリョウ</t>
    </rPh>
    <rPh sb="77" eb="79">
      <t>サクセイ</t>
    </rPh>
    <rPh sb="79" eb="81">
      <t>コウスウ</t>
    </rPh>
    <rPh sb="83" eb="85">
      <t>ヒトヒ</t>
    </rPh>
    <phoneticPr fontId="2"/>
  </si>
  <si>
    <t xml:space="preserve">設計以降の工程で業務部門がシステムの資料が分からないため、業務部門が分かる資料を作成する。
資料作成工数：3人日
TAB単価：9000* 3 </t>
    <rPh sb="0" eb="4">
      <t>セッケイイコウ</t>
    </rPh>
    <rPh sb="5" eb="7">
      <t>コウテイ</t>
    </rPh>
    <rPh sb="8" eb="12">
      <t>ギョウムブモン</t>
    </rPh>
    <rPh sb="18" eb="20">
      <t>シリョウ</t>
    </rPh>
    <rPh sb="21" eb="22">
      <t>ワ</t>
    </rPh>
    <rPh sb="29" eb="31">
      <t>ギョウム</t>
    </rPh>
    <rPh sb="31" eb="33">
      <t>ブモン</t>
    </rPh>
    <rPh sb="34" eb="35">
      <t>ワ</t>
    </rPh>
    <rPh sb="37" eb="39">
      <t>シリョウ</t>
    </rPh>
    <rPh sb="40" eb="42">
      <t>サクセイ</t>
    </rPh>
    <rPh sb="46" eb="48">
      <t>シリョウ</t>
    </rPh>
    <rPh sb="48" eb="50">
      <t>サクセイ</t>
    </rPh>
    <rPh sb="50" eb="52">
      <t>コウスウ</t>
    </rPh>
    <rPh sb="54" eb="56">
      <t>ヒトヒ</t>
    </rPh>
    <phoneticPr fontId="2"/>
  </si>
  <si>
    <t xml:space="preserve">品質強化テストのため、追加で検証作業を実施する。
テスト工数：1人日
TAB単価：9000* 1 </t>
    <rPh sb="0" eb="2">
      <t>ヒンシツ</t>
    </rPh>
    <rPh sb="2" eb="4">
      <t>キョウカ</t>
    </rPh>
    <rPh sb="11" eb="13">
      <t>ツイカ</t>
    </rPh>
    <rPh sb="14" eb="18">
      <t>ケンショウサギョウ</t>
    </rPh>
    <rPh sb="19" eb="21">
      <t>ジッシ</t>
    </rPh>
    <phoneticPr fontId="2"/>
  </si>
  <si>
    <t xml:space="preserve">成果物の作成作業に手戻りが発生する。
例：1ヶ月あたりの体制維持工数：1人月＊0.5=0.5人月
TAB単価：9000* 20 * 0.5 </t>
    <phoneticPr fontId="2"/>
  </si>
  <si>
    <t xml:space="preserve">顧客側の責任者以外のご担当から追加要件が生じたため、工程の手戻りが生じる。
例：要件定義の機能要件定義が5人日追加となる
TAB単価：9000* 5 </t>
    <rPh sb="0" eb="3">
      <t>コキャクガワ</t>
    </rPh>
    <rPh sb="4" eb="7">
      <t>セキニンシャ</t>
    </rPh>
    <rPh sb="7" eb="9">
      <t>イガイ</t>
    </rPh>
    <rPh sb="11" eb="13">
      <t>タントウ</t>
    </rPh>
    <rPh sb="15" eb="17">
      <t>ツイカ</t>
    </rPh>
    <rPh sb="17" eb="19">
      <t>ヨウケン</t>
    </rPh>
    <rPh sb="20" eb="21">
      <t>ショウ</t>
    </rPh>
    <rPh sb="26" eb="28">
      <t>コウテイ</t>
    </rPh>
    <rPh sb="29" eb="31">
      <t>テモド</t>
    </rPh>
    <rPh sb="33" eb="34">
      <t>ショウ</t>
    </rPh>
    <rPh sb="38" eb="39">
      <t>レイ</t>
    </rPh>
    <rPh sb="40" eb="42">
      <t>ヨウケン</t>
    </rPh>
    <rPh sb="42" eb="44">
      <t>テイギ</t>
    </rPh>
    <rPh sb="45" eb="47">
      <t>キノウ</t>
    </rPh>
    <rPh sb="47" eb="49">
      <t>ヨウケン</t>
    </rPh>
    <rPh sb="49" eb="51">
      <t>テイギ</t>
    </rPh>
    <rPh sb="53" eb="54">
      <t>ヒト</t>
    </rPh>
    <rPh sb="54" eb="55">
      <t>ヒ</t>
    </rPh>
    <rPh sb="55" eb="57">
      <t>ツイカ</t>
    </rPh>
    <phoneticPr fontId="2"/>
  </si>
  <si>
    <t xml:space="preserve">工程が計画通り進まず、リカバリのため、要員追加が必要となる。
例：顧客提示資料の遅延による待機・リカバリ工数１人日
TAB単価：9000* 1 </t>
    <rPh sb="33" eb="35">
      <t>コキャク</t>
    </rPh>
    <rPh sb="35" eb="37">
      <t>テイジ</t>
    </rPh>
    <rPh sb="37" eb="39">
      <t>シリョウ</t>
    </rPh>
    <phoneticPr fontId="2"/>
  </si>
  <si>
    <t xml:space="preserve">体制確保ができず、スケジュール遅延が発生する。
例：追加での要員が確保できず、１か月遅延する際の体制維持費
伊藤+TAB(SAP)単価：(16115+9000)*20*0.5
山口/滋賀＋TAB単価：(16115＋9000）*20*1
岩瀬単価:16115*20*0.3 
</t>
    <rPh sb="18" eb="20">
      <t>ハッセイ</t>
    </rPh>
    <rPh sb="24" eb="25">
      <t>レイ</t>
    </rPh>
    <rPh sb="26" eb="28">
      <t>ツイカ</t>
    </rPh>
    <rPh sb="30" eb="32">
      <t>ヨウイン</t>
    </rPh>
    <rPh sb="33" eb="35">
      <t>カクホ</t>
    </rPh>
    <rPh sb="41" eb="42">
      <t>ゲツ</t>
    </rPh>
    <rPh sb="42" eb="44">
      <t>チエン</t>
    </rPh>
    <rPh sb="46" eb="47">
      <t>サイ</t>
    </rPh>
    <rPh sb="48" eb="50">
      <t>タイセイ</t>
    </rPh>
    <rPh sb="50" eb="53">
      <t>イジヒ</t>
    </rPh>
    <rPh sb="55" eb="57">
      <t>イトウ</t>
    </rPh>
    <rPh sb="66" eb="68">
      <t>タンカ</t>
    </rPh>
    <rPh sb="89" eb="91">
      <t>ヤマグチ</t>
    </rPh>
    <rPh sb="92" eb="94">
      <t>シガ</t>
    </rPh>
    <rPh sb="119" eb="121">
      <t>イワセ</t>
    </rPh>
    <rPh sb="121" eb="123">
      <t>タンカ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</si>
</sst>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6" formatCode="0_);[Red]\(0\)"/>
    <numFmt numFmtId="177" formatCode="0.0%"/>
    <numFmt numFmtId="178" formatCode="#,##0;\-#,##0;&quot;-&quot;"/>
    <numFmt numFmtId="179" formatCode="00#"/>
    <numFmt numFmtId="180" formatCode="0.0_ "/>
    <numFmt numFmtId="181" formatCode="m/d"/>
    <numFmt numFmtId="182" formatCode="0.0_);[Red]\(0.0\)"/>
    <numFmt numFmtId="183" formatCode="yyyy&quot;年&quot;m&quot;月&quot;d&quot;日&quot;;@"/>
    <numFmt numFmtId="184" formatCode="yyyy/mm/dd"/>
    <numFmt numFmtId="185" formatCode="0.00_);[Red]\(0.00\)"/>
  </numFmts>
  <fonts count="53">
    <font>
      <sz val="10"/>
      <name val="ＭＳ Ｐゴシック"/>
      <family val="3"/>
      <charset val="128"/>
    </font>
    <font>
      <sz val="10"/>
      <name val="ＭＳ Ｐゴシック"/>
      <family val="3"/>
      <charset val="128"/>
    </font>
    <font>
      <sz val="6"/>
      <name val="ＭＳ Ｐゴシック"/>
      <family val="3"/>
      <charset val="128"/>
    </font>
    <font>
      <sz val="10"/>
      <name val="Arial"/>
      <family val="2"/>
    </font>
    <font>
      <sz val="10"/>
      <color indexed="8"/>
      <name val="Arial"/>
      <family val="2"/>
    </font>
    <font>
      <b/>
      <sz val="12"/>
      <name val="Arial"/>
      <family val="2"/>
    </font>
    <font>
      <sz val="9"/>
      <color indexed="81"/>
      <name val="ＭＳ Ｐゴシック"/>
      <family val="3"/>
      <charset val="128"/>
    </font>
    <font>
      <b/>
      <sz val="9"/>
      <color indexed="81"/>
      <name val="ＭＳ Ｐゴシック"/>
      <family val="3"/>
      <charset val="128"/>
    </font>
    <font>
      <sz val="8"/>
      <name val="ＭＳ Ｐゴシック"/>
      <family val="3"/>
      <charset val="128"/>
    </font>
    <font>
      <b/>
      <sz val="10"/>
      <color indexed="81"/>
      <name val="ＭＳ Ｐゴシック"/>
      <family val="3"/>
      <charset val="128"/>
    </font>
    <font>
      <sz val="10"/>
      <name val="ＭＳ Ｐゴシック"/>
      <family val="3"/>
      <charset val="128"/>
    </font>
    <font>
      <sz val="11"/>
      <name val="ＭＳ Ｐゴシック"/>
      <family val="3"/>
      <charset val="128"/>
    </font>
    <font>
      <sz val="9"/>
      <name val="ＭＳ Ｐゴシック"/>
      <family val="3"/>
      <charset val="128"/>
    </font>
    <font>
      <b/>
      <sz val="12"/>
      <name val="ＭＳ Ｐゴシック"/>
      <family val="3"/>
      <charset val="128"/>
    </font>
    <font>
      <sz val="14"/>
      <name val="ＭＳ Ｐゴシック"/>
      <family val="3"/>
      <charset val="128"/>
    </font>
    <font>
      <b/>
      <sz val="14"/>
      <name val="ＭＳ Ｐゴシック"/>
      <family val="3"/>
      <charset val="128"/>
    </font>
    <font>
      <b/>
      <sz val="18"/>
      <name val="ＭＳ Ｐゴシック"/>
      <family val="3"/>
      <charset val="128"/>
    </font>
    <font>
      <b/>
      <sz val="20"/>
      <name val="ＭＳ Ｐゴシック"/>
      <family val="3"/>
      <charset val="128"/>
    </font>
    <font>
      <sz val="12"/>
      <name val="ＭＳ Ｐゴシック"/>
      <family val="3"/>
      <charset val="128"/>
    </font>
    <font>
      <sz val="12"/>
      <color indexed="12"/>
      <name val="ＭＳ Ｐゴシック"/>
      <family val="3"/>
      <charset val="128"/>
    </font>
    <font>
      <b/>
      <sz val="12"/>
      <color indexed="12"/>
      <name val="ＭＳ Ｐゴシック"/>
      <family val="3"/>
      <charset val="128"/>
    </font>
    <font>
      <b/>
      <sz val="24"/>
      <name val="ＭＳ Ｐゴシック"/>
      <family val="3"/>
      <charset val="128"/>
    </font>
    <font>
      <b/>
      <sz val="16"/>
      <name val="ＭＳ Ｐゴシック"/>
      <family val="3"/>
      <charset val="128"/>
    </font>
    <font>
      <sz val="10"/>
      <name val="ＭＳ Ｐ明朝"/>
      <family val="1"/>
      <charset val="128"/>
    </font>
    <font>
      <sz val="6"/>
      <name val="ＭＳ Ｐ明朝"/>
      <family val="1"/>
      <charset val="128"/>
    </font>
    <font>
      <b/>
      <sz val="10"/>
      <name val="ＭＳ Ｐゴシック"/>
      <family val="3"/>
      <charset val="128"/>
    </font>
    <font>
      <sz val="12"/>
      <color indexed="10"/>
      <name val="ＭＳ Ｐゴシック"/>
      <family val="3"/>
      <charset val="128"/>
    </font>
    <font>
      <b/>
      <sz val="12"/>
      <color indexed="10"/>
      <name val="ＭＳ Ｐゴシック"/>
      <family val="3"/>
      <charset val="128"/>
    </font>
    <font>
      <sz val="12"/>
      <color indexed="8"/>
      <name val="ＭＳ Ｐゴシック"/>
      <family val="3"/>
      <charset val="128"/>
    </font>
    <font>
      <sz val="12"/>
      <color theme="1"/>
      <name val="ＭＳ Ｐゴシック"/>
      <family val="3"/>
      <charset val="128"/>
    </font>
    <font>
      <b/>
      <sz val="12"/>
      <color theme="1"/>
      <name val="ＭＳ Ｐゴシック"/>
      <family val="3"/>
      <charset val="128"/>
    </font>
    <font>
      <sz val="10"/>
      <color theme="1"/>
      <name val="ＭＳ Ｐゴシック"/>
      <family val="3"/>
      <charset val="128"/>
    </font>
    <font>
      <sz val="10"/>
      <color theme="0"/>
      <name val="ＭＳ Ｐゴシック"/>
      <family val="3"/>
      <charset val="128"/>
    </font>
    <font>
      <b/>
      <sz val="9"/>
      <color indexed="81"/>
      <name val="MS P ゴシック"/>
      <family val="3"/>
      <charset val="128"/>
    </font>
    <font>
      <b/>
      <sz val="8"/>
      <name val="ＭＳ Ｐゴシック"/>
      <family val="3"/>
      <charset val="128"/>
    </font>
    <font>
      <sz val="20"/>
      <name val="ＭＳ Ｐゴシック"/>
      <family val="3"/>
      <charset val="128"/>
    </font>
    <font>
      <sz val="10"/>
      <name val="Meiryo UI"/>
      <family val="3"/>
      <charset val="128"/>
    </font>
    <font>
      <sz val="10"/>
      <name val="メイリオ"/>
      <family val="3"/>
      <charset val="128"/>
    </font>
    <font>
      <sz val="10"/>
      <color theme="1"/>
      <name val="メイリオ"/>
      <family val="3"/>
      <charset val="128"/>
    </font>
    <font>
      <sz val="9"/>
      <name val="メイリオ"/>
      <family val="3"/>
      <charset val="128"/>
    </font>
    <font>
      <sz val="10"/>
      <color theme="0"/>
      <name val="Meiryo UI"/>
      <family val="3"/>
      <charset val="128"/>
    </font>
    <font>
      <b/>
      <sz val="12"/>
      <name val="Meiryo UI"/>
      <family val="3"/>
      <charset val="128"/>
    </font>
    <font>
      <sz val="12"/>
      <name val="Meiryo UI"/>
      <family val="3"/>
      <charset val="128"/>
    </font>
    <font>
      <sz val="9"/>
      <color indexed="10"/>
      <name val="Meiryo UI"/>
      <family val="3"/>
      <charset val="128"/>
    </font>
    <font>
      <b/>
      <sz val="11"/>
      <color theme="0"/>
      <name val="ＭＳ Ｐゴシック"/>
      <family val="3"/>
      <charset val="128"/>
    </font>
    <font>
      <b/>
      <sz val="10"/>
      <name val="Meiryo UI"/>
      <family val="3"/>
      <charset val="128"/>
    </font>
    <font>
      <sz val="10"/>
      <color rgb="FFFF0000"/>
      <name val="Meiryo UI"/>
      <family val="3"/>
      <charset val="128"/>
    </font>
    <font>
      <b/>
      <sz val="14"/>
      <name val="メイリオ"/>
      <family val="3"/>
      <charset val="128"/>
    </font>
    <font>
      <sz val="8"/>
      <name val="メイリオ"/>
      <family val="3"/>
      <charset val="128"/>
    </font>
    <font>
      <b/>
      <sz val="10"/>
      <name val="メイリオ"/>
      <family val="3"/>
      <charset val="128"/>
    </font>
    <font>
      <b/>
      <sz val="8"/>
      <name val="メイリオ"/>
      <family val="3"/>
      <charset val="128"/>
    </font>
    <font>
      <u/>
      <sz val="10"/>
      <color theme="10"/>
      <name val="ＭＳ Ｐゴシック"/>
      <family val="3"/>
      <charset val="128"/>
    </font>
    <font>
      <sz val="10"/>
      <color theme="1"/>
      <name val="Meiryo UI"/>
      <family val="3"/>
      <charset val="128"/>
    </font>
  </fonts>
  <fills count="18">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theme="0"/>
        <bgColor indexed="64"/>
      </patternFill>
    </fill>
    <fill>
      <patternFill patternType="solid">
        <fgColor rgb="FF99CCFF"/>
        <bgColor indexed="64"/>
      </patternFill>
    </fill>
    <fill>
      <patternFill patternType="solid">
        <fgColor rgb="FFFFFF99"/>
        <bgColor indexed="64"/>
      </patternFill>
    </fill>
    <fill>
      <patternFill patternType="solid">
        <fgColor rgb="FFFFFFCC"/>
        <bgColor indexed="64"/>
      </patternFill>
    </fill>
    <fill>
      <patternFill patternType="solid">
        <fgColor rgb="FF92D050"/>
        <bgColor indexed="64"/>
      </patternFill>
    </fill>
    <fill>
      <patternFill patternType="solid">
        <fgColor rgb="FF00B0F0"/>
        <bgColor indexed="64"/>
      </patternFill>
    </fill>
    <fill>
      <patternFill patternType="solid">
        <fgColor theme="0" tint="-0.24994659260841701"/>
        <bgColor indexed="64"/>
      </patternFill>
    </fill>
    <fill>
      <patternFill patternType="solid">
        <fgColor rgb="FF0000FF"/>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24994659260841701"/>
        <bgColor indexed="64"/>
      </patternFill>
    </fill>
  </fills>
  <borders count="12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thin">
        <color indexed="64"/>
      </top>
      <bottom style="hair">
        <color indexed="64"/>
      </bottom>
      <diagonal/>
    </border>
    <border>
      <left style="double">
        <color indexed="64"/>
      </left>
      <right/>
      <top style="thin">
        <color indexed="64"/>
      </top>
      <bottom style="hair">
        <color indexed="64"/>
      </bottom>
      <diagonal/>
    </border>
    <border>
      <left style="hair">
        <color indexed="64"/>
      </left>
      <right/>
      <top style="thin">
        <color indexed="64"/>
      </top>
      <bottom style="hair">
        <color indexed="64"/>
      </bottom>
      <diagonal/>
    </border>
    <border>
      <left style="hair">
        <color indexed="64"/>
      </left>
      <right style="double">
        <color indexed="64"/>
      </right>
      <top style="thin">
        <color indexed="64"/>
      </top>
      <bottom style="hair">
        <color indexed="64"/>
      </bottom>
      <diagonal/>
    </border>
    <border>
      <left style="double">
        <color indexed="64"/>
      </left>
      <right style="hair">
        <color indexed="64"/>
      </right>
      <top style="thin">
        <color indexed="64"/>
      </top>
      <bottom style="hair">
        <color indexed="64"/>
      </bottom>
      <diagonal/>
    </border>
    <border>
      <left style="double">
        <color indexed="64"/>
      </left>
      <right/>
      <top style="hair">
        <color indexed="64"/>
      </top>
      <bottom style="hair">
        <color indexed="64"/>
      </bottom>
      <diagonal/>
    </border>
    <border>
      <left style="double">
        <color indexed="64"/>
      </left>
      <right style="hair">
        <color indexed="64"/>
      </right>
      <top/>
      <bottom style="hair">
        <color indexed="64"/>
      </bottom>
      <diagonal/>
    </border>
    <border>
      <left style="double">
        <color indexed="64"/>
      </left>
      <right/>
      <top/>
      <bottom style="hair">
        <color indexed="64"/>
      </bottom>
      <diagonal/>
    </border>
    <border>
      <left style="hair">
        <color indexed="64"/>
      </left>
      <right/>
      <top/>
      <bottom style="hair">
        <color indexed="64"/>
      </bottom>
      <diagonal/>
    </border>
    <border>
      <left style="double">
        <color indexed="64"/>
      </left>
      <right style="hair">
        <color indexed="64"/>
      </right>
      <top style="hair">
        <color indexed="64"/>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thin">
        <color indexed="64"/>
      </top>
      <bottom style="hair">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style="thin">
        <color indexed="64"/>
      </right>
      <top style="thin">
        <color indexed="64"/>
      </top>
      <bottom style="thin">
        <color indexed="64"/>
      </bottom>
      <diagonal/>
    </border>
    <border>
      <left style="double">
        <color indexed="64"/>
      </left>
      <right style="hair">
        <color indexed="64"/>
      </right>
      <top style="thin">
        <color indexed="64"/>
      </top>
      <bottom style="thin">
        <color indexed="64"/>
      </bottom>
      <diagonal/>
    </border>
    <border>
      <left style="double">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top style="hair">
        <color indexed="64"/>
      </top>
      <bottom/>
      <diagonal/>
    </border>
    <border>
      <left style="double">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bottom/>
      <diagonal/>
    </border>
    <border>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double">
        <color indexed="64"/>
      </right>
      <top style="thin">
        <color indexed="64"/>
      </top>
      <bottom style="thin">
        <color indexed="64"/>
      </bottom>
      <diagonal/>
    </border>
    <border>
      <left/>
      <right style="hair">
        <color indexed="64"/>
      </right>
      <top style="hair">
        <color indexed="64"/>
      </top>
      <bottom style="hair">
        <color indexed="64"/>
      </bottom>
      <diagonal/>
    </border>
    <border>
      <left/>
      <right style="hair">
        <color indexed="64"/>
      </right>
      <top style="hair">
        <color indexed="64"/>
      </top>
      <bottom/>
      <diagonal/>
    </border>
    <border>
      <left style="thin">
        <color indexed="64"/>
      </left>
      <right style="hair">
        <color indexed="64"/>
      </right>
      <top style="hair">
        <color indexed="64"/>
      </top>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ck">
        <color rgb="FF0000FF"/>
      </left>
      <right style="hair">
        <color indexed="64"/>
      </right>
      <top style="hair">
        <color indexed="64"/>
      </top>
      <bottom style="hair">
        <color indexed="64"/>
      </bottom>
      <diagonal/>
    </border>
    <border>
      <left style="thick">
        <color rgb="FF0000FF"/>
      </left>
      <right style="hair">
        <color indexed="64"/>
      </right>
      <top style="hair">
        <color indexed="64"/>
      </top>
      <bottom/>
      <diagonal/>
    </border>
    <border>
      <left style="thick">
        <color rgb="FF0000FF"/>
      </left>
      <right style="thin">
        <color indexed="64"/>
      </right>
      <top style="thick">
        <color rgb="FF0000FF"/>
      </top>
      <bottom style="thin">
        <color indexed="64"/>
      </bottom>
      <diagonal/>
    </border>
    <border>
      <left style="thick">
        <color rgb="FF0000FF"/>
      </left>
      <right style="thin">
        <color indexed="64"/>
      </right>
      <top style="thick">
        <color rgb="FF0000FF"/>
      </top>
      <bottom style="thick">
        <color rgb="FF0000FF"/>
      </bottom>
      <diagonal/>
    </border>
    <border>
      <left style="thick">
        <color rgb="FF0000FF"/>
      </left>
      <right style="hair">
        <color indexed="64"/>
      </right>
      <top style="thick">
        <color rgb="FF0000FF"/>
      </top>
      <bottom style="thin">
        <color indexed="64"/>
      </bottom>
      <diagonal/>
    </border>
    <border>
      <left style="hair">
        <color indexed="64"/>
      </left>
      <right style="thick">
        <color rgb="FF0000FF"/>
      </right>
      <top style="hair">
        <color indexed="64"/>
      </top>
      <bottom style="hair">
        <color indexed="64"/>
      </bottom>
      <diagonal/>
    </border>
    <border>
      <left style="hair">
        <color indexed="64"/>
      </left>
      <right style="thick">
        <color rgb="FF0000FF"/>
      </right>
      <top/>
      <bottom style="hair">
        <color indexed="64"/>
      </bottom>
      <diagonal/>
    </border>
    <border>
      <left style="thick">
        <color rgb="FF0000FF"/>
      </left>
      <right style="hair">
        <color rgb="FF0000FF"/>
      </right>
      <top style="hair">
        <color indexed="64"/>
      </top>
      <bottom style="thick">
        <color rgb="FF0000FF"/>
      </bottom>
      <diagonal/>
    </border>
    <border>
      <left/>
      <right style="thick">
        <color rgb="FF0000FF"/>
      </right>
      <top style="hair">
        <color indexed="64"/>
      </top>
      <bottom style="thick">
        <color rgb="FF0000FF"/>
      </bottom>
      <diagonal/>
    </border>
    <border>
      <left style="hair">
        <color indexed="64"/>
      </left>
      <right style="thick">
        <color rgb="FF0000FF"/>
      </right>
      <top style="thick">
        <color rgb="FF0000FF"/>
      </top>
      <bottom style="thin">
        <color indexed="64"/>
      </bottom>
      <diagonal/>
    </border>
    <border>
      <left style="hair">
        <color indexed="64"/>
      </left>
      <right style="thick">
        <color rgb="FF0000FF"/>
      </right>
      <top style="thin">
        <color indexed="64"/>
      </top>
      <bottom style="hair">
        <color indexed="64"/>
      </bottom>
      <diagonal/>
    </border>
    <border>
      <left style="hair">
        <color indexed="64"/>
      </left>
      <right style="thick">
        <color rgb="FF0000FF"/>
      </right>
      <top style="hair">
        <color indexed="64"/>
      </top>
      <bottom/>
      <diagonal/>
    </border>
    <border>
      <left style="hair">
        <color indexed="64"/>
      </left>
      <right style="thick">
        <color rgb="FF0000FF"/>
      </right>
      <top style="thin">
        <color indexed="64"/>
      </top>
      <bottom/>
      <diagonal/>
    </border>
    <border>
      <left style="hair">
        <color indexed="64"/>
      </left>
      <right style="hair">
        <color indexed="64"/>
      </right>
      <top style="hair">
        <color indexed="64"/>
      </top>
      <bottom style="thick">
        <color rgb="FF0000FF"/>
      </bottom>
      <diagonal/>
    </border>
    <border>
      <left style="thick">
        <color rgb="FF0000FF"/>
      </left>
      <right/>
      <top style="thick">
        <color rgb="FF0000FF"/>
      </top>
      <bottom style="thick">
        <color rgb="FF0000FF"/>
      </bottom>
      <diagonal/>
    </border>
    <border>
      <left/>
      <right/>
      <top style="thick">
        <color rgb="FF0000FF"/>
      </top>
      <bottom style="thick">
        <color rgb="FF0000FF"/>
      </bottom>
      <diagonal/>
    </border>
    <border>
      <left style="double">
        <color indexed="64"/>
      </left>
      <right style="thin">
        <color indexed="64"/>
      </right>
      <top style="thin">
        <color indexed="64"/>
      </top>
      <bottom style="hair">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hair">
        <color indexed="64"/>
      </right>
      <top style="thin">
        <color indexed="64"/>
      </top>
      <bottom/>
      <diagonal/>
    </border>
    <border>
      <left style="hair">
        <color indexed="64"/>
      </left>
      <right style="hair">
        <color indexed="64"/>
      </right>
      <top/>
      <bottom/>
      <diagonal/>
    </border>
    <border>
      <left style="hair">
        <color indexed="64"/>
      </left>
      <right/>
      <top/>
      <bottom/>
      <diagonal/>
    </border>
    <border>
      <left style="thick">
        <color rgb="FF0000FF"/>
      </left>
      <right style="hair">
        <color indexed="64"/>
      </right>
      <top/>
      <bottom/>
      <diagonal/>
    </border>
    <border>
      <left style="hair">
        <color indexed="64"/>
      </left>
      <right style="thick">
        <color rgb="FF0000FF"/>
      </right>
      <top/>
      <bottom/>
      <diagonal/>
    </border>
    <border>
      <left/>
      <right/>
      <top style="thin">
        <color indexed="64"/>
      </top>
      <bottom/>
      <diagonal/>
    </border>
    <border>
      <left style="double">
        <color indexed="64"/>
      </left>
      <right style="thin">
        <color indexed="64"/>
      </right>
      <top style="thin">
        <color indexed="64"/>
      </top>
      <bottom/>
      <diagonal/>
    </border>
    <border>
      <left style="hair">
        <color indexed="64"/>
      </left>
      <right style="hair">
        <color indexed="64"/>
      </right>
      <top style="thin">
        <color indexed="64"/>
      </top>
      <bottom/>
      <diagonal/>
    </border>
    <border>
      <left style="hair">
        <color indexed="64"/>
      </left>
      <right style="double">
        <color indexed="64"/>
      </right>
      <top style="thin">
        <color indexed="64"/>
      </top>
      <bottom/>
      <diagonal/>
    </border>
    <border>
      <left style="double">
        <color indexed="64"/>
      </left>
      <right style="hair">
        <color indexed="64"/>
      </right>
      <top style="thin">
        <color indexed="64"/>
      </top>
      <bottom/>
      <diagonal/>
    </border>
    <border>
      <left style="hair">
        <color indexed="64"/>
      </left>
      <right style="thin">
        <color indexed="64"/>
      </right>
      <top style="thin">
        <color indexed="64"/>
      </top>
      <bottom/>
      <diagonal/>
    </border>
    <border>
      <left style="thick">
        <color rgb="FF0000FF"/>
      </left>
      <right style="hair">
        <color indexed="64"/>
      </right>
      <top/>
      <bottom style="hair">
        <color indexed="64"/>
      </bottom>
      <diagonal/>
    </border>
    <border>
      <left/>
      <right style="thick">
        <color rgb="FF0000FF"/>
      </right>
      <top style="thick">
        <color rgb="FF0000FF"/>
      </top>
      <bottom style="thin">
        <color indexed="64"/>
      </bottom>
      <diagonal/>
    </border>
    <border>
      <left style="thick">
        <color rgb="FF0000FF"/>
      </left>
      <right style="hair">
        <color indexed="64"/>
      </right>
      <top style="thin">
        <color indexed="64"/>
      </top>
      <bottom style="thin">
        <color indexed="64"/>
      </bottom>
      <diagonal/>
    </border>
    <border>
      <left style="hair">
        <color indexed="64"/>
      </left>
      <right style="double">
        <color indexed="64"/>
      </right>
      <top style="hair">
        <color indexed="64"/>
      </top>
      <bottom style="hair">
        <color indexed="64"/>
      </bottom>
      <diagonal/>
    </border>
    <border>
      <left style="hair">
        <color indexed="64"/>
      </left>
      <right/>
      <top style="thin">
        <color indexed="64"/>
      </top>
      <bottom/>
      <diagonal/>
    </border>
    <border>
      <left style="thick">
        <color rgb="FF0000FF"/>
      </left>
      <right style="hair">
        <color indexed="64"/>
      </right>
      <top style="thin">
        <color indexed="64"/>
      </top>
      <bottom/>
      <diagonal/>
    </border>
    <border>
      <left/>
      <right style="thick">
        <color rgb="FF0000FF"/>
      </right>
      <top style="hair">
        <color indexed="64"/>
      </top>
      <bottom style="thin">
        <color indexed="64"/>
      </bottom>
      <diagonal/>
    </border>
    <border>
      <left style="thick">
        <color rgb="FF0000FF"/>
      </left>
      <right style="thick">
        <color rgb="FF0000FF"/>
      </right>
      <top style="thick">
        <color rgb="FF0000FF"/>
      </top>
      <bottom style="thin">
        <color indexed="64"/>
      </bottom>
      <diagonal/>
    </border>
    <border>
      <left style="thick">
        <color rgb="FF0000FF"/>
      </left>
      <right style="thick">
        <color rgb="FF0000FF"/>
      </right>
      <top/>
      <bottom/>
      <diagonal/>
    </border>
    <border>
      <left style="thick">
        <color rgb="FF0000FF"/>
      </left>
      <right style="thick">
        <color rgb="FF0000FF"/>
      </right>
      <top style="thin">
        <color indexed="64"/>
      </top>
      <bottom/>
      <diagonal/>
    </border>
    <border>
      <left style="thick">
        <color rgb="FF0000FF"/>
      </left>
      <right style="thick">
        <color rgb="FF0000FF"/>
      </right>
      <top style="hair">
        <color indexed="64"/>
      </top>
      <bottom style="hair">
        <color indexed="64"/>
      </bottom>
      <diagonal/>
    </border>
    <border>
      <left style="thick">
        <color rgb="FF0000FF"/>
      </left>
      <right style="thick">
        <color rgb="FF0000FF"/>
      </right>
      <top/>
      <bottom style="hair">
        <color indexed="64"/>
      </bottom>
      <diagonal/>
    </border>
    <border>
      <left style="thick">
        <color rgb="FF0000FF"/>
      </left>
      <right style="thick">
        <color rgb="FF0000FF"/>
      </right>
      <top style="hair">
        <color indexed="64"/>
      </top>
      <bottom style="thick">
        <color rgb="FF0000FF"/>
      </bottom>
      <diagonal/>
    </border>
    <border>
      <left style="double">
        <color indexed="64"/>
      </left>
      <right/>
      <top style="thin">
        <color indexed="64"/>
      </top>
      <bottom/>
      <diagonal/>
    </border>
    <border>
      <left style="double">
        <color indexed="64"/>
      </left>
      <right/>
      <top style="hair">
        <color indexed="64"/>
      </top>
      <bottom style="thin">
        <color indexed="64"/>
      </bottom>
      <diagonal/>
    </border>
    <border>
      <left style="hair">
        <color theme="1"/>
      </left>
      <right style="thick">
        <color rgb="FF0000FF"/>
      </right>
      <top style="hair">
        <color indexed="64"/>
      </top>
      <bottom style="thin">
        <color indexed="64"/>
      </bottom>
      <diagonal/>
    </border>
    <border>
      <left style="hair">
        <color theme="1"/>
      </left>
      <right/>
      <top style="hair">
        <color indexed="64"/>
      </top>
      <bottom style="thin">
        <color indexed="64"/>
      </bottom>
      <diagonal/>
    </border>
    <border>
      <left style="hair">
        <color indexed="64"/>
      </left>
      <right style="double">
        <color indexed="64"/>
      </right>
      <top/>
      <bottom style="hair">
        <color indexed="64"/>
      </bottom>
      <diagonal/>
    </border>
    <border>
      <left style="thick">
        <color rgb="FF0000FF"/>
      </left>
      <right style="thick">
        <color rgb="FF0000FF"/>
      </right>
      <top style="thin">
        <color indexed="64"/>
      </top>
      <bottom style="thin">
        <color indexed="64"/>
      </bottom>
      <diagonal/>
    </border>
    <border>
      <left style="thick">
        <color rgb="FF0000FF"/>
      </left>
      <right/>
      <top style="thin">
        <color indexed="64"/>
      </top>
      <bottom style="thin">
        <color indexed="64"/>
      </bottom>
      <diagonal/>
    </border>
    <border>
      <left/>
      <right style="thick">
        <color rgb="FF0000FF"/>
      </right>
      <top style="thin">
        <color indexed="64"/>
      </top>
      <bottom style="thin">
        <color indexed="64"/>
      </bottom>
      <diagonal/>
    </border>
    <border>
      <left/>
      <right style="double">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s>
  <cellStyleXfs count="14">
    <xf numFmtId="0" fontId="0" fillId="0" borderId="0"/>
    <xf numFmtId="178" fontId="4" fillId="0" borderId="0" applyFill="0" applyBorder="0" applyAlignment="0"/>
    <xf numFmtId="0" fontId="5" fillId="0" borderId="1" applyNumberFormat="0" applyAlignment="0" applyProtection="0">
      <alignment horizontal="left" vertical="center"/>
    </xf>
    <xf numFmtId="0" fontId="5" fillId="0" borderId="2">
      <alignment horizontal="left" vertical="center"/>
    </xf>
    <xf numFmtId="0" fontId="3" fillId="0" borderId="0"/>
    <xf numFmtId="38" fontId="10" fillId="0" borderId="0" applyFont="0" applyFill="0" applyBorder="0" applyAlignment="0" applyProtection="0"/>
    <xf numFmtId="0" fontId="10" fillId="0" borderId="0">
      <alignment vertical="center"/>
    </xf>
    <xf numFmtId="0" fontId="23" fillId="0" borderId="0">
      <alignment vertical="center"/>
    </xf>
    <xf numFmtId="0" fontId="23" fillId="0" borderId="0">
      <alignment vertical="center"/>
    </xf>
    <xf numFmtId="0" fontId="11" fillId="0" borderId="0"/>
    <xf numFmtId="0" fontId="11" fillId="0" borderId="0">
      <alignment vertical="center"/>
    </xf>
    <xf numFmtId="38" fontId="1" fillId="0" borderId="0" applyFont="0" applyFill="0" applyBorder="0" applyAlignment="0" applyProtection="0"/>
    <xf numFmtId="0" fontId="51" fillId="0" borderId="0" applyNumberFormat="0" applyFill="0" applyBorder="0" applyAlignment="0" applyProtection="0"/>
    <xf numFmtId="0" fontId="1" fillId="0" borderId="0">
      <alignment vertical="center"/>
    </xf>
  </cellStyleXfs>
  <cellXfs count="581">
    <xf numFmtId="0" fontId="0" fillId="0" borderId="0" xfId="0"/>
    <xf numFmtId="0" fontId="0" fillId="0" borderId="0" xfId="0" applyAlignment="1">
      <alignment vertical="top" wrapText="1"/>
    </xf>
    <xf numFmtId="0" fontId="0" fillId="0" borderId="3" xfId="0" applyBorder="1" applyAlignment="1">
      <alignment vertical="top" wrapText="1"/>
    </xf>
    <xf numFmtId="0" fontId="0" fillId="0" borderId="4"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0" fillId="0" borderId="9" xfId="0" applyBorder="1" applyAlignment="1">
      <alignment vertical="top" wrapText="1"/>
    </xf>
    <xf numFmtId="0" fontId="0" fillId="0" borderId="10" xfId="0" applyBorder="1" applyAlignment="1">
      <alignment vertical="top" wrapText="1"/>
    </xf>
    <xf numFmtId="0" fontId="0" fillId="0" borderId="11" xfId="0" applyBorder="1" applyAlignment="1">
      <alignment vertical="top" wrapText="1"/>
    </xf>
    <xf numFmtId="0" fontId="0" fillId="2" borderId="12" xfId="0" applyFill="1" applyBorder="1" applyAlignment="1">
      <alignment vertical="top" wrapText="1"/>
    </xf>
    <xf numFmtId="0" fontId="0" fillId="0" borderId="0" xfId="0" applyAlignment="1">
      <alignment vertical="top"/>
    </xf>
    <xf numFmtId="179" fontId="0" fillId="0" borderId="10" xfId="0" applyNumberFormat="1" applyBorder="1" applyAlignment="1">
      <alignment vertical="top" wrapText="1"/>
    </xf>
    <xf numFmtId="179" fontId="0" fillId="0" borderId="4" xfId="0" applyNumberFormat="1" applyBorder="1" applyAlignment="1">
      <alignment vertical="top" wrapText="1"/>
    </xf>
    <xf numFmtId="179" fontId="0" fillId="0" borderId="7" xfId="0" applyNumberFormat="1" applyBorder="1" applyAlignment="1">
      <alignment vertical="top" wrapText="1"/>
    </xf>
    <xf numFmtId="0" fontId="8" fillId="0" borderId="0" xfId="0" applyFont="1"/>
    <xf numFmtId="0" fontId="8" fillId="0" borderId="0" xfId="0" applyFont="1" applyAlignment="1">
      <alignment horizontal="center"/>
    </xf>
    <xf numFmtId="0" fontId="8" fillId="0" borderId="0" xfId="0" applyFont="1" applyAlignment="1">
      <alignment horizontal="left"/>
    </xf>
    <xf numFmtId="49" fontId="8" fillId="0" borderId="0" xfId="0" applyNumberFormat="1" applyFont="1" applyAlignment="1">
      <alignment vertical="center"/>
    </xf>
    <xf numFmtId="0" fontId="0" fillId="0" borderId="0" xfId="0" applyAlignment="1">
      <alignment vertical="center"/>
    </xf>
    <xf numFmtId="0" fontId="0" fillId="0" borderId="0" xfId="0" applyAlignment="1">
      <alignment vertical="center" wrapText="1"/>
    </xf>
    <xf numFmtId="181" fontId="8" fillId="0" borderId="0" xfId="0" applyNumberFormat="1" applyFont="1" applyAlignment="1">
      <alignment horizontal="right"/>
    </xf>
    <xf numFmtId="181" fontId="8" fillId="0" borderId="0" xfId="0" applyNumberFormat="1" applyFont="1" applyAlignment="1">
      <alignment horizontal="center"/>
    </xf>
    <xf numFmtId="49" fontId="8" fillId="0" borderId="0" xfId="0" applyNumberFormat="1" applyFont="1" applyAlignment="1">
      <alignment horizontal="center" vertical="center"/>
    </xf>
    <xf numFmtId="180" fontId="8" fillId="0" borderId="0" xfId="0" applyNumberFormat="1" applyFont="1"/>
    <xf numFmtId="182" fontId="8" fillId="0" borderId="0" xfId="0" applyNumberFormat="1" applyFont="1"/>
    <xf numFmtId="0" fontId="1" fillId="0" borderId="3" xfId="0" applyFont="1" applyBorder="1" applyAlignment="1">
      <alignment vertical="top" wrapText="1"/>
    </xf>
    <xf numFmtId="0" fontId="1" fillId="0" borderId="4" xfId="0" applyFont="1" applyBorder="1" applyAlignment="1">
      <alignment vertical="top" wrapText="1"/>
    </xf>
    <xf numFmtId="179" fontId="1" fillId="0" borderId="4" xfId="0" applyNumberFormat="1" applyFont="1" applyBorder="1" applyAlignment="1">
      <alignment vertical="top" wrapText="1"/>
    </xf>
    <xf numFmtId="0" fontId="1" fillId="0" borderId="5" xfId="0" applyFont="1" applyBorder="1" applyAlignment="1">
      <alignment vertical="top" wrapText="1"/>
    </xf>
    <xf numFmtId="0" fontId="1" fillId="0" borderId="0" xfId="0" applyFont="1"/>
    <xf numFmtId="0" fontId="0" fillId="0" borderId="4" xfId="0" applyBorder="1" applyAlignment="1">
      <alignment vertical="top" shrinkToFit="1"/>
    </xf>
    <xf numFmtId="0" fontId="12" fillId="0" borderId="0" xfId="0" applyFont="1"/>
    <xf numFmtId="0" fontId="12" fillId="0" borderId="0" xfId="9" applyFont="1" applyAlignment="1">
      <alignment vertical="center" wrapText="1" shrinkToFit="1"/>
    </xf>
    <xf numFmtId="0" fontId="13" fillId="0" borderId="0" xfId="0" applyFont="1"/>
    <xf numFmtId="0" fontId="11" fillId="0" borderId="0" xfId="0" applyFont="1"/>
    <xf numFmtId="0" fontId="11" fillId="0" borderId="0" xfId="0" applyFont="1" applyAlignment="1">
      <alignment horizontal="center" vertical="center"/>
    </xf>
    <xf numFmtId="0" fontId="14" fillId="0" borderId="0" xfId="0" applyFont="1"/>
    <xf numFmtId="0" fontId="15" fillId="0" borderId="0" xfId="0" applyFont="1" applyAlignment="1">
      <alignment horizontal="center" vertical="center"/>
    </xf>
    <xf numFmtId="0" fontId="17" fillId="0" borderId="0" xfId="0" applyFont="1"/>
    <xf numFmtId="0" fontId="18" fillId="0" borderId="17" xfId="0" applyFont="1" applyBorder="1" applyAlignment="1">
      <alignment vertical="center" wrapText="1"/>
    </xf>
    <xf numFmtId="0" fontId="18" fillId="0" borderId="12" xfId="9" applyFont="1" applyBorder="1" applyAlignment="1">
      <alignment vertical="center" wrapText="1" shrinkToFit="1"/>
    </xf>
    <xf numFmtId="0" fontId="18" fillId="0" borderId="12" xfId="0" applyFont="1" applyBorder="1" applyAlignment="1">
      <alignment vertical="center" wrapText="1"/>
    </xf>
    <xf numFmtId="0" fontId="18" fillId="0" borderId="12" xfId="9" applyFont="1" applyBorder="1" applyAlignment="1">
      <alignment horizontal="center" vertical="center" wrapText="1"/>
    </xf>
    <xf numFmtId="0" fontId="13" fillId="0" borderId="18" xfId="0" applyFont="1" applyBorder="1" applyAlignment="1">
      <alignment vertical="top" wrapText="1"/>
    </xf>
    <xf numFmtId="0" fontId="18" fillId="0" borderId="19" xfId="0" applyFont="1" applyBorder="1" applyAlignment="1">
      <alignment horizontal="center" vertical="center" wrapText="1"/>
    </xf>
    <xf numFmtId="0" fontId="18" fillId="0" borderId="0" xfId="0" applyFont="1"/>
    <xf numFmtId="0" fontId="13" fillId="3" borderId="12" xfId="0" applyFont="1" applyFill="1" applyBorder="1" applyAlignment="1">
      <alignment vertical="center"/>
    </xf>
    <xf numFmtId="0" fontId="0" fillId="0" borderId="12" xfId="0" applyBorder="1" applyAlignment="1">
      <alignment vertical="center" wrapText="1"/>
    </xf>
    <xf numFmtId="0" fontId="14" fillId="0" borderId="0" xfId="6" applyFont="1">
      <alignment vertical="center"/>
    </xf>
    <xf numFmtId="0" fontId="0" fillId="0" borderId="17" xfId="6" applyFont="1" applyBorder="1" applyAlignment="1">
      <alignment horizontal="center" vertical="top" wrapText="1"/>
    </xf>
    <xf numFmtId="0" fontId="0" fillId="0" borderId="12" xfId="6" applyFont="1" applyBorder="1" applyAlignment="1">
      <alignment horizontal="left" vertical="top" wrapText="1"/>
    </xf>
    <xf numFmtId="0" fontId="0" fillId="0" borderId="12" xfId="7" applyFont="1" applyBorder="1" applyAlignment="1">
      <alignment horizontal="center" vertical="center" wrapText="1"/>
    </xf>
    <xf numFmtId="0" fontId="0" fillId="0" borderId="12" xfId="7" applyFont="1" applyBorder="1" applyAlignment="1">
      <alignment horizontal="left" vertical="top" wrapText="1"/>
    </xf>
    <xf numFmtId="0" fontId="14" fillId="0" borderId="19" xfId="6" applyFont="1" applyBorder="1" applyAlignment="1">
      <alignment horizontal="center" vertical="center"/>
    </xf>
    <xf numFmtId="0" fontId="0" fillId="4" borderId="12" xfId="7" applyFont="1" applyFill="1" applyBorder="1" applyAlignment="1">
      <alignment horizontal="left" vertical="top" wrapText="1"/>
    </xf>
    <xf numFmtId="0" fontId="0" fillId="0" borderId="19" xfId="6" applyFont="1" applyBorder="1" applyAlignment="1">
      <alignment horizontal="center" vertical="center"/>
    </xf>
    <xf numFmtId="0" fontId="0" fillId="0" borderId="0" xfId="6" applyFont="1">
      <alignment vertical="center"/>
    </xf>
    <xf numFmtId="0" fontId="0" fillId="0" borderId="12" xfId="6" applyFont="1" applyBorder="1" applyAlignment="1">
      <alignment horizontal="center" vertical="center" wrapText="1"/>
    </xf>
    <xf numFmtId="0" fontId="0" fillId="0" borderId="12" xfId="7" applyFont="1" applyBorder="1" applyAlignment="1">
      <alignment vertical="top" wrapText="1"/>
    </xf>
    <xf numFmtId="0" fontId="10" fillId="7" borderId="12" xfId="6" applyFill="1" applyBorder="1" applyAlignment="1">
      <alignment horizontal="left" vertical="top" wrapText="1"/>
    </xf>
    <xf numFmtId="0" fontId="0" fillId="0" borderId="12" xfId="10" applyFont="1" applyBorder="1" applyAlignment="1">
      <alignment horizontal="left" vertical="top" wrapText="1"/>
    </xf>
    <xf numFmtId="0" fontId="0" fillId="0" borderId="12" xfId="10" applyFont="1" applyBorder="1" applyAlignment="1">
      <alignment horizontal="center" vertical="center" wrapText="1"/>
    </xf>
    <xf numFmtId="0" fontId="0" fillId="0" borderId="20" xfId="6" applyFont="1" applyBorder="1" applyAlignment="1">
      <alignment horizontal="center" vertical="top" wrapText="1"/>
    </xf>
    <xf numFmtId="0" fontId="0" fillId="0" borderId="21" xfId="6" applyFont="1" applyBorder="1" applyAlignment="1">
      <alignment horizontal="left" vertical="top" wrapText="1"/>
    </xf>
    <xf numFmtId="0" fontId="0" fillId="0" borderId="21" xfId="6" applyFont="1" applyBorder="1" applyAlignment="1">
      <alignment horizontal="center" vertical="center" wrapText="1"/>
    </xf>
    <xf numFmtId="0" fontId="10" fillId="7" borderId="21" xfId="6" applyFill="1" applyBorder="1" applyAlignment="1">
      <alignment horizontal="left" vertical="top" wrapText="1"/>
    </xf>
    <xf numFmtId="0" fontId="14" fillId="0" borderId="22" xfId="6" applyFont="1" applyBorder="1" applyAlignment="1">
      <alignment horizontal="center" vertical="center"/>
    </xf>
    <xf numFmtId="0" fontId="14" fillId="0" borderId="0" xfId="6" applyFont="1" applyAlignment="1">
      <alignment horizontal="center" vertical="center" wrapText="1"/>
    </xf>
    <xf numFmtId="0" fontId="14" fillId="0" borderId="0" xfId="6" applyFont="1" applyAlignment="1">
      <alignment horizontal="center" vertical="center"/>
    </xf>
    <xf numFmtId="0" fontId="14" fillId="0" borderId="0" xfId="6" applyFont="1" applyAlignment="1">
      <alignment horizontal="left" vertical="top"/>
    </xf>
    <xf numFmtId="0" fontId="11" fillId="0" borderId="0" xfId="0" applyFont="1" applyAlignment="1">
      <alignment horizontal="right"/>
    </xf>
    <xf numFmtId="0" fontId="15" fillId="0" borderId="0" xfId="0" applyFont="1" applyAlignment="1">
      <alignment horizontal="right" vertical="center"/>
    </xf>
    <xf numFmtId="0" fontId="17" fillId="0" borderId="0" xfId="0" applyFont="1" applyAlignment="1">
      <alignment horizontal="right"/>
    </xf>
    <xf numFmtId="0" fontId="0" fillId="0" borderId="0" xfId="0" applyAlignment="1">
      <alignment horizontal="right" vertical="center"/>
    </xf>
    <xf numFmtId="49" fontId="0" fillId="0" borderId="0" xfId="0" applyNumberFormat="1" applyAlignment="1">
      <alignment horizontal="right" vertical="center"/>
    </xf>
    <xf numFmtId="49" fontId="0" fillId="0" borderId="0" xfId="0" applyNumberFormat="1" applyAlignment="1">
      <alignment horizontal="left" vertical="center"/>
    </xf>
    <xf numFmtId="0" fontId="10" fillId="0" borderId="0" xfId="0" applyFont="1"/>
    <xf numFmtId="0" fontId="0" fillId="0" borderId="24" xfId="0" applyBorder="1" applyAlignment="1">
      <alignment vertical="top" wrapText="1"/>
    </xf>
    <xf numFmtId="0" fontId="0" fillId="0" borderId="25" xfId="0" applyBorder="1" applyAlignment="1">
      <alignment vertical="top" wrapText="1"/>
    </xf>
    <xf numFmtId="0" fontId="0" fillId="0" borderId="28" xfId="0" applyBorder="1" applyAlignment="1">
      <alignment vertical="top" wrapText="1"/>
    </xf>
    <xf numFmtId="0" fontId="0" fillId="0" borderId="33" xfId="0" applyBorder="1" applyAlignment="1">
      <alignment vertical="top" wrapText="1"/>
    </xf>
    <xf numFmtId="0" fontId="10" fillId="0" borderId="0" xfId="0" applyFont="1" applyAlignment="1">
      <alignment vertical="top" wrapText="1"/>
    </xf>
    <xf numFmtId="0" fontId="10" fillId="0" borderId="0" xfId="0" applyFont="1" applyAlignment="1">
      <alignment horizontal="center"/>
    </xf>
    <xf numFmtId="181" fontId="10" fillId="0" borderId="0" xfId="0" applyNumberFormat="1" applyFont="1" applyAlignment="1">
      <alignment horizontal="center"/>
    </xf>
    <xf numFmtId="180" fontId="10" fillId="0" borderId="0" xfId="0" applyNumberFormat="1" applyFont="1"/>
    <xf numFmtId="182" fontId="10" fillId="0" borderId="0" xfId="0" applyNumberFormat="1" applyFont="1"/>
    <xf numFmtId="0" fontId="0" fillId="0" borderId="38" xfId="0" applyBorder="1" applyAlignment="1">
      <alignment vertical="top" wrapText="1"/>
    </xf>
    <xf numFmtId="0" fontId="18" fillId="0" borderId="43" xfId="0" applyFont="1" applyBorder="1" applyAlignment="1">
      <alignment horizontal="center" vertical="center" wrapText="1"/>
    </xf>
    <xf numFmtId="0" fontId="13" fillId="0" borderId="0" xfId="0" applyFont="1" applyAlignment="1">
      <alignment horizontal="center" vertical="center"/>
    </xf>
    <xf numFmtId="0" fontId="21" fillId="0" borderId="0" xfId="0" applyFont="1"/>
    <xf numFmtId="0" fontId="29" fillId="0" borderId="17" xfId="0" applyFont="1" applyBorder="1" applyAlignment="1">
      <alignment vertical="center" wrapText="1"/>
    </xf>
    <xf numFmtId="0" fontId="29" fillId="0" borderId="12" xfId="9" applyFont="1" applyBorder="1" applyAlignment="1">
      <alignment vertical="center" wrapText="1" shrinkToFit="1"/>
    </xf>
    <xf numFmtId="0" fontId="29" fillId="0" borderId="12" xfId="0" applyFont="1" applyBorder="1" applyAlignment="1">
      <alignment vertical="center" wrapText="1"/>
    </xf>
    <xf numFmtId="0" fontId="29" fillId="0" borderId="12" xfId="9" applyFont="1" applyBorder="1" applyAlignment="1">
      <alignment horizontal="center" vertical="center" wrapText="1"/>
    </xf>
    <xf numFmtId="0" fontId="30" fillId="0" borderId="18" xfId="0" applyFont="1" applyBorder="1" applyAlignment="1">
      <alignment vertical="top" wrapText="1"/>
    </xf>
    <xf numFmtId="0" fontId="29" fillId="0" borderId="19" xfId="0" applyFont="1" applyBorder="1" applyAlignment="1">
      <alignment horizontal="center" vertical="center" wrapText="1"/>
    </xf>
    <xf numFmtId="0" fontId="12" fillId="0" borderId="44" xfId="0" applyFont="1" applyBorder="1"/>
    <xf numFmtId="0" fontId="12" fillId="0" borderId="45" xfId="0" applyFont="1" applyBorder="1"/>
    <xf numFmtId="0" fontId="12" fillId="0" borderId="45" xfId="9" applyFont="1" applyBorder="1" applyAlignment="1">
      <alignment vertical="center" wrapText="1" shrinkToFit="1"/>
    </xf>
    <xf numFmtId="0" fontId="12" fillId="0" borderId="46" xfId="0" applyFont="1" applyBorder="1"/>
    <xf numFmtId="181" fontId="0" fillId="0" borderId="0" xfId="0" applyNumberFormat="1" applyAlignment="1">
      <alignment horizontal="left"/>
    </xf>
    <xf numFmtId="181" fontId="0" fillId="0" borderId="41" xfId="0" applyNumberFormat="1" applyBorder="1" applyAlignment="1">
      <alignment horizontal="center" vertical="top" wrapText="1"/>
    </xf>
    <xf numFmtId="181" fontId="0" fillId="0" borderId="39" xfId="0" applyNumberFormat="1" applyBorder="1" applyAlignment="1">
      <alignment horizontal="center" vertical="top" wrapText="1"/>
    </xf>
    <xf numFmtId="38" fontId="0" fillId="0" borderId="24" xfId="5" applyFont="1" applyBorder="1" applyAlignment="1">
      <alignment vertical="top" wrapText="1"/>
    </xf>
    <xf numFmtId="0" fontId="32" fillId="14" borderId="73" xfId="0" applyFont="1" applyFill="1" applyBorder="1" applyAlignment="1">
      <alignment horizontal="center" vertical="center"/>
    </xf>
    <xf numFmtId="3" fontId="0" fillId="15" borderId="0" xfId="0" applyNumberFormat="1" applyFill="1"/>
    <xf numFmtId="0" fontId="12" fillId="15" borderId="0" xfId="0" applyFont="1" applyFill="1"/>
    <xf numFmtId="49" fontId="0" fillId="0" borderId="12" xfId="0" applyNumberFormat="1" applyBorder="1" applyAlignment="1">
      <alignment horizontal="center" vertical="center"/>
    </xf>
    <xf numFmtId="0" fontId="0" fillId="0" borderId="41" xfId="0" applyBorder="1" applyAlignment="1">
      <alignment vertical="top" wrapText="1"/>
    </xf>
    <xf numFmtId="0" fontId="0" fillId="0" borderId="39" xfId="0" applyBorder="1" applyAlignment="1">
      <alignment vertical="top" wrapText="1"/>
    </xf>
    <xf numFmtId="0" fontId="0" fillId="0" borderId="40" xfId="0" applyBorder="1" applyAlignment="1">
      <alignment vertical="top" wrapText="1"/>
    </xf>
    <xf numFmtId="176" fontId="0" fillId="0" borderId="12" xfId="0" applyNumberFormat="1" applyBorder="1" applyAlignment="1">
      <alignment horizontal="center" vertical="center"/>
    </xf>
    <xf numFmtId="0" fontId="25" fillId="0" borderId="12" xfId="0" applyFont="1" applyBorder="1" applyAlignment="1">
      <alignment horizontal="left" vertical="center"/>
    </xf>
    <xf numFmtId="181" fontId="0" fillId="16" borderId="95" xfId="0" applyNumberFormat="1" applyFill="1" applyBorder="1" applyAlignment="1">
      <alignment horizontal="left" vertical="top" wrapText="1"/>
    </xf>
    <xf numFmtId="0" fontId="0" fillId="16" borderId="97" xfId="0" applyFill="1" applyBorder="1" applyAlignment="1">
      <alignment vertical="top" wrapText="1"/>
    </xf>
    <xf numFmtId="0" fontId="0" fillId="16" borderId="95" xfId="0" applyFill="1" applyBorder="1" applyAlignment="1">
      <alignment horizontal="left" vertical="top" wrapText="1"/>
    </xf>
    <xf numFmtId="0" fontId="0" fillId="16" borderId="98" xfId="0" applyFill="1" applyBorder="1" applyAlignment="1">
      <alignment horizontal="left" vertical="top" wrapText="1"/>
    </xf>
    <xf numFmtId="181" fontId="0" fillId="16" borderId="99" xfId="0" applyNumberFormat="1" applyFill="1" applyBorder="1" applyAlignment="1">
      <alignment vertical="top" wrapText="1"/>
    </xf>
    <xf numFmtId="181" fontId="0" fillId="16" borderId="95" xfId="0" applyNumberFormat="1" applyFill="1" applyBorder="1" applyAlignment="1">
      <alignment vertical="top" wrapText="1"/>
    </xf>
    <xf numFmtId="0" fontId="0" fillId="16" borderId="100" xfId="0" applyFill="1" applyBorder="1" applyAlignment="1">
      <alignment vertical="top" wrapText="1"/>
    </xf>
    <xf numFmtId="0" fontId="0" fillId="16" borderId="91" xfId="0" applyFill="1" applyBorder="1" applyAlignment="1">
      <alignment vertical="top" wrapText="1"/>
    </xf>
    <xf numFmtId="181" fontId="0" fillId="16" borderId="91" xfId="0" applyNumberFormat="1" applyFill="1" applyBorder="1" applyAlignment="1">
      <alignment horizontal="left" vertical="top" wrapText="1"/>
    </xf>
    <xf numFmtId="180" fontId="0" fillId="16" borderId="91" xfId="0" applyNumberFormat="1" applyFill="1" applyBorder="1" applyAlignment="1">
      <alignment horizontal="left" vertical="top" wrapText="1"/>
    </xf>
    <xf numFmtId="180" fontId="0" fillId="16" borderId="93" xfId="0" applyNumberFormat="1" applyFill="1" applyBorder="1" applyAlignment="1">
      <alignment horizontal="left" vertical="top" wrapText="1"/>
    </xf>
    <xf numFmtId="182" fontId="0" fillId="16" borderId="94" xfId="0" applyNumberFormat="1" applyFill="1" applyBorder="1" applyAlignment="1">
      <alignment horizontal="left" vertical="top" wrapText="1"/>
    </xf>
    <xf numFmtId="182" fontId="0" fillId="16" borderId="96" xfId="0" applyNumberFormat="1" applyFill="1" applyBorder="1" applyAlignment="1">
      <alignment vertical="top" wrapText="1"/>
    </xf>
    <xf numFmtId="182" fontId="0" fillId="16" borderId="95" xfId="0" applyNumberFormat="1" applyFill="1" applyBorder="1" applyAlignment="1">
      <alignment vertical="top" wrapText="1"/>
    </xf>
    <xf numFmtId="181" fontId="0" fillId="16" borderId="91" xfId="0" applyNumberFormat="1" applyFill="1" applyBorder="1" applyAlignment="1">
      <alignment vertical="top" wrapText="1"/>
    </xf>
    <xf numFmtId="0" fontId="0" fillId="16" borderId="37" xfId="0" applyFill="1" applyBorder="1" applyAlignment="1">
      <alignment vertical="top" wrapText="1"/>
    </xf>
    <xf numFmtId="182" fontId="0" fillId="9" borderId="2" xfId="0" applyNumberFormat="1" applyFill="1" applyBorder="1" applyAlignment="1">
      <alignment horizontal="center" vertical="center" wrapText="1"/>
    </xf>
    <xf numFmtId="182" fontId="0" fillId="9" borderId="87" xfId="0" applyNumberFormat="1" applyFill="1" applyBorder="1" applyAlignment="1">
      <alignment horizontal="center" vertical="center" wrapText="1"/>
    </xf>
    <xf numFmtId="181" fontId="0" fillId="9" borderId="2" xfId="0" applyNumberFormat="1" applyFill="1" applyBorder="1" applyAlignment="1">
      <alignment horizontal="center" vertical="center" wrapText="1"/>
    </xf>
    <xf numFmtId="0" fontId="0" fillId="9" borderId="36" xfId="0" applyFill="1" applyBorder="1" applyAlignment="1">
      <alignment horizontal="center" vertical="center" wrapText="1"/>
    </xf>
    <xf numFmtId="0" fontId="31" fillId="10" borderId="72" xfId="0" applyFont="1" applyFill="1" applyBorder="1" applyAlignment="1">
      <alignment horizontal="center" vertical="center" wrapText="1"/>
    </xf>
    <xf numFmtId="0" fontId="31" fillId="10" borderId="102" xfId="0" applyFont="1" applyFill="1" applyBorder="1" applyAlignment="1">
      <alignment horizontal="center" vertical="center" wrapText="1"/>
    </xf>
    <xf numFmtId="0" fontId="0" fillId="9" borderId="2" xfId="0" applyFill="1" applyBorder="1" applyAlignment="1">
      <alignment horizontal="center" vertical="center" wrapText="1"/>
    </xf>
    <xf numFmtId="0" fontId="0" fillId="9" borderId="62" xfId="0" applyFill="1" applyBorder="1" applyAlignment="1">
      <alignment horizontal="center" vertical="center" wrapText="1"/>
    </xf>
    <xf numFmtId="181" fontId="0" fillId="10" borderId="48" xfId="0" applyNumberFormat="1" applyFill="1" applyBorder="1" applyAlignment="1">
      <alignment horizontal="center" vertical="center" wrapText="1"/>
    </xf>
    <xf numFmtId="181" fontId="0" fillId="10" borderId="2" xfId="0" applyNumberFormat="1" applyFill="1" applyBorder="1" applyAlignment="1">
      <alignment horizontal="center" vertical="center" wrapText="1"/>
    </xf>
    <xf numFmtId="0" fontId="0" fillId="10" borderId="47" xfId="0" applyFill="1" applyBorder="1" applyAlignment="1">
      <alignment horizontal="center" vertical="center" wrapText="1"/>
    </xf>
    <xf numFmtId="0" fontId="0" fillId="16" borderId="90" xfId="0" applyFill="1" applyBorder="1" applyAlignment="1">
      <alignment horizontal="center" vertical="center" wrapText="1"/>
    </xf>
    <xf numFmtId="182" fontId="0" fillId="9" borderId="12" xfId="0" applyNumberFormat="1" applyFill="1" applyBorder="1" applyAlignment="1">
      <alignment horizontal="center" vertical="center" wrapText="1"/>
    </xf>
    <xf numFmtId="0" fontId="12" fillId="16" borderId="12" xfId="0" applyFont="1" applyFill="1" applyBorder="1" applyAlignment="1">
      <alignment horizontal="center" vertical="center"/>
    </xf>
    <xf numFmtId="176" fontId="0" fillId="16" borderId="12" xfId="0" applyNumberFormat="1" applyFill="1" applyBorder="1" applyAlignment="1">
      <alignment horizontal="center" vertical="center"/>
    </xf>
    <xf numFmtId="180" fontId="0" fillId="9" borderId="74" xfId="0" applyNumberFormat="1" applyFill="1" applyBorder="1" applyAlignment="1">
      <alignment horizontal="center" vertical="center" wrapText="1"/>
    </xf>
    <xf numFmtId="0" fontId="0" fillId="0" borderId="12" xfId="0" applyBorder="1" applyAlignment="1">
      <alignment horizontal="center" vertical="center"/>
    </xf>
    <xf numFmtId="49" fontId="10" fillId="8" borderId="12" xfId="6" applyNumberFormat="1" applyFill="1" applyBorder="1" applyAlignment="1">
      <alignment horizontal="center" vertical="center"/>
    </xf>
    <xf numFmtId="0" fontId="10" fillId="8" borderId="12" xfId="6" applyFill="1" applyBorder="1" applyAlignment="1">
      <alignment horizontal="center" vertical="center"/>
    </xf>
    <xf numFmtId="0" fontId="10" fillId="0" borderId="0" xfId="6">
      <alignment vertical="center"/>
    </xf>
    <xf numFmtId="0" fontId="15" fillId="8" borderId="13" xfId="0" applyFont="1" applyFill="1" applyBorder="1" applyAlignment="1">
      <alignment horizontal="center" vertical="center" wrapText="1"/>
    </xf>
    <xf numFmtId="0" fontId="15" fillId="8" borderId="42" xfId="0" applyFont="1" applyFill="1" applyBorder="1" applyAlignment="1">
      <alignment horizontal="center" vertical="center" wrapText="1"/>
    </xf>
    <xf numFmtId="0" fontId="15" fillId="8" borderId="14" xfId="0" applyFont="1" applyFill="1" applyBorder="1" applyAlignment="1">
      <alignment horizontal="center" vertical="center" wrapText="1"/>
    </xf>
    <xf numFmtId="0" fontId="15" fillId="8" borderId="15" xfId="0" applyFont="1" applyFill="1" applyBorder="1" applyAlignment="1">
      <alignment horizontal="center" vertical="center" wrapText="1"/>
    </xf>
    <xf numFmtId="0" fontId="15" fillId="8" borderId="16" xfId="0" applyFont="1" applyFill="1" applyBorder="1" applyAlignment="1">
      <alignment horizontal="center" vertical="center" wrapText="1"/>
    </xf>
    <xf numFmtId="0" fontId="0" fillId="0" borderId="0" xfId="0" applyAlignment="1">
      <alignment wrapText="1"/>
    </xf>
    <xf numFmtId="0" fontId="10" fillId="8" borderId="12" xfId="6" applyFill="1" applyBorder="1" applyAlignment="1">
      <alignment horizontal="center" vertical="center" wrapText="1"/>
    </xf>
    <xf numFmtId="0" fontId="0" fillId="0" borderId="0" xfId="0" applyAlignment="1">
      <alignment horizontal="center"/>
    </xf>
    <xf numFmtId="184" fontId="0" fillId="0" borderId="12" xfId="0" applyNumberFormat="1" applyBorder="1" applyAlignment="1">
      <alignment horizontal="center" vertical="center"/>
    </xf>
    <xf numFmtId="0" fontId="0" fillId="0" borderId="0" xfId="0" applyAlignment="1">
      <alignment horizontal="left"/>
    </xf>
    <xf numFmtId="0" fontId="0" fillId="0" borderId="46" xfId="0" applyBorder="1" applyAlignment="1">
      <alignment vertical="center" wrapText="1"/>
    </xf>
    <xf numFmtId="0" fontId="0" fillId="0" borderId="44" xfId="0" applyBorder="1" applyAlignment="1">
      <alignment vertical="center" wrapText="1"/>
    </xf>
    <xf numFmtId="0" fontId="0" fillId="0" borderId="12" xfId="0" applyBorder="1" applyAlignment="1">
      <alignment horizontal="center" vertical="center" wrapText="1"/>
    </xf>
    <xf numFmtId="181" fontId="1" fillId="0" borderId="0" xfId="0" applyNumberFormat="1" applyFont="1" applyAlignment="1">
      <alignment horizontal="center" vertical="center"/>
    </xf>
    <xf numFmtId="0" fontId="1" fillId="0" borderId="0" xfId="0" applyFont="1" applyAlignment="1">
      <alignment horizontal="left" vertical="center"/>
    </xf>
    <xf numFmtId="0" fontId="1" fillId="9" borderId="37" xfId="0" applyFont="1" applyFill="1" applyBorder="1" applyAlignment="1">
      <alignment horizontal="center" vertical="center" wrapText="1"/>
    </xf>
    <xf numFmtId="0" fontId="1" fillId="0" borderId="23" xfId="0" applyFont="1" applyBorder="1" applyAlignment="1">
      <alignment horizontal="center" vertical="top" wrapText="1"/>
    </xf>
    <xf numFmtId="181" fontId="1" fillId="0" borderId="4" xfId="0" applyNumberFormat="1" applyFont="1" applyBorder="1" applyAlignment="1">
      <alignment horizontal="center" vertical="top" wrapText="1"/>
    </xf>
    <xf numFmtId="0" fontId="1" fillId="0" borderId="4" xfId="0" applyFont="1" applyBorder="1" applyAlignment="1">
      <alignment horizontal="left" vertical="top" wrapText="1"/>
    </xf>
    <xf numFmtId="177" fontId="1" fillId="0" borderId="4" xfId="0" applyNumberFormat="1" applyFont="1" applyBorder="1" applyAlignment="1">
      <alignment vertical="top" wrapText="1"/>
    </xf>
    <xf numFmtId="176" fontId="1" fillId="0" borderId="41" xfId="0" applyNumberFormat="1" applyFont="1" applyBorder="1" applyAlignment="1">
      <alignment horizontal="right" vertical="top" wrapText="1"/>
    </xf>
    <xf numFmtId="181" fontId="1" fillId="0" borderId="29" xfId="0" applyNumberFormat="1" applyFont="1" applyBorder="1" applyAlignment="1">
      <alignment horizontal="center" vertical="top" wrapText="1"/>
    </xf>
    <xf numFmtId="181" fontId="1" fillId="0" borderId="25" xfId="0" applyNumberFormat="1" applyFont="1" applyBorder="1" applyAlignment="1">
      <alignment horizontal="center" vertical="top" wrapText="1"/>
    </xf>
    <xf numFmtId="0" fontId="1" fillId="0" borderId="9" xfId="0" applyFont="1" applyBorder="1" applyAlignment="1">
      <alignment horizontal="center" vertical="top" wrapText="1"/>
    </xf>
    <xf numFmtId="176" fontId="1" fillId="0" borderId="39" xfId="0" applyNumberFormat="1" applyFont="1" applyBorder="1" applyAlignment="1">
      <alignment vertical="top" wrapText="1"/>
    </xf>
    <xf numFmtId="181" fontId="1" fillId="0" borderId="31" xfId="0" applyNumberFormat="1" applyFont="1" applyBorder="1" applyAlignment="1">
      <alignment horizontal="center" vertical="top" wrapText="1"/>
    </xf>
    <xf numFmtId="181" fontId="1" fillId="0" borderId="10" xfId="0" applyNumberFormat="1" applyFont="1" applyBorder="1" applyAlignment="1">
      <alignment horizontal="center" vertical="top" wrapText="1"/>
    </xf>
    <xf numFmtId="0" fontId="1" fillId="0" borderId="11" xfId="0" applyFont="1" applyBorder="1" applyAlignment="1">
      <alignment vertical="top" wrapText="1"/>
    </xf>
    <xf numFmtId="0" fontId="1" fillId="0" borderId="24" xfId="0" applyFont="1" applyBorder="1" applyAlignment="1">
      <alignment vertical="top" wrapText="1"/>
    </xf>
    <xf numFmtId="181" fontId="1" fillId="0" borderId="39" xfId="0" applyNumberFormat="1" applyFont="1" applyBorder="1" applyAlignment="1">
      <alignment horizontal="center" vertical="top" wrapText="1"/>
    </xf>
    <xf numFmtId="181" fontId="1" fillId="0" borderId="0" xfId="0" applyNumberFormat="1" applyFont="1" applyAlignment="1">
      <alignment horizontal="center" vertical="top" wrapText="1"/>
    </xf>
    <xf numFmtId="176" fontId="1" fillId="0" borderId="40" xfId="0" applyNumberFormat="1" applyFont="1" applyBorder="1" applyAlignment="1">
      <alignment vertical="top" wrapText="1"/>
    </xf>
    <xf numFmtId="181" fontId="1" fillId="0" borderId="40" xfId="0" applyNumberFormat="1" applyFont="1" applyBorder="1" applyAlignment="1">
      <alignment horizontal="center" vertical="top" wrapText="1"/>
    </xf>
    <xf numFmtId="0" fontId="1" fillId="0" borderId="3" xfId="0" applyFont="1" applyBorder="1" applyAlignment="1">
      <alignment horizontal="center" vertical="top" wrapText="1"/>
    </xf>
    <xf numFmtId="181" fontId="1" fillId="0" borderId="34" xfId="0" applyNumberFormat="1" applyFont="1" applyBorder="1" applyAlignment="1">
      <alignment horizontal="center" vertical="top" wrapText="1"/>
    </xf>
    <xf numFmtId="0" fontId="1" fillId="0" borderId="0" xfId="0" applyFont="1" applyAlignment="1">
      <alignment horizontal="center"/>
    </xf>
    <xf numFmtId="181" fontId="1" fillId="0" borderId="0" xfId="0" applyNumberFormat="1" applyFont="1" applyAlignment="1">
      <alignment horizontal="center"/>
    </xf>
    <xf numFmtId="180" fontId="1" fillId="0" borderId="0" xfId="0" applyNumberFormat="1" applyFont="1"/>
    <xf numFmtId="182" fontId="1" fillId="0" borderId="0" xfId="0" applyNumberFormat="1" applyFont="1"/>
    <xf numFmtId="0" fontId="1" fillId="9" borderId="35" xfId="0" applyFont="1" applyFill="1" applyBorder="1" applyAlignment="1">
      <alignment horizontal="center" vertical="center" wrapText="1"/>
    </xf>
    <xf numFmtId="181" fontId="1" fillId="9" borderId="36" xfId="0" applyNumberFormat="1" applyFont="1" applyFill="1" applyBorder="1" applyAlignment="1">
      <alignment horizontal="center" vertical="center" wrapText="1"/>
    </xf>
    <xf numFmtId="0" fontId="1" fillId="9" borderId="36" xfId="0" applyFont="1" applyFill="1" applyBorder="1" applyAlignment="1">
      <alignment horizontal="center" vertical="center" wrapText="1"/>
    </xf>
    <xf numFmtId="180" fontId="1" fillId="9" borderId="36" xfId="0" applyNumberFormat="1" applyFont="1" applyFill="1" applyBorder="1" applyAlignment="1">
      <alignment horizontal="center" vertical="center" wrapText="1"/>
    </xf>
    <xf numFmtId="182" fontId="1" fillId="9" borderId="79" xfId="0" applyNumberFormat="1" applyFont="1" applyFill="1" applyBorder="1" applyAlignment="1">
      <alignment horizontal="center" vertical="center" wrapText="1"/>
    </xf>
    <xf numFmtId="0" fontId="1" fillId="16" borderId="92" xfId="0" applyFont="1" applyFill="1" applyBorder="1" applyAlignment="1">
      <alignment vertical="top" wrapText="1"/>
    </xf>
    <xf numFmtId="0" fontId="1" fillId="16" borderId="103" xfId="0" applyFont="1" applyFill="1" applyBorder="1" applyAlignment="1">
      <alignment vertical="top" wrapText="1"/>
    </xf>
    <xf numFmtId="0" fontId="1" fillId="16" borderId="82" xfId="0" applyFont="1" applyFill="1" applyBorder="1" applyAlignment="1">
      <alignment vertical="top" wrapText="1"/>
    </xf>
    <xf numFmtId="180" fontId="1" fillId="0" borderId="70" xfId="0" applyNumberFormat="1" applyFont="1" applyBorder="1" applyAlignment="1">
      <alignment vertical="top" wrapText="1"/>
    </xf>
    <xf numFmtId="182" fontId="1" fillId="15" borderId="82" xfId="0" applyNumberFormat="1" applyFont="1" applyFill="1" applyBorder="1" applyAlignment="1">
      <alignment vertical="top" wrapText="1"/>
    </xf>
    <xf numFmtId="176" fontId="1" fillId="0" borderId="86" xfId="0" applyNumberFormat="1" applyFont="1" applyBorder="1" applyAlignment="1">
      <alignment horizontal="right" vertical="top" wrapText="1"/>
    </xf>
    <xf numFmtId="181" fontId="1" fillId="0" borderId="66" xfId="0" applyNumberFormat="1" applyFont="1" applyBorder="1" applyAlignment="1">
      <alignment horizontal="center" vertical="top" wrapText="1"/>
    </xf>
    <xf numFmtId="180" fontId="1" fillId="0" borderId="101" xfId="0" applyNumberFormat="1" applyFont="1" applyBorder="1" applyAlignment="1">
      <alignment vertical="top" wrapText="1"/>
    </xf>
    <xf numFmtId="182" fontId="1" fillId="7" borderId="80" xfId="0" applyNumberFormat="1" applyFont="1" applyFill="1" applyBorder="1" applyAlignment="1">
      <alignment vertical="top" wrapText="1"/>
    </xf>
    <xf numFmtId="182" fontId="1" fillId="15" borderId="75" xfId="0" applyNumberFormat="1" applyFont="1" applyFill="1" applyBorder="1" applyAlignment="1">
      <alignment vertical="top" wrapText="1"/>
    </xf>
    <xf numFmtId="176" fontId="1" fillId="0" borderId="88" xfId="0" applyNumberFormat="1" applyFont="1" applyBorder="1" applyAlignment="1">
      <alignment vertical="top" wrapText="1"/>
    </xf>
    <xf numFmtId="181" fontId="1" fillId="0" borderId="67" xfId="0" applyNumberFormat="1" applyFont="1" applyBorder="1" applyAlignment="1">
      <alignment horizontal="center" vertical="top" wrapText="1"/>
    </xf>
    <xf numFmtId="182" fontId="1" fillId="7" borderId="75" xfId="0" applyNumberFormat="1" applyFont="1" applyFill="1" applyBorder="1" applyAlignment="1">
      <alignment vertical="top" wrapText="1"/>
    </xf>
    <xf numFmtId="0" fontId="1" fillId="0" borderId="39" xfId="0" applyFont="1" applyBorder="1" applyAlignment="1">
      <alignment vertical="top" wrapText="1"/>
    </xf>
    <xf numFmtId="182" fontId="1" fillId="0" borderId="70" xfId="0" applyNumberFormat="1" applyFont="1" applyBorder="1" applyAlignment="1">
      <alignment vertical="top" wrapText="1"/>
    </xf>
    <xf numFmtId="176" fontId="1" fillId="0" borderId="89" xfId="0" applyNumberFormat="1" applyFont="1" applyBorder="1" applyAlignment="1">
      <alignment vertical="top" wrapText="1"/>
    </xf>
    <xf numFmtId="182" fontId="1" fillId="7" borderId="76" xfId="0" applyNumberFormat="1" applyFont="1" applyFill="1" applyBorder="1" applyAlignment="1">
      <alignment vertical="top" wrapText="1"/>
    </xf>
    <xf numFmtId="181" fontId="1" fillId="0" borderId="63" xfId="0" applyNumberFormat="1" applyFont="1" applyBorder="1" applyAlignment="1">
      <alignment horizontal="center" vertical="top" wrapText="1"/>
    </xf>
    <xf numFmtId="0" fontId="1" fillId="0" borderId="65" xfId="0" applyFont="1" applyBorder="1" applyAlignment="1">
      <alignment horizontal="center" vertical="top" wrapText="1"/>
    </xf>
    <xf numFmtId="181" fontId="1" fillId="0" borderId="51" xfId="0" applyNumberFormat="1" applyFont="1" applyBorder="1" applyAlignment="1">
      <alignment horizontal="center" vertical="top" wrapText="1"/>
    </xf>
    <xf numFmtId="0" fontId="1" fillId="0" borderId="51" xfId="0" applyFont="1" applyBorder="1" applyAlignment="1">
      <alignment vertical="top" wrapText="1"/>
    </xf>
    <xf numFmtId="0" fontId="1" fillId="0" borderId="51" xfId="0" applyFont="1" applyBorder="1" applyAlignment="1">
      <alignment horizontal="left" vertical="top" wrapText="1"/>
    </xf>
    <xf numFmtId="177" fontId="1" fillId="0" borderId="51" xfId="0" applyNumberFormat="1" applyFont="1" applyBorder="1" applyAlignment="1">
      <alignment vertical="top" wrapText="1"/>
    </xf>
    <xf numFmtId="0" fontId="1" fillId="0" borderId="52" xfId="0" applyFont="1" applyBorder="1" applyAlignment="1">
      <alignment vertical="top" wrapText="1"/>
    </xf>
    <xf numFmtId="180" fontId="1" fillId="0" borderId="71" xfId="0" applyNumberFormat="1" applyFont="1" applyBorder="1" applyAlignment="1">
      <alignment vertical="top" wrapText="1"/>
    </xf>
    <xf numFmtId="182" fontId="1" fillId="15" borderId="76" xfId="0" applyNumberFormat="1" applyFont="1" applyFill="1" applyBorder="1" applyAlignment="1">
      <alignment vertical="top" wrapText="1"/>
    </xf>
    <xf numFmtId="176" fontId="1" fillId="0" borderId="53" xfId="0" applyNumberFormat="1" applyFont="1" applyBorder="1" applyAlignment="1">
      <alignment vertical="top" wrapText="1"/>
    </xf>
    <xf numFmtId="181" fontId="1" fillId="0" borderId="53" xfId="0" applyNumberFormat="1" applyFont="1" applyBorder="1" applyAlignment="1">
      <alignment horizontal="center" vertical="top" wrapText="1"/>
    </xf>
    <xf numFmtId="0" fontId="1" fillId="0" borderId="83" xfId="0" applyFont="1" applyBorder="1" applyAlignment="1">
      <alignment vertical="top" wrapText="1"/>
    </xf>
    <xf numFmtId="181" fontId="1" fillId="0" borderId="64" xfId="0" applyNumberFormat="1" applyFont="1" applyBorder="1" applyAlignment="1">
      <alignment horizontal="center" vertical="top" wrapText="1"/>
    </xf>
    <xf numFmtId="182" fontId="1" fillId="7" borderId="81" xfId="0" applyNumberFormat="1" applyFont="1" applyFill="1" applyBorder="1" applyAlignment="1">
      <alignment vertical="top" wrapText="1"/>
    </xf>
    <xf numFmtId="0" fontId="1" fillId="0" borderId="53" xfId="0" applyFont="1" applyBorder="1" applyAlignment="1">
      <alignment vertical="top" wrapText="1"/>
    </xf>
    <xf numFmtId="181" fontId="1" fillId="0" borderId="54" xfId="0" applyNumberFormat="1" applyFont="1" applyBorder="1" applyAlignment="1">
      <alignment horizontal="center" vertical="top" wrapText="1"/>
    </xf>
    <xf numFmtId="0" fontId="1" fillId="0" borderId="55" xfId="0" applyFont="1" applyBorder="1" applyAlignment="1">
      <alignment vertical="top" wrapText="1"/>
    </xf>
    <xf numFmtId="0" fontId="1" fillId="0" borderId="0" xfId="0" applyFont="1" applyAlignment="1">
      <alignment vertical="top" wrapText="1"/>
    </xf>
    <xf numFmtId="0" fontId="1" fillId="13" borderId="56" xfId="0" applyFont="1" applyFill="1" applyBorder="1" applyAlignment="1">
      <alignment horizontal="center"/>
    </xf>
    <xf numFmtId="181" fontId="1" fillId="13" borderId="57" xfId="0" applyNumberFormat="1" applyFont="1" applyFill="1" applyBorder="1" applyAlignment="1">
      <alignment horizontal="center"/>
    </xf>
    <xf numFmtId="180" fontId="1" fillId="13" borderId="57" xfId="0" applyNumberFormat="1" applyFont="1" applyFill="1" applyBorder="1"/>
    <xf numFmtId="180" fontId="1" fillId="15" borderId="77" xfId="0" applyNumberFormat="1" applyFont="1" applyFill="1" applyBorder="1" applyAlignment="1">
      <alignment vertical="top" wrapText="1"/>
    </xf>
    <xf numFmtId="180" fontId="1" fillId="15" borderId="78" xfId="0" applyNumberFormat="1" applyFont="1" applyFill="1" applyBorder="1" applyAlignment="1">
      <alignment vertical="top" wrapText="1"/>
    </xf>
    <xf numFmtId="182" fontId="1" fillId="13" borderId="57" xfId="0" applyNumberFormat="1" applyFont="1" applyFill="1" applyBorder="1"/>
    <xf numFmtId="0" fontId="1" fillId="13" borderId="57" xfId="0" applyFont="1" applyFill="1" applyBorder="1" applyAlignment="1">
      <alignment horizontal="center"/>
    </xf>
    <xf numFmtId="0" fontId="1" fillId="13" borderId="57" xfId="0" applyFont="1" applyFill="1" applyBorder="1"/>
    <xf numFmtId="0" fontId="1" fillId="13" borderId="58" xfId="0" applyFont="1" applyFill="1" applyBorder="1"/>
    <xf numFmtId="0" fontId="1" fillId="0" borderId="0" xfId="0" applyFont="1" applyAlignment="1">
      <alignment vertical="center"/>
    </xf>
    <xf numFmtId="0" fontId="1" fillId="0" borderId="12" xfId="7" applyFont="1" applyBorder="1" applyAlignment="1">
      <alignment horizontal="left" vertical="top" wrapText="1"/>
    </xf>
    <xf numFmtId="0" fontId="1" fillId="4" borderId="12" xfId="7" applyFont="1" applyFill="1" applyBorder="1" applyAlignment="1">
      <alignment horizontal="left" vertical="top" wrapText="1"/>
    </xf>
    <xf numFmtId="0" fontId="1" fillId="0" borderId="12" xfId="7" applyFont="1" applyBorder="1" applyAlignment="1">
      <alignment vertical="top" wrapText="1"/>
    </xf>
    <xf numFmtId="0" fontId="1" fillId="7" borderId="12" xfId="7" applyFont="1" applyFill="1" applyBorder="1" applyAlignment="1">
      <alignment horizontal="left" vertical="top" wrapText="1"/>
    </xf>
    <xf numFmtId="0" fontId="1" fillId="7" borderId="12" xfId="8" applyFont="1" applyFill="1" applyBorder="1" applyAlignment="1">
      <alignment horizontal="left" vertical="top" wrapText="1"/>
    </xf>
    <xf numFmtId="0" fontId="1" fillId="0" borderId="12" xfId="10" applyFont="1" applyBorder="1" applyAlignment="1">
      <alignment horizontal="left" vertical="top" wrapText="1"/>
    </xf>
    <xf numFmtId="0" fontId="37" fillId="9" borderId="35" xfId="0" applyFont="1" applyFill="1" applyBorder="1" applyAlignment="1">
      <alignment horizontal="center" vertical="center" wrapText="1"/>
    </xf>
    <xf numFmtId="181" fontId="37" fillId="9" borderId="36" xfId="0" applyNumberFormat="1" applyFont="1" applyFill="1" applyBorder="1" applyAlignment="1">
      <alignment horizontal="center" vertical="center" wrapText="1"/>
    </xf>
    <xf numFmtId="0" fontId="37" fillId="9" borderId="36" xfId="0" applyFont="1" applyFill="1" applyBorder="1" applyAlignment="1">
      <alignment horizontal="center" vertical="center" wrapText="1"/>
    </xf>
    <xf numFmtId="180" fontId="37" fillId="9" borderId="36" xfId="0" applyNumberFormat="1" applyFont="1" applyFill="1" applyBorder="1" applyAlignment="1">
      <alignment horizontal="center" vertical="center" wrapText="1"/>
    </xf>
    <xf numFmtId="0" fontId="37" fillId="9" borderId="37" xfId="0" applyFont="1" applyFill="1" applyBorder="1" applyAlignment="1">
      <alignment horizontal="center" vertical="center" wrapText="1"/>
    </xf>
    <xf numFmtId="180" fontId="37" fillId="9" borderId="74" xfId="0" applyNumberFormat="1" applyFont="1" applyFill="1" applyBorder="1" applyAlignment="1">
      <alignment horizontal="center" vertical="center" wrapText="1"/>
    </xf>
    <xf numFmtId="182" fontId="37" fillId="9" borderId="79" xfId="0" applyNumberFormat="1" applyFont="1" applyFill="1" applyBorder="1" applyAlignment="1">
      <alignment horizontal="center" vertical="center" wrapText="1"/>
    </xf>
    <xf numFmtId="182" fontId="37" fillId="9" borderId="2" xfId="0" applyNumberFormat="1" applyFont="1" applyFill="1" applyBorder="1" applyAlignment="1">
      <alignment horizontal="center" vertical="center" wrapText="1"/>
    </xf>
    <xf numFmtId="182" fontId="37" fillId="9" borderId="87" xfId="0" applyNumberFormat="1" applyFont="1" applyFill="1" applyBorder="1" applyAlignment="1">
      <alignment horizontal="center" vertical="center" wrapText="1"/>
    </xf>
    <xf numFmtId="181" fontId="37" fillId="9" borderId="2" xfId="0" applyNumberFormat="1" applyFont="1" applyFill="1" applyBorder="1" applyAlignment="1">
      <alignment horizontal="center" vertical="center" wrapText="1"/>
    </xf>
    <xf numFmtId="0" fontId="38" fillId="10" borderId="72" xfId="0" applyFont="1" applyFill="1" applyBorder="1" applyAlignment="1">
      <alignment horizontal="center" vertical="center" wrapText="1"/>
    </xf>
    <xf numFmtId="0" fontId="38" fillId="10" borderId="102" xfId="0" applyFont="1" applyFill="1" applyBorder="1" applyAlignment="1">
      <alignment horizontal="center" vertical="center" wrapText="1"/>
    </xf>
    <xf numFmtId="0" fontId="37" fillId="9" borderId="2" xfId="0" applyFont="1" applyFill="1" applyBorder="1" applyAlignment="1">
      <alignment horizontal="center" vertical="center" wrapText="1"/>
    </xf>
    <xf numFmtId="0" fontId="37" fillId="9" borderId="62" xfId="0" applyFont="1" applyFill="1" applyBorder="1" applyAlignment="1">
      <alignment horizontal="center" vertical="center" wrapText="1"/>
    </xf>
    <xf numFmtId="0" fontId="37" fillId="0" borderId="0" xfId="0" applyFont="1"/>
    <xf numFmtId="0" fontId="39" fillId="0" borderId="0" xfId="9" applyFont="1" applyAlignment="1">
      <alignment vertical="center" wrapText="1" shrinkToFit="1"/>
    </xf>
    <xf numFmtId="0" fontId="37" fillId="0" borderId="0" xfId="0" applyFont="1" applyAlignment="1">
      <alignment wrapText="1"/>
    </xf>
    <xf numFmtId="0" fontId="39" fillId="0" borderId="0" xfId="0" applyFont="1"/>
    <xf numFmtId="55" fontId="0" fillId="0" borderId="4" xfId="0" applyNumberFormat="1" applyBorder="1" applyAlignment="1">
      <alignment vertical="top" wrapText="1"/>
    </xf>
    <xf numFmtId="181" fontId="0" fillId="0" borderId="30" xfId="0" applyNumberFormat="1" applyBorder="1" applyAlignment="1">
      <alignment horizontal="center" vertical="top" wrapText="1"/>
    </xf>
    <xf numFmtId="181" fontId="0" fillId="0" borderId="67" xfId="0" applyNumberFormat="1" applyBorder="1" applyAlignment="1">
      <alignment horizontal="center" vertical="top" wrapText="1"/>
    </xf>
    <xf numFmtId="0" fontId="0" fillId="0" borderId="104" xfId="0" applyBorder="1" applyAlignment="1">
      <alignment vertical="top" wrapText="1"/>
    </xf>
    <xf numFmtId="176" fontId="0" fillId="0" borderId="88" xfId="0" applyNumberFormat="1" applyBorder="1" applyAlignment="1">
      <alignment horizontal="center" vertical="top" wrapText="1"/>
    </xf>
    <xf numFmtId="0" fontId="0" fillId="0" borderId="9" xfId="0" applyBorder="1" applyAlignment="1">
      <alignment horizontal="center" vertical="top" wrapText="1"/>
    </xf>
    <xf numFmtId="0" fontId="0" fillId="0" borderId="4" xfId="0" applyBorder="1" applyAlignment="1">
      <alignment horizontal="left" vertical="top" wrapText="1"/>
    </xf>
    <xf numFmtId="0" fontId="31" fillId="0" borderId="4" xfId="0" applyFont="1" applyBorder="1" applyAlignment="1">
      <alignment vertical="top" wrapText="1"/>
    </xf>
    <xf numFmtId="176" fontId="1" fillId="0" borderId="88" xfId="0" applyNumberFormat="1" applyFont="1" applyBorder="1" applyAlignment="1">
      <alignment horizontal="center" vertical="top" wrapText="1"/>
    </xf>
    <xf numFmtId="177" fontId="0" fillId="0" borderId="4" xfId="0" applyNumberFormat="1" applyBorder="1" applyAlignment="1">
      <alignment vertical="top" wrapText="1"/>
    </xf>
    <xf numFmtId="180" fontId="0" fillId="0" borderId="70" xfId="0" applyNumberFormat="1" applyBorder="1" applyAlignment="1">
      <alignment vertical="top" wrapText="1"/>
    </xf>
    <xf numFmtId="182" fontId="0" fillId="15" borderId="75" xfId="0" applyNumberFormat="1" applyFill="1" applyBorder="1" applyAlignment="1">
      <alignment vertical="top" wrapText="1"/>
    </xf>
    <xf numFmtId="176" fontId="0" fillId="0" borderId="39" xfId="0" applyNumberFormat="1" applyBorder="1" applyAlignment="1">
      <alignment vertical="top" wrapText="1"/>
    </xf>
    <xf numFmtId="0" fontId="37" fillId="0" borderId="65" xfId="0" applyFont="1" applyBorder="1" applyAlignment="1">
      <alignment horizontal="center" vertical="top" wrapText="1"/>
    </xf>
    <xf numFmtId="181" fontId="37" fillId="0" borderId="4" xfId="0" applyNumberFormat="1" applyFont="1" applyBorder="1" applyAlignment="1">
      <alignment horizontal="center" vertical="top" wrapText="1"/>
    </xf>
    <xf numFmtId="0" fontId="37" fillId="0" borderId="4" xfId="0" applyFont="1" applyBorder="1" applyAlignment="1">
      <alignment vertical="top" wrapText="1"/>
    </xf>
    <xf numFmtId="0" fontId="37" fillId="0" borderId="4" xfId="0" applyFont="1" applyBorder="1" applyAlignment="1">
      <alignment horizontal="left" vertical="top" wrapText="1"/>
    </xf>
    <xf numFmtId="177" fontId="37" fillId="0" borderId="4" xfId="0" applyNumberFormat="1" applyFont="1" applyBorder="1" applyAlignment="1">
      <alignment vertical="top" wrapText="1"/>
    </xf>
    <xf numFmtId="0" fontId="37" fillId="0" borderId="33" xfId="0" applyFont="1" applyBorder="1" applyAlignment="1">
      <alignment vertical="top" wrapText="1"/>
    </xf>
    <xf numFmtId="180" fontId="37" fillId="0" borderId="101" xfId="0" applyNumberFormat="1" applyFont="1" applyBorder="1" applyAlignment="1">
      <alignment vertical="top" wrapText="1"/>
    </xf>
    <xf numFmtId="182" fontId="37" fillId="0" borderId="75" xfId="0" applyNumberFormat="1" applyFont="1" applyBorder="1" applyAlignment="1">
      <alignment vertical="top" wrapText="1"/>
    </xf>
    <xf numFmtId="176" fontId="37" fillId="0" borderId="39" xfId="0" applyNumberFormat="1" applyFont="1" applyBorder="1" applyAlignment="1">
      <alignment vertical="top" wrapText="1"/>
    </xf>
    <xf numFmtId="176" fontId="37" fillId="0" borderId="29" xfId="0" applyNumberFormat="1" applyFont="1" applyBorder="1" applyAlignment="1">
      <alignment horizontal="center" vertical="top" wrapText="1"/>
    </xf>
    <xf numFmtId="0" fontId="37" fillId="0" borderId="25" xfId="0" applyFont="1" applyBorder="1" applyAlignment="1">
      <alignment horizontal="left" vertical="top" wrapText="1"/>
    </xf>
    <xf numFmtId="181" fontId="37" fillId="0" borderId="63" xfId="0" applyNumberFormat="1" applyFont="1" applyBorder="1" applyAlignment="1">
      <alignment horizontal="center" vertical="top" wrapText="1"/>
    </xf>
    <xf numFmtId="181" fontId="37" fillId="0" borderId="39" xfId="0" applyNumberFormat="1" applyFont="1" applyBorder="1" applyAlignment="1">
      <alignment horizontal="center" vertical="top" wrapText="1"/>
    </xf>
    <xf numFmtId="180" fontId="37" fillId="0" borderId="70" xfId="0" applyNumberFormat="1" applyFont="1" applyBorder="1" applyAlignment="1">
      <alignment vertical="top" wrapText="1"/>
    </xf>
    <xf numFmtId="0" fontId="37" fillId="0" borderId="39" xfId="0" applyFont="1" applyBorder="1" applyAlignment="1">
      <alignment vertical="top" wrapText="1"/>
    </xf>
    <xf numFmtId="0" fontId="37" fillId="0" borderId="24" xfId="0" applyFont="1" applyBorder="1" applyAlignment="1">
      <alignment vertical="top" wrapText="1"/>
    </xf>
    <xf numFmtId="0" fontId="37" fillId="0" borderId="3" xfId="0" applyFont="1" applyBorder="1" applyAlignment="1">
      <alignment horizontal="center" vertical="top" wrapText="1"/>
    </xf>
    <xf numFmtId="181" fontId="37" fillId="0" borderId="4" xfId="0" applyNumberFormat="1" applyFont="1" applyBorder="1" applyAlignment="1">
      <alignment horizontal="left" vertical="top" wrapText="1"/>
    </xf>
    <xf numFmtId="177" fontId="37" fillId="0" borderId="4" xfId="0" applyNumberFormat="1" applyFont="1" applyBorder="1" applyAlignment="1">
      <alignment horizontal="right" vertical="top" wrapText="1"/>
    </xf>
    <xf numFmtId="181" fontId="37" fillId="0" borderId="30" xfId="0" applyNumberFormat="1" applyFont="1" applyBorder="1" applyAlignment="1">
      <alignment horizontal="center" vertical="top" wrapText="1"/>
    </xf>
    <xf numFmtId="0" fontId="13" fillId="0" borderId="0" xfId="0" applyFont="1" applyAlignment="1">
      <alignment horizontal="left"/>
    </xf>
    <xf numFmtId="181" fontId="36" fillId="0" borderId="4" xfId="0" applyNumberFormat="1" applyFont="1" applyBorder="1" applyAlignment="1">
      <alignment horizontal="center" vertical="top" wrapText="1"/>
    </xf>
    <xf numFmtId="0" fontId="36" fillId="0" borderId="4" xfId="0" applyFont="1" applyBorder="1" applyAlignment="1">
      <alignment vertical="top" wrapText="1"/>
    </xf>
    <xf numFmtId="0" fontId="36" fillId="0" borderId="4" xfId="0" applyFont="1" applyBorder="1" applyAlignment="1">
      <alignment horizontal="left" vertical="top" wrapText="1"/>
    </xf>
    <xf numFmtId="177" fontId="36" fillId="0" borderId="4" xfId="0" applyNumberFormat="1" applyFont="1" applyBorder="1" applyAlignment="1">
      <alignment vertical="top" wrapText="1"/>
    </xf>
    <xf numFmtId="0" fontId="36" fillId="0" borderId="24" xfId="0" applyFont="1" applyBorder="1" applyAlignment="1">
      <alignment vertical="top" wrapText="1"/>
    </xf>
    <xf numFmtId="180" fontId="36" fillId="0" borderId="70" xfId="0" applyNumberFormat="1" applyFont="1" applyBorder="1" applyAlignment="1">
      <alignment vertical="top" wrapText="1"/>
    </xf>
    <xf numFmtId="182" fontId="36" fillId="15" borderId="75" xfId="0" applyNumberFormat="1" applyFont="1" applyFill="1" applyBorder="1" applyAlignment="1">
      <alignment vertical="top" wrapText="1"/>
    </xf>
    <xf numFmtId="176" fontId="36" fillId="0" borderId="39" xfId="0" applyNumberFormat="1" applyFont="1" applyBorder="1" applyAlignment="1">
      <alignment vertical="top" wrapText="1"/>
    </xf>
    <xf numFmtId="181" fontId="36" fillId="0" borderId="39" xfId="0" applyNumberFormat="1" applyFont="1" applyBorder="1" applyAlignment="1">
      <alignment horizontal="center" vertical="top" wrapText="1"/>
    </xf>
    <xf numFmtId="182" fontId="36" fillId="0" borderId="70" xfId="0" applyNumberFormat="1" applyFont="1" applyBorder="1" applyAlignment="1">
      <alignment vertical="top" wrapText="1"/>
    </xf>
    <xf numFmtId="55" fontId="36" fillId="0" borderId="4" xfId="0" applyNumberFormat="1" applyFont="1" applyBorder="1" applyAlignment="1">
      <alignment vertical="top" wrapText="1"/>
    </xf>
    <xf numFmtId="0" fontId="36" fillId="0" borderId="3" xfId="0" applyFont="1" applyBorder="1" applyAlignment="1">
      <alignment horizontal="center" vertical="top" wrapText="1"/>
    </xf>
    <xf numFmtId="0" fontId="0" fillId="9" borderId="95" xfId="0" applyFill="1" applyBorder="1" applyAlignment="1">
      <alignment horizontal="center" vertical="center" wrapText="1"/>
    </xf>
    <xf numFmtId="0" fontId="1" fillId="9" borderId="97" xfId="0" applyFont="1" applyFill="1" applyBorder="1" applyAlignment="1">
      <alignment horizontal="center" vertical="center" wrapText="1"/>
    </xf>
    <xf numFmtId="0" fontId="0" fillId="9" borderId="98" xfId="0" applyFill="1" applyBorder="1" applyAlignment="1">
      <alignment horizontal="center" vertical="center" wrapText="1"/>
    </xf>
    <xf numFmtId="181" fontId="0" fillId="10" borderId="99" xfId="0" applyNumberFormat="1" applyFill="1" applyBorder="1" applyAlignment="1">
      <alignment horizontal="center" vertical="center" wrapText="1"/>
    </xf>
    <xf numFmtId="181" fontId="0" fillId="10" borderId="95" xfId="0" applyNumberFormat="1" applyFill="1" applyBorder="1" applyAlignment="1">
      <alignment horizontal="center" vertical="center" wrapText="1"/>
    </xf>
    <xf numFmtId="0" fontId="0" fillId="10" borderId="100" xfId="0" applyFill="1" applyBorder="1" applyAlignment="1">
      <alignment horizontal="center" vertical="center" wrapText="1"/>
    </xf>
    <xf numFmtId="180" fontId="0" fillId="0" borderId="0" xfId="0" applyNumberFormat="1"/>
    <xf numFmtId="0" fontId="36" fillId="9" borderId="35" xfId="0" applyFont="1" applyFill="1" applyBorder="1" applyAlignment="1">
      <alignment horizontal="center" vertical="center" wrapText="1"/>
    </xf>
    <xf numFmtId="181" fontId="36" fillId="9" borderId="36" xfId="0" applyNumberFormat="1" applyFont="1" applyFill="1" applyBorder="1" applyAlignment="1">
      <alignment horizontal="center" vertical="center" wrapText="1"/>
    </xf>
    <xf numFmtId="0" fontId="36" fillId="9" borderId="36" xfId="0" applyFont="1" applyFill="1" applyBorder="1" applyAlignment="1">
      <alignment horizontal="center" vertical="center" wrapText="1"/>
    </xf>
    <xf numFmtId="180" fontId="36" fillId="9" borderId="36" xfId="0" applyNumberFormat="1" applyFont="1" applyFill="1" applyBorder="1" applyAlignment="1">
      <alignment horizontal="center" vertical="center" wrapText="1"/>
    </xf>
    <xf numFmtId="0" fontId="36" fillId="9" borderId="37" xfId="0" applyFont="1" applyFill="1" applyBorder="1" applyAlignment="1">
      <alignment horizontal="center" vertical="center" wrapText="1"/>
    </xf>
    <xf numFmtId="180" fontId="36" fillId="9" borderId="74" xfId="0" applyNumberFormat="1" applyFont="1" applyFill="1" applyBorder="1" applyAlignment="1">
      <alignment horizontal="center" vertical="center" wrapText="1"/>
    </xf>
    <xf numFmtId="182" fontId="36" fillId="9" borderId="79" xfId="0" applyNumberFormat="1" applyFont="1" applyFill="1" applyBorder="1" applyAlignment="1">
      <alignment horizontal="center" vertical="center" wrapText="1"/>
    </xf>
    <xf numFmtId="182" fontId="36" fillId="9" borderId="2" xfId="0" applyNumberFormat="1" applyFont="1" applyFill="1" applyBorder="1" applyAlignment="1">
      <alignment horizontal="center" vertical="center" wrapText="1"/>
    </xf>
    <xf numFmtId="181" fontId="36" fillId="9" borderId="2" xfId="0" applyNumberFormat="1" applyFont="1" applyFill="1" applyBorder="1" applyAlignment="1">
      <alignment horizontal="center" vertical="center" wrapText="1"/>
    </xf>
    <xf numFmtId="0" fontId="36" fillId="9" borderId="90" xfId="0" applyFont="1" applyFill="1" applyBorder="1" applyAlignment="1">
      <alignment horizontal="center" vertical="center" wrapText="1"/>
    </xf>
    <xf numFmtId="181" fontId="36" fillId="9" borderId="91" xfId="0" applyNumberFormat="1" applyFont="1" applyFill="1" applyBorder="1" applyAlignment="1">
      <alignment horizontal="center" vertical="center" wrapText="1"/>
    </xf>
    <xf numFmtId="0" fontId="36" fillId="9" borderId="91" xfId="0" applyFont="1" applyFill="1" applyBorder="1" applyAlignment="1">
      <alignment horizontal="center" vertical="center" wrapText="1"/>
    </xf>
    <xf numFmtId="180" fontId="36" fillId="9" borderId="91" xfId="0" applyNumberFormat="1" applyFont="1" applyFill="1" applyBorder="1" applyAlignment="1">
      <alignment horizontal="center" vertical="center" wrapText="1"/>
    </xf>
    <xf numFmtId="0" fontId="36" fillId="9" borderId="92" xfId="0" applyFont="1" applyFill="1" applyBorder="1" applyAlignment="1">
      <alignment horizontal="center" vertical="center" wrapText="1"/>
    </xf>
    <xf numFmtId="180" fontId="36" fillId="9" borderId="93" xfId="0" applyNumberFormat="1" applyFont="1" applyFill="1" applyBorder="1" applyAlignment="1">
      <alignment horizontal="center" vertical="center" wrapText="1"/>
    </xf>
    <xf numFmtId="182" fontId="36" fillId="9" borderId="94" xfId="0" applyNumberFormat="1" applyFont="1" applyFill="1" applyBorder="1" applyAlignment="1">
      <alignment horizontal="center" vertical="center" wrapText="1"/>
    </xf>
    <xf numFmtId="182" fontId="36" fillId="9" borderId="95" xfId="0" applyNumberFormat="1" applyFont="1" applyFill="1" applyBorder="1" applyAlignment="1">
      <alignment horizontal="center" vertical="center" wrapText="1"/>
    </xf>
    <xf numFmtId="181" fontId="36" fillId="9" borderId="95" xfId="0" applyNumberFormat="1" applyFont="1" applyFill="1" applyBorder="1" applyAlignment="1">
      <alignment horizontal="center" vertical="center" wrapText="1"/>
    </xf>
    <xf numFmtId="0" fontId="36" fillId="9" borderId="97" xfId="0" applyFont="1" applyFill="1" applyBorder="1" applyAlignment="1">
      <alignment horizontal="center" vertical="center" wrapText="1"/>
    </xf>
    <xf numFmtId="0" fontId="36" fillId="16" borderId="90" xfId="0" applyFont="1" applyFill="1" applyBorder="1" applyAlignment="1">
      <alignment horizontal="center" vertical="center" wrapText="1"/>
    </xf>
    <xf numFmtId="182" fontId="36" fillId="16" borderId="95" xfId="0" applyNumberFormat="1" applyFont="1" applyFill="1" applyBorder="1" applyAlignment="1">
      <alignment vertical="top" wrapText="1"/>
    </xf>
    <xf numFmtId="181" fontId="36" fillId="16" borderId="95" xfId="0" applyNumberFormat="1" applyFont="1" applyFill="1" applyBorder="1" applyAlignment="1">
      <alignment horizontal="left" vertical="top" wrapText="1"/>
    </xf>
    <xf numFmtId="0" fontId="36" fillId="16" borderId="97" xfId="0" applyFont="1" applyFill="1" applyBorder="1" applyAlignment="1">
      <alignment vertical="top" wrapText="1"/>
    </xf>
    <xf numFmtId="0" fontId="36" fillId="16" borderId="105" xfId="0" applyFont="1" applyFill="1" applyBorder="1" applyAlignment="1">
      <alignment vertical="top" wrapText="1"/>
    </xf>
    <xf numFmtId="181" fontId="36" fillId="0" borderId="63" xfId="0" applyNumberFormat="1" applyFont="1" applyBorder="1" applyAlignment="1">
      <alignment horizontal="center" vertical="top" wrapText="1"/>
    </xf>
    <xf numFmtId="181" fontId="36" fillId="16" borderId="97" xfId="0" applyNumberFormat="1" applyFont="1" applyFill="1" applyBorder="1" applyAlignment="1">
      <alignment vertical="top" wrapText="1"/>
    </xf>
    <xf numFmtId="181" fontId="36" fillId="16" borderId="97" xfId="0" applyNumberFormat="1" applyFont="1" applyFill="1" applyBorder="1" applyAlignment="1">
      <alignment horizontal="left" vertical="top" wrapText="1"/>
    </xf>
    <xf numFmtId="180" fontId="36" fillId="16" borderId="97" xfId="0" applyNumberFormat="1" applyFont="1" applyFill="1" applyBorder="1" applyAlignment="1">
      <alignment horizontal="left" vertical="top" wrapText="1"/>
    </xf>
    <xf numFmtId="180" fontId="36" fillId="16" borderId="106" xfId="0" applyNumberFormat="1" applyFont="1" applyFill="1" applyBorder="1" applyAlignment="1">
      <alignment horizontal="left" vertical="top" wrapText="1"/>
    </xf>
    <xf numFmtId="182" fontId="36" fillId="16" borderId="82" xfId="0" applyNumberFormat="1" applyFont="1" applyFill="1" applyBorder="1" applyAlignment="1">
      <alignment horizontal="left" vertical="top" wrapText="1"/>
    </xf>
    <xf numFmtId="0" fontId="36" fillId="0" borderId="39" xfId="0" applyFont="1" applyBorder="1" applyAlignment="1">
      <alignment horizontal="center" vertical="center"/>
    </xf>
    <xf numFmtId="0" fontId="36" fillId="13" borderId="56" xfId="0" applyFont="1" applyFill="1" applyBorder="1" applyAlignment="1">
      <alignment horizontal="center"/>
    </xf>
    <xf numFmtId="181" fontId="36" fillId="13" borderId="57" xfId="0" applyNumberFormat="1" applyFont="1" applyFill="1" applyBorder="1" applyAlignment="1">
      <alignment horizontal="center"/>
    </xf>
    <xf numFmtId="180" fontId="36" fillId="13" borderId="57" xfId="0" applyNumberFormat="1" applyFont="1" applyFill="1" applyBorder="1"/>
    <xf numFmtId="182" fontId="36" fillId="13" borderId="57" xfId="0" applyNumberFormat="1" applyFont="1" applyFill="1" applyBorder="1"/>
    <xf numFmtId="0" fontId="36" fillId="13" borderId="57" xfId="0" applyFont="1" applyFill="1" applyBorder="1" applyAlignment="1">
      <alignment horizontal="center"/>
    </xf>
    <xf numFmtId="0" fontId="31" fillId="10" borderId="108" xfId="0" applyFont="1" applyFill="1" applyBorder="1" applyAlignment="1">
      <alignment horizontal="center" vertical="center" wrapText="1"/>
    </xf>
    <xf numFmtId="0" fontId="31" fillId="10" borderId="109" xfId="0" applyFont="1" applyFill="1" applyBorder="1" applyAlignment="1">
      <alignment horizontal="center" vertical="center" wrapText="1"/>
    </xf>
    <xf numFmtId="0" fontId="1" fillId="16" borderId="110" xfId="0" applyFont="1" applyFill="1" applyBorder="1" applyAlignment="1">
      <alignment vertical="top" wrapText="1"/>
    </xf>
    <xf numFmtId="182" fontId="1" fillId="7" borderId="111" xfId="0" applyNumberFormat="1" applyFont="1" applyFill="1" applyBorder="1" applyAlignment="1">
      <alignment vertical="top" wrapText="1"/>
    </xf>
    <xf numFmtId="182" fontId="1" fillId="7" borderId="112" xfId="0" applyNumberFormat="1" applyFont="1" applyFill="1" applyBorder="1" applyAlignment="1">
      <alignment vertical="top" wrapText="1"/>
    </xf>
    <xf numFmtId="180" fontId="1" fillId="15" borderId="113" xfId="0" applyNumberFormat="1" applyFont="1" applyFill="1" applyBorder="1" applyAlignment="1">
      <alignment vertical="top" wrapText="1"/>
    </xf>
    <xf numFmtId="0" fontId="41" fillId="0" borderId="0" xfId="0" applyFont="1" applyAlignment="1">
      <alignment horizontal="left"/>
    </xf>
    <xf numFmtId="0" fontId="42" fillId="0" borderId="0" xfId="0" applyFont="1" applyAlignment="1">
      <alignment horizontal="left"/>
    </xf>
    <xf numFmtId="182" fontId="36" fillId="9" borderId="49" xfId="0" applyNumberFormat="1" applyFont="1" applyFill="1" applyBorder="1" applyAlignment="1">
      <alignment horizontal="center" vertical="center" wrapText="1"/>
    </xf>
    <xf numFmtId="182" fontId="36" fillId="9" borderId="114" xfId="0" applyNumberFormat="1" applyFont="1" applyFill="1" applyBorder="1" applyAlignment="1">
      <alignment horizontal="center" vertical="center" wrapText="1"/>
    </xf>
    <xf numFmtId="182" fontId="36" fillId="16" borderId="114" xfId="0" applyNumberFormat="1" applyFont="1" applyFill="1" applyBorder="1" applyAlignment="1">
      <alignment vertical="top" wrapText="1"/>
    </xf>
    <xf numFmtId="176" fontId="36" fillId="0" borderId="30" xfId="0" applyNumberFormat="1" applyFont="1" applyBorder="1" applyAlignment="1">
      <alignment vertical="top" wrapText="1"/>
    </xf>
    <xf numFmtId="182" fontId="36" fillId="9" borderId="97" xfId="0" applyNumberFormat="1" applyFont="1" applyFill="1" applyBorder="1" applyAlignment="1">
      <alignment horizontal="center" vertical="center" wrapText="1"/>
    </xf>
    <xf numFmtId="181" fontId="36" fillId="9" borderId="97" xfId="0" applyNumberFormat="1" applyFont="1" applyFill="1" applyBorder="1" applyAlignment="1">
      <alignment horizontal="center" vertical="center" wrapText="1"/>
    </xf>
    <xf numFmtId="176" fontId="36" fillId="0" borderId="4" xfId="0" applyNumberFormat="1" applyFont="1" applyBorder="1" applyAlignment="1">
      <alignment horizontal="left" vertical="top" wrapText="1"/>
    </xf>
    <xf numFmtId="0" fontId="36" fillId="9" borderId="0" xfId="0" applyFont="1" applyFill="1" applyAlignment="1">
      <alignment horizontal="center" vertical="center" wrapText="1"/>
    </xf>
    <xf numFmtId="0" fontId="36" fillId="16" borderId="95" xfId="0" applyFont="1" applyFill="1" applyBorder="1" applyAlignment="1">
      <alignment horizontal="left" vertical="top" wrapText="1"/>
    </xf>
    <xf numFmtId="180" fontId="36" fillId="15" borderId="77" xfId="0" applyNumberFormat="1" applyFont="1" applyFill="1" applyBorder="1" applyAlignment="1">
      <alignment vertical="top" wrapText="1"/>
    </xf>
    <xf numFmtId="180" fontId="36" fillId="15" borderId="78" xfId="0" applyNumberFormat="1" applyFont="1" applyFill="1" applyBorder="1" applyAlignment="1">
      <alignment vertical="top" wrapText="1"/>
    </xf>
    <xf numFmtId="181" fontId="1" fillId="13" borderId="115" xfId="0" applyNumberFormat="1" applyFont="1" applyFill="1" applyBorder="1" applyAlignment="1">
      <alignment horizontal="center"/>
    </xf>
    <xf numFmtId="182" fontId="36" fillId="13" borderId="115" xfId="0" applyNumberFormat="1" applyFont="1" applyFill="1" applyBorder="1"/>
    <xf numFmtId="0" fontId="40" fillId="14" borderId="116" xfId="0" applyFont="1" applyFill="1" applyBorder="1" applyAlignment="1">
      <alignment horizontal="center" vertical="center"/>
    </xf>
    <xf numFmtId="0" fontId="36" fillId="0" borderId="9" xfId="0" applyFont="1" applyBorder="1" applyAlignment="1">
      <alignment horizontal="center" vertical="top" wrapText="1"/>
    </xf>
    <xf numFmtId="181" fontId="36" fillId="0" borderId="10" xfId="0" applyNumberFormat="1" applyFont="1" applyBorder="1" applyAlignment="1">
      <alignment horizontal="center" vertical="top" wrapText="1"/>
    </xf>
    <xf numFmtId="0" fontId="36" fillId="0" borderId="10" xfId="0" applyFont="1" applyBorder="1" applyAlignment="1">
      <alignment vertical="top" wrapText="1"/>
    </xf>
    <xf numFmtId="0" fontId="36" fillId="0" borderId="10" xfId="0" applyFont="1" applyBorder="1" applyAlignment="1">
      <alignment horizontal="left" vertical="top" wrapText="1"/>
    </xf>
    <xf numFmtId="177" fontId="36" fillId="0" borderId="10" xfId="0" applyNumberFormat="1" applyFont="1" applyBorder="1" applyAlignment="1">
      <alignment vertical="top" wrapText="1"/>
    </xf>
    <xf numFmtId="0" fontId="36" fillId="0" borderId="33" xfId="0" applyFont="1" applyBorder="1" applyAlignment="1">
      <alignment vertical="top" wrapText="1"/>
    </xf>
    <xf numFmtId="180" fontId="36" fillId="0" borderId="101" xfId="0" applyNumberFormat="1" applyFont="1" applyBorder="1" applyAlignment="1">
      <alignment vertical="top" wrapText="1"/>
    </xf>
    <xf numFmtId="182" fontId="36" fillId="15" borderId="76" xfId="0" applyNumberFormat="1" applyFont="1" applyFill="1" applyBorder="1" applyAlignment="1">
      <alignment vertical="top" wrapText="1"/>
    </xf>
    <xf numFmtId="176" fontId="36" fillId="0" borderId="40" xfId="0" applyNumberFormat="1" applyFont="1" applyBorder="1" applyAlignment="1">
      <alignment horizontal="right" vertical="top" wrapText="1"/>
    </xf>
    <xf numFmtId="176" fontId="36" fillId="0" borderId="32" xfId="0" applyNumberFormat="1" applyFont="1" applyBorder="1" applyAlignment="1">
      <alignment horizontal="left" vertical="top" wrapText="1"/>
    </xf>
    <xf numFmtId="176" fontId="36" fillId="0" borderId="10" xfId="0" applyNumberFormat="1" applyFont="1" applyBorder="1" applyAlignment="1">
      <alignment horizontal="left" vertical="top" wrapText="1"/>
    </xf>
    <xf numFmtId="0" fontId="36" fillId="0" borderId="40" xfId="0" applyFont="1" applyBorder="1" applyAlignment="1">
      <alignment horizontal="center" vertical="center"/>
    </xf>
    <xf numFmtId="181" fontId="36" fillId="0" borderId="67" xfId="0" applyNumberFormat="1" applyFont="1" applyBorder="1" applyAlignment="1">
      <alignment horizontal="center" vertical="top" wrapText="1"/>
    </xf>
    <xf numFmtId="181" fontId="36" fillId="0" borderId="40" xfId="0" applyNumberFormat="1" applyFont="1" applyBorder="1" applyAlignment="1">
      <alignment horizontal="center" vertical="top" wrapText="1"/>
    </xf>
    <xf numFmtId="0" fontId="0" fillId="0" borderId="118" xfId="0" applyBorder="1" applyAlignment="1">
      <alignment vertical="top" wrapText="1"/>
    </xf>
    <xf numFmtId="181" fontId="32" fillId="17" borderId="2" xfId="0" applyNumberFormat="1" applyFont="1" applyFill="1" applyBorder="1" applyAlignment="1">
      <alignment vertical="top" wrapText="1"/>
    </xf>
    <xf numFmtId="0" fontId="32" fillId="17" borderId="2" xfId="0" applyFont="1" applyFill="1" applyBorder="1" applyAlignment="1">
      <alignment vertical="top" wrapText="1"/>
    </xf>
    <xf numFmtId="181" fontId="32" fillId="17" borderId="2" xfId="0" applyNumberFormat="1" applyFont="1" applyFill="1" applyBorder="1" applyAlignment="1">
      <alignment horizontal="left" vertical="top" wrapText="1"/>
    </xf>
    <xf numFmtId="180" fontId="32" fillId="17" borderId="2" xfId="0" applyNumberFormat="1" applyFont="1" applyFill="1" applyBorder="1" applyAlignment="1">
      <alignment horizontal="left" vertical="top" wrapText="1"/>
    </xf>
    <xf numFmtId="182" fontId="32" fillId="17" borderId="2" xfId="0" applyNumberFormat="1" applyFont="1" applyFill="1" applyBorder="1" applyAlignment="1">
      <alignment vertical="top" wrapText="1"/>
    </xf>
    <xf numFmtId="0" fontId="32" fillId="17" borderId="2" xfId="0" applyFont="1" applyFill="1" applyBorder="1" applyAlignment="1">
      <alignment horizontal="left" vertical="top" wrapText="1"/>
    </xf>
    <xf numFmtId="0" fontId="32" fillId="17" borderId="43" xfId="0" applyFont="1" applyFill="1" applyBorder="1" applyAlignment="1">
      <alignment vertical="top" wrapText="1"/>
    </xf>
    <xf numFmtId="180" fontId="32" fillId="17" borderId="120" xfId="0" applyNumberFormat="1" applyFont="1" applyFill="1" applyBorder="1" applyAlignment="1">
      <alignment horizontal="left" vertical="top" wrapText="1"/>
    </xf>
    <xf numFmtId="182" fontId="32" fillId="17" borderId="121" xfId="0" applyNumberFormat="1" applyFont="1" applyFill="1" applyBorder="1" applyAlignment="1">
      <alignment horizontal="left" vertical="top" wrapText="1"/>
    </xf>
    <xf numFmtId="182" fontId="32" fillId="17" borderId="49" xfId="0" applyNumberFormat="1" applyFont="1" applyFill="1" applyBorder="1" applyAlignment="1">
      <alignment vertical="top" wrapText="1"/>
    </xf>
    <xf numFmtId="0" fontId="32" fillId="17" borderId="119" xfId="0" applyFont="1" applyFill="1" applyBorder="1" applyAlignment="1">
      <alignment vertical="top" wrapText="1"/>
    </xf>
    <xf numFmtId="0" fontId="32" fillId="17" borderId="122" xfId="0" applyFont="1" applyFill="1" applyBorder="1" applyAlignment="1">
      <alignment horizontal="left" vertical="top" wrapText="1"/>
    </xf>
    <xf numFmtId="0" fontId="44" fillId="17" borderId="18" xfId="0" applyFont="1" applyFill="1" applyBorder="1" applyAlignment="1">
      <alignment vertical="center"/>
    </xf>
    <xf numFmtId="182" fontId="36" fillId="9" borderId="50" xfId="0" applyNumberFormat="1" applyFont="1" applyFill="1" applyBorder="1" applyAlignment="1">
      <alignment horizontal="center" vertical="center" wrapText="1"/>
    </xf>
    <xf numFmtId="182" fontId="36" fillId="16" borderId="97" xfId="0" applyNumberFormat="1" applyFont="1" applyFill="1" applyBorder="1" applyAlignment="1">
      <alignment vertical="top" wrapText="1"/>
    </xf>
    <xf numFmtId="0" fontId="46" fillId="0" borderId="4" xfId="0" applyFont="1" applyBorder="1" applyAlignment="1">
      <alignment vertical="top" wrapText="1"/>
    </xf>
    <xf numFmtId="0" fontId="46" fillId="0" borderId="4" xfId="0" applyFont="1" applyBorder="1" applyAlignment="1">
      <alignment horizontal="left" vertical="top" wrapText="1"/>
    </xf>
    <xf numFmtId="177" fontId="46" fillId="0" borderId="4" xfId="0" applyNumberFormat="1" applyFont="1" applyBorder="1" applyAlignment="1">
      <alignment vertical="top" wrapText="1"/>
    </xf>
    <xf numFmtId="0" fontId="46" fillId="0" borderId="24" xfId="0" applyFont="1" applyBorder="1" applyAlignment="1">
      <alignment vertical="top" wrapText="1"/>
    </xf>
    <xf numFmtId="176" fontId="46" fillId="0" borderId="30" xfId="0" applyNumberFormat="1" applyFont="1" applyBorder="1" applyAlignment="1">
      <alignment vertical="top" wrapText="1"/>
    </xf>
    <xf numFmtId="0" fontId="47" fillId="0" borderId="0" xfId="0" applyFont="1" applyAlignment="1">
      <alignment horizontal="left"/>
    </xf>
    <xf numFmtId="181" fontId="37" fillId="0" borderId="0" xfId="0" applyNumberFormat="1" applyFont="1" applyAlignment="1">
      <alignment horizontal="center"/>
    </xf>
    <xf numFmtId="180" fontId="37" fillId="0" borderId="0" xfId="0" applyNumberFormat="1" applyFont="1"/>
    <xf numFmtId="182" fontId="37" fillId="0" borderId="0" xfId="0" applyNumberFormat="1" applyFont="1"/>
    <xf numFmtId="0" fontId="37" fillId="0" borderId="0" xfId="0" applyFont="1" applyAlignment="1">
      <alignment horizontal="center"/>
    </xf>
    <xf numFmtId="0" fontId="48" fillId="0" borderId="0" xfId="0" applyFont="1" applyAlignment="1">
      <alignment horizontal="center"/>
    </xf>
    <xf numFmtId="181" fontId="48" fillId="0" borderId="0" xfId="0" applyNumberFormat="1" applyFont="1" applyAlignment="1">
      <alignment horizontal="right"/>
    </xf>
    <xf numFmtId="0" fontId="37" fillId="8" borderId="12" xfId="0" applyFont="1" applyFill="1" applyBorder="1" applyAlignment="1">
      <alignment horizontal="right" vertical="center"/>
    </xf>
    <xf numFmtId="0" fontId="37" fillId="0" borderId="0" xfId="0" applyFont="1" applyAlignment="1">
      <alignment horizontal="left"/>
    </xf>
    <xf numFmtId="0" fontId="48" fillId="0" borderId="0" xfId="0" applyFont="1"/>
    <xf numFmtId="49" fontId="37" fillId="8" borderId="12" xfId="0" applyNumberFormat="1" applyFont="1" applyFill="1" applyBorder="1" applyAlignment="1">
      <alignment horizontal="right" vertical="center"/>
    </xf>
    <xf numFmtId="14" fontId="37" fillId="0" borderId="12" xfId="0" applyNumberFormat="1" applyFont="1" applyBorder="1" applyAlignment="1">
      <alignment horizontal="left" vertical="center"/>
    </xf>
    <xf numFmtId="0" fontId="48" fillId="0" borderId="0" xfId="0" applyFont="1" applyAlignment="1">
      <alignment horizontal="left"/>
    </xf>
    <xf numFmtId="0" fontId="37" fillId="0" borderId="0" xfId="0" applyFont="1" applyAlignment="1">
      <alignment horizontal="right" vertical="center"/>
    </xf>
    <xf numFmtId="181" fontId="37" fillId="0" borderId="0" xfId="0" applyNumberFormat="1" applyFont="1" applyAlignment="1">
      <alignment horizontal="left"/>
    </xf>
    <xf numFmtId="49" fontId="48" fillId="0" borderId="0" xfId="0" applyNumberFormat="1" applyFont="1" applyAlignment="1">
      <alignment vertical="center"/>
    </xf>
    <xf numFmtId="181" fontId="48" fillId="0" borderId="0" xfId="0" applyNumberFormat="1" applyFont="1" applyAlignment="1">
      <alignment horizontal="center"/>
    </xf>
    <xf numFmtId="182" fontId="37" fillId="8" borderId="12" xfId="0" applyNumberFormat="1" applyFont="1" applyFill="1" applyBorder="1" applyAlignment="1">
      <alignment horizontal="center" vertical="center" wrapText="1"/>
    </xf>
    <xf numFmtId="182" fontId="48" fillId="0" borderId="0" xfId="0" applyNumberFormat="1" applyFont="1"/>
    <xf numFmtId="176" fontId="37" fillId="16" borderId="12" xfId="0" applyNumberFormat="1" applyFont="1" applyFill="1" applyBorder="1" applyAlignment="1">
      <alignment horizontal="center" vertical="center"/>
    </xf>
    <xf numFmtId="0" fontId="39" fillId="16" borderId="12" xfId="0" applyFont="1" applyFill="1" applyBorder="1" applyAlignment="1">
      <alignment horizontal="center" vertical="center"/>
    </xf>
    <xf numFmtId="176" fontId="37" fillId="0" borderId="12" xfId="0" applyNumberFormat="1" applyFont="1" applyBorder="1" applyAlignment="1">
      <alignment horizontal="center" vertical="center"/>
    </xf>
    <xf numFmtId="0" fontId="49" fillId="0" borderId="12" xfId="0" applyFont="1" applyBorder="1" applyAlignment="1">
      <alignment horizontal="left" vertical="center"/>
    </xf>
    <xf numFmtId="181" fontId="37" fillId="0" borderId="0" xfId="0" applyNumberFormat="1" applyFont="1" applyAlignment="1">
      <alignment horizontal="center" vertical="center"/>
    </xf>
    <xf numFmtId="0" fontId="37" fillId="0" borderId="0" xfId="0" applyFont="1" applyAlignment="1">
      <alignment horizontal="left" vertical="center"/>
    </xf>
    <xf numFmtId="180" fontId="48" fillId="0" borderId="0" xfId="0" applyNumberFormat="1" applyFont="1"/>
    <xf numFmtId="0" fontId="37" fillId="12" borderId="35" xfId="0" applyFont="1" applyFill="1" applyBorder="1" applyAlignment="1">
      <alignment horizontal="center" vertical="center" wrapText="1"/>
    </xf>
    <xf numFmtId="181" fontId="37" fillId="12" borderId="36" xfId="0" applyNumberFormat="1" applyFont="1" applyFill="1" applyBorder="1" applyAlignment="1">
      <alignment horizontal="center" vertical="center" wrapText="1"/>
    </xf>
    <xf numFmtId="0" fontId="37" fillId="12" borderId="36" xfId="0" applyFont="1" applyFill="1" applyBorder="1" applyAlignment="1">
      <alignment horizontal="center" vertical="center" wrapText="1"/>
    </xf>
    <xf numFmtId="180" fontId="37" fillId="12" borderId="36" xfId="0" applyNumberFormat="1" applyFont="1" applyFill="1" applyBorder="1" applyAlignment="1">
      <alignment horizontal="center" vertical="center" wrapText="1"/>
    </xf>
    <xf numFmtId="0" fontId="37" fillId="12" borderId="37" xfId="0" applyFont="1" applyFill="1" applyBorder="1" applyAlignment="1">
      <alignment horizontal="center" vertical="center" wrapText="1"/>
    </xf>
    <xf numFmtId="182" fontId="37" fillId="12" borderId="36" xfId="0" applyNumberFormat="1" applyFont="1" applyFill="1" applyBorder="1" applyAlignment="1">
      <alignment horizontal="center" vertical="center" wrapText="1"/>
    </xf>
    <xf numFmtId="182" fontId="37" fillId="12" borderId="2" xfId="0" applyNumberFormat="1" applyFont="1" applyFill="1" applyBorder="1" applyAlignment="1">
      <alignment horizontal="center" vertical="center" wrapText="1"/>
    </xf>
    <xf numFmtId="182" fontId="37" fillId="9" borderId="49" xfId="0" applyNumberFormat="1" applyFont="1" applyFill="1" applyBorder="1" applyAlignment="1">
      <alignment horizontal="center" vertical="center" wrapText="1"/>
    </xf>
    <xf numFmtId="181" fontId="37" fillId="9" borderId="50" xfId="0" applyNumberFormat="1" applyFont="1" applyFill="1" applyBorder="1" applyAlignment="1">
      <alignment horizontal="center" vertical="center" wrapText="1"/>
    </xf>
    <xf numFmtId="0" fontId="38" fillId="10" borderId="74" xfId="0" applyFont="1" applyFill="1" applyBorder="1" applyAlignment="1">
      <alignment horizontal="center" vertical="center" wrapText="1"/>
    </xf>
    <xf numFmtId="0" fontId="37" fillId="11" borderId="49" xfId="0" applyFont="1" applyFill="1" applyBorder="1" applyAlignment="1">
      <alignment horizontal="center" vertical="center" wrapText="1"/>
    </xf>
    <xf numFmtId="0" fontId="37" fillId="11" borderId="36" xfId="0" applyFont="1" applyFill="1" applyBorder="1" applyAlignment="1">
      <alignment horizontal="center" vertical="center" wrapText="1"/>
    </xf>
    <xf numFmtId="0" fontId="37" fillId="11" borderId="37" xfId="0" applyFont="1" applyFill="1" applyBorder="1" applyAlignment="1">
      <alignment horizontal="center" vertical="center" wrapText="1"/>
    </xf>
    <xf numFmtId="181" fontId="37" fillId="10" borderId="48" xfId="0" applyNumberFormat="1" applyFont="1" applyFill="1" applyBorder="1" applyAlignment="1">
      <alignment horizontal="center" vertical="center" wrapText="1"/>
    </xf>
    <xf numFmtId="181" fontId="37" fillId="10" borderId="2" xfId="0" applyNumberFormat="1" applyFont="1" applyFill="1" applyBorder="1" applyAlignment="1">
      <alignment horizontal="center" vertical="center" wrapText="1"/>
    </xf>
    <xf numFmtId="0" fontId="37" fillId="10" borderId="47" xfId="0" applyFont="1" applyFill="1" applyBorder="1" applyAlignment="1">
      <alignment horizontal="center" vertical="center" wrapText="1"/>
    </xf>
    <xf numFmtId="0" fontId="38" fillId="10" borderId="123" xfId="0" applyFont="1" applyFill="1" applyBorder="1" applyAlignment="1">
      <alignment horizontal="center" vertical="center" wrapText="1"/>
    </xf>
    <xf numFmtId="0" fontId="37" fillId="0" borderId="23" xfId="0" applyFont="1" applyBorder="1" applyAlignment="1">
      <alignment horizontal="center" vertical="top" wrapText="1"/>
    </xf>
    <xf numFmtId="180" fontId="37" fillId="0" borderId="4" xfId="0" applyNumberFormat="1" applyFont="1" applyBorder="1" applyAlignment="1">
      <alignment vertical="top" wrapText="1"/>
    </xf>
    <xf numFmtId="182" fontId="37" fillId="0" borderId="25" xfId="0" applyNumberFormat="1" applyFont="1" applyBorder="1" applyAlignment="1">
      <alignment vertical="top" wrapText="1"/>
    </xf>
    <xf numFmtId="176" fontId="37" fillId="0" borderId="41" xfId="0" applyNumberFormat="1" applyFont="1" applyBorder="1" applyAlignment="1">
      <alignment horizontal="right" vertical="top" wrapText="1"/>
    </xf>
    <xf numFmtId="176" fontId="37" fillId="0" borderId="26" xfId="0" applyNumberFormat="1" applyFont="1" applyBorder="1" applyAlignment="1">
      <alignment horizontal="right" vertical="top" wrapText="1"/>
    </xf>
    <xf numFmtId="0" fontId="37" fillId="0" borderId="27" xfId="0" applyFont="1" applyBorder="1" applyAlignment="1">
      <alignment vertical="top" wrapText="1"/>
    </xf>
    <xf numFmtId="181" fontId="37" fillId="0" borderId="25" xfId="0" applyNumberFormat="1" applyFont="1" applyBorder="1" applyAlignment="1">
      <alignment horizontal="center" vertical="top" wrapText="1"/>
    </xf>
    <xf numFmtId="181" fontId="37" fillId="0" borderId="41" xfId="0" applyNumberFormat="1" applyFont="1" applyBorder="1" applyAlignment="1">
      <alignment horizontal="center" vertical="top" wrapText="1"/>
    </xf>
    <xf numFmtId="0" fontId="37" fillId="0" borderId="61" xfId="0" applyFont="1" applyBorder="1"/>
    <xf numFmtId="0" fontId="37" fillId="0" borderId="26" xfId="0" applyFont="1" applyBorder="1" applyAlignment="1">
      <alignment vertical="top" wrapText="1"/>
    </xf>
    <xf numFmtId="0" fontId="37" fillId="0" borderId="25" xfId="0" applyFont="1" applyBorder="1" applyAlignment="1">
      <alignment vertical="top" wrapText="1"/>
    </xf>
    <xf numFmtId="0" fontId="37" fillId="0" borderId="28" xfId="0" applyFont="1" applyBorder="1" applyAlignment="1">
      <alignment vertical="top" wrapText="1"/>
    </xf>
    <xf numFmtId="181" fontId="37" fillId="0" borderId="29" xfId="0" applyNumberFormat="1" applyFont="1" applyBorder="1" applyAlignment="1">
      <alignment horizontal="center" vertical="top" wrapText="1"/>
    </xf>
    <xf numFmtId="0" fontId="37" fillId="0" borderId="38" xfId="0" applyFont="1" applyBorder="1" applyAlignment="1">
      <alignment vertical="top" wrapText="1"/>
    </xf>
    <xf numFmtId="0" fontId="37" fillId="0" borderId="59" xfId="0" applyFont="1" applyBorder="1"/>
    <xf numFmtId="0" fontId="37" fillId="0" borderId="9" xfId="0" applyFont="1" applyBorder="1" applyAlignment="1">
      <alignment horizontal="center" vertical="top" wrapText="1"/>
    </xf>
    <xf numFmtId="182" fontId="37" fillId="0" borderId="4" xfId="0" applyNumberFormat="1" applyFont="1" applyBorder="1" applyAlignment="1">
      <alignment vertical="top" wrapText="1"/>
    </xf>
    <xf numFmtId="176" fontId="37" fillId="0" borderId="30" xfId="0" applyNumberFormat="1" applyFont="1" applyBorder="1" applyAlignment="1">
      <alignment vertical="top" wrapText="1"/>
    </xf>
    <xf numFmtId="0" fontId="37" fillId="0" borderId="3" xfId="0" applyFont="1" applyBorder="1"/>
    <xf numFmtId="0" fontId="37" fillId="0" borderId="30" xfId="0" applyFont="1" applyBorder="1" applyAlignment="1">
      <alignment vertical="top" wrapText="1"/>
    </xf>
    <xf numFmtId="181" fontId="37" fillId="0" borderId="31" xfId="0" applyNumberFormat="1" applyFont="1" applyBorder="1" applyAlignment="1">
      <alignment horizontal="center" vertical="top" wrapText="1"/>
    </xf>
    <xf numFmtId="181" fontId="37" fillId="0" borderId="10" xfId="0" applyNumberFormat="1" applyFont="1" applyBorder="1" applyAlignment="1">
      <alignment horizontal="center" vertical="top" wrapText="1"/>
    </xf>
    <xf numFmtId="0" fontId="37" fillId="0" borderId="11" xfId="0" applyFont="1" applyBorder="1" applyAlignment="1">
      <alignment vertical="top" wrapText="1"/>
    </xf>
    <xf numFmtId="0" fontId="37" fillId="0" borderId="60" xfId="0" applyFont="1" applyBorder="1"/>
    <xf numFmtId="181" fontId="37" fillId="0" borderId="0" xfId="0" applyNumberFormat="1" applyFont="1" applyAlignment="1">
      <alignment horizontal="center" vertical="top" wrapText="1"/>
    </xf>
    <xf numFmtId="38" fontId="37" fillId="0" borderId="4" xfId="11" applyFont="1" applyBorder="1" applyAlignment="1">
      <alignment vertical="top" wrapText="1"/>
    </xf>
    <xf numFmtId="182" fontId="37" fillId="0" borderId="10" xfId="0" applyNumberFormat="1" applyFont="1" applyBorder="1" applyAlignment="1">
      <alignment vertical="top" wrapText="1"/>
    </xf>
    <xf numFmtId="176" fontId="37" fillId="0" borderId="40" xfId="0" applyNumberFormat="1" applyFont="1" applyBorder="1" applyAlignment="1">
      <alignment vertical="top" wrapText="1"/>
    </xf>
    <xf numFmtId="176" fontId="37" fillId="0" borderId="32" xfId="0" applyNumberFormat="1" applyFont="1" applyBorder="1" applyAlignment="1">
      <alignment vertical="top" wrapText="1"/>
    </xf>
    <xf numFmtId="181" fontId="37" fillId="0" borderId="40" xfId="0" applyNumberFormat="1" applyFont="1" applyBorder="1" applyAlignment="1">
      <alignment horizontal="center" vertical="top" wrapText="1"/>
    </xf>
    <xf numFmtId="0" fontId="37" fillId="0" borderId="32" xfId="0" applyFont="1" applyBorder="1" applyAlignment="1">
      <alignment vertical="top" wrapText="1"/>
    </xf>
    <xf numFmtId="0" fontId="37" fillId="0" borderId="10" xfId="0" applyFont="1" applyBorder="1" applyAlignment="1">
      <alignment vertical="top" wrapText="1"/>
    </xf>
    <xf numFmtId="181" fontId="37" fillId="0" borderId="34" xfId="0" applyNumberFormat="1" applyFont="1" applyBorder="1" applyAlignment="1">
      <alignment horizontal="center" vertical="top" wrapText="1"/>
    </xf>
    <xf numFmtId="0" fontId="37" fillId="0" borderId="5" xfId="0" applyFont="1" applyBorder="1" applyAlignment="1">
      <alignment vertical="top" wrapText="1"/>
    </xf>
    <xf numFmtId="0" fontId="37" fillId="0" borderId="3" xfId="0" applyFont="1" applyBorder="1" applyAlignment="1">
      <alignment vertical="top" wrapText="1"/>
    </xf>
    <xf numFmtId="0" fontId="37" fillId="0" borderId="60" xfId="0" applyFont="1" applyBorder="1" applyAlignment="1">
      <alignment vertical="top" wrapText="1"/>
    </xf>
    <xf numFmtId="0" fontId="37" fillId="0" borderId="0" xfId="0" applyFont="1" applyAlignment="1">
      <alignment vertical="top" wrapText="1"/>
    </xf>
    <xf numFmtId="176" fontId="37" fillId="0" borderId="0" xfId="0" applyNumberFormat="1" applyFont="1" applyAlignment="1">
      <alignment vertical="top" wrapText="1"/>
    </xf>
    <xf numFmtId="0" fontId="51" fillId="0" borderId="0" xfId="12"/>
    <xf numFmtId="0" fontId="52" fillId="0" borderId="4" xfId="0" applyFont="1" applyBorder="1" applyAlignment="1">
      <alignment vertical="top" wrapText="1"/>
    </xf>
    <xf numFmtId="0" fontId="52" fillId="0" borderId="3" xfId="0" applyFont="1" applyBorder="1" applyAlignment="1">
      <alignment horizontal="center" vertical="top" wrapText="1"/>
    </xf>
    <xf numFmtId="181" fontId="52" fillId="0" borderId="4" xfId="0" applyNumberFormat="1" applyFont="1" applyBorder="1" applyAlignment="1">
      <alignment horizontal="center" vertical="top" wrapText="1"/>
    </xf>
    <xf numFmtId="0" fontId="52" fillId="0" borderId="4" xfId="0" applyFont="1" applyBorder="1" applyAlignment="1">
      <alignment horizontal="left" vertical="top" wrapText="1"/>
    </xf>
    <xf numFmtId="177" fontId="52" fillId="0" borderId="4" xfId="0" applyNumberFormat="1" applyFont="1" applyBorder="1" applyAlignment="1">
      <alignment vertical="top" wrapText="1"/>
    </xf>
    <xf numFmtId="0" fontId="52" fillId="0" borderId="24" xfId="0" applyFont="1" applyBorder="1" applyAlignment="1">
      <alignment vertical="top" wrapText="1"/>
    </xf>
    <xf numFmtId="176" fontId="52" fillId="0" borderId="30" xfId="0" applyNumberFormat="1" applyFont="1" applyBorder="1" applyAlignment="1">
      <alignment vertical="top" wrapText="1"/>
    </xf>
    <xf numFmtId="0" fontId="52" fillId="0" borderId="10" xfId="0" applyFont="1" applyBorder="1" applyAlignment="1">
      <alignment horizontal="left" vertical="top" wrapText="1"/>
    </xf>
    <xf numFmtId="177" fontId="52" fillId="0" borderId="10" xfId="0" applyNumberFormat="1" applyFont="1" applyBorder="1" applyAlignment="1">
      <alignment vertical="top" wrapText="1"/>
    </xf>
    <xf numFmtId="0" fontId="52" fillId="0" borderId="33" xfId="0" applyFont="1" applyBorder="1" applyAlignment="1">
      <alignment vertical="top" wrapText="1"/>
    </xf>
    <xf numFmtId="55" fontId="52" fillId="0" borderId="4" xfId="0" applyNumberFormat="1" applyFont="1" applyBorder="1" applyAlignment="1">
      <alignment vertical="top" wrapText="1"/>
    </xf>
    <xf numFmtId="0" fontId="52" fillId="0" borderId="10" xfId="0" applyFont="1" applyBorder="1" applyAlignment="1">
      <alignment vertical="top" wrapText="1"/>
    </xf>
    <xf numFmtId="0" fontId="31" fillId="17" borderId="2" xfId="0" applyFont="1" applyFill="1" applyBorder="1" applyAlignment="1">
      <alignment vertical="top" wrapText="1"/>
    </xf>
    <xf numFmtId="182" fontId="0" fillId="0" borderId="0" xfId="0" applyNumberFormat="1"/>
    <xf numFmtId="185" fontId="1" fillId="7" borderId="112" xfId="0" applyNumberFormat="1" applyFont="1" applyFill="1" applyBorder="1" applyAlignment="1">
      <alignment vertical="top" wrapText="1"/>
    </xf>
    <xf numFmtId="185" fontId="1" fillId="15" borderId="113" xfId="0" applyNumberFormat="1" applyFont="1" applyFill="1" applyBorder="1" applyAlignment="1">
      <alignment vertical="top" wrapText="1"/>
    </xf>
    <xf numFmtId="185" fontId="0" fillId="7" borderId="112" xfId="0" applyNumberFormat="1" applyFill="1" applyBorder="1" applyAlignment="1">
      <alignment vertical="top" wrapText="1"/>
    </xf>
    <xf numFmtId="185" fontId="0" fillId="7" borderId="111" xfId="0" applyNumberFormat="1" applyFill="1" applyBorder="1" applyAlignment="1">
      <alignment vertical="top" wrapText="1"/>
    </xf>
    <xf numFmtId="185" fontId="32" fillId="17" borderId="119" xfId="0" applyNumberFormat="1" applyFont="1" applyFill="1" applyBorder="1" applyAlignment="1">
      <alignment vertical="top" wrapText="1"/>
    </xf>
    <xf numFmtId="180" fontId="0" fillId="0" borderId="0" xfId="0" applyNumberFormat="1"/>
    <xf numFmtId="182" fontId="0" fillId="0" borderId="0" xfId="0" applyNumberFormat="1"/>
    <xf numFmtId="0" fontId="22" fillId="0" borderId="0" xfId="0" applyFont="1" applyAlignment="1">
      <alignment horizontal="center"/>
    </xf>
    <xf numFmtId="0" fontId="16" fillId="6" borderId="68" xfId="0" applyFont="1" applyFill="1" applyBorder="1" applyAlignment="1">
      <alignment vertical="center" wrapText="1"/>
    </xf>
    <xf numFmtId="0" fontId="16" fillId="6" borderId="2" xfId="0" applyFont="1" applyFill="1" applyBorder="1" applyAlignment="1">
      <alignment vertical="center" wrapText="1"/>
    </xf>
    <xf numFmtId="0" fontId="16" fillId="6" borderId="69" xfId="0" applyFont="1" applyFill="1" applyBorder="1" applyAlignment="1">
      <alignment vertical="center" wrapText="1"/>
    </xf>
    <xf numFmtId="0" fontId="15" fillId="8" borderId="15" xfId="0" applyFont="1" applyFill="1" applyBorder="1" applyAlignment="1">
      <alignment horizontal="center" vertical="center" wrapText="1"/>
    </xf>
    <xf numFmtId="0" fontId="15" fillId="8" borderId="42" xfId="0" applyFont="1" applyFill="1" applyBorder="1" applyAlignment="1">
      <alignment horizontal="center" vertical="center" wrapText="1"/>
    </xf>
    <xf numFmtId="0" fontId="40" fillId="14" borderId="117" xfId="0" applyFont="1" applyFill="1" applyBorder="1" applyAlignment="1">
      <alignment horizontal="center" vertical="center"/>
    </xf>
    <xf numFmtId="0" fontId="40" fillId="14" borderId="57" xfId="0" applyFont="1" applyFill="1" applyBorder="1" applyAlignment="1">
      <alignment horizontal="center" vertical="center"/>
    </xf>
    <xf numFmtId="0" fontId="40" fillId="14" borderId="107" xfId="0" applyFont="1" applyFill="1" applyBorder="1" applyAlignment="1">
      <alignment horizontal="center" vertical="center"/>
    </xf>
    <xf numFmtId="181" fontId="37" fillId="0" borderId="18" xfId="0" applyNumberFormat="1" applyFont="1" applyBorder="1" applyAlignment="1">
      <alignment horizontal="left"/>
    </xf>
    <xf numFmtId="181" fontId="37" fillId="0" borderId="43" xfId="0" applyNumberFormat="1" applyFont="1" applyBorder="1" applyAlignment="1">
      <alignment horizontal="left"/>
    </xf>
    <xf numFmtId="0" fontId="37" fillId="0" borderId="18" xfId="0" applyFont="1" applyBorder="1" applyAlignment="1">
      <alignment horizontal="right" vertical="center"/>
    </xf>
    <xf numFmtId="0" fontId="37" fillId="0" borderId="2" xfId="0" applyFont="1" applyBorder="1" applyAlignment="1">
      <alignment horizontal="right" vertical="center"/>
    </xf>
    <xf numFmtId="0" fontId="37" fillId="0" borderId="43" xfId="0" applyFont="1" applyBorder="1" applyAlignment="1">
      <alignment horizontal="right" vertical="center"/>
    </xf>
    <xf numFmtId="49" fontId="37" fillId="0" borderId="12" xfId="0" applyNumberFormat="1" applyFont="1" applyBorder="1" applyAlignment="1">
      <alignment vertical="center"/>
    </xf>
    <xf numFmtId="0" fontId="0" fillId="0" borderId="12" xfId="0" applyBorder="1" applyAlignment="1"/>
    <xf numFmtId="181" fontId="50" fillId="0" borderId="12" xfId="0" applyNumberFormat="1" applyFont="1" applyBorder="1" applyAlignment="1">
      <alignment horizontal="left"/>
    </xf>
    <xf numFmtId="181" fontId="50" fillId="0" borderId="18" xfId="0" applyNumberFormat="1" applyFont="1" applyBorder="1" applyAlignment="1">
      <alignment horizontal="center"/>
    </xf>
    <xf numFmtId="181" fontId="50" fillId="0" borderId="43" xfId="0" applyNumberFormat="1" applyFont="1" applyBorder="1" applyAlignment="1">
      <alignment horizontal="center"/>
    </xf>
    <xf numFmtId="182" fontId="37" fillId="8" borderId="12" xfId="0" applyNumberFormat="1" applyFont="1" applyFill="1" applyBorder="1" applyAlignment="1">
      <alignment horizontal="center" vertical="center" wrapText="1"/>
    </xf>
    <xf numFmtId="182" fontId="37" fillId="8" borderId="2" xfId="0" applyNumberFormat="1" applyFont="1" applyFill="1" applyBorder="1" applyAlignment="1">
      <alignment horizontal="center" vertical="center" wrapText="1"/>
    </xf>
    <xf numFmtId="182" fontId="37" fillId="8" borderId="43" xfId="0" applyNumberFormat="1" applyFont="1" applyFill="1" applyBorder="1" applyAlignment="1">
      <alignment horizontal="center" vertical="center" wrapText="1"/>
    </xf>
    <xf numFmtId="183" fontId="39" fillId="16" borderId="12" xfId="0" applyNumberFormat="1" applyFont="1" applyFill="1" applyBorder="1" applyAlignment="1">
      <alignment horizontal="center" vertical="center"/>
    </xf>
    <xf numFmtId="181" fontId="39" fillId="16" borderId="12" xfId="0" applyNumberFormat="1" applyFont="1" applyFill="1" applyBorder="1" applyAlignment="1">
      <alignment horizontal="center" vertical="center"/>
    </xf>
    <xf numFmtId="49" fontId="0" fillId="0" borderId="0" xfId="0" applyNumberFormat="1" applyAlignment="1">
      <alignment horizontal="center" vertical="center"/>
    </xf>
    <xf numFmtId="181" fontId="0" fillId="0" borderId="0" xfId="0" applyNumberFormat="1" applyAlignment="1">
      <alignment horizontal="left"/>
    </xf>
    <xf numFmtId="182" fontId="0" fillId="9" borderId="12" xfId="0" applyNumberFormat="1" applyFill="1" applyBorder="1" applyAlignment="1">
      <alignment horizontal="center" vertical="center" wrapText="1"/>
    </xf>
    <xf numFmtId="181" fontId="34" fillId="0" borderId="12" xfId="0" applyNumberFormat="1" applyFont="1" applyBorder="1" applyAlignment="1">
      <alignment horizontal="left"/>
    </xf>
    <xf numFmtId="183" fontId="12" fillId="16" borderId="12" xfId="0" applyNumberFormat="1" applyFont="1" applyFill="1" applyBorder="1" applyAlignment="1">
      <alignment horizontal="center" vertical="center"/>
    </xf>
    <xf numFmtId="181" fontId="12" fillId="16" borderId="12" xfId="0" applyNumberFormat="1" applyFont="1" applyFill="1" applyBorder="1" applyAlignment="1">
      <alignment horizontal="center" vertical="center"/>
    </xf>
    <xf numFmtId="0" fontId="32" fillId="14" borderId="84" xfId="0" applyFont="1" applyFill="1" applyBorder="1" applyAlignment="1">
      <alignment horizontal="center" vertical="center"/>
    </xf>
    <xf numFmtId="0" fontId="32" fillId="14" borderId="85"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xf>
    <xf numFmtId="182" fontId="0" fillId="9" borderId="2" xfId="0" applyNumberFormat="1" applyFill="1" applyBorder="1" applyAlignment="1">
      <alignment horizontal="center" vertical="center" wrapText="1"/>
    </xf>
    <xf numFmtId="182" fontId="0" fillId="9" borderId="43" xfId="0" applyNumberFormat="1" applyFill="1" applyBorder="1" applyAlignment="1">
      <alignment horizontal="center" vertical="center" wrapText="1"/>
    </xf>
    <xf numFmtId="181" fontId="34" fillId="0" borderId="18" xfId="0" applyNumberFormat="1" applyFont="1" applyBorder="1" applyAlignment="1">
      <alignment horizontal="center"/>
    </xf>
    <xf numFmtId="181" fontId="34" fillId="0" borderId="43" xfId="0" applyNumberFormat="1" applyFont="1" applyBorder="1" applyAlignment="1">
      <alignment horizontal="center"/>
    </xf>
    <xf numFmtId="0" fontId="13" fillId="3" borderId="13" xfId="7" applyFont="1" applyFill="1" applyBorder="1" applyAlignment="1">
      <alignment horizontal="center" vertical="center" wrapText="1"/>
    </xf>
    <xf numFmtId="0" fontId="13" fillId="3" borderId="17" xfId="7" applyFont="1" applyFill="1" applyBorder="1" applyAlignment="1">
      <alignment horizontal="center" vertical="center" wrapText="1"/>
    </xf>
    <xf numFmtId="0" fontId="13" fillId="3" borderId="14" xfId="7" applyFont="1" applyFill="1" applyBorder="1" applyAlignment="1">
      <alignment horizontal="center" vertical="center" wrapText="1"/>
    </xf>
    <xf numFmtId="0" fontId="13" fillId="3" borderId="12" xfId="7" applyFont="1" applyFill="1" applyBorder="1" applyAlignment="1">
      <alignment horizontal="center" vertical="center" wrapText="1"/>
    </xf>
    <xf numFmtId="0" fontId="25" fillId="3" borderId="14" xfId="7" applyFont="1" applyFill="1" applyBorder="1" applyAlignment="1">
      <alignment horizontal="center" vertical="center" wrapText="1"/>
    </xf>
    <xf numFmtId="0" fontId="25" fillId="3" borderId="12" xfId="7" applyFont="1" applyFill="1" applyBorder="1" applyAlignment="1">
      <alignment horizontal="center" vertical="center" wrapText="1"/>
    </xf>
    <xf numFmtId="0" fontId="13" fillId="5" borderId="14" xfId="7" applyFont="1" applyFill="1" applyBorder="1" applyAlignment="1">
      <alignment horizontal="center" vertical="center" wrapText="1"/>
    </xf>
    <xf numFmtId="0" fontId="13" fillId="5" borderId="12" xfId="7" applyFont="1" applyFill="1" applyBorder="1" applyAlignment="1">
      <alignment horizontal="center" vertical="center" wrapText="1"/>
    </xf>
    <xf numFmtId="0" fontId="13" fillId="5" borderId="16" xfId="7" applyFont="1" applyFill="1" applyBorder="1" applyAlignment="1">
      <alignment horizontal="center" vertical="center" wrapText="1"/>
    </xf>
    <xf numFmtId="0" fontId="13" fillId="5" borderId="19" xfId="7" applyFont="1" applyFill="1" applyBorder="1" applyAlignment="1">
      <alignment horizontal="center" vertical="center" wrapText="1"/>
    </xf>
    <xf numFmtId="0" fontId="0" fillId="0" borderId="12" xfId="6" applyFont="1" applyBorder="1" applyAlignment="1">
      <alignment horizontal="left" vertical="top" wrapText="1"/>
    </xf>
    <xf numFmtId="0" fontId="1" fillId="0" borderId="12" xfId="7" applyFont="1" applyBorder="1" applyAlignment="1">
      <alignment horizontal="left" vertical="top" wrapText="1"/>
    </xf>
    <xf numFmtId="0" fontId="1" fillId="0" borderId="12" xfId="7" applyFont="1" applyBorder="1" applyAlignment="1">
      <alignment horizontal="center" vertical="top" wrapText="1"/>
    </xf>
    <xf numFmtId="0" fontId="1" fillId="0" borderId="21" xfId="7" applyFont="1" applyBorder="1" applyAlignment="1">
      <alignment horizontal="left" vertical="top" wrapText="1"/>
    </xf>
    <xf numFmtId="0" fontId="1" fillId="0" borderId="12" xfId="10" applyFont="1" applyBorder="1" applyAlignment="1">
      <alignment horizontal="left" vertical="top" wrapText="1"/>
    </xf>
    <xf numFmtId="0" fontId="0" fillId="2" borderId="12" xfId="0" applyFill="1" applyBorder="1" applyAlignment="1">
      <alignment vertical="top" wrapText="1"/>
    </xf>
    <xf numFmtId="49" fontId="0" fillId="0" borderId="44" xfId="0" applyNumberFormat="1" applyBorder="1" applyAlignment="1">
      <alignment horizontal="center" vertical="center"/>
    </xf>
    <xf numFmtId="49" fontId="0" fillId="0" borderId="45" xfId="0" applyNumberFormat="1" applyBorder="1" applyAlignment="1">
      <alignment horizontal="center" vertical="center"/>
    </xf>
    <xf numFmtId="49" fontId="0" fillId="0" borderId="46" xfId="0" applyNumberFormat="1" applyBorder="1" applyAlignment="1">
      <alignment horizontal="center" vertical="center"/>
    </xf>
    <xf numFmtId="184" fontId="0" fillId="0" borderId="12" xfId="0" applyNumberFormat="1" applyBorder="1" applyAlignment="1">
      <alignment horizontal="center" vertical="center"/>
    </xf>
    <xf numFmtId="0" fontId="0" fillId="0" borderId="44" xfId="0" applyBorder="1" applyAlignment="1">
      <alignment horizontal="center" vertical="center" wrapText="1"/>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4" xfId="0" applyBorder="1" applyAlignment="1">
      <alignment horizontal="center" vertical="center"/>
    </xf>
    <xf numFmtId="184" fontId="0" fillId="0" borderId="44" xfId="0" applyNumberFormat="1" applyBorder="1" applyAlignment="1">
      <alignment horizontal="center" vertical="center"/>
    </xf>
    <xf numFmtId="184" fontId="0" fillId="0" borderId="45" xfId="0" applyNumberFormat="1" applyBorder="1" applyAlignment="1">
      <alignment horizontal="center" vertical="center"/>
    </xf>
    <xf numFmtId="184" fontId="0" fillId="0" borderId="46" xfId="0" applyNumberFormat="1" applyBorder="1" applyAlignment="1">
      <alignment horizontal="center" vertical="center"/>
    </xf>
    <xf numFmtId="0" fontId="35" fillId="0" borderId="0" xfId="6" applyFont="1" applyAlignment="1">
      <alignment horizontal="center" vertical="center"/>
    </xf>
    <xf numFmtId="0" fontId="0" fillId="0" borderId="45" xfId="0" applyBorder="1" applyAlignment="1">
      <alignment horizontal="center" vertical="center" wrapText="1"/>
    </xf>
    <xf numFmtId="0" fontId="0" fillId="0" borderId="46" xfId="0" applyBorder="1" applyAlignment="1">
      <alignment horizontal="center" vertical="center" wrapText="1"/>
    </xf>
  </cellXfs>
  <cellStyles count="14">
    <cellStyle name="Calc Currency (0)" xfId="1" xr:uid="{00000000-0005-0000-0000-000000000000}"/>
    <cellStyle name="Header1" xfId="2" xr:uid="{00000000-0005-0000-0000-000001000000}"/>
    <cellStyle name="Header2" xfId="3" xr:uid="{00000000-0005-0000-0000-000002000000}"/>
    <cellStyle name="Normal_#18-Internet" xfId="4" xr:uid="{00000000-0005-0000-0000-000003000000}"/>
    <cellStyle name="ハイパーリンク" xfId="12" builtinId="8"/>
    <cellStyle name="桁区切り 2" xfId="5" xr:uid="{00000000-0005-0000-0000-000004000000}"/>
    <cellStyle name="桁区切り 2 2" xfId="11" xr:uid="{CD277C64-7339-4431-B01C-F6128A4CDD9A}"/>
    <cellStyle name="標準" xfId="0" builtinId="0"/>
    <cellStyle name="標準 2" xfId="6" xr:uid="{00000000-0005-0000-0000-000006000000}"/>
    <cellStyle name="標準 2 2" xfId="13" xr:uid="{181B625C-C5E9-47F2-A984-BD6082693ACB}"/>
    <cellStyle name="標準_Sheet1" xfId="7" xr:uid="{00000000-0005-0000-0000-000007000000}"/>
    <cellStyle name="標準_Sheet1_1" xfId="8" xr:uid="{00000000-0005-0000-0000-000008000000}"/>
    <cellStyle name="標準_チェック項目一覧" xfId="9" xr:uid="{00000000-0005-0000-0000-000009000000}"/>
    <cellStyle name="標準_対策種別一覧" xfId="10" xr:uid="{00000000-0005-0000-0000-00000A000000}"/>
  </cellStyles>
  <dxfs count="80">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24994659260841701"/>
        </patternFill>
      </fill>
    </dxf>
    <dxf>
      <fill>
        <patternFill>
          <bgColor theme="0" tint="-0.24994659260841701"/>
        </patternFill>
      </fill>
    </dxf>
  </dxfs>
  <tableStyles count="0" defaultTableStyle="TableStyleMedium9" defaultPivotStyle="PivotStyleLight1"/>
  <colors>
    <mruColors>
      <color rgb="FF0000FF"/>
      <color rgb="FFFFCCFF"/>
      <color rgb="FFCCECFF"/>
      <color rgb="FF99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6</xdr:col>
      <xdr:colOff>9848850</xdr:colOff>
      <xdr:row>42</xdr:row>
      <xdr:rowOff>76200</xdr:rowOff>
    </xdr:from>
    <xdr:to>
      <xdr:col>7</xdr:col>
      <xdr:colOff>914400</xdr:colOff>
      <xdr:row>54</xdr:row>
      <xdr:rowOff>171450</xdr:rowOff>
    </xdr:to>
    <xdr:grpSp>
      <xdr:nvGrpSpPr>
        <xdr:cNvPr id="42694" name="Group 33">
          <a:extLst>
            <a:ext uri="{FF2B5EF4-FFF2-40B4-BE49-F238E27FC236}">
              <a16:creationId xmlns:a16="http://schemas.microsoft.com/office/drawing/2014/main" id="{00000000-0008-0000-0100-0000C6A60000}"/>
            </a:ext>
          </a:extLst>
        </xdr:cNvPr>
        <xdr:cNvGrpSpPr>
          <a:grpSpLocks/>
        </xdr:cNvGrpSpPr>
      </xdr:nvGrpSpPr>
      <xdr:grpSpPr bwMode="auto">
        <a:xfrm>
          <a:off x="14897100" y="29689425"/>
          <a:ext cx="1971675" cy="2152650"/>
          <a:chOff x="476" y="1774"/>
          <a:chExt cx="102" cy="115"/>
        </a:xfrm>
      </xdr:grpSpPr>
      <xdr:sp macro="" textlink="">
        <xdr:nvSpPr>
          <xdr:cNvPr id="42720" name="Rectangle 34">
            <a:extLst>
              <a:ext uri="{FF2B5EF4-FFF2-40B4-BE49-F238E27FC236}">
                <a16:creationId xmlns:a16="http://schemas.microsoft.com/office/drawing/2014/main" id="{00000000-0008-0000-0100-0000E0A60000}"/>
              </a:ext>
            </a:extLst>
          </xdr:cNvPr>
          <xdr:cNvSpPr>
            <a:spLocks noChangeArrowheads="1"/>
          </xdr:cNvSpPr>
        </xdr:nvSpPr>
        <xdr:spPr bwMode="auto">
          <a:xfrm>
            <a:off x="476" y="1774"/>
            <a:ext cx="101" cy="115"/>
          </a:xfrm>
          <a:prstGeom prst="rect">
            <a:avLst/>
          </a:prstGeom>
          <a:solidFill>
            <a:srgbClr val="FFFFFF"/>
          </a:solidFill>
          <a:ln w="19050">
            <a:solidFill>
              <a:srgbClr val="000000"/>
            </a:solidFill>
            <a:miter lim="800000"/>
            <a:headEnd/>
            <a:tailEnd/>
          </a:ln>
        </xdr:spPr>
      </xdr:sp>
      <xdr:sp macro="" textlink="">
        <xdr:nvSpPr>
          <xdr:cNvPr id="42721" name="Line 35">
            <a:extLst>
              <a:ext uri="{FF2B5EF4-FFF2-40B4-BE49-F238E27FC236}">
                <a16:creationId xmlns:a16="http://schemas.microsoft.com/office/drawing/2014/main" id="{00000000-0008-0000-0100-0000E1A60000}"/>
              </a:ext>
            </a:extLst>
          </xdr:cNvPr>
          <xdr:cNvSpPr>
            <a:spLocks noChangeShapeType="1"/>
          </xdr:cNvSpPr>
        </xdr:nvSpPr>
        <xdr:spPr bwMode="auto">
          <a:xfrm>
            <a:off x="477" y="1809"/>
            <a:ext cx="10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xdr:col>
      <xdr:colOff>7896225</xdr:colOff>
      <xdr:row>42</xdr:row>
      <xdr:rowOff>66675</xdr:rowOff>
    </xdr:from>
    <xdr:to>
      <xdr:col>6</xdr:col>
      <xdr:colOff>9877425</xdr:colOff>
      <xdr:row>54</xdr:row>
      <xdr:rowOff>161925</xdr:rowOff>
    </xdr:to>
    <xdr:grpSp>
      <xdr:nvGrpSpPr>
        <xdr:cNvPr id="42695" name="Group 33">
          <a:extLst>
            <a:ext uri="{FF2B5EF4-FFF2-40B4-BE49-F238E27FC236}">
              <a16:creationId xmlns:a16="http://schemas.microsoft.com/office/drawing/2014/main" id="{00000000-0008-0000-0100-0000C7A60000}"/>
            </a:ext>
          </a:extLst>
        </xdr:cNvPr>
        <xdr:cNvGrpSpPr>
          <a:grpSpLocks/>
        </xdr:cNvGrpSpPr>
      </xdr:nvGrpSpPr>
      <xdr:grpSpPr bwMode="auto">
        <a:xfrm>
          <a:off x="12944475" y="29679900"/>
          <a:ext cx="1981200" cy="2152650"/>
          <a:chOff x="477" y="1773"/>
          <a:chExt cx="102" cy="115"/>
        </a:xfrm>
      </xdr:grpSpPr>
      <xdr:sp macro="" textlink="">
        <xdr:nvSpPr>
          <xdr:cNvPr id="42718" name="Rectangle 34">
            <a:extLst>
              <a:ext uri="{FF2B5EF4-FFF2-40B4-BE49-F238E27FC236}">
                <a16:creationId xmlns:a16="http://schemas.microsoft.com/office/drawing/2014/main" id="{00000000-0008-0000-0100-0000DEA60000}"/>
              </a:ext>
            </a:extLst>
          </xdr:cNvPr>
          <xdr:cNvSpPr>
            <a:spLocks noChangeArrowheads="1"/>
          </xdr:cNvSpPr>
        </xdr:nvSpPr>
        <xdr:spPr bwMode="auto">
          <a:xfrm>
            <a:off x="477" y="1773"/>
            <a:ext cx="101" cy="115"/>
          </a:xfrm>
          <a:prstGeom prst="rect">
            <a:avLst/>
          </a:prstGeom>
          <a:solidFill>
            <a:srgbClr val="FFFFFF"/>
          </a:solidFill>
          <a:ln w="19050">
            <a:solidFill>
              <a:srgbClr val="000000"/>
            </a:solidFill>
            <a:miter lim="800000"/>
            <a:headEnd/>
            <a:tailEnd/>
          </a:ln>
        </xdr:spPr>
      </xdr:sp>
      <xdr:sp macro="" textlink="">
        <xdr:nvSpPr>
          <xdr:cNvPr id="42719" name="Line 35">
            <a:extLst>
              <a:ext uri="{FF2B5EF4-FFF2-40B4-BE49-F238E27FC236}">
                <a16:creationId xmlns:a16="http://schemas.microsoft.com/office/drawing/2014/main" id="{00000000-0008-0000-0100-0000DFA60000}"/>
              </a:ext>
            </a:extLst>
          </xdr:cNvPr>
          <xdr:cNvSpPr>
            <a:spLocks noChangeShapeType="1"/>
          </xdr:cNvSpPr>
        </xdr:nvSpPr>
        <xdr:spPr bwMode="auto">
          <a:xfrm>
            <a:off x="478" y="1808"/>
            <a:ext cx="10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twoCellAnchor>
    <xdr:from>
      <xdr:col>6</xdr:col>
      <xdr:colOff>3028950</xdr:colOff>
      <xdr:row>42</xdr:row>
      <xdr:rowOff>85725</xdr:rowOff>
    </xdr:from>
    <xdr:to>
      <xdr:col>6</xdr:col>
      <xdr:colOff>5010150</xdr:colOff>
      <xdr:row>55</xdr:row>
      <xdr:rowOff>0</xdr:rowOff>
    </xdr:to>
    <xdr:grpSp>
      <xdr:nvGrpSpPr>
        <xdr:cNvPr id="42696" name="Group 33">
          <a:extLst>
            <a:ext uri="{FF2B5EF4-FFF2-40B4-BE49-F238E27FC236}">
              <a16:creationId xmlns:a16="http://schemas.microsoft.com/office/drawing/2014/main" id="{00000000-0008-0000-0100-0000C8A60000}"/>
            </a:ext>
          </a:extLst>
        </xdr:cNvPr>
        <xdr:cNvGrpSpPr>
          <a:grpSpLocks/>
        </xdr:cNvGrpSpPr>
      </xdr:nvGrpSpPr>
      <xdr:grpSpPr bwMode="auto">
        <a:xfrm>
          <a:off x="8077200" y="29698950"/>
          <a:ext cx="1981200" cy="2143125"/>
          <a:chOff x="477" y="1773"/>
          <a:chExt cx="102" cy="115"/>
        </a:xfrm>
      </xdr:grpSpPr>
      <xdr:sp macro="" textlink="">
        <xdr:nvSpPr>
          <xdr:cNvPr id="42716" name="Rectangle 34">
            <a:extLst>
              <a:ext uri="{FF2B5EF4-FFF2-40B4-BE49-F238E27FC236}">
                <a16:creationId xmlns:a16="http://schemas.microsoft.com/office/drawing/2014/main" id="{00000000-0008-0000-0100-0000DCA60000}"/>
              </a:ext>
            </a:extLst>
          </xdr:cNvPr>
          <xdr:cNvSpPr>
            <a:spLocks noChangeArrowheads="1"/>
          </xdr:cNvSpPr>
        </xdr:nvSpPr>
        <xdr:spPr bwMode="auto">
          <a:xfrm>
            <a:off x="477" y="1773"/>
            <a:ext cx="101" cy="115"/>
          </a:xfrm>
          <a:prstGeom prst="rect">
            <a:avLst/>
          </a:prstGeom>
          <a:solidFill>
            <a:srgbClr val="FFFFFF"/>
          </a:solidFill>
          <a:ln w="19050">
            <a:solidFill>
              <a:srgbClr val="000000"/>
            </a:solidFill>
            <a:miter lim="800000"/>
            <a:headEnd/>
            <a:tailEnd/>
          </a:ln>
        </xdr:spPr>
      </xdr:sp>
      <xdr:sp macro="" textlink="">
        <xdr:nvSpPr>
          <xdr:cNvPr id="42717" name="Line 35">
            <a:extLst>
              <a:ext uri="{FF2B5EF4-FFF2-40B4-BE49-F238E27FC236}">
                <a16:creationId xmlns:a16="http://schemas.microsoft.com/office/drawing/2014/main" id="{00000000-0008-0000-0100-0000DDA60000}"/>
              </a:ext>
            </a:extLst>
          </xdr:cNvPr>
          <xdr:cNvSpPr>
            <a:spLocks noChangeShapeType="1"/>
          </xdr:cNvSpPr>
        </xdr:nvSpPr>
        <xdr:spPr bwMode="auto">
          <a:xfrm>
            <a:off x="478" y="1808"/>
            <a:ext cx="10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6</xdr:col>
      <xdr:colOff>2912461</xdr:colOff>
      <xdr:row>38</xdr:row>
      <xdr:rowOff>155121</xdr:rowOff>
    </xdr:from>
    <xdr:ext cx="5658280" cy="289823"/>
    <xdr:sp macro="" textlink="">
      <xdr:nvSpPr>
        <xdr:cNvPr id="17" name="Text Box 316">
          <a:extLst>
            <a:ext uri="{FF2B5EF4-FFF2-40B4-BE49-F238E27FC236}">
              <a16:creationId xmlns:a16="http://schemas.microsoft.com/office/drawing/2014/main" id="{00000000-0008-0000-0100-000011000000}"/>
            </a:ext>
          </a:extLst>
        </xdr:cNvPr>
        <xdr:cNvSpPr txBox="1">
          <a:spLocks noChangeArrowheads="1"/>
        </xdr:cNvSpPr>
      </xdr:nvSpPr>
      <xdr:spPr bwMode="auto">
        <a:xfrm>
          <a:off x="7960711" y="39007596"/>
          <a:ext cx="5658280" cy="289823"/>
        </a:xfrm>
        <a:prstGeom prst="rect">
          <a:avLst/>
        </a:prstGeom>
        <a:noFill/>
        <a:ln w="9525">
          <a:noFill/>
          <a:miter lim="800000"/>
          <a:headEnd/>
          <a:tailEnd/>
        </a:ln>
      </xdr:spPr>
      <xdr:txBody>
        <a:bodyPr wrap="none" lIns="27432" tIns="22860" rIns="0" bIns="0" anchor="t" upright="1">
          <a:spAutoFit/>
        </a:bodyPr>
        <a:lstStyle/>
        <a:p>
          <a:pPr algn="l" rtl="0">
            <a:defRPr sz="1000"/>
          </a:pPr>
          <a:r>
            <a:rPr lang="ja-JP" altLang="en-US" sz="1600" b="1" i="0" u="none" strike="noStrike" baseline="0">
              <a:solidFill>
                <a:srgbClr val="000000"/>
              </a:solidFill>
              <a:latin typeface="ＭＳ Ｐゴシック"/>
              <a:ea typeface="ＭＳ Ｐゴシック"/>
            </a:rPr>
            <a:t>リスク管理計画シートと合わせて確認の上、捺印をお願いします。</a:t>
          </a:r>
        </a:p>
      </xdr:txBody>
    </xdr:sp>
    <xdr:clientData/>
  </xdr:oneCellAnchor>
  <xdr:twoCellAnchor>
    <xdr:from>
      <xdr:col>6</xdr:col>
      <xdr:colOff>4962525</xdr:colOff>
      <xdr:row>42</xdr:row>
      <xdr:rowOff>76200</xdr:rowOff>
    </xdr:from>
    <xdr:to>
      <xdr:col>6</xdr:col>
      <xdr:colOff>6943725</xdr:colOff>
      <xdr:row>55</xdr:row>
      <xdr:rowOff>0</xdr:rowOff>
    </xdr:to>
    <xdr:grpSp>
      <xdr:nvGrpSpPr>
        <xdr:cNvPr id="42698" name="Group 33">
          <a:extLst>
            <a:ext uri="{FF2B5EF4-FFF2-40B4-BE49-F238E27FC236}">
              <a16:creationId xmlns:a16="http://schemas.microsoft.com/office/drawing/2014/main" id="{00000000-0008-0000-0100-0000CAA60000}"/>
            </a:ext>
          </a:extLst>
        </xdr:cNvPr>
        <xdr:cNvGrpSpPr>
          <a:grpSpLocks/>
        </xdr:cNvGrpSpPr>
      </xdr:nvGrpSpPr>
      <xdr:grpSpPr bwMode="auto">
        <a:xfrm>
          <a:off x="10010775" y="29689425"/>
          <a:ext cx="1981200" cy="2152650"/>
          <a:chOff x="477" y="1773"/>
          <a:chExt cx="102" cy="115"/>
        </a:xfrm>
      </xdr:grpSpPr>
      <xdr:sp macro="" textlink="">
        <xdr:nvSpPr>
          <xdr:cNvPr id="42714" name="Rectangle 34">
            <a:extLst>
              <a:ext uri="{FF2B5EF4-FFF2-40B4-BE49-F238E27FC236}">
                <a16:creationId xmlns:a16="http://schemas.microsoft.com/office/drawing/2014/main" id="{00000000-0008-0000-0100-0000DAA60000}"/>
              </a:ext>
            </a:extLst>
          </xdr:cNvPr>
          <xdr:cNvSpPr>
            <a:spLocks noChangeArrowheads="1"/>
          </xdr:cNvSpPr>
        </xdr:nvSpPr>
        <xdr:spPr bwMode="auto">
          <a:xfrm>
            <a:off x="477" y="1773"/>
            <a:ext cx="101" cy="115"/>
          </a:xfrm>
          <a:prstGeom prst="rect">
            <a:avLst/>
          </a:prstGeom>
          <a:solidFill>
            <a:srgbClr val="FFFFFF"/>
          </a:solidFill>
          <a:ln w="19050">
            <a:solidFill>
              <a:srgbClr val="000000"/>
            </a:solidFill>
            <a:miter lim="800000"/>
            <a:headEnd/>
            <a:tailEnd/>
          </a:ln>
        </xdr:spPr>
      </xdr:sp>
      <xdr:sp macro="" textlink="">
        <xdr:nvSpPr>
          <xdr:cNvPr id="42715" name="Line 35">
            <a:extLst>
              <a:ext uri="{FF2B5EF4-FFF2-40B4-BE49-F238E27FC236}">
                <a16:creationId xmlns:a16="http://schemas.microsoft.com/office/drawing/2014/main" id="{00000000-0008-0000-0100-0000DBA60000}"/>
              </a:ext>
            </a:extLst>
          </xdr:cNvPr>
          <xdr:cNvSpPr>
            <a:spLocks noChangeShapeType="1"/>
          </xdr:cNvSpPr>
        </xdr:nvSpPr>
        <xdr:spPr bwMode="auto">
          <a:xfrm>
            <a:off x="478" y="1808"/>
            <a:ext cx="10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6</xdr:col>
      <xdr:colOff>3048002</xdr:colOff>
      <xdr:row>42</xdr:row>
      <xdr:rowOff>142875</xdr:rowOff>
    </xdr:from>
    <xdr:ext cx="1932214" cy="523876"/>
    <xdr:sp macro="" textlink="">
      <xdr:nvSpPr>
        <xdr:cNvPr id="33" name="Text Box 42">
          <a:extLst>
            <a:ext uri="{FF2B5EF4-FFF2-40B4-BE49-F238E27FC236}">
              <a16:creationId xmlns:a16="http://schemas.microsoft.com/office/drawing/2014/main" id="{00000000-0008-0000-0100-000021000000}"/>
            </a:ext>
          </a:extLst>
        </xdr:cNvPr>
        <xdr:cNvSpPr txBox="1">
          <a:spLocks noChangeArrowheads="1"/>
        </xdr:cNvSpPr>
      </xdr:nvSpPr>
      <xdr:spPr bwMode="auto">
        <a:xfrm>
          <a:off x="8123466" y="39685232"/>
          <a:ext cx="1932214" cy="523876"/>
        </a:xfrm>
        <a:prstGeom prst="rect">
          <a:avLst/>
        </a:prstGeom>
        <a:noFill/>
        <a:ln w="19050">
          <a:noFill/>
          <a:miter lim="800000"/>
          <a:headEnd/>
          <a:tailEnd/>
        </a:ln>
      </xdr:spPr>
      <xdr:txBody>
        <a:bodyPr wrap="square" lIns="18288" tIns="18288" rIns="18288" bIns="0" anchor="t" upright="1">
          <a:noAutofit/>
        </a:bodyPr>
        <a:lstStyle/>
        <a:p>
          <a:pPr algn="ctr" rtl="0">
            <a:lnSpc>
              <a:spcPts val="1700"/>
            </a:lnSpc>
            <a:defRPr sz="1000"/>
          </a:pPr>
          <a:r>
            <a:rPr lang="en-US" altLang="ja-JP" sz="1400" b="1" i="0" baseline="0">
              <a:latin typeface="ＭＳ Ｐゴシック" pitchFamily="50" charset="-128"/>
              <a:ea typeface="ＭＳ Ｐゴシック" pitchFamily="50" charset="-128"/>
              <a:cs typeface="+mn-cs"/>
            </a:rPr>
            <a:t>PO</a:t>
          </a:r>
          <a:endParaRPr lang="ja-JP" altLang="en-US" sz="1400" b="1" i="0" u="none" strike="noStrike" baseline="0">
            <a:solidFill>
              <a:srgbClr val="000000"/>
            </a:solidFill>
            <a:latin typeface="ＭＳ Ｐゴシック" pitchFamily="50" charset="-128"/>
            <a:ea typeface="ＭＳ Ｐゴシック" pitchFamily="50" charset="-128"/>
          </a:endParaRPr>
        </a:p>
        <a:p>
          <a:pPr algn="ctr" rtl="0">
            <a:lnSpc>
              <a:spcPts val="1600"/>
            </a:lnSpc>
            <a:defRPr sz="1000"/>
          </a:pPr>
          <a:r>
            <a:rPr lang="ja-JP" altLang="en-US" sz="1400" b="1" i="0" u="none" strike="noStrike" baseline="0">
              <a:solidFill>
                <a:srgbClr val="000000"/>
              </a:solidFill>
              <a:latin typeface="ＭＳ Ｐゴシック"/>
              <a:ea typeface="ＭＳ Ｐゴシック"/>
            </a:rPr>
            <a:t>（</a:t>
          </a:r>
          <a:r>
            <a:rPr lang="ja-JP" altLang="ja-JP" sz="1400" b="1" i="0" baseline="0">
              <a:latin typeface="+mn-lt"/>
              <a:ea typeface="+mn-ea"/>
              <a:cs typeface="+mn-cs"/>
            </a:rPr>
            <a:t>営業部長</a:t>
          </a:r>
          <a:r>
            <a:rPr lang="en-US" altLang="ja-JP" sz="1400" b="1" i="0" u="none" strike="noStrike" baseline="0">
              <a:solidFill>
                <a:srgbClr val="000000"/>
              </a:solidFill>
              <a:latin typeface="ＭＳ Ｐゴシック"/>
              <a:ea typeface="ＭＳ Ｐゴシック"/>
            </a:rPr>
            <a:t>)</a:t>
          </a:r>
        </a:p>
      </xdr:txBody>
    </xdr:sp>
    <xdr:clientData/>
  </xdr:oneCellAnchor>
  <xdr:oneCellAnchor>
    <xdr:from>
      <xdr:col>6</xdr:col>
      <xdr:colOff>4953000</xdr:colOff>
      <xdr:row>43</xdr:row>
      <xdr:rowOff>1359</xdr:rowOff>
    </xdr:from>
    <xdr:ext cx="1936283" cy="515712"/>
    <xdr:sp macro="" textlink="">
      <xdr:nvSpPr>
        <xdr:cNvPr id="34" name="Text Box 43">
          <a:extLst>
            <a:ext uri="{FF2B5EF4-FFF2-40B4-BE49-F238E27FC236}">
              <a16:creationId xmlns:a16="http://schemas.microsoft.com/office/drawing/2014/main" id="{00000000-0008-0000-0100-000022000000}"/>
            </a:ext>
          </a:extLst>
        </xdr:cNvPr>
        <xdr:cNvSpPr txBox="1">
          <a:spLocks noChangeArrowheads="1"/>
        </xdr:cNvSpPr>
      </xdr:nvSpPr>
      <xdr:spPr bwMode="auto">
        <a:xfrm>
          <a:off x="10028464" y="39720609"/>
          <a:ext cx="1945821" cy="515712"/>
        </a:xfrm>
        <a:prstGeom prst="rect">
          <a:avLst/>
        </a:prstGeom>
        <a:noFill/>
        <a:ln w="19050">
          <a:noFill/>
          <a:miter lim="800000"/>
          <a:headEnd/>
          <a:tailEnd/>
        </a:ln>
      </xdr:spPr>
      <xdr:txBody>
        <a:bodyPr wrap="square" lIns="18288" tIns="18288" rIns="18288" bIns="0" anchor="t" upright="1">
          <a:noAutofit/>
        </a:bodyPr>
        <a:lstStyle/>
        <a:p>
          <a:pPr algn="ctr" rtl="0">
            <a:lnSpc>
              <a:spcPts val="1600"/>
            </a:lnSpc>
            <a:defRPr sz="1000"/>
          </a:pPr>
          <a:r>
            <a:rPr lang="ja-JP" altLang="ja-JP" sz="1400" b="1" i="0" baseline="0">
              <a:latin typeface="+mn-lt"/>
              <a:ea typeface="+mn-ea"/>
              <a:cs typeface="+mn-cs"/>
            </a:rPr>
            <a:t>プロジェクト管理責任者</a:t>
          </a:r>
          <a:r>
            <a:rPr lang="ja-JP" altLang="en-US" sz="1400" b="1" i="0" u="none" strike="noStrike" baseline="0">
              <a:solidFill>
                <a:srgbClr val="000000"/>
              </a:solidFill>
              <a:latin typeface="+mn-lt"/>
              <a:ea typeface="+mn-ea"/>
              <a:cs typeface="+mn-cs"/>
            </a:rPr>
            <a:t>（</a:t>
          </a:r>
          <a:r>
            <a:rPr lang="en-US" altLang="ja-JP" sz="1400" b="1" i="0" u="none" strike="noStrike" baseline="0">
              <a:solidFill>
                <a:srgbClr val="000000"/>
              </a:solidFill>
              <a:latin typeface="ＭＳ Ｐゴシック"/>
              <a:ea typeface="ＭＳ Ｐゴシック"/>
            </a:rPr>
            <a:t>SE</a:t>
          </a:r>
          <a:r>
            <a:rPr lang="ja-JP" altLang="en-US" sz="1400" b="1" i="0" u="none" strike="noStrike" baseline="0">
              <a:solidFill>
                <a:srgbClr val="000000"/>
              </a:solidFill>
              <a:latin typeface="ＭＳ Ｐゴシック"/>
              <a:ea typeface="ＭＳ Ｐゴシック"/>
            </a:rPr>
            <a:t>部長）</a:t>
          </a:r>
          <a:endParaRPr lang="en-US" altLang="ja-JP" sz="1400" b="1" i="0" u="none" strike="noStrike" baseline="0">
            <a:solidFill>
              <a:srgbClr val="000000"/>
            </a:solidFill>
            <a:latin typeface="ＭＳ Ｐゴシック"/>
            <a:ea typeface="ＭＳ Ｐゴシック"/>
          </a:endParaRPr>
        </a:p>
      </xdr:txBody>
    </xdr:sp>
    <xdr:clientData/>
  </xdr:oneCellAnchor>
  <xdr:oneCellAnchor>
    <xdr:from>
      <xdr:col>6</xdr:col>
      <xdr:colOff>7905750</xdr:colOff>
      <xdr:row>42</xdr:row>
      <xdr:rowOff>156481</xdr:rowOff>
    </xdr:from>
    <xdr:ext cx="1968941" cy="265342"/>
    <xdr:sp macro="" textlink="">
      <xdr:nvSpPr>
        <xdr:cNvPr id="35" name="Text Box 44">
          <a:extLst>
            <a:ext uri="{FF2B5EF4-FFF2-40B4-BE49-F238E27FC236}">
              <a16:creationId xmlns:a16="http://schemas.microsoft.com/office/drawing/2014/main" id="{00000000-0008-0000-0100-000023000000}"/>
            </a:ext>
          </a:extLst>
        </xdr:cNvPr>
        <xdr:cNvSpPr txBox="1">
          <a:spLocks noChangeArrowheads="1"/>
        </xdr:cNvSpPr>
      </xdr:nvSpPr>
      <xdr:spPr bwMode="auto">
        <a:xfrm>
          <a:off x="12981214" y="39698838"/>
          <a:ext cx="1968941" cy="265342"/>
        </a:xfrm>
        <a:prstGeom prst="rect">
          <a:avLst/>
        </a:prstGeom>
        <a:noFill/>
        <a:ln w="19050">
          <a:noFill/>
          <a:miter lim="800000"/>
          <a:headEnd/>
          <a:tailEnd/>
        </a:ln>
      </xdr:spPr>
      <xdr:txBody>
        <a:bodyPr wrap="square" lIns="18288" tIns="18288" rIns="18288" bIns="0" anchor="t" upright="1">
          <a:noAutofit/>
        </a:bodyPr>
        <a:lstStyle/>
        <a:p>
          <a:pPr algn="ctr" rtl="0">
            <a:defRPr sz="1000"/>
          </a:pPr>
          <a:r>
            <a:rPr lang="ja-JP" altLang="en-US" sz="1400" b="1" i="0" u="none" strike="noStrike" baseline="0">
              <a:solidFill>
                <a:srgbClr val="000000"/>
              </a:solidFill>
              <a:latin typeface="ＭＳ Ｐゴシック"/>
              <a:ea typeface="ＭＳ Ｐゴシック"/>
            </a:rPr>
            <a:t>担当営業</a:t>
          </a:r>
        </a:p>
      </xdr:txBody>
    </xdr:sp>
    <xdr:clientData/>
  </xdr:oneCellAnchor>
  <xdr:oneCellAnchor>
    <xdr:from>
      <xdr:col>6</xdr:col>
      <xdr:colOff>9837965</xdr:colOff>
      <xdr:row>42</xdr:row>
      <xdr:rowOff>168728</xdr:rowOff>
    </xdr:from>
    <xdr:ext cx="1959428" cy="280308"/>
    <xdr:sp macro="" textlink="">
      <xdr:nvSpPr>
        <xdr:cNvPr id="36" name="Text Box 45">
          <a:extLst>
            <a:ext uri="{FF2B5EF4-FFF2-40B4-BE49-F238E27FC236}">
              <a16:creationId xmlns:a16="http://schemas.microsoft.com/office/drawing/2014/main" id="{00000000-0008-0000-0100-000024000000}"/>
            </a:ext>
          </a:extLst>
        </xdr:cNvPr>
        <xdr:cNvSpPr txBox="1">
          <a:spLocks noChangeArrowheads="1"/>
        </xdr:cNvSpPr>
      </xdr:nvSpPr>
      <xdr:spPr bwMode="auto">
        <a:xfrm>
          <a:off x="14913429" y="39711085"/>
          <a:ext cx="1959428" cy="280308"/>
        </a:xfrm>
        <a:prstGeom prst="rect">
          <a:avLst/>
        </a:prstGeom>
        <a:noFill/>
        <a:ln w="19050">
          <a:noFill/>
          <a:miter lim="800000"/>
          <a:headEnd/>
          <a:tailEnd/>
        </a:ln>
      </xdr:spPr>
      <xdr:txBody>
        <a:bodyPr wrap="square" lIns="18288" tIns="18288" rIns="0" bIns="0" anchor="t" upright="1">
          <a:noAutofit/>
        </a:bodyPr>
        <a:lstStyle/>
        <a:p>
          <a:pPr algn="ctr" rtl="0">
            <a:defRPr sz="1000"/>
          </a:pPr>
          <a:r>
            <a:rPr lang="en-US" altLang="ja-JP" sz="1400" b="1" i="0" u="none" strike="noStrike" baseline="0">
              <a:solidFill>
                <a:srgbClr val="000000"/>
              </a:solidFill>
              <a:latin typeface="ＭＳ Ｐゴシック"/>
              <a:ea typeface="ＭＳ Ｐゴシック"/>
            </a:rPr>
            <a:t>PM</a:t>
          </a:r>
        </a:p>
      </xdr:txBody>
    </xdr:sp>
    <xdr:clientData/>
  </xdr:oneCellAnchor>
  <xdr:oneCellAnchor>
    <xdr:from>
      <xdr:col>6</xdr:col>
      <xdr:colOff>7198179</xdr:colOff>
      <xdr:row>45</xdr:row>
      <xdr:rowOff>-1</xdr:rowOff>
    </xdr:from>
    <xdr:ext cx="449036" cy="408215"/>
    <xdr:sp macro="" textlink="">
      <xdr:nvSpPr>
        <xdr:cNvPr id="40" name="Text Box 49">
          <a:extLst>
            <a:ext uri="{FF2B5EF4-FFF2-40B4-BE49-F238E27FC236}">
              <a16:creationId xmlns:a16="http://schemas.microsoft.com/office/drawing/2014/main" id="{00000000-0008-0000-0100-000028000000}"/>
            </a:ext>
          </a:extLst>
        </xdr:cNvPr>
        <xdr:cNvSpPr txBox="1">
          <a:spLocks noChangeArrowheads="1"/>
        </xdr:cNvSpPr>
      </xdr:nvSpPr>
      <xdr:spPr bwMode="auto">
        <a:xfrm>
          <a:off x="12273643" y="40073035"/>
          <a:ext cx="449036" cy="408215"/>
        </a:xfrm>
        <a:prstGeom prst="rect">
          <a:avLst/>
        </a:prstGeom>
        <a:noFill/>
        <a:ln w="9525">
          <a:noFill/>
          <a:miter lim="800000"/>
          <a:headEnd/>
          <a:tailEnd/>
        </a:ln>
      </xdr:spPr>
      <xdr:txBody>
        <a:bodyPr wrap="square" lIns="36576" tIns="22860" rIns="0" bIns="0" anchor="t" upright="1">
          <a:noAutofit/>
        </a:bodyPr>
        <a:lstStyle/>
        <a:p>
          <a:pPr algn="ctr" rtl="0">
            <a:defRPr sz="1000"/>
          </a:pPr>
          <a:r>
            <a:rPr lang="ja-JP" altLang="en-US" sz="2400" b="1" i="0" u="none" strike="noStrike" baseline="0">
              <a:solidFill>
                <a:srgbClr val="000000"/>
              </a:solidFill>
              <a:latin typeface="ＭＳ Ｐゴシック"/>
              <a:ea typeface="ＭＳ Ｐゴシック"/>
            </a:rPr>
            <a:t>←</a:t>
          </a:r>
        </a:p>
      </xdr:txBody>
    </xdr:sp>
    <xdr:clientData/>
  </xdr:oneCellAnchor>
  <xdr:oneCellAnchor>
    <xdr:from>
      <xdr:col>6</xdr:col>
      <xdr:colOff>4408714</xdr:colOff>
      <xdr:row>40</xdr:row>
      <xdr:rowOff>149679</xdr:rowOff>
    </xdr:from>
    <xdr:ext cx="1074964" cy="163286"/>
    <xdr:sp macro="" textlink="">
      <xdr:nvSpPr>
        <xdr:cNvPr id="42" name="Text Box 46">
          <a:extLst>
            <a:ext uri="{FF2B5EF4-FFF2-40B4-BE49-F238E27FC236}">
              <a16:creationId xmlns:a16="http://schemas.microsoft.com/office/drawing/2014/main" id="{00000000-0008-0000-0100-00002A000000}"/>
            </a:ext>
          </a:extLst>
        </xdr:cNvPr>
        <xdr:cNvSpPr txBox="1">
          <a:spLocks noChangeArrowheads="1"/>
        </xdr:cNvSpPr>
      </xdr:nvSpPr>
      <xdr:spPr bwMode="auto">
        <a:xfrm>
          <a:off x="9484178" y="39338250"/>
          <a:ext cx="1074964" cy="163286"/>
        </a:xfrm>
        <a:prstGeom prst="rect">
          <a:avLst/>
        </a:prstGeom>
        <a:noFill/>
        <a:ln w="19050">
          <a:noFill/>
          <a:miter lim="800000"/>
          <a:headEnd/>
          <a:tailEnd/>
        </a:ln>
      </xdr:spPr>
      <xdr:txBody>
        <a:bodyPr wrap="square" lIns="18288" tIns="18288" rIns="18288" bIns="0" anchor="t" upright="1">
          <a:noAutofit/>
        </a:bodyPr>
        <a:lstStyle/>
        <a:p>
          <a:pPr algn="ctr" rtl="0">
            <a:defRPr sz="1000"/>
          </a:pPr>
          <a:r>
            <a:rPr lang="ja-JP" altLang="en-US" sz="1400" b="1" i="0" u="none" strike="noStrike" baseline="0">
              <a:solidFill>
                <a:srgbClr val="000000"/>
              </a:solidFill>
              <a:latin typeface="ＭＳ Ｐゴシック"/>
              <a:ea typeface="ＭＳ Ｐゴシック"/>
            </a:rPr>
            <a:t>審査</a:t>
          </a:r>
          <a:r>
            <a:rPr lang="en-US" altLang="ja-JP" sz="1400" b="1" i="0" u="none" strike="noStrike" baseline="0">
              <a:solidFill>
                <a:srgbClr val="000000"/>
              </a:solidFill>
              <a:latin typeface="ＭＳ Ｐゴシック"/>
              <a:ea typeface="ＭＳ Ｐゴシック"/>
            </a:rPr>
            <a:t>/</a:t>
          </a:r>
          <a:r>
            <a:rPr lang="ja-JP" altLang="en-US" sz="1400" b="1" i="0" u="none" strike="noStrike" baseline="0">
              <a:solidFill>
                <a:srgbClr val="000000"/>
              </a:solidFill>
              <a:latin typeface="ＭＳ Ｐゴシック"/>
              <a:ea typeface="ＭＳ Ｐゴシック"/>
            </a:rPr>
            <a:t>承認</a:t>
          </a:r>
        </a:p>
      </xdr:txBody>
    </xdr:sp>
    <xdr:clientData/>
  </xdr:oneCellAnchor>
  <xdr:oneCellAnchor>
    <xdr:from>
      <xdr:col>6</xdr:col>
      <xdr:colOff>9293680</xdr:colOff>
      <xdr:row>40</xdr:row>
      <xdr:rowOff>149679</xdr:rowOff>
    </xdr:from>
    <xdr:ext cx="1074964" cy="163286"/>
    <xdr:sp macro="" textlink="">
      <xdr:nvSpPr>
        <xdr:cNvPr id="44" name="Text Box 46">
          <a:extLst>
            <a:ext uri="{FF2B5EF4-FFF2-40B4-BE49-F238E27FC236}">
              <a16:creationId xmlns:a16="http://schemas.microsoft.com/office/drawing/2014/main" id="{00000000-0008-0000-0100-00002C000000}"/>
            </a:ext>
          </a:extLst>
        </xdr:cNvPr>
        <xdr:cNvSpPr txBox="1">
          <a:spLocks noChangeArrowheads="1"/>
        </xdr:cNvSpPr>
      </xdr:nvSpPr>
      <xdr:spPr bwMode="auto">
        <a:xfrm>
          <a:off x="14369144" y="39338250"/>
          <a:ext cx="1074964" cy="163286"/>
        </a:xfrm>
        <a:prstGeom prst="rect">
          <a:avLst/>
        </a:prstGeom>
        <a:noFill/>
        <a:ln w="19050">
          <a:noFill/>
          <a:miter lim="800000"/>
          <a:headEnd/>
          <a:tailEnd/>
        </a:ln>
      </xdr:spPr>
      <xdr:txBody>
        <a:bodyPr wrap="square" lIns="18288" tIns="18288" rIns="18288" bIns="0" anchor="t" upright="1">
          <a:noAutofit/>
        </a:bodyPr>
        <a:lstStyle/>
        <a:p>
          <a:pPr algn="ctr" rtl="0">
            <a:defRPr sz="1000"/>
          </a:pPr>
          <a:r>
            <a:rPr lang="ja-JP" altLang="en-US" sz="1400" b="1" i="0" u="none" strike="noStrike" baseline="0">
              <a:solidFill>
                <a:srgbClr val="000000"/>
              </a:solidFill>
              <a:latin typeface="ＭＳ Ｐゴシック"/>
              <a:ea typeface="ＭＳ Ｐゴシック"/>
            </a:rPr>
            <a:t>作成</a:t>
          </a:r>
        </a:p>
      </xdr:txBody>
    </xdr:sp>
    <xdr:clientData/>
  </xdr:oneCellAnchor>
  <xdr:twoCellAnchor>
    <xdr:from>
      <xdr:col>6</xdr:col>
      <xdr:colOff>9525</xdr:colOff>
      <xdr:row>42</xdr:row>
      <xdr:rowOff>57150</xdr:rowOff>
    </xdr:from>
    <xdr:to>
      <xdr:col>6</xdr:col>
      <xdr:colOff>1990725</xdr:colOff>
      <xdr:row>54</xdr:row>
      <xdr:rowOff>152400</xdr:rowOff>
    </xdr:to>
    <xdr:grpSp>
      <xdr:nvGrpSpPr>
        <xdr:cNvPr id="42706" name="Group 33">
          <a:extLst>
            <a:ext uri="{FF2B5EF4-FFF2-40B4-BE49-F238E27FC236}">
              <a16:creationId xmlns:a16="http://schemas.microsoft.com/office/drawing/2014/main" id="{00000000-0008-0000-0100-0000D2A60000}"/>
            </a:ext>
          </a:extLst>
        </xdr:cNvPr>
        <xdr:cNvGrpSpPr>
          <a:grpSpLocks/>
        </xdr:cNvGrpSpPr>
      </xdr:nvGrpSpPr>
      <xdr:grpSpPr bwMode="auto">
        <a:xfrm>
          <a:off x="5057775" y="29670375"/>
          <a:ext cx="1981200" cy="2152650"/>
          <a:chOff x="477" y="1773"/>
          <a:chExt cx="102" cy="115"/>
        </a:xfrm>
      </xdr:grpSpPr>
      <xdr:sp macro="" textlink="">
        <xdr:nvSpPr>
          <xdr:cNvPr id="42712" name="Rectangle 34">
            <a:extLst>
              <a:ext uri="{FF2B5EF4-FFF2-40B4-BE49-F238E27FC236}">
                <a16:creationId xmlns:a16="http://schemas.microsoft.com/office/drawing/2014/main" id="{00000000-0008-0000-0100-0000D8A60000}"/>
              </a:ext>
            </a:extLst>
          </xdr:cNvPr>
          <xdr:cNvSpPr>
            <a:spLocks noChangeArrowheads="1"/>
          </xdr:cNvSpPr>
        </xdr:nvSpPr>
        <xdr:spPr bwMode="auto">
          <a:xfrm>
            <a:off x="477" y="1773"/>
            <a:ext cx="101" cy="115"/>
          </a:xfrm>
          <a:prstGeom prst="rect">
            <a:avLst/>
          </a:prstGeom>
          <a:solidFill>
            <a:srgbClr val="FFFFFF"/>
          </a:solidFill>
          <a:ln w="19050">
            <a:solidFill>
              <a:srgbClr val="000000"/>
            </a:solidFill>
            <a:miter lim="800000"/>
            <a:headEnd/>
            <a:tailEnd/>
          </a:ln>
        </xdr:spPr>
      </xdr:sp>
      <xdr:sp macro="" textlink="">
        <xdr:nvSpPr>
          <xdr:cNvPr id="42713" name="Line 35">
            <a:extLst>
              <a:ext uri="{FF2B5EF4-FFF2-40B4-BE49-F238E27FC236}">
                <a16:creationId xmlns:a16="http://schemas.microsoft.com/office/drawing/2014/main" id="{00000000-0008-0000-0100-0000D9A60000}"/>
              </a:ext>
            </a:extLst>
          </xdr:cNvPr>
          <xdr:cNvSpPr>
            <a:spLocks noChangeShapeType="1"/>
          </xdr:cNvSpPr>
        </xdr:nvSpPr>
        <xdr:spPr bwMode="auto">
          <a:xfrm>
            <a:off x="478" y="1808"/>
            <a:ext cx="101" cy="0"/>
          </a:xfrm>
          <a:prstGeom prst="line">
            <a:avLst/>
          </a:prstGeom>
          <a:noFill/>
          <a:ln w="19050">
            <a:solidFill>
              <a:srgbClr val="000000"/>
            </a:solidFill>
            <a:round/>
            <a:headEnd/>
            <a:tailEnd/>
          </a:ln>
          <a:extLst>
            <a:ext uri="{909E8E84-426E-40DD-AFC4-6F175D3DCCD1}">
              <a14:hiddenFill xmlns:a14="http://schemas.microsoft.com/office/drawing/2010/main">
                <a:noFill/>
              </a14:hiddenFill>
            </a:ext>
          </a:extLst>
        </xdr:spPr>
      </xdr:sp>
    </xdr:grpSp>
    <xdr:clientData/>
  </xdr:twoCellAnchor>
  <xdr:oneCellAnchor>
    <xdr:from>
      <xdr:col>6</xdr:col>
      <xdr:colOff>29938</xdr:colOff>
      <xdr:row>42</xdr:row>
      <xdr:rowOff>118382</xdr:rowOff>
    </xdr:from>
    <xdr:ext cx="1932214" cy="523876"/>
    <xdr:sp macro="" textlink="">
      <xdr:nvSpPr>
        <xdr:cNvPr id="25" name="Text Box 42">
          <a:extLst>
            <a:ext uri="{FF2B5EF4-FFF2-40B4-BE49-F238E27FC236}">
              <a16:creationId xmlns:a16="http://schemas.microsoft.com/office/drawing/2014/main" id="{00000000-0008-0000-0100-000019000000}"/>
            </a:ext>
          </a:extLst>
        </xdr:cNvPr>
        <xdr:cNvSpPr txBox="1">
          <a:spLocks noChangeArrowheads="1"/>
        </xdr:cNvSpPr>
      </xdr:nvSpPr>
      <xdr:spPr bwMode="auto">
        <a:xfrm>
          <a:off x="5105402" y="39660739"/>
          <a:ext cx="1932214" cy="523876"/>
        </a:xfrm>
        <a:prstGeom prst="rect">
          <a:avLst/>
        </a:prstGeom>
        <a:noFill/>
        <a:ln w="19050">
          <a:noFill/>
          <a:miter lim="800000"/>
          <a:headEnd/>
          <a:tailEnd/>
        </a:ln>
      </xdr:spPr>
      <xdr:txBody>
        <a:bodyPr wrap="square" lIns="18288" tIns="18288" rIns="18288" bIns="0" anchor="t" upright="1">
          <a:noAutofit/>
        </a:bodyPr>
        <a:lstStyle/>
        <a:p>
          <a:pPr algn="ctr" rtl="0">
            <a:defRPr sz="1000"/>
          </a:pPr>
          <a:r>
            <a:rPr lang="ja-JP" altLang="en-US" sz="1400" b="1" i="0" baseline="0">
              <a:latin typeface="+mn-lt"/>
              <a:ea typeface="+mn-ea"/>
              <a:cs typeface="+mn-cs"/>
            </a:rPr>
            <a:t>本</a:t>
          </a:r>
          <a:r>
            <a:rPr lang="ja-JP" altLang="ja-JP" sz="1400" b="1" i="0" baseline="0">
              <a:latin typeface="+mn-lt"/>
              <a:ea typeface="+mn-ea"/>
              <a:cs typeface="+mn-cs"/>
            </a:rPr>
            <a:t>部長</a:t>
          </a:r>
          <a:endParaRPr lang="en-US" altLang="ja-JP" sz="1400" b="1" i="0" u="none" strike="noStrike" baseline="0">
            <a:solidFill>
              <a:srgbClr val="000000"/>
            </a:solidFill>
            <a:latin typeface="ＭＳ Ｐゴシック"/>
            <a:ea typeface="ＭＳ Ｐゴシック"/>
          </a:endParaRPr>
        </a:p>
      </xdr:txBody>
    </xdr:sp>
    <xdr:clientData/>
  </xdr:oneCellAnchor>
  <xdr:oneCellAnchor>
    <xdr:from>
      <xdr:col>6</xdr:col>
      <xdr:colOff>2245178</xdr:colOff>
      <xdr:row>44</xdr:row>
      <xdr:rowOff>149678</xdr:rowOff>
    </xdr:from>
    <xdr:ext cx="449036" cy="408215"/>
    <xdr:sp macro="" textlink="">
      <xdr:nvSpPr>
        <xdr:cNvPr id="26" name="Text Box 49">
          <a:extLst>
            <a:ext uri="{FF2B5EF4-FFF2-40B4-BE49-F238E27FC236}">
              <a16:creationId xmlns:a16="http://schemas.microsoft.com/office/drawing/2014/main" id="{00000000-0008-0000-0100-00001A000000}"/>
            </a:ext>
          </a:extLst>
        </xdr:cNvPr>
        <xdr:cNvSpPr txBox="1">
          <a:spLocks noChangeArrowheads="1"/>
        </xdr:cNvSpPr>
      </xdr:nvSpPr>
      <xdr:spPr bwMode="auto">
        <a:xfrm>
          <a:off x="7320642" y="40045821"/>
          <a:ext cx="449036" cy="408215"/>
        </a:xfrm>
        <a:prstGeom prst="rect">
          <a:avLst/>
        </a:prstGeom>
        <a:noFill/>
        <a:ln w="9525">
          <a:noFill/>
          <a:miter lim="800000"/>
          <a:headEnd/>
          <a:tailEnd/>
        </a:ln>
      </xdr:spPr>
      <xdr:txBody>
        <a:bodyPr wrap="square" lIns="36576" tIns="22860" rIns="0" bIns="0" anchor="t" upright="1">
          <a:noAutofit/>
        </a:bodyPr>
        <a:lstStyle/>
        <a:p>
          <a:pPr algn="ctr" rtl="0">
            <a:defRPr sz="1000"/>
          </a:pPr>
          <a:r>
            <a:rPr lang="ja-JP" altLang="en-US" sz="2400" b="1" i="0" u="none" strike="noStrike" baseline="0">
              <a:solidFill>
                <a:srgbClr val="000000"/>
              </a:solidFill>
              <a:latin typeface="ＭＳ Ｐゴシック"/>
              <a:ea typeface="ＭＳ Ｐゴシック"/>
            </a:rPr>
            <a:t>←</a:t>
          </a:r>
        </a:p>
      </xdr:txBody>
    </xdr:sp>
    <xdr:clientData/>
  </xdr:oneCellAnchor>
  <xdr:twoCellAnchor editAs="oneCell">
    <xdr:from>
      <xdr:col>5</xdr:col>
      <xdr:colOff>704850</xdr:colOff>
      <xdr:row>55</xdr:row>
      <xdr:rowOff>104775</xdr:rowOff>
    </xdr:from>
    <xdr:to>
      <xdr:col>6</xdr:col>
      <xdr:colOff>20955</xdr:colOff>
      <xdr:row>57</xdr:row>
      <xdr:rowOff>59055</xdr:rowOff>
    </xdr:to>
    <xdr:sp macro="" textlink="">
      <xdr:nvSpPr>
        <xdr:cNvPr id="42709" name="Text Box 316">
          <a:extLst>
            <a:ext uri="{FF2B5EF4-FFF2-40B4-BE49-F238E27FC236}">
              <a16:creationId xmlns:a16="http://schemas.microsoft.com/office/drawing/2014/main" id="{00000000-0008-0000-0100-0000D5A60000}"/>
            </a:ext>
          </a:extLst>
        </xdr:cNvPr>
        <xdr:cNvSpPr txBox="1">
          <a:spLocks noChangeArrowheads="1"/>
        </xdr:cNvSpPr>
      </xdr:nvSpPr>
      <xdr:spPr bwMode="auto">
        <a:xfrm>
          <a:off x="5038725" y="41890950"/>
          <a:ext cx="381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6</xdr:col>
      <xdr:colOff>465365</xdr:colOff>
      <xdr:row>40</xdr:row>
      <xdr:rowOff>166008</xdr:rowOff>
    </xdr:from>
    <xdr:ext cx="1074964" cy="163286"/>
    <xdr:sp macro="" textlink="">
      <xdr:nvSpPr>
        <xdr:cNvPr id="30" name="Text Box 46">
          <a:extLst>
            <a:ext uri="{FF2B5EF4-FFF2-40B4-BE49-F238E27FC236}">
              <a16:creationId xmlns:a16="http://schemas.microsoft.com/office/drawing/2014/main" id="{00000000-0008-0000-0100-00001E000000}"/>
            </a:ext>
          </a:extLst>
        </xdr:cNvPr>
        <xdr:cNvSpPr txBox="1">
          <a:spLocks noChangeArrowheads="1"/>
        </xdr:cNvSpPr>
      </xdr:nvSpPr>
      <xdr:spPr bwMode="auto">
        <a:xfrm>
          <a:off x="5540829" y="39354579"/>
          <a:ext cx="1074964" cy="163286"/>
        </a:xfrm>
        <a:prstGeom prst="rect">
          <a:avLst/>
        </a:prstGeom>
        <a:noFill/>
        <a:ln w="19050">
          <a:noFill/>
          <a:miter lim="800000"/>
          <a:headEnd/>
          <a:tailEnd/>
        </a:ln>
      </xdr:spPr>
      <xdr:txBody>
        <a:bodyPr wrap="square" lIns="18288" tIns="18288" rIns="18288" bIns="0" anchor="t" upright="1">
          <a:noAutofit/>
        </a:bodyPr>
        <a:lstStyle/>
        <a:p>
          <a:pPr algn="ctr" rtl="0">
            <a:defRPr sz="1000"/>
          </a:pPr>
          <a:r>
            <a:rPr lang="ja-JP" altLang="en-US" sz="1400" b="1" i="0" u="none" strike="noStrike" baseline="0">
              <a:solidFill>
                <a:srgbClr val="000000"/>
              </a:solidFill>
              <a:latin typeface="ＭＳ Ｐゴシック"/>
              <a:ea typeface="ＭＳ Ｐゴシック"/>
            </a:rPr>
            <a:t>承認</a:t>
          </a:r>
        </a:p>
      </xdr:txBody>
    </xdr:sp>
    <xdr:clientData/>
  </xdr:oneCellAnchor>
  <xdr:oneCellAnchor>
    <xdr:from>
      <xdr:col>5</xdr:col>
      <xdr:colOff>381000</xdr:colOff>
      <xdr:row>55</xdr:row>
      <xdr:rowOff>76200</xdr:rowOff>
    </xdr:from>
    <xdr:ext cx="4709046" cy="275717"/>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4714875" y="41681400"/>
          <a:ext cx="470904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1100"/>
            <a:t>採算原価見積金額が</a:t>
          </a:r>
          <a:r>
            <a:rPr kumimoji="1" lang="en-US" altLang="ja-JP" sz="1100"/>
            <a:t>5000</a:t>
          </a:r>
          <a:r>
            <a:rPr kumimoji="1" lang="ja-JP" altLang="en-US" sz="1100"/>
            <a:t>万円以上の案件は本部長承認を必要とします。</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9</xdr:col>
      <xdr:colOff>6350</xdr:colOff>
      <xdr:row>10</xdr:row>
      <xdr:rowOff>169931</xdr:rowOff>
    </xdr:from>
    <xdr:to>
      <xdr:col>13</xdr:col>
      <xdr:colOff>698500</xdr:colOff>
      <xdr:row>66</xdr:row>
      <xdr:rowOff>88107</xdr:rowOff>
    </xdr:to>
    <xdr:sp macro="" textlink="">
      <xdr:nvSpPr>
        <xdr:cNvPr id="2" name="角丸四角形 2">
          <a:extLst>
            <a:ext uri="{FF2B5EF4-FFF2-40B4-BE49-F238E27FC236}">
              <a16:creationId xmlns:a16="http://schemas.microsoft.com/office/drawing/2014/main" id="{6E8BEA60-2735-4F9E-AF01-AD4AFB32058F}"/>
            </a:ext>
          </a:extLst>
        </xdr:cNvPr>
        <xdr:cNvSpPr/>
      </xdr:nvSpPr>
      <xdr:spPr bwMode="auto">
        <a:xfrm>
          <a:off x="7772400" y="2487681"/>
          <a:ext cx="4406900" cy="11595826"/>
        </a:xfrm>
        <a:prstGeom prst="roundRect">
          <a:avLst>
            <a:gd name="adj" fmla="val 8460"/>
          </a:avLst>
        </a:prstGeom>
        <a:solidFill>
          <a:srgbClr val="FFFFFF">
            <a:alpha val="28000"/>
          </a:srgbClr>
        </a:solid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2</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リスクを顕在化させない</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ための対応策を策定する。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solidFill>
                <a:schemeClr val="tx1"/>
              </a:solidFill>
              <a:latin typeface="メイリオ" panose="020B0604030504040204" pitchFamily="50" charset="-128"/>
              <a:ea typeface="メイリオ" panose="020B0604030504040204" pitchFamily="50" charset="-128"/>
            </a:rPr>
            <a:t>・手順</a:t>
          </a:r>
          <a:r>
            <a:rPr kumimoji="1" lang="en-US" altLang="ja-JP" sz="1200" i="0">
              <a:solidFill>
                <a:schemeClr val="tx1"/>
              </a:solidFill>
              <a:latin typeface="メイリオ" panose="020B0604030504040204" pitchFamily="50" charset="-128"/>
              <a:ea typeface="メイリオ" panose="020B0604030504040204" pitchFamily="50" charset="-128"/>
            </a:rPr>
            <a:t>1</a:t>
          </a:r>
          <a:r>
            <a:rPr kumimoji="1" lang="ja-JP" altLang="en-US" sz="1200" i="0">
              <a:solidFill>
                <a:schemeClr val="tx1"/>
              </a:solidFill>
              <a:latin typeface="メイリオ" panose="020B0604030504040204" pitchFamily="50" charset="-128"/>
              <a:ea typeface="メイリオ" panose="020B0604030504040204" pitchFamily="50" charset="-128"/>
            </a:rPr>
            <a:t>で算出した</a:t>
          </a:r>
          <a:r>
            <a:rPr kumimoji="1" lang="ja-JP" altLang="en-US" sz="1200" b="1" i="0" u="sng">
              <a:solidFill>
                <a:schemeClr val="tx1"/>
              </a:solidFill>
              <a:latin typeface="メイリオ" panose="020B0604030504040204" pitchFamily="50" charset="-128"/>
              <a:ea typeface="メイリオ" panose="020B0604030504040204" pitchFamily="50" charset="-128"/>
            </a:rPr>
            <a:t>予測値</a:t>
          </a:r>
          <a:r>
            <a:rPr kumimoji="1" lang="en-US" altLang="ja-JP" sz="1200" b="1" i="0" u="sng">
              <a:solidFill>
                <a:schemeClr val="tx1"/>
              </a:solidFill>
              <a:latin typeface="メイリオ" panose="020B0604030504040204" pitchFamily="50" charset="-128"/>
              <a:ea typeface="メイリオ" panose="020B0604030504040204" pitchFamily="50" charset="-128"/>
            </a:rPr>
            <a:t>(</a:t>
          </a:r>
          <a:r>
            <a:rPr kumimoji="1" lang="en-US" altLang="ja-JP" sz="1200" b="1" i="0" u="sng">
              <a:solidFill>
                <a:schemeClr val="tx1"/>
              </a:solidFill>
              <a:effectLst/>
              <a:latin typeface="メイリオ" panose="020B0604030504040204" pitchFamily="50" charset="-128"/>
              <a:ea typeface="メイリオ" panose="020B0604030504040204" pitchFamily="50" charset="-128"/>
              <a:cs typeface="+mn-cs"/>
            </a:rPr>
            <a:t>\</a:t>
          </a:r>
          <a:r>
            <a:rPr kumimoji="1" lang="en-US" altLang="ja-JP" sz="1200" b="1" i="0" u="sng">
              <a:solidFill>
                <a:schemeClr val="tx1"/>
              </a:solidFill>
              <a:latin typeface="メイリオ" panose="020B0604030504040204" pitchFamily="50" charset="-128"/>
              <a:ea typeface="メイリオ" panose="020B0604030504040204" pitchFamily="50" charset="-128"/>
            </a:rPr>
            <a:t>M</a:t>
          </a:r>
          <a:r>
            <a:rPr kumimoji="1" lang="en-US" altLang="ja-JP" sz="1200" b="1" i="0">
              <a:solidFill>
                <a:schemeClr val="tx1"/>
              </a:solidFill>
              <a:latin typeface="メイリオ" panose="020B0604030504040204" pitchFamily="50" charset="-128"/>
              <a:ea typeface="メイリオ" panose="020B0604030504040204" pitchFamily="50" charset="-128"/>
            </a:rPr>
            <a:t>)</a:t>
          </a:r>
          <a:r>
            <a:rPr kumimoji="1" lang="ja-JP" altLang="en-US" sz="1200" i="0">
              <a:solidFill>
                <a:schemeClr val="tx1"/>
              </a:solidFill>
              <a:latin typeface="メイリオ" panose="020B0604030504040204" pitchFamily="50" charset="-128"/>
              <a:ea typeface="メイリオ" panose="020B0604030504040204" pitchFamily="50" charset="-128"/>
            </a:rPr>
            <a:t>を踏まえて、想定される</a:t>
          </a:r>
          <a:endParaRPr kumimoji="1" lang="en-US" altLang="ja-JP" sz="1200" i="0">
            <a:solidFill>
              <a:schemeClr val="tx1"/>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i="0">
              <a:solidFill>
                <a:schemeClr val="tx1"/>
              </a:solidFill>
              <a:latin typeface="メイリオ" panose="020B0604030504040204" pitchFamily="50" charset="-128"/>
              <a:ea typeface="メイリオ" panose="020B0604030504040204" pitchFamily="50" charset="-128"/>
            </a:rPr>
            <a:t>　各リスクに対する</a:t>
          </a:r>
          <a:r>
            <a:rPr kumimoji="1" lang="ja-JP" altLang="en-US" sz="1200" b="1" i="0" u="sng">
              <a:solidFill>
                <a:schemeClr val="tx1"/>
              </a:solidFill>
              <a:latin typeface="メイリオ" panose="020B0604030504040204" pitchFamily="50" charset="-128"/>
              <a:ea typeface="メイリオ" panose="020B0604030504040204" pitchFamily="50" charset="-128"/>
            </a:rPr>
            <a:t>対応方針</a:t>
          </a:r>
          <a:r>
            <a:rPr kumimoji="1" lang="ja-JP" altLang="en-US" sz="1200" b="0" i="0">
              <a:solidFill>
                <a:schemeClr val="tx1"/>
              </a:solidFill>
              <a:latin typeface="メイリオ" panose="020B0604030504040204" pitchFamily="50" charset="-128"/>
              <a:ea typeface="メイリオ" panose="020B0604030504040204" pitchFamily="50" charset="-128"/>
            </a:rPr>
            <a:t>をプルダウンリストから選択し、</a:t>
          </a:r>
          <a:endParaRPr kumimoji="1" lang="en-US" altLang="ja-JP" sz="1200" b="0" i="0">
            <a:solidFill>
              <a:schemeClr val="tx1"/>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0" i="0">
              <a:solidFill>
                <a:schemeClr val="tx1"/>
              </a:solidFill>
              <a:latin typeface="メイリオ" panose="020B0604030504040204" pitchFamily="50" charset="-128"/>
              <a:ea typeface="メイリオ" panose="020B0604030504040204" pitchFamily="50" charset="-128"/>
            </a:rPr>
            <a:t>　決定</a:t>
          </a:r>
          <a:r>
            <a:rPr kumimoji="1" lang="ja-JP" altLang="en-US" sz="1200" i="0">
              <a:solidFill>
                <a:schemeClr val="tx1"/>
              </a:solidFill>
              <a:latin typeface="メイリオ" panose="020B0604030504040204" pitchFamily="50" charset="-128"/>
              <a:ea typeface="メイリオ" panose="020B0604030504040204" pitchFamily="50" charset="-128"/>
            </a:rPr>
            <a:t>します。</a:t>
          </a:r>
          <a:endParaRPr kumimoji="1" lang="en-US" altLang="ja-JP" sz="1200" i="0">
            <a:solidFill>
              <a:schemeClr val="tx1"/>
            </a:solidFill>
            <a:latin typeface="メイリオ" panose="020B0604030504040204" pitchFamily="50" charset="-128"/>
            <a:ea typeface="メイリオ" panose="020B0604030504040204" pitchFamily="50" charset="-128"/>
          </a:endParaRPr>
        </a:p>
        <a:p>
          <a:pPr eaLnBrk="1" fontAlgn="auto" latinLnBrk="0" hangingPunct="1"/>
          <a:r>
            <a:rPr kumimoji="1" lang="en-US" altLang="ja-JP" sz="1200" b="0" i="0" baseline="0">
              <a:solidFill>
                <a:schemeClr val="tx1"/>
              </a:solidFill>
              <a:effectLst/>
              <a:latin typeface="+mn-lt"/>
              <a:ea typeface="+mn-ea"/>
              <a:cs typeface="+mn-cs"/>
            </a:rPr>
            <a:t> </a:t>
          </a:r>
          <a:r>
            <a:rPr kumimoji="1" lang="ja-JP" altLang="ja-JP" sz="1200" b="0" i="0" baseline="0">
              <a:solidFill>
                <a:schemeClr val="tx1"/>
              </a:solidFill>
              <a:effectLst/>
              <a:latin typeface="+mn-lt"/>
              <a:ea typeface="+mn-ea"/>
              <a:cs typeface="+mn-cs"/>
            </a:rPr>
            <a:t>・</a:t>
          </a:r>
          <a:r>
            <a:rPr kumimoji="1" lang="ja-JP" altLang="ja-JP" sz="1200" b="1" i="0" baseline="0">
              <a:solidFill>
                <a:schemeClr val="tx1"/>
              </a:solidFill>
              <a:effectLst/>
              <a:latin typeface="メイリオ" panose="020B0604030504040204" pitchFamily="50" charset="-128"/>
              <a:ea typeface="メイリオ" panose="020B0604030504040204" pitchFamily="50" charset="-128"/>
              <a:cs typeface="+mn-cs"/>
            </a:rPr>
            <a:t>対応方針</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に従い、</a:t>
          </a:r>
          <a:r>
            <a:rPr kumimoji="1" lang="ja-JP" altLang="ja-JP" sz="1200" b="1" i="0" u="sng" baseline="0">
              <a:solidFill>
                <a:schemeClr val="tx1"/>
              </a:solidFill>
              <a:effectLst/>
              <a:latin typeface="メイリオ" panose="020B0604030504040204" pitchFamily="50" charset="-128"/>
              <a:ea typeface="メイリオ" panose="020B0604030504040204" pitchFamily="50" charset="-128"/>
              <a:cs typeface="+mn-cs"/>
            </a:rPr>
            <a:t>リスクを顕在化させないための対応策</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を</a:t>
          </a:r>
          <a:endParaRPr kumimoji="1" lang="en-US" altLang="ja-JP" sz="1200" b="0" i="0" baseline="0">
            <a:solidFill>
              <a:schemeClr val="tx1"/>
            </a:solidFill>
            <a:effectLst/>
            <a:latin typeface="メイリオ" panose="020B0604030504040204" pitchFamily="50" charset="-128"/>
            <a:ea typeface="メイリオ" panose="020B0604030504040204" pitchFamily="50" charset="-128"/>
            <a:cs typeface="+mn-cs"/>
          </a:endParaRPr>
        </a:p>
        <a:p>
          <a:pPr eaLnBrk="1" fontAlgn="auto" latinLnBrk="0" hangingPunct="1"/>
          <a:r>
            <a:rPr kumimoji="1" lang="ja-JP" altLang="en-US" sz="1200" b="0" i="0" baseline="0">
              <a:solidFill>
                <a:schemeClr val="tx1"/>
              </a:solidFill>
              <a:effectLst/>
              <a:latin typeface="メイリオ" panose="020B0604030504040204" pitchFamily="50" charset="-128"/>
              <a:ea typeface="メイリオ" panose="020B0604030504040204" pitchFamily="50" charset="-128"/>
              <a:cs typeface="+mn-cs"/>
            </a:rPr>
            <a:t>　</a:t>
          </a:r>
          <a:r>
            <a:rPr kumimoji="1" lang="ja-JP" altLang="ja-JP" sz="1200" b="0" i="0" baseline="0">
              <a:solidFill>
                <a:schemeClr val="tx1"/>
              </a:solidFill>
              <a:effectLst/>
              <a:latin typeface="メイリオ" panose="020B0604030504040204" pitchFamily="50" charset="-128"/>
              <a:ea typeface="メイリオ" panose="020B0604030504040204" pitchFamily="50" charset="-128"/>
              <a:cs typeface="+mn-cs"/>
            </a:rPr>
            <a:t>策定します。</a:t>
          </a:r>
          <a:endParaRPr lang="ja-JP" altLang="ja-JP" sz="1200">
            <a:solidFill>
              <a:schemeClr val="tx1"/>
            </a:solidFill>
            <a:effectLst/>
            <a:latin typeface="メイリオ" panose="020B0604030504040204" pitchFamily="50" charset="-128"/>
            <a:ea typeface="メイリオ" panose="020B0604030504040204" pitchFamily="50" charset="-128"/>
          </a:endParaRPr>
        </a:p>
        <a:p>
          <a:r>
            <a:rPr kumimoji="1" lang="en-US" altLang="ja-JP" sz="1100" b="0" i="0" baseline="0">
              <a:effectLst/>
              <a:latin typeface="+mn-lt"/>
              <a:ea typeface="+mn-ea"/>
              <a:cs typeface="+mn-cs"/>
            </a:rPr>
            <a:t> </a:t>
          </a:r>
          <a:r>
            <a:rPr kumimoji="1" lang="ja-JP" altLang="ja-JP" sz="1100" b="0" i="0" baseline="0">
              <a:effectLst/>
              <a:latin typeface="+mn-lt"/>
              <a:ea typeface="+mn-ea"/>
              <a:cs typeface="+mn-cs"/>
            </a:rPr>
            <a:t>・</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対応期限</a:t>
          </a:r>
          <a:r>
            <a:rPr kumimoji="1" lang="ja-JP" altLang="ja-JP" sz="1200" b="0" i="0">
              <a:solidFill>
                <a:schemeClr val="tx1"/>
              </a:solidFill>
              <a:effectLst/>
              <a:latin typeface="メイリオ" panose="020B0604030504040204" pitchFamily="50" charset="-128"/>
              <a:ea typeface="メイリオ" panose="020B0604030504040204" pitchFamily="50" charset="-128"/>
              <a:cs typeface="+mn-cs"/>
            </a:rPr>
            <a:t>、</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対応責任者</a:t>
          </a:r>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を設定し、対応策の実施が完了</a:t>
          </a:r>
          <a:endParaRPr lang="ja-JP" altLang="ja-JP" sz="1200">
            <a:solidFill>
              <a:schemeClr val="tx1"/>
            </a:solidFill>
            <a:effectLst/>
            <a:latin typeface="メイリオ" panose="020B0604030504040204" pitchFamily="50" charset="-128"/>
            <a:ea typeface="メイリオ" panose="020B0604030504040204" pitchFamily="50" charset="-128"/>
          </a:endParaRPr>
        </a:p>
        <a:p>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　したら、</a:t>
          </a:r>
          <a:r>
            <a:rPr kumimoji="1" lang="ja-JP" altLang="ja-JP" sz="1200" b="1" i="0" u="sng">
              <a:solidFill>
                <a:schemeClr val="tx1"/>
              </a:solidFill>
              <a:effectLst/>
              <a:latin typeface="メイリオ" panose="020B0604030504040204" pitchFamily="50" charset="-128"/>
              <a:ea typeface="メイリオ" panose="020B0604030504040204" pitchFamily="50" charset="-128"/>
              <a:cs typeface="+mn-cs"/>
            </a:rPr>
            <a:t>対応策実施完了日</a:t>
          </a:r>
          <a:r>
            <a:rPr kumimoji="1" lang="ja-JP" altLang="ja-JP" sz="1200" i="0">
              <a:solidFill>
                <a:schemeClr val="tx1"/>
              </a:solidFill>
              <a:effectLst/>
              <a:latin typeface="メイリオ" panose="020B0604030504040204" pitchFamily="50" charset="-128"/>
              <a:ea typeface="メイリオ" panose="020B0604030504040204" pitchFamily="50" charset="-128"/>
              <a:cs typeface="+mn-cs"/>
            </a:rPr>
            <a:t>に日付を記載します。</a:t>
          </a:r>
          <a:endParaRPr lang="ja-JP" altLang="ja-JP" sz="1200">
            <a:solidFill>
              <a:schemeClr val="tx1"/>
            </a:solidFill>
            <a:effectLst/>
            <a:latin typeface="メイリオ" panose="020B0604030504040204" pitchFamily="50" charset="-128"/>
            <a:ea typeface="メイリオ" panose="020B0604030504040204" pitchFamily="50" charset="-128"/>
          </a:endParaRPr>
        </a:p>
        <a:p>
          <a:pPr algn="l">
            <a:lnSpc>
              <a:spcPct val="88000"/>
            </a:lnSpc>
          </a:pPr>
          <a:endParaRPr kumimoji="1" lang="en-US" altLang="ja-JP" sz="1200" i="0">
            <a:solidFill>
              <a:srgbClr val="7030A0"/>
            </a:solidFill>
            <a:latin typeface="メイリオ" panose="020B0604030504040204" pitchFamily="50" charset="-128"/>
            <a:ea typeface="メイリオ" panose="020B0604030504040204" pitchFamily="50" charset="-128"/>
          </a:endParaRPr>
        </a:p>
      </xdr:txBody>
    </xdr:sp>
    <xdr:clientData/>
  </xdr:twoCellAnchor>
  <xdr:twoCellAnchor>
    <xdr:from>
      <xdr:col>0</xdr:col>
      <xdr:colOff>40121</xdr:colOff>
      <xdr:row>10</xdr:row>
      <xdr:rowOff>161528</xdr:rowOff>
    </xdr:from>
    <xdr:to>
      <xdr:col>8</xdr:col>
      <xdr:colOff>306294</xdr:colOff>
      <xdr:row>66</xdr:row>
      <xdr:rowOff>79704</xdr:rowOff>
    </xdr:to>
    <xdr:sp macro="" textlink="">
      <xdr:nvSpPr>
        <xdr:cNvPr id="3" name="角丸四角形 1">
          <a:extLst>
            <a:ext uri="{FF2B5EF4-FFF2-40B4-BE49-F238E27FC236}">
              <a16:creationId xmlns:a16="http://schemas.microsoft.com/office/drawing/2014/main" id="{047BE631-AA45-4BE5-A2A3-5EA8E152B994}"/>
            </a:ext>
          </a:extLst>
        </xdr:cNvPr>
        <xdr:cNvSpPr/>
      </xdr:nvSpPr>
      <xdr:spPr bwMode="auto">
        <a:xfrm>
          <a:off x="40121" y="2479278"/>
          <a:ext cx="7689323" cy="11595826"/>
        </a:xfrm>
        <a:prstGeom prst="roundRect">
          <a:avLst>
            <a:gd name="adj" fmla="val 5022"/>
          </a:avLst>
        </a:prstGeom>
        <a:solidFill>
          <a:srgbClr val="FFFFFF">
            <a:alpha val="30000"/>
          </a:srgbClr>
        </a:solid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手順１</a:t>
          </a:r>
          <a:r>
            <a:rPr kumimoji="1" lang="en-US" altLang="ja-JP" sz="2800" i="0">
              <a:latin typeface="メイリオ" panose="020B0604030504040204" pitchFamily="50" charset="-128"/>
              <a:ea typeface="メイリオ" panose="020B0604030504040204" pitchFamily="50" charset="-128"/>
            </a:rPr>
            <a:t>:</a:t>
          </a:r>
        </a:p>
        <a:p>
          <a:pPr algn="l">
            <a:lnSpc>
              <a:spcPct val="88000"/>
            </a:lnSpc>
          </a:pPr>
          <a:r>
            <a:rPr kumimoji="1" lang="ja-JP" altLang="en-US" sz="2800" i="0">
              <a:latin typeface="メイリオ" panose="020B0604030504040204" pitchFamily="50" charset="-128"/>
              <a:ea typeface="メイリオ" panose="020B0604030504040204" pitchFamily="50" charset="-128"/>
            </a:rPr>
            <a:t>リスクを特定し、発生確率と影響度、リスクが顕在化したときに必要となる対応コストを予測する。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案件チェックリストにてリスクを洗い出します。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想定されるリスク要因と、その影響による現象を</a:t>
          </a:r>
          <a:r>
            <a:rPr kumimoji="1" lang="ja-JP" altLang="en-US" sz="1200" b="1" i="0" u="sng" baseline="0">
              <a:latin typeface="メイリオ" panose="020B0604030504040204" pitchFamily="50" charset="-128"/>
              <a:ea typeface="メイリオ" panose="020B0604030504040204" pitchFamily="50" charset="-128"/>
            </a:rPr>
            <a:t>リスクイベント</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案件チェックリストにて「リスクあり」となった場合、該当項目の</a:t>
          </a:r>
          <a:r>
            <a:rPr kumimoji="1" lang="ja-JP" altLang="en-US" sz="1200" b="1" i="0" u="sng" baseline="0">
              <a:latin typeface="メイリオ" panose="020B0604030504040204" pitchFamily="50" charset="-128"/>
              <a:ea typeface="メイリオ" panose="020B0604030504040204" pitchFamily="50" charset="-128"/>
            </a:rPr>
            <a:t>リスク観点</a:t>
          </a:r>
          <a:r>
            <a:rPr kumimoji="1" lang="ja-JP" altLang="en-US" sz="1200" i="0" baseline="0">
              <a:latin typeface="メイリオ" panose="020B0604030504040204" pitchFamily="50" charset="-128"/>
              <a:ea typeface="メイリオ" panose="020B0604030504040204" pitchFamily="50" charset="-128"/>
            </a:rPr>
            <a:t>を選択します。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想定されるリスクに対して、リスクの発生する確率を</a:t>
          </a:r>
          <a:r>
            <a:rPr kumimoji="1" lang="ja-JP" altLang="en-US" sz="1200" b="1" i="0" u="sng" baseline="0">
              <a:latin typeface="メイリオ" panose="020B0604030504040204" pitchFamily="50" charset="-128"/>
              <a:ea typeface="メイリオ" panose="020B0604030504040204" pitchFamily="50" charset="-128"/>
            </a:rPr>
            <a:t>確率</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200" b="1"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リスクが顕在化した場合、プロジェクトに与えるダメージの内容を</a:t>
          </a:r>
          <a:r>
            <a:rPr kumimoji="1" lang="ja-JP" altLang="en-US" sz="1200" b="1" i="0" u="sng" baseline="0">
              <a:latin typeface="メイリオ" panose="020B0604030504040204" pitchFamily="50" charset="-128"/>
              <a:ea typeface="メイリオ" panose="020B0604030504040204" pitchFamily="50" charset="-128"/>
            </a:rPr>
            <a:t>リスクインパクト</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対応コストを算出するための根拠となる数値も記入してください。</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リスクが顕在化した時に必要となる対応コストを見積り、</a:t>
          </a:r>
          <a:r>
            <a:rPr kumimoji="1" lang="ja-JP" altLang="en-US" sz="1200" b="1" i="0" u="sng" baseline="0">
              <a:latin typeface="メイリオ" panose="020B0604030504040204" pitchFamily="50" charset="-128"/>
              <a:ea typeface="メイリオ" panose="020B0604030504040204" pitchFamily="50" charset="-128"/>
            </a:rPr>
            <a:t>金額</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に記載します。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a:t>
          </a:r>
          <a:r>
            <a:rPr kumimoji="1" lang="ja-JP" altLang="en-US" sz="1200" b="1" i="0" u="sng" baseline="0">
              <a:latin typeface="メイリオ" panose="020B0604030504040204" pitchFamily="50" charset="-128"/>
              <a:ea typeface="メイリオ" panose="020B0604030504040204" pitchFamily="50" charset="-128"/>
            </a:rPr>
            <a:t>確率</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と</a:t>
          </a:r>
          <a:r>
            <a:rPr kumimoji="1" lang="ja-JP" altLang="en-US" sz="1200" b="1" i="0" u="sng" baseline="0">
              <a:latin typeface="メイリオ" panose="020B0604030504040204" pitchFamily="50" charset="-128"/>
              <a:ea typeface="メイリオ" panose="020B0604030504040204" pitchFamily="50" charset="-128"/>
            </a:rPr>
            <a:t>金額</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を記入すると、</a:t>
          </a:r>
          <a:r>
            <a:rPr kumimoji="1" lang="ja-JP" altLang="en-US" sz="1200" b="1" i="0" u="sng" baseline="0">
              <a:latin typeface="メイリオ" panose="020B0604030504040204" pitchFamily="50" charset="-128"/>
              <a:ea typeface="メイリオ" panose="020B0604030504040204" pitchFamily="50" charset="-128"/>
            </a:rPr>
            <a:t>予測値</a:t>
          </a:r>
          <a:r>
            <a:rPr kumimoji="1" lang="en-US" altLang="ja-JP" sz="1200" b="1" i="0" u="sng" baseline="0">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が自動算出されます。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算出式： 予測値＝金額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確率（</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・この</a:t>
          </a:r>
          <a:r>
            <a:rPr kumimoji="1" lang="ja-JP" altLang="en-US" sz="1200" b="1" i="0" u="sng" baseline="0">
              <a:latin typeface="メイリオ" panose="020B0604030504040204" pitchFamily="50" charset="-128"/>
              <a:ea typeface="メイリオ" panose="020B0604030504040204" pitchFamily="50" charset="-128"/>
            </a:rPr>
            <a:t>予測値</a:t>
          </a:r>
          <a:r>
            <a:rPr kumimoji="1" lang="ja-JP" altLang="en-US" sz="1200" i="0" baseline="0">
              <a:latin typeface="メイリオ" panose="020B0604030504040204" pitchFamily="50" charset="-128"/>
              <a:ea typeface="メイリオ" panose="020B0604030504040204" pitchFamily="50" charset="-128"/>
            </a:rPr>
            <a:t>を踏まえて、リスクの順位付け</a:t>
          </a:r>
          <a:r>
            <a:rPr kumimoji="1" lang="en-US" altLang="ja-JP" sz="1200" b="1" i="0" u="sng" baseline="0">
              <a:latin typeface="メイリオ" panose="020B0604030504040204" pitchFamily="50" charset="-128"/>
              <a:ea typeface="メイリオ" panose="020B0604030504040204" pitchFamily="50" charset="-128"/>
            </a:rPr>
            <a:t>(Top20)</a:t>
          </a:r>
          <a:r>
            <a:rPr kumimoji="1" lang="ja-JP" altLang="en-US" sz="1200" i="0" baseline="0">
              <a:latin typeface="メイリオ" panose="020B0604030504040204" pitchFamily="50" charset="-128"/>
              <a:ea typeface="メイリオ" panose="020B0604030504040204" pitchFamily="50" charset="-128"/>
            </a:rPr>
            <a:t>を決定します。</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 原則、予測値の大きいものから順位付けします。ただし、社会的信用の失墜等コストに換算</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ja-JP" sz="1100" i="0" baseline="0">
              <a:effectLst/>
              <a:latin typeface="+mn-lt"/>
              <a:ea typeface="+mn-ea"/>
              <a:cs typeface="+mn-cs"/>
            </a:rPr>
            <a:t>　　　　　</a:t>
          </a:r>
          <a:r>
            <a:rPr kumimoji="1" lang="ja-JP" altLang="en-US" sz="1200" i="0" baseline="0">
              <a:latin typeface="メイリオ" panose="020B0604030504040204" pitchFamily="50" charset="-128"/>
              <a:ea typeface="メイリオ" panose="020B0604030504040204" pitchFamily="50" charset="-128"/>
            </a:rPr>
            <a:t>できないリスクは、プロジェクトマネージャーの判断で順位を付番してください。</a:t>
          </a:r>
        </a:p>
        <a:p>
          <a:pPr algn="l">
            <a:lnSpc>
              <a:spcPct val="88000"/>
            </a:lnSpc>
          </a:pPr>
          <a:r>
            <a:rPr kumimoji="1" lang="ja-JP" altLang="en-US" sz="1200" i="0" baseline="0">
              <a:latin typeface="メイリオ" panose="020B0604030504040204" pitchFamily="50" charset="-128"/>
              <a:ea typeface="メイリオ" panose="020B0604030504040204" pitchFamily="50" charset="-128"/>
            </a:rPr>
            <a:t>         ⇒ 上位</a:t>
          </a:r>
          <a:r>
            <a:rPr kumimoji="1" lang="en-US" altLang="ja-JP" sz="1200" i="0" baseline="0">
              <a:latin typeface="メイリオ" panose="020B0604030504040204" pitchFamily="50" charset="-128"/>
              <a:ea typeface="メイリオ" panose="020B0604030504040204" pitchFamily="50" charset="-128"/>
            </a:rPr>
            <a:t>20</a:t>
          </a:r>
          <a:r>
            <a:rPr kumimoji="1" lang="ja-JP" altLang="en-US" sz="1200" i="0" baseline="0">
              <a:latin typeface="メイリオ" panose="020B0604030504040204" pitchFamily="50" charset="-128"/>
              <a:ea typeface="メイリオ" panose="020B0604030504040204" pitchFamily="50" charset="-128"/>
            </a:rPr>
            <a:t>位のリスクを対応対象としていますが、対応数は、プロジェクトマネージャ</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責任者</a:t>
          </a:r>
          <a:r>
            <a:rPr kumimoji="1" lang="en-US" altLang="ja-JP" sz="1200" i="0" baseline="0">
              <a:latin typeface="メイリオ" panose="020B0604030504040204" pitchFamily="50" charset="-128"/>
              <a:ea typeface="メイリオ" panose="020B0604030504040204" pitchFamily="50" charset="-128"/>
            </a:rPr>
            <a:t>)</a:t>
          </a:r>
          <a:r>
            <a:rPr kumimoji="1" lang="ja-JP" altLang="en-US" sz="1200" i="0" baseline="0">
              <a:latin typeface="メイリオ" panose="020B0604030504040204" pitchFamily="50" charset="-128"/>
              <a:ea typeface="メイリオ" panose="020B0604030504040204" pitchFamily="50" charset="-128"/>
            </a:rPr>
            <a:t>の</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ja-JP" altLang="ja-JP" sz="1100" i="0" baseline="0">
              <a:effectLst/>
              <a:latin typeface="+mn-lt"/>
              <a:ea typeface="+mn-ea"/>
              <a:cs typeface="+mn-cs"/>
            </a:rPr>
            <a:t>　　　　　</a:t>
          </a:r>
          <a:r>
            <a:rPr kumimoji="1" lang="ja-JP" altLang="en-US" sz="1200" i="0" baseline="0">
              <a:latin typeface="メイリオ" panose="020B0604030504040204" pitchFamily="50" charset="-128"/>
              <a:ea typeface="メイリオ" panose="020B0604030504040204" pitchFamily="50" charset="-128"/>
            </a:rPr>
            <a:t>判断で増減してください。</a:t>
          </a: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i="0" baseline="0">
            <a:latin typeface="メイリオ" panose="020B0604030504040204" pitchFamily="50" charset="-128"/>
            <a:ea typeface="メイリオ" panose="020B0604030504040204" pitchFamily="50" charset="-128"/>
          </a:endParaRPr>
        </a:p>
        <a:p>
          <a:pPr algn="l">
            <a:lnSpc>
              <a:spcPct val="88000"/>
            </a:lnSpc>
          </a:pPr>
          <a:r>
            <a:rPr kumimoji="1" lang="en-US" altLang="ja-JP" sz="1200" b="1" i="0" baseline="0">
              <a:solidFill>
                <a:srgbClr val="FF0000"/>
              </a:solidFill>
              <a:latin typeface="メイリオ" panose="020B0604030504040204" pitchFamily="50" charset="-128"/>
              <a:ea typeface="メイリオ" panose="020B0604030504040204" pitchFamily="50" charset="-128"/>
            </a:rPr>
            <a:t>&lt;</a:t>
          </a:r>
          <a:r>
            <a:rPr kumimoji="1" lang="ja-JP" altLang="en-US" sz="1200" b="1" i="0" baseline="0">
              <a:solidFill>
                <a:srgbClr val="FF0000"/>
              </a:solidFill>
              <a:latin typeface="メイリオ" panose="020B0604030504040204" pitchFamily="50" charset="-128"/>
              <a:ea typeface="メイリオ" panose="020B0604030504040204" pitchFamily="50" charset="-128"/>
            </a:rPr>
            <a:t>注意事項</a:t>
          </a:r>
          <a:r>
            <a:rPr kumimoji="1" lang="en-US" altLang="ja-JP" sz="1200" b="1" i="0" baseline="0">
              <a:solidFill>
                <a:srgbClr val="FF0000"/>
              </a:solidFill>
              <a:latin typeface="メイリオ" panose="020B0604030504040204" pitchFamily="50" charset="-128"/>
              <a:ea typeface="メイリオ" panose="020B0604030504040204" pitchFamily="50" charset="-128"/>
            </a:rPr>
            <a:t>&gt;</a:t>
          </a:r>
        </a:p>
        <a:p>
          <a:pPr algn="l">
            <a:lnSpc>
              <a:spcPct val="88000"/>
            </a:lnSpc>
          </a:pPr>
          <a:r>
            <a:rPr kumimoji="1" lang="ja-JP" altLang="en-US" sz="1200" b="1" i="0" baseline="0">
              <a:solidFill>
                <a:srgbClr val="FF0000"/>
              </a:solidFill>
              <a:latin typeface="メイリオ" panose="020B0604030504040204" pitchFamily="50" charset="-128"/>
              <a:ea typeface="メイリオ" panose="020B0604030504040204" pitchFamily="50" charset="-128"/>
            </a:rPr>
            <a:t>・コンティンジェンシーとして計上する金額は、</a:t>
          </a:r>
          <a:r>
            <a:rPr kumimoji="1" lang="ja-JP" altLang="en-US" sz="1200" b="1" i="0" u="sng" baseline="0">
              <a:solidFill>
                <a:srgbClr val="FF0000"/>
              </a:solidFill>
              <a:latin typeface="メイリオ" panose="020B0604030504040204" pitchFamily="50" charset="-128"/>
              <a:ea typeface="メイリオ" panose="020B0604030504040204" pitchFamily="50" charset="-128"/>
            </a:rPr>
            <a:t>予測値</a:t>
          </a:r>
          <a:r>
            <a:rPr kumimoji="1" lang="en-US" altLang="ja-JP" sz="1200" b="1" i="0" u="sng" baseline="0">
              <a:solidFill>
                <a:srgbClr val="FF0000"/>
              </a:solidFill>
              <a:latin typeface="メイリオ" panose="020B0604030504040204" pitchFamily="50" charset="-128"/>
              <a:ea typeface="メイリオ" panose="020B0604030504040204" pitchFamily="50" charset="-128"/>
            </a:rPr>
            <a:t>(M\)</a:t>
          </a:r>
          <a:r>
            <a:rPr kumimoji="1" lang="ja-JP" altLang="en-US" sz="1200" b="1" i="0" baseline="0">
              <a:solidFill>
                <a:srgbClr val="FF0000"/>
              </a:solidFill>
              <a:latin typeface="メイリオ" panose="020B0604030504040204" pitchFamily="50" charset="-128"/>
              <a:ea typeface="メイリオ" panose="020B0604030504040204" pitchFamily="50" charset="-128"/>
            </a:rPr>
            <a:t>ではなく、</a:t>
          </a:r>
          <a:r>
            <a:rPr kumimoji="1" lang="ja-JP" altLang="en-US" sz="1200" b="1" i="0" u="sng" baseline="0">
              <a:solidFill>
                <a:srgbClr val="FF0000"/>
              </a:solidFill>
              <a:latin typeface="メイリオ" panose="020B0604030504040204" pitchFamily="50" charset="-128"/>
              <a:ea typeface="メイリオ" panose="020B0604030504040204" pitchFamily="50" charset="-128"/>
            </a:rPr>
            <a:t>コンティンジェンシー予備費</a:t>
          </a:r>
          <a:r>
            <a:rPr kumimoji="1" lang="en-US" altLang="ja-JP" sz="1200" b="1" i="0" u="sng" baseline="0">
              <a:solidFill>
                <a:srgbClr val="FF0000"/>
              </a:solidFill>
              <a:latin typeface="メイリオ" panose="020B0604030504040204" pitchFamily="50" charset="-128"/>
              <a:ea typeface="メイリオ" panose="020B0604030504040204" pitchFamily="50" charset="-128"/>
            </a:rPr>
            <a:t>(M\)</a:t>
          </a:r>
          <a:r>
            <a:rPr kumimoji="1" lang="ja-JP" altLang="en-US" sz="1200" b="1" i="0" u="sng" baseline="0">
              <a:solidFill>
                <a:srgbClr val="FF0000"/>
              </a:solidFill>
              <a:latin typeface="メイリオ" panose="020B0604030504040204" pitchFamily="50" charset="-128"/>
              <a:ea typeface="メイリオ" panose="020B0604030504040204" pitchFamily="50" charset="-128"/>
            </a:rPr>
            <a:t>の合計値</a:t>
          </a:r>
          <a:r>
            <a:rPr kumimoji="1" lang="ja-JP" altLang="en-US" sz="1200" b="1" i="0" baseline="0">
              <a:solidFill>
                <a:srgbClr val="FF0000"/>
              </a:solidFill>
              <a:latin typeface="メイリオ" panose="020B0604030504040204" pitchFamily="50" charset="-128"/>
              <a:ea typeface="メイリオ" panose="020B0604030504040204" pitchFamily="50" charset="-128"/>
            </a:rPr>
            <a:t>です。</a:t>
          </a:r>
          <a:endParaRPr kumimoji="1" lang="en-US" altLang="ja-JP" sz="1200" b="1" i="0" baseline="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1" i="0" baseline="0">
              <a:solidFill>
                <a:srgbClr val="FF0000"/>
              </a:solidFill>
              <a:latin typeface="メイリオ" panose="020B0604030504040204" pitchFamily="50" charset="-128"/>
              <a:ea typeface="メイリオ" panose="020B0604030504040204" pitchFamily="50" charset="-128"/>
            </a:rPr>
            <a:t>・案件実行中に新たなリスクが発生した場合は、適宜リスク管理計画シートに追記してください。</a:t>
          </a:r>
          <a:endParaRPr kumimoji="1" lang="en-US" altLang="ja-JP" sz="1200" b="1" i="0" baseline="0">
            <a:solidFill>
              <a:srgbClr val="FF0000"/>
            </a:solidFill>
            <a:latin typeface="メイリオ" panose="020B0604030504040204" pitchFamily="50" charset="-128"/>
            <a:ea typeface="メイリオ" panose="020B0604030504040204" pitchFamily="50" charset="-128"/>
          </a:endParaRPr>
        </a:p>
      </xdr:txBody>
    </xdr:sp>
    <xdr:clientData/>
  </xdr:twoCellAnchor>
  <xdr:twoCellAnchor>
    <xdr:from>
      <xdr:col>15</xdr:col>
      <xdr:colOff>36285</xdr:colOff>
      <xdr:row>10</xdr:row>
      <xdr:rowOff>170209</xdr:rowOff>
    </xdr:from>
    <xdr:to>
      <xdr:col>18</xdr:col>
      <xdr:colOff>0</xdr:colOff>
      <xdr:row>66</xdr:row>
      <xdr:rowOff>88385</xdr:rowOff>
    </xdr:to>
    <xdr:sp macro="" textlink="">
      <xdr:nvSpPr>
        <xdr:cNvPr id="4" name="角丸四角形 3">
          <a:extLst>
            <a:ext uri="{FF2B5EF4-FFF2-40B4-BE49-F238E27FC236}">
              <a16:creationId xmlns:a16="http://schemas.microsoft.com/office/drawing/2014/main" id="{0933996B-5596-42FE-8E64-A7812C0D69C6}"/>
            </a:ext>
          </a:extLst>
        </xdr:cNvPr>
        <xdr:cNvSpPr/>
      </xdr:nvSpPr>
      <xdr:spPr bwMode="auto">
        <a:xfrm>
          <a:off x="14374585" y="2487959"/>
          <a:ext cx="3418115" cy="11595826"/>
        </a:xfrm>
        <a:prstGeom prst="roundRect">
          <a:avLst>
            <a:gd name="adj" fmla="val 7182"/>
          </a:avLst>
        </a:prstGeom>
        <a:solidFill>
          <a:srgbClr val="FFFFFF">
            <a:alpha val="28000"/>
          </a:srgbClr>
        </a:solid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20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4</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リスクの監視計画を</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100" i="0">
              <a:latin typeface="メイリオ" panose="020B0604030504040204" pitchFamily="50" charset="-128"/>
              <a:ea typeface="メイリオ" panose="020B0604030504040204" pitchFamily="50" charset="-128"/>
            </a:rPr>
            <a:t>・</a:t>
          </a:r>
          <a:r>
            <a:rPr kumimoji="1" lang="ja-JP" altLang="en-US" sz="1200" i="0">
              <a:latin typeface="メイリオ" panose="020B0604030504040204" pitchFamily="50" charset="-128"/>
              <a:ea typeface="メイリオ" panose="020B0604030504040204" pitchFamily="50" charset="-128"/>
            </a:rPr>
            <a:t>下記を定め、リスクの監視計画を策定します。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en-US" altLang="ja-JP" sz="1200" i="0" baseline="0">
              <a:latin typeface="メイリオ" panose="020B0604030504040204" pitchFamily="50" charset="-128"/>
              <a:ea typeface="メイリオ" panose="020B0604030504040204" pitchFamily="50" charset="-128"/>
            </a:rPr>
            <a:t>  -  </a:t>
          </a:r>
          <a:r>
            <a:rPr kumimoji="1" lang="ja-JP" altLang="en-US" sz="1200" i="0">
              <a:latin typeface="メイリオ" panose="020B0604030504040204" pitchFamily="50" charset="-128"/>
              <a:ea typeface="メイリオ" panose="020B0604030504040204" pitchFamily="50" charset="-128"/>
            </a:rPr>
            <a:t>いつまでリスクを監視するか、</a:t>
          </a:r>
          <a:r>
            <a:rPr kumimoji="1" lang="ja-JP" altLang="en-US" sz="1200" b="1" i="0" u="sng">
              <a:latin typeface="メイリオ" panose="020B0604030504040204" pitchFamily="50" charset="-128"/>
              <a:ea typeface="メイリオ" panose="020B0604030504040204" pitchFamily="50" charset="-128"/>
            </a:rPr>
            <a:t>監視期限</a:t>
          </a:r>
          <a:r>
            <a:rPr kumimoji="1" lang="ja-JP" altLang="en-US" sz="1200" i="0">
              <a:latin typeface="メイリオ" panose="020B0604030504040204" pitchFamily="50" charset="-128"/>
              <a:ea typeface="メイリオ" panose="020B0604030504040204" pitchFamily="50" charset="-128"/>
            </a:rPr>
            <a:t>を</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　　設定します。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i="0" baseline="0">
              <a:latin typeface="メイリオ" panose="020B0604030504040204" pitchFamily="50" charset="-128"/>
              <a:ea typeface="メイリオ" panose="020B0604030504040204" pitchFamily="50" charset="-128"/>
            </a:rPr>
            <a:t>リスクが</a:t>
          </a:r>
          <a:r>
            <a:rPr kumimoji="1" lang="ja-JP" altLang="en-US" sz="1200" i="0">
              <a:latin typeface="メイリオ" panose="020B0604030504040204" pitchFamily="50" charset="-128"/>
              <a:ea typeface="メイリオ" panose="020B0604030504040204" pitchFamily="50" charset="-128"/>
            </a:rPr>
            <a:t>顕在化したと認識する現象を</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b="1" i="0" u="none">
              <a:latin typeface="メイリオ" panose="020B0604030504040204" pitchFamily="50" charset="-128"/>
              <a:ea typeface="メイリオ" panose="020B0604030504040204" pitchFamily="50" charset="-128"/>
            </a:rPr>
            <a:t>　　</a:t>
          </a:r>
          <a:r>
            <a:rPr kumimoji="1" lang="ja-JP" altLang="en-US" sz="1200" b="1" i="0" u="sng">
              <a:latin typeface="メイリオ" panose="020B0604030504040204" pitchFamily="50" charset="-128"/>
              <a:ea typeface="メイリオ" panose="020B0604030504040204" pitchFamily="50" charset="-128"/>
            </a:rPr>
            <a:t>トリガー</a:t>
          </a:r>
          <a:r>
            <a:rPr kumimoji="1" lang="ja-JP" altLang="en-US" sz="1200" i="0">
              <a:latin typeface="メイリオ" panose="020B0604030504040204" pitchFamily="50" charset="-128"/>
              <a:ea typeface="メイリオ" panose="020B0604030504040204" pitchFamily="50" charset="-128"/>
            </a:rPr>
            <a:t>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baseline="0">
              <a:latin typeface="メイリオ" panose="020B0604030504040204" pitchFamily="50" charset="-128"/>
              <a:ea typeface="メイリオ" panose="020B0604030504040204" pitchFamily="50" charset="-128"/>
            </a:rPr>
            <a:t>  </a:t>
          </a:r>
          <a:r>
            <a:rPr kumimoji="1" lang="en-US" altLang="ja-JP" sz="1200" i="0" baseline="0">
              <a:latin typeface="メイリオ" panose="020B0604030504040204" pitchFamily="50" charset="-128"/>
              <a:ea typeface="メイリオ" panose="020B0604030504040204" pitchFamily="50" charset="-128"/>
            </a:rPr>
            <a:t>-  </a:t>
          </a:r>
          <a:r>
            <a:rPr kumimoji="1" lang="ja-JP" altLang="en-US" sz="1200" b="0" i="0" u="none" baseline="0">
              <a:latin typeface="メイリオ" panose="020B0604030504040204" pitchFamily="50" charset="-128"/>
              <a:ea typeface="メイリオ" panose="020B0604030504040204" pitchFamily="50" charset="-128"/>
            </a:rPr>
            <a:t>リスクが顕在化したときに想定される</a:t>
          </a:r>
          <a:endParaRPr kumimoji="1" lang="en-US" altLang="ja-JP" sz="1200" b="0" i="0" u="none"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対策を</a:t>
          </a:r>
          <a:r>
            <a:rPr kumimoji="1" lang="ja-JP" altLang="en-US" sz="1200" b="1" i="0" u="sng" baseline="0">
              <a:latin typeface="メイリオ" panose="020B0604030504040204" pitchFamily="50" charset="-128"/>
              <a:ea typeface="メイリオ" panose="020B0604030504040204" pitchFamily="50" charset="-128"/>
            </a:rPr>
            <a:t>リスクが顕在化したときの処置</a:t>
          </a:r>
          <a:endParaRPr kumimoji="1" lang="en-US" altLang="ja-JP" sz="1200" b="0" i="0"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に記載します。</a:t>
          </a:r>
          <a:endParaRPr kumimoji="1" lang="en-US" altLang="ja-JP" sz="1200" b="0" i="0" u="none">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xdr:txBody>
    </xdr:sp>
    <xdr:clientData/>
  </xdr:twoCellAnchor>
  <xdr:twoCellAnchor>
    <xdr:from>
      <xdr:col>18</xdr:col>
      <xdr:colOff>28575</xdr:colOff>
      <xdr:row>10</xdr:row>
      <xdr:rowOff>170801</xdr:rowOff>
    </xdr:from>
    <xdr:to>
      <xdr:col>21</xdr:col>
      <xdr:colOff>0</xdr:colOff>
      <xdr:row>66</xdr:row>
      <xdr:rowOff>88977</xdr:rowOff>
    </xdr:to>
    <xdr:sp macro="" textlink="">
      <xdr:nvSpPr>
        <xdr:cNvPr id="5" name="角丸四角形 4">
          <a:extLst>
            <a:ext uri="{FF2B5EF4-FFF2-40B4-BE49-F238E27FC236}">
              <a16:creationId xmlns:a16="http://schemas.microsoft.com/office/drawing/2014/main" id="{377E7B4C-C43D-456C-B7E2-2CF604DBEB82}"/>
            </a:ext>
          </a:extLst>
        </xdr:cNvPr>
        <xdr:cNvSpPr/>
      </xdr:nvSpPr>
      <xdr:spPr bwMode="auto">
        <a:xfrm>
          <a:off x="17821275" y="2488551"/>
          <a:ext cx="4289425" cy="11595826"/>
        </a:xfrm>
        <a:prstGeom prst="roundRect">
          <a:avLst>
            <a:gd name="adj" fmla="val 10234"/>
          </a:avLst>
        </a:prstGeom>
        <a:no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手順</a:t>
          </a:r>
          <a:r>
            <a:rPr kumimoji="1" lang="en-US" altLang="ja-JP" sz="2800">
              <a:latin typeface="メイリオ" panose="020B0604030504040204" pitchFamily="50" charset="-128"/>
              <a:ea typeface="メイリオ" panose="020B0604030504040204" pitchFamily="50" charset="-128"/>
            </a:rPr>
            <a:t>5</a:t>
          </a:r>
          <a:r>
            <a:rPr kumimoji="1" lang="ja-JP" altLang="en-US" sz="2800">
              <a:latin typeface="メイリオ" panose="020B0604030504040204" pitchFamily="50" charset="-128"/>
              <a:ea typeface="メイリオ" panose="020B0604030504040204" pitchFamily="50" charset="-128"/>
            </a:rPr>
            <a:t>：</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リスクを定期的に監視し、監視状況を記載する。</a:t>
          </a:r>
          <a:endParaRPr kumimoji="1" lang="en-US" altLang="ja-JP" sz="280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・リスク状況を確認した日付を</a:t>
          </a:r>
          <a:r>
            <a:rPr kumimoji="1" lang="ja-JP" altLang="en-US" sz="1200" b="1" i="1" u="sng" baseline="0">
              <a:latin typeface="メイリオ" panose="020B0604030504040204" pitchFamily="50" charset="-128"/>
              <a:ea typeface="メイリオ" panose="020B0604030504040204" pitchFamily="50" charset="-128"/>
            </a:rPr>
            <a:t>状況確認日</a:t>
          </a:r>
          <a:endParaRPr kumimoji="1" lang="en-US" altLang="ja-JP" sz="1200" b="1" i="1"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1" i="1" u="none" baseline="0">
              <a:latin typeface="メイリオ" panose="020B0604030504040204" pitchFamily="50" charset="-128"/>
              <a:ea typeface="メイリオ" panose="020B0604030504040204" pitchFamily="50" charset="-128"/>
            </a:rPr>
            <a:t>　</a:t>
          </a:r>
          <a:r>
            <a:rPr kumimoji="1" lang="ja-JP" altLang="en-US" sz="1200" baseline="0">
              <a:latin typeface="メイリオ" panose="020B0604030504040204" pitchFamily="50" charset="-128"/>
              <a:ea typeface="メイリオ" panose="020B0604030504040204" pitchFamily="50" charset="-128"/>
            </a:rPr>
            <a:t>に記載します。</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1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・確認結果に基づき、</a:t>
          </a:r>
          <a:r>
            <a:rPr kumimoji="1" lang="ja-JP" altLang="en-US" sz="1200" b="1" i="1" u="sng" baseline="0">
              <a:latin typeface="メイリオ" panose="020B0604030504040204" pitchFamily="50" charset="-128"/>
              <a:ea typeface="メイリオ" panose="020B0604030504040204" pitchFamily="50" charset="-128"/>
            </a:rPr>
            <a:t>確認結果</a:t>
          </a:r>
          <a:r>
            <a:rPr kumimoji="1" lang="ja-JP" altLang="en-US" sz="1200" baseline="0">
              <a:latin typeface="メイリオ" panose="020B0604030504040204" pitchFamily="50" charset="-128"/>
              <a:ea typeface="メイリオ" panose="020B0604030504040204" pitchFamily="50" charset="-128"/>
            </a:rPr>
            <a:t>・</a:t>
          </a:r>
          <a:r>
            <a:rPr kumimoji="1" lang="ja-JP" altLang="en-US" sz="1200" b="1" i="1" u="sng" baseline="0">
              <a:latin typeface="メイリオ" panose="020B0604030504040204" pitchFamily="50" charset="-128"/>
              <a:ea typeface="メイリオ" panose="020B0604030504040204" pitchFamily="50" charset="-128"/>
            </a:rPr>
            <a:t>確認状況</a:t>
          </a:r>
          <a:endParaRPr kumimoji="1" lang="en-US" altLang="ja-JP" sz="1200" b="1" i="1" u="sng"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1" i="1" u="none" baseline="0">
              <a:latin typeface="メイリオ" panose="020B0604030504040204" pitchFamily="50" charset="-128"/>
              <a:ea typeface="メイリオ" panose="020B0604030504040204" pitchFamily="50" charset="-128"/>
            </a:rPr>
            <a:t>　</a:t>
          </a:r>
          <a:r>
            <a:rPr kumimoji="1" lang="ja-JP" altLang="en-US" sz="1200" baseline="0">
              <a:latin typeface="メイリオ" panose="020B0604030504040204" pitchFamily="50" charset="-128"/>
              <a:ea typeface="メイリオ" panose="020B0604030504040204" pitchFamily="50" charset="-128"/>
            </a:rPr>
            <a:t>に記載します。</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en-US" altLang="ja-JP" sz="1100" i="0" baseline="0">
              <a:effectLst/>
              <a:latin typeface="+mn-lt"/>
              <a:ea typeface="+mn-ea"/>
              <a:cs typeface="+mn-cs"/>
            </a:rPr>
            <a:t> -  </a:t>
          </a:r>
          <a:r>
            <a:rPr kumimoji="1" lang="ja-JP" altLang="en-US" sz="1200" baseline="0">
              <a:latin typeface="メイリオ" panose="020B0604030504040204" pitchFamily="50" charset="-128"/>
              <a:ea typeface="メイリオ" panose="020B0604030504040204" pitchFamily="50" charset="-128"/>
            </a:rPr>
            <a:t>リスクは顕在化していないが、引き続き</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　監視が必要な場合：</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ja-JP" altLang="en-US" sz="1200" baseline="0">
              <a:latin typeface="メイリオ" panose="020B0604030504040204" pitchFamily="50" charset="-128"/>
              <a:ea typeface="メイリオ" panose="020B0604030504040204" pitchFamily="50" charset="-128"/>
            </a:rPr>
            <a:t>　　</a:t>
          </a:r>
          <a:r>
            <a:rPr kumimoji="1" lang="ja-JP" altLang="en-US" sz="1200" b="1" i="1" u="sng" baseline="0">
              <a:latin typeface="メイリオ" panose="020B0604030504040204" pitchFamily="50" charset="-128"/>
              <a:ea typeface="メイリオ" panose="020B0604030504040204" pitchFamily="50" charset="-128"/>
            </a:rPr>
            <a:t>確認結果  </a:t>
          </a:r>
          <a:r>
            <a:rPr kumimoji="1" lang="ja-JP" altLang="en-US" sz="1200" baseline="0">
              <a:latin typeface="メイリオ" panose="020B0604030504040204" pitchFamily="50" charset="-128"/>
              <a:ea typeface="メイリオ" panose="020B0604030504040204" pitchFamily="50" charset="-128"/>
            </a:rPr>
            <a:t>⇒ </a:t>
          </a:r>
          <a:r>
            <a:rPr kumimoji="1" lang="en-US" altLang="ja-JP" sz="1200" baseline="0">
              <a:latin typeface="メイリオ" panose="020B0604030504040204" pitchFamily="50" charset="-128"/>
              <a:ea typeface="メイリオ" panose="020B0604030504040204" pitchFamily="50" charset="-128"/>
            </a:rPr>
            <a:t>"</a:t>
          </a:r>
          <a:r>
            <a:rPr kumimoji="1" lang="ja-JP" altLang="en-US" sz="1200" baseline="0">
              <a:latin typeface="メイリオ" panose="020B0604030504040204" pitchFamily="50" charset="-128"/>
              <a:ea typeface="メイリオ" panose="020B0604030504040204" pitchFamily="50" charset="-128"/>
            </a:rPr>
            <a:t>監視継続</a:t>
          </a:r>
          <a:r>
            <a:rPr kumimoji="1" lang="en-US" altLang="ja-JP" sz="1200" baseline="0">
              <a:latin typeface="メイリオ" panose="020B0604030504040204" pitchFamily="50" charset="-128"/>
              <a:ea typeface="メイリオ" panose="020B0604030504040204" pitchFamily="50" charset="-128"/>
            </a:rPr>
            <a:t>"</a:t>
          </a:r>
          <a:r>
            <a:rPr kumimoji="1" lang="ja-JP" altLang="en-US" sz="1200" baseline="0">
              <a:latin typeface="メイリオ" panose="020B0604030504040204" pitchFamily="50" charset="-128"/>
              <a:ea typeface="メイリオ" panose="020B0604030504040204" pitchFamily="50" charset="-128"/>
            </a:rPr>
            <a:t>を選択 　　</a:t>
          </a: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endParaRPr kumimoji="1" lang="en-US" altLang="ja-JP" sz="1200" baseline="0">
            <a:latin typeface="メイリオ" panose="020B0604030504040204" pitchFamily="50" charset="-128"/>
            <a:ea typeface="メイリオ" panose="020B0604030504040204" pitchFamily="50" charset="-128"/>
          </a:endParaRPr>
        </a:p>
        <a:p>
          <a:pPr algn="l">
            <a:lnSpc>
              <a:spcPct val="88000"/>
            </a:lnSpc>
          </a:pPr>
          <a:r>
            <a:rPr kumimoji="1" lang="en-US" altLang="ja-JP" sz="1100" i="0" baseline="0">
              <a:effectLst/>
              <a:latin typeface="+mn-lt"/>
              <a:ea typeface="+mn-ea"/>
              <a:cs typeface="+mn-cs"/>
            </a:rPr>
            <a:t> -  </a:t>
          </a:r>
          <a:r>
            <a:rPr kumimoji="1" lang="ja-JP" altLang="en-US" sz="1200" baseline="0">
              <a:latin typeface="メイリオ" panose="020B0604030504040204" pitchFamily="50" charset="-128"/>
              <a:ea typeface="メイリオ" panose="020B0604030504040204" pitchFamily="50" charset="-128"/>
            </a:rPr>
            <a:t>リスク</a:t>
          </a:r>
          <a:r>
            <a:rPr kumimoji="1" lang="ja-JP" altLang="en-US" sz="1200">
              <a:latin typeface="メイリオ" panose="020B0604030504040204" pitchFamily="50" charset="-128"/>
              <a:ea typeface="メイリオ" panose="020B0604030504040204" pitchFamily="50" charset="-128"/>
            </a:rPr>
            <a:t>消滅の場合：</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baseline="0">
              <a:latin typeface="メイリオ" panose="020B0604030504040204" pitchFamily="50" charset="-128"/>
              <a:ea typeface="メイリオ" panose="020B0604030504040204" pitchFamily="50" charset="-128"/>
            </a:rPr>
            <a:t>　　</a:t>
          </a:r>
          <a:r>
            <a:rPr kumimoji="1" lang="ja-JP" altLang="en-US" sz="1200" b="1" i="1" u="sng">
              <a:latin typeface="メイリオ" panose="020B0604030504040204" pitchFamily="50" charset="-128"/>
              <a:ea typeface="メイリオ" panose="020B0604030504040204" pitchFamily="50" charset="-128"/>
            </a:rPr>
            <a:t>確認結果  </a:t>
          </a:r>
          <a:r>
            <a:rPr kumimoji="1" lang="ja-JP" altLang="en-US" sz="1200">
              <a:latin typeface="メイリオ" panose="020B0604030504040204" pitchFamily="50" charset="-128"/>
              <a:ea typeface="メイリオ" panose="020B0604030504040204" pitchFamily="50" charset="-128"/>
            </a:rPr>
            <a:t>⇒  </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消滅</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を選択</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ja-JP" altLang="en-US" sz="1200" b="0" i="0" u="none">
              <a:latin typeface="メイリオ" panose="020B0604030504040204" pitchFamily="50" charset="-128"/>
              <a:ea typeface="メイリオ" panose="020B0604030504040204" pitchFamily="50" charset="-128"/>
            </a:rPr>
            <a:t>　　</a:t>
          </a:r>
          <a:r>
            <a:rPr kumimoji="1" lang="ja-JP" altLang="en-US" sz="1200" b="1" i="1" u="sng">
              <a:latin typeface="メイリオ" panose="020B0604030504040204" pitchFamily="50" charset="-128"/>
              <a:ea typeface="メイリオ" panose="020B0604030504040204" pitchFamily="50" charset="-128"/>
            </a:rPr>
            <a:t>確認状況  </a:t>
          </a:r>
          <a:r>
            <a:rPr kumimoji="1" lang="ja-JP" altLang="en-US" sz="1200">
              <a:latin typeface="メイリオ" panose="020B0604030504040204" pitchFamily="50" charset="-128"/>
              <a:ea typeface="メイリオ" panose="020B0604030504040204" pitchFamily="50" charset="-128"/>
            </a:rPr>
            <a:t>⇒  消滅と判断した根拠を</a:t>
          </a:r>
          <a:endParaRPr kumimoji="1" lang="en-US" altLang="ja-JP" sz="1200">
            <a:latin typeface="メイリオ" panose="020B0604030504040204" pitchFamily="50" charset="-128"/>
            <a:ea typeface="メイリオ" panose="020B0604030504040204" pitchFamily="50" charset="-128"/>
          </a:endParaRPr>
        </a:p>
        <a:p>
          <a:pPr algn="l">
            <a:lnSpc>
              <a:spcPct val="88000"/>
            </a:lnSpc>
          </a:pPr>
          <a:r>
            <a:rPr kumimoji="1" lang="en-US" altLang="ja-JP" sz="1200" i="0">
              <a:latin typeface="メイリオ" panose="020B0604030504040204" pitchFamily="50" charset="-128"/>
              <a:ea typeface="メイリオ" panose="020B0604030504040204" pitchFamily="50" charset="-128"/>
            </a:rPr>
            <a:t>                         </a:t>
          </a:r>
          <a:r>
            <a:rPr kumimoji="1" lang="ja-JP" altLang="en-US" sz="1200" i="0">
              <a:latin typeface="メイリオ" panose="020B0604030504040204" pitchFamily="50" charset="-128"/>
              <a:ea typeface="メイリオ" panose="020B0604030504040204" pitchFamily="50" charset="-128"/>
            </a:rPr>
            <a:t>確認状況欄に記載します。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en-US" altLang="ja-JP" sz="1100" i="0" baseline="0">
              <a:effectLst/>
              <a:latin typeface="+mn-lt"/>
              <a:ea typeface="+mn-ea"/>
              <a:cs typeface="+mn-cs"/>
            </a:rPr>
            <a:t> -  </a:t>
          </a:r>
          <a:r>
            <a:rPr kumimoji="1" lang="ja-JP" altLang="ja-JP" sz="1200">
              <a:effectLst/>
              <a:latin typeface="メイリオ" panose="020B0604030504040204" pitchFamily="50" charset="-128"/>
              <a:ea typeface="メイリオ" panose="020B0604030504040204" pitchFamily="50" charset="-128"/>
              <a:cs typeface="+mn-cs"/>
            </a:rPr>
            <a:t>リスクが顕在化した場合</a:t>
          </a:r>
          <a:r>
            <a:rPr kumimoji="1" lang="ja-JP" altLang="en-US" sz="1200">
              <a:effectLst/>
              <a:latin typeface="メイリオ" panose="020B0604030504040204" pitchFamily="50" charset="-128"/>
              <a:ea typeface="メイリオ" panose="020B0604030504040204" pitchFamily="50" charset="-128"/>
              <a:cs typeface="+mn-cs"/>
            </a:rPr>
            <a:t>：</a:t>
          </a:r>
          <a:endParaRPr kumimoji="1" lang="en-US" altLang="ja-JP" sz="120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ja-JP" altLang="en-US" sz="1200" b="1" i="1" u="none">
              <a:effectLst/>
              <a:latin typeface="メイリオ" panose="020B0604030504040204" pitchFamily="50" charset="-128"/>
              <a:ea typeface="メイリオ" panose="020B0604030504040204" pitchFamily="50" charset="-128"/>
              <a:cs typeface="+mn-cs"/>
            </a:rPr>
            <a:t>　　</a:t>
          </a:r>
          <a:r>
            <a:rPr kumimoji="1" lang="ja-JP" altLang="ja-JP" sz="1200" b="1" i="1" u="sng">
              <a:effectLst/>
              <a:latin typeface="メイリオ" panose="020B0604030504040204" pitchFamily="50" charset="-128"/>
              <a:ea typeface="メイリオ" panose="020B0604030504040204" pitchFamily="50" charset="-128"/>
              <a:cs typeface="+mn-cs"/>
            </a:rPr>
            <a:t>確認結果</a:t>
          </a:r>
          <a:r>
            <a:rPr kumimoji="1" lang="en-US" altLang="ja-JP" sz="1200" b="1" i="1" u="sng"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  </a:t>
          </a:r>
          <a:r>
            <a:rPr kumimoji="1" lang="en-US" altLang="ja-JP" sz="1200">
              <a:effectLst/>
              <a:latin typeface="メイリオ" panose="020B0604030504040204" pitchFamily="50" charset="-128"/>
              <a:ea typeface="メイリオ" panose="020B0604030504040204" pitchFamily="50" charset="-128"/>
              <a:cs typeface="+mn-cs"/>
            </a:rPr>
            <a:t>"</a:t>
          </a:r>
          <a:r>
            <a:rPr kumimoji="1" lang="ja-JP" altLang="en-US" sz="1200">
              <a:effectLst/>
              <a:latin typeface="メイリオ" panose="020B0604030504040204" pitchFamily="50" charset="-128"/>
              <a:ea typeface="メイリオ" panose="020B0604030504040204" pitchFamily="50" charset="-128"/>
              <a:cs typeface="+mn-cs"/>
            </a:rPr>
            <a:t>顕在化を選択</a:t>
          </a:r>
          <a:endParaRPr kumimoji="1" lang="en-US" altLang="ja-JP" sz="120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ja-JP" altLang="en-US" sz="1200" b="0" i="0" baseline="0">
              <a:effectLst/>
              <a:latin typeface="メイリオ" panose="020B0604030504040204" pitchFamily="50" charset="-128"/>
              <a:ea typeface="メイリオ" panose="020B0604030504040204" pitchFamily="50" charset="-128"/>
              <a:cs typeface="+mn-cs"/>
            </a:rPr>
            <a:t>　　</a:t>
          </a:r>
          <a:r>
            <a:rPr kumimoji="1" lang="ja-JP" altLang="en-US" sz="1200" b="1" i="1" u="sng" baseline="0">
              <a:effectLst/>
              <a:latin typeface="メイリオ" panose="020B0604030504040204" pitchFamily="50" charset="-128"/>
              <a:ea typeface="メイリオ" panose="020B0604030504040204" pitchFamily="50" charset="-128"/>
              <a:cs typeface="+mn-cs"/>
            </a:rPr>
            <a:t>確認</a:t>
          </a:r>
          <a:r>
            <a:rPr kumimoji="1" lang="ja-JP" altLang="ja-JP" sz="1200" b="1" i="1" u="sng">
              <a:effectLst/>
              <a:latin typeface="メイリオ" panose="020B0604030504040204" pitchFamily="50" charset="-128"/>
              <a:ea typeface="メイリオ" panose="020B0604030504040204" pitchFamily="50" charset="-128"/>
              <a:cs typeface="+mn-cs"/>
            </a:rPr>
            <a:t>状況</a:t>
          </a:r>
          <a:r>
            <a:rPr kumimoji="1" lang="ja-JP" altLang="en-US" sz="1200" b="1" i="1"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  </a:t>
          </a:r>
          <a:r>
            <a:rPr kumimoji="1" lang="en-US" altLang="ja-JP" sz="1200"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顕在化したリスクに</a:t>
          </a:r>
          <a:endParaRPr kumimoji="1" lang="en-US" altLang="ja-JP" sz="1200" baseline="0">
            <a:effectLst/>
            <a:latin typeface="メイリオ" panose="020B0604030504040204" pitchFamily="50" charset="-128"/>
            <a:ea typeface="メイリオ" panose="020B0604030504040204" pitchFamily="50" charset="-128"/>
            <a:cs typeface="+mn-cs"/>
          </a:endParaRPr>
        </a:p>
        <a:p>
          <a:pPr marL="0" marR="0" indent="0" algn="l" defTabSz="914400" eaLnBrk="1" fontAlgn="auto" latinLnBrk="0" hangingPunct="1">
            <a:lnSpc>
              <a:spcPct val="88000"/>
            </a:lnSpc>
            <a:spcBef>
              <a:spcPts val="0"/>
            </a:spcBef>
            <a:spcAft>
              <a:spcPts val="0"/>
            </a:spcAft>
            <a:buClrTx/>
            <a:buSzTx/>
            <a:buFontTx/>
            <a:buNone/>
            <a:tabLst/>
            <a:defRPr/>
          </a:pPr>
          <a:r>
            <a:rPr kumimoji="1" lang="en-US" altLang="ja-JP" sz="1200" baseline="0">
              <a:effectLst/>
              <a:latin typeface="メイリオ" panose="020B0604030504040204" pitchFamily="50" charset="-128"/>
              <a:ea typeface="メイリオ" panose="020B0604030504040204" pitchFamily="50" charset="-128"/>
              <a:cs typeface="+mn-cs"/>
            </a:rPr>
            <a:t>                        </a:t>
          </a:r>
          <a:r>
            <a:rPr kumimoji="1" lang="ja-JP" altLang="en-US" sz="1200" baseline="0">
              <a:effectLst/>
              <a:latin typeface="メイリオ" panose="020B0604030504040204" pitchFamily="50" charset="-128"/>
              <a:ea typeface="メイリオ" panose="020B0604030504040204" pitchFamily="50" charset="-128"/>
              <a:cs typeface="+mn-cs"/>
            </a:rPr>
            <a:t>対する</a:t>
          </a:r>
          <a:r>
            <a:rPr kumimoji="1" lang="ja-JP" altLang="ja-JP" sz="1200">
              <a:effectLst/>
              <a:latin typeface="メイリオ" panose="020B0604030504040204" pitchFamily="50" charset="-128"/>
              <a:ea typeface="メイリオ" panose="020B0604030504040204" pitchFamily="50" charset="-128"/>
              <a:cs typeface="+mn-cs"/>
            </a:rPr>
            <a:t>対策を記載</a:t>
          </a:r>
          <a:r>
            <a:rPr kumimoji="1" lang="ja-JP" altLang="en-US" sz="1200">
              <a:effectLst/>
              <a:latin typeface="メイリオ" panose="020B0604030504040204" pitchFamily="50" charset="-128"/>
              <a:ea typeface="メイリオ" panose="020B0604030504040204" pitchFamily="50" charset="-128"/>
              <a:cs typeface="+mn-cs"/>
            </a:rPr>
            <a:t>します。</a:t>
          </a:r>
          <a:endParaRPr kumimoji="1" lang="en-US" altLang="ja-JP" sz="1200">
            <a:effectLst/>
            <a:latin typeface="メイリオ" panose="020B0604030504040204" pitchFamily="50" charset="-128"/>
            <a:ea typeface="メイリオ" panose="020B0604030504040204" pitchFamily="50" charset="-128"/>
            <a:cs typeface="+mn-cs"/>
          </a:endParaRPr>
        </a:p>
        <a:p>
          <a:pPr>
            <a:lnSpc>
              <a:spcPct val="88000"/>
            </a:lnSpc>
          </a:pPr>
          <a:endParaRPr kumimoji="1" lang="en-US" altLang="ja-JP" sz="1200" i="0" baseline="0">
            <a:effectLst/>
            <a:latin typeface="メイリオ" panose="020B0604030504040204" pitchFamily="50" charset="-128"/>
            <a:ea typeface="メイリオ" panose="020B0604030504040204" pitchFamily="50" charset="-128"/>
            <a:cs typeface="+mn-cs"/>
          </a:endParaRPr>
        </a:p>
        <a:p>
          <a:pPr>
            <a:lnSpc>
              <a:spcPct val="88000"/>
            </a:lnSpc>
          </a:pPr>
          <a:r>
            <a:rPr kumimoji="1" lang="en-US" altLang="ja-JP" sz="1100" i="0" baseline="0">
              <a:effectLst/>
              <a:latin typeface="+mn-lt"/>
              <a:ea typeface="+mn-ea"/>
              <a:cs typeface="+mn-cs"/>
            </a:rPr>
            <a:t> -  </a:t>
          </a:r>
          <a:r>
            <a:rPr kumimoji="1" lang="ja-JP" altLang="ja-JP" sz="1200" i="0">
              <a:effectLst/>
              <a:latin typeface="メイリオ" panose="020B0604030504040204" pitchFamily="50" charset="-128"/>
              <a:ea typeface="メイリオ" panose="020B0604030504040204" pitchFamily="50" charset="-128"/>
              <a:cs typeface="+mn-cs"/>
            </a:rPr>
            <a:t>新たなリスクが発生した場合：</a:t>
          </a:r>
          <a:endParaRPr kumimoji="1" lang="en-US" altLang="ja-JP" sz="1200" i="0">
            <a:effectLst/>
            <a:latin typeface="メイリオ" panose="020B0604030504040204" pitchFamily="50" charset="-128"/>
            <a:ea typeface="メイリオ" panose="020B0604030504040204" pitchFamily="50" charset="-128"/>
            <a:cs typeface="+mn-cs"/>
          </a:endParaRPr>
        </a:p>
        <a:p>
          <a:pPr>
            <a:lnSpc>
              <a:spcPct val="88000"/>
            </a:lnSpc>
          </a:pPr>
          <a:r>
            <a:rPr kumimoji="1" lang="ja-JP" altLang="en-US" sz="1200" i="0">
              <a:effectLst/>
              <a:latin typeface="メイリオ" panose="020B0604030504040204" pitchFamily="50" charset="-128"/>
              <a:ea typeface="メイリオ" panose="020B0604030504040204" pitchFamily="50" charset="-128"/>
              <a:cs typeface="+mn-cs"/>
            </a:rPr>
            <a:t>　　</a:t>
          </a:r>
          <a:r>
            <a:rPr kumimoji="1" lang="ja-JP" altLang="ja-JP" sz="1200" i="0">
              <a:effectLst/>
              <a:latin typeface="メイリオ" panose="020B0604030504040204" pitchFamily="50" charset="-128"/>
              <a:ea typeface="メイリオ" panose="020B0604030504040204" pitchFamily="50" charset="-128"/>
              <a:cs typeface="+mn-cs"/>
            </a:rPr>
            <a:t>新しいリスク内容を別行に追加</a:t>
          </a:r>
          <a:r>
            <a:rPr kumimoji="1" lang="ja-JP" altLang="en-US" sz="1200" i="0">
              <a:effectLst/>
              <a:latin typeface="メイリオ" panose="020B0604030504040204" pitchFamily="50" charset="-128"/>
              <a:ea typeface="メイリオ" panose="020B0604030504040204" pitchFamily="50" charset="-128"/>
              <a:cs typeface="+mn-cs"/>
            </a:rPr>
            <a:t>します。</a:t>
          </a:r>
          <a:r>
            <a:rPr kumimoji="1" lang="en-US" altLang="ja-JP" sz="1200" i="0">
              <a:effectLst/>
              <a:latin typeface="メイリオ" panose="020B0604030504040204" pitchFamily="50" charset="-128"/>
              <a:ea typeface="メイリオ" panose="020B0604030504040204" pitchFamily="50" charset="-128"/>
              <a:cs typeface="+mn-cs"/>
            </a:rPr>
            <a:t>   </a:t>
          </a:r>
          <a:endParaRPr lang="ja-JP" altLang="ja-JP" sz="1200">
            <a:effectLst/>
            <a:latin typeface="メイリオ" panose="020B0604030504040204" pitchFamily="50" charset="-128"/>
            <a:ea typeface="メイリオ" panose="020B0604030504040204" pitchFamily="50" charset="-128"/>
          </a:endParaRPr>
        </a:p>
        <a:p>
          <a:pPr marL="0" marR="0" indent="0" algn="l" defTabSz="914400" eaLnBrk="1" fontAlgn="auto" latinLnBrk="0" hangingPunct="1">
            <a:lnSpc>
              <a:spcPct val="88000"/>
            </a:lnSpc>
            <a:spcBef>
              <a:spcPts val="0"/>
            </a:spcBef>
            <a:spcAft>
              <a:spcPts val="0"/>
            </a:spcAft>
            <a:buClrTx/>
            <a:buSzTx/>
            <a:buFontTx/>
            <a:buNone/>
            <a:tabLst/>
            <a:defRPr/>
          </a:pPr>
          <a:endParaRPr lang="ja-JP" altLang="ja-JP" sz="1200">
            <a:effectLst/>
            <a:latin typeface="メイリオ" panose="020B0604030504040204" pitchFamily="50" charset="-128"/>
            <a:ea typeface="メイリオ" panose="020B0604030504040204" pitchFamily="50" charset="-128"/>
          </a:endParaRPr>
        </a:p>
        <a:p>
          <a:pPr algn="l">
            <a:lnSpc>
              <a:spcPct val="88000"/>
            </a:lnSpc>
          </a:pP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en-US" altLang="ja-JP" sz="2800">
              <a:latin typeface="メイリオ" panose="020B0604030504040204" pitchFamily="50" charset="-128"/>
              <a:ea typeface="メイリオ" panose="020B0604030504040204" pitchFamily="50" charset="-128"/>
            </a:rPr>
            <a:t> </a:t>
          </a:r>
          <a:endParaRPr kumimoji="1" lang="ja-JP" altLang="en-US" sz="2800">
            <a:latin typeface="メイリオ" panose="020B0604030504040204" pitchFamily="50" charset="-128"/>
            <a:ea typeface="メイリオ" panose="020B0604030504040204" pitchFamily="50" charset="-128"/>
          </a:endParaRPr>
        </a:p>
      </xdr:txBody>
    </xdr:sp>
    <xdr:clientData/>
  </xdr:twoCellAnchor>
  <xdr:twoCellAnchor>
    <xdr:from>
      <xdr:col>14</xdr:col>
      <xdr:colOff>18143</xdr:colOff>
      <xdr:row>10</xdr:row>
      <xdr:rowOff>172606</xdr:rowOff>
    </xdr:from>
    <xdr:to>
      <xdr:col>15</xdr:col>
      <xdr:colOff>0</xdr:colOff>
      <xdr:row>66</xdr:row>
      <xdr:rowOff>90782</xdr:rowOff>
    </xdr:to>
    <xdr:sp macro="" textlink="">
      <xdr:nvSpPr>
        <xdr:cNvPr id="6" name="角丸四角形 5">
          <a:extLst>
            <a:ext uri="{FF2B5EF4-FFF2-40B4-BE49-F238E27FC236}">
              <a16:creationId xmlns:a16="http://schemas.microsoft.com/office/drawing/2014/main" id="{6FBB47F6-4AB4-46A1-819D-7FF4BEA32F83}"/>
            </a:ext>
          </a:extLst>
        </xdr:cNvPr>
        <xdr:cNvSpPr/>
      </xdr:nvSpPr>
      <xdr:spPr bwMode="auto">
        <a:xfrm>
          <a:off x="12197443" y="2490356"/>
          <a:ext cx="2140857" cy="11595826"/>
        </a:xfrm>
        <a:prstGeom prst="roundRect">
          <a:avLst>
            <a:gd name="adj" fmla="val 13572"/>
          </a:avLst>
        </a:prstGeom>
        <a:solidFill>
          <a:srgbClr val="FFFFFF">
            <a:alpha val="28000"/>
          </a:srgbClr>
        </a:solidFill>
        <a:ln w="44450" cap="flat" cmpd="sng" algn="ctr">
          <a:solidFill>
            <a:srgbClr val="C00000"/>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手順</a:t>
          </a:r>
          <a:r>
            <a:rPr kumimoji="1" lang="en-US" altLang="ja-JP" sz="2800" i="0">
              <a:latin typeface="メイリオ" panose="020B0604030504040204" pitchFamily="50" charset="-128"/>
              <a:ea typeface="メイリオ" panose="020B0604030504040204" pitchFamily="50" charset="-128"/>
            </a:rPr>
            <a:t>3</a:t>
          </a:r>
          <a:r>
            <a:rPr kumimoji="1" lang="ja-JP" altLang="en-US" sz="2800" i="0">
              <a:latin typeface="メイリオ" panose="020B0604030504040204" pitchFamily="50" charset="-128"/>
              <a:ea typeface="メイリオ" panose="020B0604030504040204" pitchFamily="50" charset="-128"/>
            </a:rPr>
            <a:t>：</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r>
            <a:rPr kumimoji="1" lang="ja-JP" altLang="en-US" sz="2800" i="0">
              <a:latin typeface="メイリオ" panose="020B0604030504040204" pitchFamily="50" charset="-128"/>
              <a:ea typeface="メイリオ" panose="020B0604030504040204" pitchFamily="50" charset="-128"/>
            </a:rPr>
            <a:t>コンティンジェンシー計画を策定する。</a:t>
          </a:r>
          <a:endParaRPr kumimoji="1" lang="en-US" altLang="ja-JP" sz="28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endParaRPr kumimoji="1" lang="en-US" altLang="ja-JP" sz="11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＜計画＞</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r>
            <a:rPr kumimoji="1" lang="ja-JP" altLang="en-US" sz="1200" i="0">
              <a:latin typeface="メイリオ" panose="020B0604030504040204" pitchFamily="50" charset="-128"/>
              <a:ea typeface="メイリオ" panose="020B0604030504040204" pitchFamily="50" charset="-128"/>
            </a:rPr>
            <a:t>手順</a:t>
          </a:r>
          <a:r>
            <a:rPr kumimoji="1" lang="en-US" altLang="ja-JP" sz="1200" i="0">
              <a:latin typeface="メイリオ" panose="020B0604030504040204" pitchFamily="50" charset="-128"/>
              <a:ea typeface="メイリオ" panose="020B0604030504040204" pitchFamily="50" charset="-128"/>
            </a:rPr>
            <a:t>1</a:t>
          </a:r>
          <a:r>
            <a:rPr kumimoji="1" lang="ja-JP" altLang="en-US" sz="1200" i="0">
              <a:latin typeface="メイリオ" panose="020B0604030504040204" pitchFamily="50" charset="-128"/>
              <a:ea typeface="メイリオ" panose="020B0604030504040204" pitchFamily="50" charset="-128"/>
            </a:rPr>
            <a:t>で算出した</a:t>
          </a:r>
          <a:r>
            <a:rPr kumimoji="1" lang="ja-JP" altLang="en-US" sz="1200" b="1" i="0" u="sng">
              <a:latin typeface="メイリオ" panose="020B0604030504040204" pitchFamily="50" charset="-128"/>
              <a:ea typeface="メイリオ" panose="020B0604030504040204" pitchFamily="50" charset="-128"/>
            </a:rPr>
            <a:t>予測値</a:t>
          </a:r>
          <a:r>
            <a:rPr kumimoji="1" lang="en-US" altLang="ja-JP" sz="1200" b="1" i="0" u="sng">
              <a:latin typeface="メイリオ" panose="020B0604030504040204" pitchFamily="50" charset="-128"/>
              <a:ea typeface="メイリオ" panose="020B0604030504040204" pitchFamily="50" charset="-128"/>
            </a:rPr>
            <a:t>(</a:t>
          </a:r>
          <a:r>
            <a:rPr kumimoji="1" lang="en-US" altLang="ja-JP" sz="1100" b="1" i="0" u="sng" baseline="0">
              <a:effectLst/>
              <a:latin typeface="メイリオ" panose="020B0604030504040204" pitchFamily="50" charset="-128"/>
              <a:ea typeface="メイリオ" panose="020B0604030504040204" pitchFamily="50" charset="-128"/>
              <a:cs typeface="+mn-cs"/>
            </a:rPr>
            <a:t>\M</a:t>
          </a:r>
          <a:r>
            <a:rPr kumimoji="1" lang="en-US" altLang="ja-JP" sz="1200" b="1" i="0" u="sng">
              <a:latin typeface="メイリオ" panose="020B0604030504040204" pitchFamily="50" charset="-128"/>
              <a:ea typeface="メイリオ" panose="020B0604030504040204" pitchFamily="50" charset="-128"/>
            </a:rPr>
            <a:t>)</a:t>
          </a:r>
          <a:r>
            <a:rPr kumimoji="1" lang="ja-JP" altLang="en-US" sz="1200" i="0">
              <a:latin typeface="メイリオ" panose="020B0604030504040204" pitchFamily="50" charset="-128"/>
              <a:ea typeface="メイリオ" panose="020B0604030504040204" pitchFamily="50" charset="-128"/>
            </a:rPr>
            <a:t>を踏まえて、コンティンジェンシーの確保が必要なリスクがあるかを検討します。確保が必要な場合には、確保する金額を</a:t>
          </a:r>
          <a:r>
            <a:rPr kumimoji="1" lang="ja-JP" altLang="en-US" sz="1200" b="1" i="0" u="sng">
              <a:latin typeface="メイリオ" panose="020B0604030504040204" pitchFamily="50" charset="-128"/>
              <a:ea typeface="メイリオ" panose="020B0604030504040204" pitchFamily="50" charset="-128"/>
            </a:rPr>
            <a:t>コンティンジェンシー予備費</a:t>
          </a:r>
          <a:r>
            <a:rPr kumimoji="1" lang="ja-JP" altLang="en-US" sz="1200" i="0">
              <a:latin typeface="メイリオ" panose="020B0604030504040204" pitchFamily="50" charset="-128"/>
              <a:ea typeface="メイリオ" panose="020B0604030504040204" pitchFamily="50" charset="-128"/>
            </a:rPr>
            <a:t>に記載します。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ja-JP" altLang="en-US" sz="1200" b="1" i="0">
              <a:solidFill>
                <a:srgbClr val="FF0000"/>
              </a:solidFill>
              <a:latin typeface="メイリオ" panose="020B0604030504040204" pitchFamily="50" charset="-128"/>
              <a:ea typeface="メイリオ" panose="020B0604030504040204" pitchFamily="50" charset="-128"/>
            </a:rPr>
            <a:t>＜ポイント＞</a:t>
          </a: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en-US" altLang="ja-JP" sz="1200" b="1" i="0">
              <a:solidFill>
                <a:srgbClr val="FF0000"/>
              </a:solidFill>
              <a:latin typeface="メイリオ" panose="020B0604030504040204" pitchFamily="50" charset="-128"/>
              <a:ea typeface="メイリオ" panose="020B0604030504040204" pitchFamily="50" charset="-128"/>
            </a:rPr>
            <a:t> </a:t>
          </a:r>
          <a:r>
            <a:rPr kumimoji="1" lang="ja-JP" altLang="en-US" sz="1200" b="1" i="0">
              <a:solidFill>
                <a:srgbClr val="FF0000"/>
              </a:solidFill>
              <a:latin typeface="メイリオ" panose="020B0604030504040204" pitchFamily="50" charset="-128"/>
              <a:ea typeface="メイリオ" panose="020B0604030504040204" pitchFamily="50" charset="-128"/>
            </a:rPr>
            <a:t>リスクの発生確率が</a:t>
          </a:r>
          <a:r>
            <a:rPr kumimoji="1" lang="en-US" altLang="ja-JP" sz="1200" b="1" i="0">
              <a:solidFill>
                <a:srgbClr val="FF0000"/>
              </a:solidFill>
              <a:latin typeface="メイリオ" panose="020B0604030504040204" pitchFamily="50" charset="-128"/>
              <a:ea typeface="メイリオ" panose="020B0604030504040204" pitchFamily="50" charset="-128"/>
            </a:rPr>
            <a:t>50%</a:t>
          </a:r>
          <a:r>
            <a:rPr kumimoji="1" lang="ja-JP" altLang="en-US" sz="1200" b="1" i="0">
              <a:solidFill>
                <a:srgbClr val="FF0000"/>
              </a:solidFill>
              <a:latin typeface="メイリオ" panose="020B0604030504040204" pitchFamily="50" charset="-128"/>
              <a:ea typeface="メイリオ" panose="020B0604030504040204" pitchFamily="50" charset="-128"/>
            </a:rPr>
            <a:t>を超える</a:t>
          </a:r>
          <a:endParaRPr kumimoji="1" lang="en-US" altLang="ja-JP" sz="1200" b="1" i="0">
            <a:solidFill>
              <a:srgbClr val="FF0000"/>
            </a:solidFill>
            <a:latin typeface="メイリオ" panose="020B0604030504040204" pitchFamily="50" charset="-128"/>
            <a:ea typeface="メイリオ" panose="020B0604030504040204" pitchFamily="50" charset="-128"/>
          </a:endParaRPr>
        </a:p>
        <a:p>
          <a:pPr algn="l">
            <a:lnSpc>
              <a:spcPct val="88000"/>
            </a:lnSpc>
          </a:pPr>
          <a:r>
            <a:rPr kumimoji="1" lang="en-US" altLang="ja-JP" sz="1200" b="1" i="0">
              <a:solidFill>
                <a:srgbClr val="FF0000"/>
              </a:solidFill>
              <a:latin typeface="メイリオ" panose="020B0604030504040204" pitchFamily="50" charset="-128"/>
              <a:ea typeface="メイリオ" panose="020B0604030504040204" pitchFamily="50" charset="-128"/>
            </a:rPr>
            <a:t> </a:t>
          </a:r>
          <a:r>
            <a:rPr kumimoji="1" lang="ja-JP" altLang="en-US" sz="1200" b="1" i="0">
              <a:solidFill>
                <a:srgbClr val="FF0000"/>
              </a:solidFill>
              <a:latin typeface="メイリオ" panose="020B0604030504040204" pitchFamily="50" charset="-128"/>
              <a:ea typeface="メイリオ" panose="020B0604030504040204" pitchFamily="50" charset="-128"/>
            </a:rPr>
            <a:t>場合、手順１で見積もったリスク</a:t>
          </a:r>
          <a:r>
            <a:rPr kumimoji="1" lang="ja-JP" altLang="en-US" sz="1200" b="1" i="0" u="none">
              <a:solidFill>
                <a:srgbClr val="FF0000"/>
              </a:solidFill>
              <a:latin typeface="メイリオ" panose="020B0604030504040204" pitchFamily="50" charset="-128"/>
              <a:ea typeface="メイリオ" panose="020B0604030504040204" pitchFamily="50" charset="-128"/>
            </a:rPr>
            <a:t>対応コスト（金額）全額をコンティンジェンシー予備費にすることを推奨します。</a:t>
          </a:r>
          <a:endParaRPr kumimoji="1" lang="en-US" altLang="ja-JP" sz="1200" i="0">
            <a:latin typeface="メイリオ" panose="020B0604030504040204" pitchFamily="50" charset="-128"/>
            <a:ea typeface="メイリオ" panose="020B0604030504040204" pitchFamily="50" charset="-128"/>
          </a:endParaRPr>
        </a:p>
        <a:p>
          <a:pPr algn="l">
            <a:lnSpc>
              <a:spcPct val="88000"/>
            </a:lnSpc>
          </a:pPr>
          <a:endParaRPr kumimoji="1" lang="en-US" altLang="ja-JP" sz="1200" i="0">
            <a:latin typeface="メイリオ" panose="020B0604030504040204" pitchFamily="50" charset="-128"/>
            <a:ea typeface="メイリオ" panose="020B0604030504040204" pitchFamily="50" charset="-128"/>
          </a:endParaRPr>
        </a:p>
      </xdr:txBody>
    </xdr:sp>
    <xdr:clientData/>
  </xdr:twoCellAnchor>
  <xdr:twoCellAnchor>
    <xdr:from>
      <xdr:col>21</xdr:col>
      <xdr:colOff>45447</xdr:colOff>
      <xdr:row>10</xdr:row>
      <xdr:rowOff>162858</xdr:rowOff>
    </xdr:from>
    <xdr:to>
      <xdr:col>22</xdr:col>
      <xdr:colOff>114300</xdr:colOff>
      <xdr:row>66</xdr:row>
      <xdr:rowOff>81034</xdr:rowOff>
    </xdr:to>
    <xdr:sp macro="" textlink="">
      <xdr:nvSpPr>
        <xdr:cNvPr id="7" name="角丸四角形 4">
          <a:extLst>
            <a:ext uri="{FF2B5EF4-FFF2-40B4-BE49-F238E27FC236}">
              <a16:creationId xmlns:a16="http://schemas.microsoft.com/office/drawing/2014/main" id="{C7CCBEC6-0F71-4EDD-8D1A-6C7C996179D1}"/>
            </a:ext>
          </a:extLst>
        </xdr:cNvPr>
        <xdr:cNvSpPr/>
      </xdr:nvSpPr>
      <xdr:spPr bwMode="auto">
        <a:xfrm>
          <a:off x="22156147" y="2480608"/>
          <a:ext cx="1764303" cy="11595826"/>
        </a:xfrm>
        <a:prstGeom prst="roundRect">
          <a:avLst>
            <a:gd name="adj" fmla="val 10234"/>
          </a:avLst>
        </a:prstGeom>
        <a:noFill/>
        <a:ln w="44450" cap="flat" cmpd="sng" algn="ctr">
          <a:solidFill>
            <a:srgbClr val="0000FF"/>
          </a:solidFill>
          <a:prstDash val="solid"/>
          <a:round/>
          <a:headEnd type="none" w="med" len="med"/>
          <a:tailEnd type="none" w="med" len="med"/>
        </a:ln>
        <a:effectLst/>
      </xdr:spPr>
      <xdr:txBody>
        <a:bodyPr vertOverflow="clip" horzOverflow="clip" wrap="square" lIns="18288" tIns="0" rIns="0" bIns="0" rtlCol="0" anchor="t" upright="1"/>
        <a:lstStyle/>
        <a:p>
          <a:pPr algn="l">
            <a:lnSpc>
              <a:spcPct val="88000"/>
            </a:lnSpc>
          </a:pPr>
          <a:endParaRPr kumimoji="1" lang="en-US" altLang="ja-JP" sz="1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手順</a:t>
          </a:r>
          <a:r>
            <a:rPr kumimoji="1" lang="en-US" altLang="ja-JP" sz="2800">
              <a:latin typeface="メイリオ" panose="020B0604030504040204" pitchFamily="50" charset="-128"/>
              <a:ea typeface="メイリオ" panose="020B0604030504040204" pitchFamily="50" charset="-128"/>
            </a:rPr>
            <a:t>6</a:t>
          </a:r>
          <a:r>
            <a:rPr kumimoji="1" lang="ja-JP" altLang="en-US" sz="2800">
              <a:latin typeface="メイリオ" panose="020B0604030504040204" pitchFamily="50" charset="-128"/>
              <a:ea typeface="メイリオ" panose="020B0604030504040204" pitchFamily="50" charset="-128"/>
            </a:rPr>
            <a:t>：</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リスク</a:t>
          </a:r>
          <a:endParaRPr kumimoji="1" lang="en-US" altLang="ja-JP" sz="2800">
            <a:latin typeface="メイリオ" panose="020B0604030504040204" pitchFamily="50" charset="-128"/>
            <a:ea typeface="メイリオ" panose="020B0604030504040204" pitchFamily="50" charset="-128"/>
          </a:endParaRPr>
        </a:p>
        <a:p>
          <a:pPr algn="l">
            <a:lnSpc>
              <a:spcPct val="88000"/>
            </a:lnSpc>
          </a:pPr>
          <a:r>
            <a:rPr kumimoji="1" lang="ja-JP" altLang="en-US" sz="2800">
              <a:latin typeface="メイリオ" panose="020B0604030504040204" pitchFamily="50" charset="-128"/>
              <a:ea typeface="メイリオ" panose="020B0604030504040204" pitchFamily="50" charset="-128"/>
            </a:rPr>
            <a:t>顕在化による対応費用実績</a:t>
          </a:r>
          <a:r>
            <a:rPr kumimoji="1" lang="en-US" altLang="ja-JP" sz="2800">
              <a:latin typeface="メイリオ" panose="020B0604030504040204" pitchFamily="50" charset="-128"/>
              <a:ea typeface="メイリオ" panose="020B0604030504040204" pitchFamily="50" charset="-128"/>
            </a:rPr>
            <a:t>(\M)</a:t>
          </a:r>
          <a:endParaRPr kumimoji="1" lang="ja-JP" altLang="en-US" sz="2800">
            <a:latin typeface="メイリオ" panose="020B0604030504040204" pitchFamily="50" charset="-128"/>
            <a:ea typeface="メイリオ" panose="020B0604030504040204" pitchFamily="50" charset="-128"/>
          </a:endParaRPr>
        </a:p>
        <a:p>
          <a:pPr algn="l">
            <a:lnSpc>
              <a:spcPct val="88000"/>
            </a:lnSpc>
          </a:pPr>
          <a:endParaRPr kumimoji="1" lang="ja-JP" altLang="en-US" sz="1100">
            <a:latin typeface="メイリオ" panose="020B0604030504040204" pitchFamily="50" charset="-128"/>
            <a:ea typeface="メイリオ" panose="020B0604030504040204" pitchFamily="50" charset="-128"/>
          </a:endParaRPr>
        </a:p>
        <a:p>
          <a:pPr algn="l">
            <a:lnSpc>
              <a:spcPct val="88000"/>
            </a:lnSpc>
          </a:pPr>
          <a:endParaRPr kumimoji="1" lang="ja-JP" altLang="en-US" sz="1100">
            <a:latin typeface="メイリオ" panose="020B0604030504040204" pitchFamily="50" charset="-128"/>
            <a:ea typeface="メイリオ" panose="020B0604030504040204" pitchFamily="50" charset="-128"/>
          </a:endParaRPr>
        </a:p>
        <a:p>
          <a:r>
            <a:rPr kumimoji="1" lang="ja-JP" altLang="en-US" sz="1100">
              <a:latin typeface="メイリオ" panose="020B0604030504040204" pitchFamily="50" charset="-128"/>
              <a:ea typeface="メイリオ" panose="020B0604030504040204" pitchFamily="50" charset="-128"/>
            </a:rPr>
            <a:t>・</a:t>
          </a:r>
          <a:r>
            <a:rPr kumimoji="1" lang="ja-JP" altLang="ja-JP" sz="1100" i="0">
              <a:effectLst/>
              <a:latin typeface="+mn-lt"/>
              <a:ea typeface="+mn-ea"/>
              <a:cs typeface="+mn-cs"/>
            </a:rPr>
            <a:t>リスクが顕在化した場合に当該リスクに対応した費用の実績を記載します。</a:t>
          </a:r>
          <a:endParaRPr lang="ja-JP" altLang="ja-JP">
            <a:effectLst/>
          </a:endParaRPr>
        </a:p>
        <a:p>
          <a:pPr algn="l">
            <a:lnSpc>
              <a:spcPct val="88000"/>
            </a:lnSpc>
          </a:pPr>
          <a:endParaRPr kumimoji="1" lang="en-US" altLang="ja-JP" sz="2800">
            <a:latin typeface="メイリオ" panose="020B0604030504040204" pitchFamily="50" charset="-128"/>
            <a:ea typeface="メイリオ" panose="020B0604030504040204" pitchFamily="50" charset="-128"/>
          </a:endParaRPr>
        </a:p>
      </xdr:txBody>
    </xdr:sp>
    <xdr:clientData/>
  </xdr:twoCellAnchor>
  <xdr:twoCellAnchor>
    <xdr:from>
      <xdr:col>9</xdr:col>
      <xdr:colOff>39733</xdr:colOff>
      <xdr:row>32</xdr:row>
      <xdr:rowOff>81211</xdr:rowOff>
    </xdr:from>
    <xdr:to>
      <xdr:col>13</xdr:col>
      <xdr:colOff>671103</xdr:colOff>
      <xdr:row>64</xdr:row>
      <xdr:rowOff>171823</xdr:rowOff>
    </xdr:to>
    <xdr:sp macro="" textlink="">
      <xdr:nvSpPr>
        <xdr:cNvPr id="8" name="正方形/長方形 7">
          <a:extLst>
            <a:ext uri="{FF2B5EF4-FFF2-40B4-BE49-F238E27FC236}">
              <a16:creationId xmlns:a16="http://schemas.microsoft.com/office/drawing/2014/main" id="{D62EC8CE-6789-4F96-831E-E52429F76EDC}"/>
            </a:ext>
          </a:extLst>
        </xdr:cNvPr>
        <xdr:cNvSpPr/>
      </xdr:nvSpPr>
      <xdr:spPr bwMode="auto">
        <a:xfrm>
          <a:off x="7805783" y="7167811"/>
          <a:ext cx="4346120" cy="6593012"/>
        </a:xfrm>
        <a:prstGeom prst="rect">
          <a:avLst/>
        </a:prstGeom>
        <a:solidFill>
          <a:srgbClr val="FFFFCC"/>
        </a:solidFill>
        <a:ln w="9525" cap="flat" cmpd="sng" algn="ctr">
          <a:solidFill>
            <a:srgbClr val="000000"/>
          </a:solidFill>
          <a:prstDash val="solid"/>
          <a:round/>
          <a:headEnd type="none" w="med" len="med"/>
          <a:tailEnd type="none" w="med" len="med"/>
        </a:ln>
        <a:effectLst/>
      </xdr:spPr>
      <xdr:txBody>
        <a:bodyPr vertOverflow="clip" wrap="square" lIns="108000" tIns="0" rIns="0" bIns="0" rtlCol="0" anchor="ctr" upright="1"/>
        <a:lstStyle/>
        <a:p>
          <a:pPr algn="l"/>
          <a:r>
            <a:rPr kumimoji="1" lang="ja-JP" altLang="en-US" sz="1600" b="1" u="none">
              <a:solidFill>
                <a:srgbClr val="002060"/>
              </a:solidFill>
              <a:latin typeface="メイリオ" panose="020B0604030504040204" pitchFamily="50" charset="-128"/>
              <a:ea typeface="メイリオ" panose="020B0604030504040204" pitchFamily="50" charset="-128"/>
            </a:rPr>
            <a:t>「対応方針」の説明</a:t>
          </a:r>
          <a:r>
            <a:rPr kumimoji="1" lang="ja-JP" altLang="en-US" sz="1400" b="1" u="none">
              <a:solidFill>
                <a:srgbClr val="002060"/>
              </a:solidFill>
              <a:latin typeface="メイリオ" panose="020B0604030504040204" pitchFamily="50" charset="-128"/>
              <a:ea typeface="メイリオ" panose="020B0604030504040204" pitchFamily="50" charset="-128"/>
            </a:rPr>
            <a:t>（参考：</a:t>
          </a:r>
          <a:r>
            <a:rPr kumimoji="1" lang="en-US" altLang="ja-JP" sz="1400" b="1" u="none">
              <a:solidFill>
                <a:srgbClr val="002060"/>
              </a:solidFill>
              <a:latin typeface="メイリオ" panose="020B0604030504040204" pitchFamily="50" charset="-128"/>
              <a:ea typeface="メイリオ" panose="020B0604030504040204" pitchFamily="50" charset="-128"/>
            </a:rPr>
            <a:t>PMBOK</a:t>
          </a:r>
          <a:r>
            <a:rPr kumimoji="1" lang="ja-JP" altLang="en-US" sz="1400" b="1" u="none">
              <a:solidFill>
                <a:srgbClr val="002060"/>
              </a:solidFill>
              <a:latin typeface="メイリオ" panose="020B0604030504040204" pitchFamily="50" charset="-128"/>
              <a:ea typeface="メイリオ" panose="020B0604030504040204" pitchFamily="50" charset="-128"/>
            </a:rPr>
            <a:t>第</a:t>
          </a:r>
          <a:r>
            <a:rPr kumimoji="1" lang="en-US" altLang="ja-JP" sz="1400" b="1" u="none">
              <a:solidFill>
                <a:srgbClr val="002060"/>
              </a:solidFill>
              <a:latin typeface="メイリオ" panose="020B0604030504040204" pitchFamily="50" charset="-128"/>
              <a:ea typeface="メイリオ" panose="020B0604030504040204" pitchFamily="50" charset="-128"/>
            </a:rPr>
            <a:t>7</a:t>
          </a:r>
          <a:r>
            <a:rPr kumimoji="1" lang="ja-JP" altLang="en-US" sz="1400" b="1" u="none">
              <a:solidFill>
                <a:srgbClr val="002060"/>
              </a:solidFill>
              <a:latin typeface="メイリオ" panose="020B0604030504040204" pitchFamily="50" charset="-128"/>
              <a:ea typeface="メイリオ" panose="020B0604030504040204" pitchFamily="50" charset="-128"/>
            </a:rPr>
            <a:t>版）</a:t>
          </a:r>
          <a:endParaRPr kumimoji="1" lang="en-US" altLang="ja-JP" sz="1400" b="1" u="none">
            <a:solidFill>
              <a:srgbClr val="002060"/>
            </a:solidFill>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回避</a:t>
          </a:r>
          <a:r>
            <a:rPr kumimoji="1" lang="ja-JP" altLang="en-US" sz="1600">
              <a:solidFill>
                <a:srgbClr val="0000FF"/>
              </a:solidFill>
              <a:latin typeface="メイリオ" panose="020B0604030504040204" pitchFamily="50" charset="-128"/>
              <a:ea typeface="メイリオ" panose="020B0604030504040204" pitchFamily="50" charset="-128"/>
            </a:rPr>
            <a:t>：</a:t>
          </a:r>
          <a:r>
            <a:rPr kumimoji="1" lang="ja-JP" altLang="en-US" sz="1600" baseline="0">
              <a:solidFill>
                <a:srgbClr val="0000FF"/>
              </a:solidFill>
              <a:latin typeface="メイリオ" panose="020B0604030504040204" pitchFamily="50" charset="-128"/>
              <a:ea typeface="メイリオ" panose="020B0604030504040204" pitchFamily="50" charset="-128"/>
            </a:rPr>
            <a:t> </a:t>
          </a:r>
          <a:endParaRPr kumimoji="1" lang="en-US" altLang="ja-JP" sz="1600" baseline="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リスクの脅威を排除する、もしくはその影響からプロジェクトを保護する対応。</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例：プロジェクト計画の変更</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スケジュール延長、スコープ縮小等</a:t>
          </a:r>
          <a:r>
            <a:rPr kumimoji="1" lang="en-US" altLang="ja-JP" sz="1200">
              <a:latin typeface="メイリオ" panose="020B0604030504040204" pitchFamily="50" charset="-128"/>
              <a:ea typeface="メイリオ" panose="020B0604030504040204" pitchFamily="50" charset="-128"/>
            </a:rPr>
            <a:t>)</a:t>
          </a:r>
        </a:p>
        <a:p>
          <a:pPr algn="l"/>
          <a:r>
            <a:rPr kumimoji="1" lang="ja-JP" altLang="en-US" sz="1600" b="1">
              <a:solidFill>
                <a:srgbClr val="0000FF"/>
              </a:solidFill>
              <a:latin typeface="メイリオ" panose="020B0604030504040204" pitchFamily="50" charset="-128"/>
              <a:ea typeface="メイリオ" panose="020B0604030504040204" pitchFamily="50" charset="-128"/>
            </a:rPr>
            <a:t>転嫁</a:t>
          </a:r>
          <a:r>
            <a:rPr kumimoji="1" lang="ja-JP" altLang="en-US" sz="1600">
              <a:solidFill>
                <a:srgbClr val="0000FF"/>
              </a:solidFill>
              <a:latin typeface="メイリオ" panose="020B0604030504040204" pitchFamily="50" charset="-128"/>
              <a:ea typeface="メイリオ" panose="020B0604030504040204" pitchFamily="50" charset="-128"/>
            </a:rPr>
            <a:t>：</a:t>
          </a:r>
          <a:endParaRPr kumimoji="1" lang="en-US" altLang="ja-JP" sz="1600">
            <a:solidFill>
              <a:srgbClr val="0000FF"/>
            </a:solidFill>
            <a:latin typeface="メイリオ" panose="020B0604030504040204" pitchFamily="50" charset="-128"/>
            <a:ea typeface="メイリオ" panose="020B0604030504040204" pitchFamily="50" charset="-128"/>
          </a:endParaRPr>
        </a:p>
        <a:p>
          <a:pPr algn="l"/>
          <a:r>
            <a:rPr kumimoji="1" lang="ja-JP" altLang="en-US" sz="1100" baseline="0">
              <a:latin typeface="メイリオ" panose="020B0604030504040204" pitchFamily="50" charset="-128"/>
              <a:ea typeface="メイリオ" panose="020B0604030504040204" pitchFamily="50" charset="-128"/>
            </a:rPr>
            <a:t> </a:t>
          </a:r>
          <a:r>
            <a:rPr kumimoji="1" lang="ja-JP" altLang="en-US" sz="1200">
              <a:latin typeface="メイリオ" panose="020B0604030504040204" pitchFamily="50" charset="-128"/>
              <a:ea typeface="メイリオ" panose="020B0604030504040204" pitchFamily="50" charset="-128"/>
            </a:rPr>
            <a:t>リスクの脅威が発生した時にその影響に耐えるため第</a:t>
          </a:r>
          <a:r>
            <a:rPr kumimoji="1" lang="en-US" altLang="ja-JP" sz="1200">
              <a:latin typeface="メイリオ" panose="020B0604030504040204" pitchFamily="50" charset="-128"/>
              <a:ea typeface="メイリオ" panose="020B0604030504040204" pitchFamily="50" charset="-128"/>
            </a:rPr>
            <a:t>3</a:t>
          </a:r>
          <a:r>
            <a:rPr kumimoji="1" lang="ja-JP" altLang="en-US" sz="1200">
              <a:latin typeface="メイリオ" panose="020B0604030504040204" pitchFamily="50" charset="-128"/>
              <a:ea typeface="メイリオ" panose="020B0604030504040204" pitchFamily="50" charset="-128"/>
            </a:rPr>
            <a:t>者に脅威の責任を移転する対応。</a:t>
          </a:r>
          <a:endParaRPr kumimoji="1" lang="en-US" altLang="ja-JP" sz="1200">
            <a:latin typeface="メイリオ" panose="020B0604030504040204" pitchFamily="50" charset="-128"/>
            <a:ea typeface="メイリオ" panose="020B0604030504040204" pitchFamily="50" charset="-128"/>
          </a:endParaRPr>
        </a:p>
        <a:p>
          <a:pPr algn="l"/>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リスクを取り除くものではない。</a:t>
          </a:r>
          <a:endParaRPr kumimoji="1" lang="en-US" altLang="ja-JP" sz="1200">
            <a:latin typeface="メイリオ" panose="020B0604030504040204" pitchFamily="50" charset="-128"/>
            <a:ea typeface="メイリオ" panose="020B0604030504040204" pitchFamily="50" charset="-128"/>
          </a:endParaRPr>
        </a:p>
        <a:p>
          <a:pPr algn="l"/>
          <a:r>
            <a:rPr kumimoji="1" lang="ja-JP" altLang="ja-JP" sz="1200">
              <a:effectLst/>
              <a:latin typeface="メイリオ" panose="020B0604030504040204" pitchFamily="50" charset="-128"/>
              <a:ea typeface="メイリオ" panose="020B0604030504040204" pitchFamily="50" charset="-128"/>
              <a:cs typeface="+mn-cs"/>
            </a:rPr>
            <a:t>例：</a:t>
          </a:r>
          <a:r>
            <a:rPr kumimoji="1" lang="ja-JP" altLang="en-US" sz="1200">
              <a:latin typeface="メイリオ" panose="020B0604030504040204" pitchFamily="50" charset="-128"/>
              <a:ea typeface="メイリオ" panose="020B0604030504040204" pitchFamily="50" charset="-128"/>
            </a:rPr>
            <a:t>保険、契約や合意</a:t>
          </a:r>
          <a:endParaRPr kumimoji="1" lang="en-US" altLang="ja-JP" sz="1100">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軽減</a:t>
          </a:r>
          <a:r>
            <a:rPr kumimoji="1" lang="ja-JP" altLang="en-US" sz="1600">
              <a:solidFill>
                <a:srgbClr val="0000FF"/>
              </a:solidFill>
              <a:latin typeface="メイリオ" panose="020B0604030504040204" pitchFamily="50" charset="-128"/>
              <a:ea typeface="メイリオ" panose="020B0604030504040204" pitchFamily="50" charset="-128"/>
            </a:rPr>
            <a:t>：</a:t>
          </a:r>
          <a:r>
            <a:rPr kumimoji="1" lang="ja-JP" altLang="en-US" sz="1600" baseline="0">
              <a:solidFill>
                <a:srgbClr val="0000FF"/>
              </a:solidFill>
              <a:latin typeface="メイリオ" panose="020B0604030504040204" pitchFamily="50" charset="-128"/>
              <a:ea typeface="メイリオ" panose="020B0604030504040204" pitchFamily="50" charset="-128"/>
            </a:rPr>
            <a:t> </a:t>
          </a:r>
          <a:endParaRPr kumimoji="1" lang="en-US" altLang="ja-JP" sz="1600" baseline="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リスクの脅威が発生する確率や脅威の影響を低減するための処置をおこなう対応。</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受容可能な残存リスクがある。</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例：テスト強化、事前検証、システム冗長化</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600" b="1">
              <a:solidFill>
                <a:srgbClr val="0000FF"/>
              </a:solidFill>
              <a:latin typeface="メイリオ" panose="020B0604030504040204" pitchFamily="50" charset="-128"/>
              <a:ea typeface="メイリオ" panose="020B0604030504040204" pitchFamily="50" charset="-128"/>
            </a:rPr>
            <a:t>受容</a:t>
          </a:r>
          <a:r>
            <a:rPr kumimoji="1" lang="ja-JP" altLang="en-US" sz="1600">
              <a:solidFill>
                <a:srgbClr val="0000FF"/>
              </a:solidFill>
              <a:latin typeface="メイリオ" panose="020B0604030504040204" pitchFamily="50" charset="-128"/>
              <a:ea typeface="メイリオ" panose="020B0604030504040204" pitchFamily="50" charset="-128"/>
            </a:rPr>
            <a:t>：</a:t>
          </a:r>
          <a:endParaRPr kumimoji="1" lang="en-US" altLang="ja-JP" sz="1600">
            <a:solidFill>
              <a:srgbClr val="0000FF"/>
            </a:solidFill>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脅威の存在を認めるが、何も行動しないこと。</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a:latin typeface="メイリオ" panose="020B0604030504040204" pitchFamily="50" charset="-128"/>
              <a:ea typeface="メイリオ" panose="020B0604030504040204" pitchFamily="50" charset="-128"/>
            </a:rPr>
            <a:t>「能動的受容」と「受動的受容」がある。</a:t>
          </a:r>
          <a:endParaRPr kumimoji="1" lang="en-US" altLang="ja-JP" sz="1200">
            <a:latin typeface="メイリオ" panose="020B0604030504040204" pitchFamily="50" charset="-128"/>
            <a:ea typeface="メイリオ" panose="020B0604030504040204" pitchFamily="50" charset="-128"/>
          </a:endParaRPr>
        </a:p>
        <a:p>
          <a:pPr algn="l"/>
          <a:r>
            <a:rPr kumimoji="1" lang="ja-JP" altLang="en-US" sz="1200" u="sng">
              <a:latin typeface="メイリオ" panose="020B0604030504040204" pitchFamily="50" charset="-128"/>
              <a:ea typeface="メイリオ" panose="020B0604030504040204" pitchFamily="50" charset="-128"/>
            </a:rPr>
            <a:t>能動的受容</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コンティンジェンシー予備費を設定する</a:t>
          </a:r>
          <a:r>
            <a:rPr kumimoji="1" lang="ja-JP" altLang="en-US" sz="1200" baseline="0">
              <a:latin typeface="メイリオ" panose="020B0604030504040204" pitchFamily="50" charset="-128"/>
              <a:ea typeface="メイリオ" panose="020B0604030504040204" pitchFamily="50" charset="-128"/>
            </a:rPr>
            <a:t> </a:t>
          </a:r>
          <a:r>
            <a:rPr kumimoji="1" lang="ja-JP" altLang="en-US" sz="1200">
              <a:latin typeface="メイリオ" panose="020B0604030504040204" pitchFamily="50" charset="-128"/>
              <a:ea typeface="メイリオ" panose="020B0604030504040204" pitchFamily="50" charset="-128"/>
            </a:rPr>
            <a:t>等</a:t>
          </a:r>
          <a:r>
            <a:rPr kumimoji="1" lang="en-US" altLang="ja-JP" sz="1200">
              <a:latin typeface="メイリオ" panose="020B0604030504040204" pitchFamily="50" charset="-128"/>
              <a:ea typeface="メイリオ" panose="020B0604030504040204" pitchFamily="50" charset="-128"/>
            </a:rPr>
            <a:t>) </a:t>
          </a:r>
        </a:p>
        <a:p>
          <a:pPr algn="l"/>
          <a:r>
            <a:rPr kumimoji="1" lang="ja-JP" altLang="en-US" sz="1200" u="sng">
              <a:latin typeface="メイリオ" panose="020B0604030504040204" pitchFamily="50" charset="-128"/>
              <a:ea typeface="メイリオ" panose="020B0604030504040204" pitchFamily="50" charset="-128"/>
            </a:rPr>
            <a:t>受動的受容</a:t>
          </a:r>
          <a:r>
            <a:rPr kumimoji="1" lang="en-US" altLang="ja-JP" sz="1200">
              <a:latin typeface="メイリオ" panose="020B0604030504040204" pitchFamily="50" charset="-128"/>
              <a:ea typeface="メイリオ" panose="020B0604030504040204" pitchFamily="50" charset="-128"/>
            </a:rPr>
            <a:t>(</a:t>
          </a:r>
          <a:r>
            <a:rPr kumimoji="1" lang="ja-JP" altLang="en-US" sz="1200">
              <a:latin typeface="メイリオ" panose="020B0604030504040204" pitchFamily="50" charset="-128"/>
              <a:ea typeface="メイリオ" panose="020B0604030504040204" pitchFamily="50" charset="-128"/>
            </a:rPr>
            <a:t>定期的にリスクの状態変化を見直す以外の処置をしない</a:t>
          </a:r>
          <a:r>
            <a:rPr kumimoji="1" lang="en-US" altLang="ja-JP" sz="1200">
              <a:latin typeface="メイリオ" panose="020B0604030504040204" pitchFamily="50" charset="-128"/>
              <a:ea typeface="メイリオ" panose="020B0604030504040204" pitchFamily="50" charset="-128"/>
            </a:rPr>
            <a:t>)</a:t>
          </a:r>
          <a:endParaRPr kumimoji="1" lang="ja-JP" altLang="en-US" sz="1200">
            <a:latin typeface="メイリオ" panose="020B0604030504040204" pitchFamily="50" charset="-128"/>
            <a:ea typeface="メイリオ" panose="020B0604030504040204" pitchFamily="50" charset="-128"/>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889000</xdr:colOff>
      <xdr:row>1</xdr:row>
      <xdr:rowOff>46183</xdr:rowOff>
    </xdr:from>
    <xdr:to>
      <xdr:col>13</xdr:col>
      <xdr:colOff>613834</xdr:colOff>
      <xdr:row>3</xdr:row>
      <xdr:rowOff>120267</xdr:rowOff>
    </xdr:to>
    <xdr:sp macro="" textlink="">
      <xdr:nvSpPr>
        <xdr:cNvPr id="3" name="吹き出し: 角を丸めた四角形 2">
          <a:extLst>
            <a:ext uri="{FF2B5EF4-FFF2-40B4-BE49-F238E27FC236}">
              <a16:creationId xmlns:a16="http://schemas.microsoft.com/office/drawing/2014/main" id="{AD9A612B-B10E-4685-9305-B4CBF6E37442}"/>
            </a:ext>
          </a:extLst>
        </xdr:cNvPr>
        <xdr:cNvSpPr/>
      </xdr:nvSpPr>
      <xdr:spPr bwMode="auto">
        <a:xfrm>
          <a:off x="17329727" y="254001"/>
          <a:ext cx="3546380" cy="489721"/>
        </a:xfrm>
        <a:prstGeom prst="wedgeRoundRectCallout">
          <a:avLst>
            <a:gd name="adj1" fmla="val -20506"/>
            <a:gd name="adj2" fmla="val 83776"/>
            <a:gd name="adj3" fmla="val 16667"/>
          </a:avLst>
        </a:prstGeom>
        <a:ln>
          <a:headEnd type="none" w="med" len="med"/>
          <a:tailEnd type="none" w="med" len="med"/>
        </a:ln>
      </xdr:spPr>
      <xdr:style>
        <a:lnRef idx="2">
          <a:schemeClr val="accent6"/>
        </a:lnRef>
        <a:fillRef idx="1">
          <a:schemeClr val="lt1"/>
        </a:fillRef>
        <a:effectRef idx="0">
          <a:schemeClr val="accent6"/>
        </a:effectRef>
        <a:fontRef idx="minor">
          <a:schemeClr val="dk1"/>
        </a:fontRef>
      </xdr:style>
      <xdr:txBody>
        <a:bodyPr vertOverflow="clip" wrap="square" lIns="18288" tIns="0" rIns="0" bIns="0" rtlCol="0" anchor="ctr" upright="1"/>
        <a:lstStyle/>
        <a:p>
          <a:pPr algn="ctr"/>
          <a:r>
            <a:rPr kumimoji="1" lang="ja-JP" altLang="en-US" sz="1100">
              <a:solidFill>
                <a:schemeClr val="accent6">
                  <a:lumMod val="75000"/>
                </a:schemeClr>
              </a:solidFill>
              <a:latin typeface="Meiryo UI" panose="020B0604030504040204" pitchFamily="50" charset="-128"/>
              <a:ea typeface="Meiryo UI" panose="020B0604030504040204" pitchFamily="50" charset="-128"/>
            </a:rPr>
            <a:t>フィジビリティ有無ではなく、フィジビリティ高低で良いのでは。</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B18"/>
  <sheetViews>
    <sheetView zoomScale="115" zoomScaleNormal="115" workbookViewId="0">
      <selection sqref="A1:B1"/>
    </sheetView>
  </sheetViews>
  <sheetFormatPr defaultColWidth="9.140625" defaultRowHeight="14.25"/>
  <cols>
    <col min="1" max="1" width="24.5703125" style="47" bestFit="1" customWidth="1"/>
    <col min="2" max="2" width="141.140625" style="47" customWidth="1"/>
    <col min="3" max="16384" width="9.140625" style="47"/>
  </cols>
  <sheetData>
    <row r="1" spans="1:2" ht="18.75">
      <c r="A1" s="513" t="s">
        <v>0</v>
      </c>
      <c r="B1" s="513"/>
    </row>
    <row r="4" spans="1:2" ht="56.25" customHeight="1">
      <c r="A4" s="48" t="s">
        <v>1</v>
      </c>
      <c r="B4" s="43" t="s">
        <v>2</v>
      </c>
    </row>
    <row r="5" spans="1:2" ht="6" customHeight="1"/>
    <row r="6" spans="1:2" ht="95.25" customHeight="1">
      <c r="A6" s="48" t="s">
        <v>3</v>
      </c>
      <c r="B6" s="43" t="s">
        <v>4</v>
      </c>
    </row>
    <row r="7" spans="1:2" ht="6" customHeight="1"/>
    <row r="8" spans="1:2" ht="186.75" customHeight="1">
      <c r="A8" s="48" t="s">
        <v>5</v>
      </c>
      <c r="B8" s="43" t="s">
        <v>6</v>
      </c>
    </row>
    <row r="9" spans="1:2" ht="6" customHeight="1"/>
    <row r="10" spans="1:2" ht="53.25" customHeight="1">
      <c r="A10" s="48" t="s">
        <v>7</v>
      </c>
      <c r="B10" s="43" t="s">
        <v>8</v>
      </c>
    </row>
    <row r="11" spans="1:2" ht="6" customHeight="1"/>
    <row r="12" spans="1:2" ht="46.5" customHeight="1">
      <c r="A12" s="48" t="s">
        <v>9</v>
      </c>
      <c r="B12" s="43" t="s">
        <v>10</v>
      </c>
    </row>
    <row r="13" spans="1:2" ht="6" customHeight="1"/>
    <row r="14" spans="1:2" ht="61.5" customHeight="1">
      <c r="A14" s="48" t="s">
        <v>11</v>
      </c>
      <c r="B14" s="43" t="s">
        <v>12</v>
      </c>
    </row>
    <row r="15" spans="1:2" ht="6" customHeight="1"/>
    <row r="16" spans="1:2" ht="51" customHeight="1">
      <c r="A16" s="48" t="s">
        <v>13</v>
      </c>
      <c r="B16" s="43" t="s">
        <v>14</v>
      </c>
    </row>
    <row r="17" spans="1:2" ht="6" customHeight="1"/>
    <row r="18" spans="1:2" ht="48.75" customHeight="1">
      <c r="A18" s="48" t="s">
        <v>15</v>
      </c>
      <c r="B18" s="43" t="s">
        <v>16</v>
      </c>
    </row>
  </sheetData>
  <mergeCells count="1">
    <mergeCell ref="A1:B1"/>
  </mergeCells>
  <phoneticPr fontId="2"/>
  <printOptions horizontalCentered="1" verticalCentered="1"/>
  <pageMargins left="0.78740157480314965" right="0.78740157480314965" top="0.59055118110236227" bottom="0.6692913385826772" header="0.51181102362204722" footer="0.39370078740157483"/>
  <pageSetup paperSize="9" scale="78" orientation="landscape" r:id="rId1"/>
  <headerFooter alignWithMargins="0">
    <oddFooter>&amp;L伊藤忠テクノソリューションズ株式会社&amp;C&amp;P/&amp;N&amp;RCQMS-S-102T5 Ver.09.00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filterMode="1">
    <tabColor indexed="13"/>
    <pageSetUpPr fitToPage="1"/>
  </sheetPr>
  <dimension ref="A1:J40"/>
  <sheetViews>
    <sheetView topLeftCell="A19" zoomScaleNormal="100" workbookViewId="0">
      <selection activeCell="E15" sqref="E15"/>
    </sheetView>
  </sheetViews>
  <sheetFormatPr defaultColWidth="9.140625" defaultRowHeight="13.5"/>
  <cols>
    <col min="1" max="1" width="4.85546875" style="36" bestFit="1" customWidth="1"/>
    <col min="2" max="2" width="10.42578125" style="37" customWidth="1"/>
    <col min="3" max="3" width="16.85546875" style="36" customWidth="1"/>
    <col min="4" max="4" width="22.140625" style="36" customWidth="1"/>
    <col min="5" max="6" width="10.7109375" style="36" bestFit="1" customWidth="1"/>
    <col min="7" max="7" width="163.5703125" style="36" customWidth="1"/>
    <col min="8" max="8" width="18.140625" style="37" bestFit="1" customWidth="1"/>
    <col min="9" max="9" width="5.7109375" style="72" hidden="1" customWidth="1"/>
    <col min="10" max="16384" width="9.140625" style="36"/>
  </cols>
  <sheetData>
    <row r="1" spans="1:9" ht="14.25">
      <c r="A1" s="35"/>
      <c r="B1" s="90"/>
    </row>
    <row r="2" spans="1:9" ht="17.25">
      <c r="C2" s="38" t="s">
        <v>17</v>
      </c>
    </row>
    <row r="3" spans="1:9" ht="17.25">
      <c r="C3" s="38" t="s">
        <v>18</v>
      </c>
    </row>
    <row r="4" spans="1:9" ht="18" thickBot="1">
      <c r="C4" s="38" t="s">
        <v>19</v>
      </c>
    </row>
    <row r="5" spans="1:9" s="39" customFormat="1" ht="40.5" customHeight="1">
      <c r="A5" s="151" t="s">
        <v>20</v>
      </c>
      <c r="B5" s="152" t="s">
        <v>21</v>
      </c>
      <c r="C5" s="153" t="s">
        <v>22</v>
      </c>
      <c r="D5" s="153" t="s">
        <v>23</v>
      </c>
      <c r="E5" s="517" t="s">
        <v>24</v>
      </c>
      <c r="F5" s="518"/>
      <c r="G5" s="154" t="s">
        <v>25</v>
      </c>
      <c r="H5" s="155" t="s">
        <v>26</v>
      </c>
      <c r="I5" s="73"/>
    </row>
    <row r="6" spans="1:9" s="40" customFormat="1" ht="21" customHeight="1">
      <c r="A6" s="514" t="s">
        <v>27</v>
      </c>
      <c r="B6" s="515"/>
      <c r="C6" s="515"/>
      <c r="D6" s="515"/>
      <c r="E6" s="515"/>
      <c r="F6" s="515"/>
      <c r="G6" s="515"/>
      <c r="H6" s="516"/>
      <c r="I6" s="74"/>
    </row>
    <row r="7" spans="1:9" ht="93" hidden="1" customHeight="1">
      <c r="A7" s="41">
        <v>1</v>
      </c>
      <c r="B7" s="89" t="s">
        <v>28</v>
      </c>
      <c r="C7" s="42" t="s">
        <v>29</v>
      </c>
      <c r="D7" s="43" t="s">
        <v>30</v>
      </c>
      <c r="E7" s="44" t="s">
        <v>31</v>
      </c>
      <c r="F7" s="44" t="s">
        <v>32</v>
      </c>
      <c r="G7" s="45" t="s">
        <v>33</v>
      </c>
      <c r="H7" s="46" t="s">
        <v>34</v>
      </c>
      <c r="I7" s="72" t="s">
        <v>35</v>
      </c>
    </row>
    <row r="8" spans="1:9" ht="94.5" hidden="1" customHeight="1">
      <c r="A8" s="41">
        <f>A7+1</f>
        <v>2</v>
      </c>
      <c r="B8" s="89" t="s">
        <v>28</v>
      </c>
      <c r="C8" s="42" t="s">
        <v>36</v>
      </c>
      <c r="D8" s="43" t="s">
        <v>37</v>
      </c>
      <c r="E8" s="44" t="s">
        <v>31</v>
      </c>
      <c r="F8" s="44" t="s">
        <v>38</v>
      </c>
      <c r="G8" s="45" t="s">
        <v>39</v>
      </c>
      <c r="H8" s="46" t="s">
        <v>40</v>
      </c>
      <c r="I8" s="72" t="s">
        <v>41</v>
      </c>
    </row>
    <row r="9" spans="1:9" ht="111" customHeight="1">
      <c r="A9" s="41">
        <f>A8+1</f>
        <v>3</v>
      </c>
      <c r="B9" s="89" t="s">
        <v>42</v>
      </c>
      <c r="C9" s="42" t="s">
        <v>43</v>
      </c>
      <c r="D9" s="43" t="s">
        <v>44</v>
      </c>
      <c r="E9" s="44" t="s">
        <v>35</v>
      </c>
      <c r="F9" s="44" t="s">
        <v>45</v>
      </c>
      <c r="G9" s="45" t="s">
        <v>46</v>
      </c>
      <c r="H9" s="46" t="s">
        <v>34</v>
      </c>
      <c r="I9" s="72" t="s">
        <v>35</v>
      </c>
    </row>
    <row r="10" spans="1:9" ht="78.75" hidden="1" customHeight="1">
      <c r="A10" s="41">
        <f>A9+1</f>
        <v>4</v>
      </c>
      <c r="B10" s="89" t="s">
        <v>28</v>
      </c>
      <c r="C10" s="42" t="s">
        <v>47</v>
      </c>
      <c r="D10" s="43" t="s">
        <v>48</v>
      </c>
      <c r="E10" s="44" t="s">
        <v>31</v>
      </c>
      <c r="F10" s="44" t="s">
        <v>38</v>
      </c>
      <c r="G10" s="45" t="s">
        <v>49</v>
      </c>
      <c r="H10" s="46" t="s">
        <v>40</v>
      </c>
      <c r="I10" s="72" t="s">
        <v>41</v>
      </c>
    </row>
    <row r="11" spans="1:9" ht="109.5" hidden="1" customHeight="1">
      <c r="A11" s="41">
        <f>A10+1</f>
        <v>5</v>
      </c>
      <c r="B11" s="89" t="s">
        <v>28</v>
      </c>
      <c r="C11" s="42" t="s">
        <v>50</v>
      </c>
      <c r="D11" s="43" t="s">
        <v>51</v>
      </c>
      <c r="E11" s="44" t="s">
        <v>31</v>
      </c>
      <c r="F11" s="44" t="s">
        <v>52</v>
      </c>
      <c r="G11" s="45" t="s">
        <v>53</v>
      </c>
      <c r="H11" s="46" t="s">
        <v>34</v>
      </c>
      <c r="I11" s="72" t="s">
        <v>35</v>
      </c>
    </row>
    <row r="12" spans="1:9" s="40" customFormat="1" ht="24" customHeight="1">
      <c r="A12" s="514" t="s">
        <v>54</v>
      </c>
      <c r="B12" s="515"/>
      <c r="C12" s="515"/>
      <c r="D12" s="515"/>
      <c r="E12" s="515"/>
      <c r="F12" s="515"/>
      <c r="G12" s="515"/>
      <c r="H12" s="516"/>
      <c r="I12" s="72"/>
    </row>
    <row r="13" spans="1:9" ht="95.25" customHeight="1">
      <c r="A13" s="41">
        <f>A11+1</f>
        <v>6</v>
      </c>
      <c r="B13" s="89" t="s">
        <v>42</v>
      </c>
      <c r="C13" s="42" t="s">
        <v>55</v>
      </c>
      <c r="D13" s="43" t="s">
        <v>56</v>
      </c>
      <c r="E13" s="44" t="s">
        <v>65</v>
      </c>
      <c r="F13" s="44" t="s">
        <v>58</v>
      </c>
      <c r="G13" s="45" t="s">
        <v>59</v>
      </c>
      <c r="H13" s="46" t="s">
        <v>34</v>
      </c>
      <c r="I13" s="72" t="s">
        <v>35</v>
      </c>
    </row>
    <row r="14" spans="1:9" ht="93.75" customHeight="1">
      <c r="A14" s="41">
        <f t="shared" ref="A14:A20" si="0">A13+1</f>
        <v>7</v>
      </c>
      <c r="B14" s="89" t="s">
        <v>42</v>
      </c>
      <c r="C14" s="42" t="s">
        <v>60</v>
      </c>
      <c r="D14" s="43" t="s">
        <v>61</v>
      </c>
      <c r="E14" s="44" t="s">
        <v>57</v>
      </c>
      <c r="F14" s="44" t="s">
        <v>58</v>
      </c>
      <c r="G14" s="45" t="s">
        <v>62</v>
      </c>
      <c r="H14" s="46" t="s">
        <v>34</v>
      </c>
      <c r="I14" s="72" t="s">
        <v>35</v>
      </c>
    </row>
    <row r="15" spans="1:9" ht="165.75" customHeight="1">
      <c r="A15" s="41">
        <f t="shared" si="0"/>
        <v>8</v>
      </c>
      <c r="B15" s="89" t="s">
        <v>42</v>
      </c>
      <c r="C15" s="42" t="s">
        <v>63</v>
      </c>
      <c r="D15" s="43" t="s">
        <v>64</v>
      </c>
      <c r="E15" s="44" t="s">
        <v>65</v>
      </c>
      <c r="F15" s="44" t="s">
        <v>66</v>
      </c>
      <c r="G15" s="45" t="s">
        <v>67</v>
      </c>
      <c r="H15" s="46" t="s">
        <v>34</v>
      </c>
      <c r="I15" s="72" t="s">
        <v>35</v>
      </c>
    </row>
    <row r="16" spans="1:9" ht="150" customHeight="1">
      <c r="A16" s="41">
        <f t="shared" si="0"/>
        <v>9</v>
      </c>
      <c r="B16" s="89" t="s">
        <v>42</v>
      </c>
      <c r="C16" s="42" t="s">
        <v>63</v>
      </c>
      <c r="D16" s="43" t="s">
        <v>68</v>
      </c>
      <c r="E16" s="44" t="s">
        <v>57</v>
      </c>
      <c r="F16" s="44" t="s">
        <v>69</v>
      </c>
      <c r="G16" s="45" t="s">
        <v>70</v>
      </c>
      <c r="H16" s="46" t="s">
        <v>40</v>
      </c>
      <c r="I16" s="72" t="s">
        <v>41</v>
      </c>
    </row>
    <row r="17" spans="1:10" ht="135.75" customHeight="1">
      <c r="A17" s="41">
        <f t="shared" si="0"/>
        <v>10</v>
      </c>
      <c r="B17" s="89" t="s">
        <v>42</v>
      </c>
      <c r="C17" s="42" t="s">
        <v>63</v>
      </c>
      <c r="D17" s="43" t="s">
        <v>71</v>
      </c>
      <c r="E17" s="44" t="s">
        <v>65</v>
      </c>
      <c r="F17" s="44" t="s">
        <v>72</v>
      </c>
      <c r="G17" s="45" t="s">
        <v>73</v>
      </c>
      <c r="H17" s="46" t="s">
        <v>34</v>
      </c>
      <c r="I17" s="72" t="s">
        <v>35</v>
      </c>
    </row>
    <row r="18" spans="1:10" ht="114">
      <c r="A18" s="41">
        <f t="shared" si="0"/>
        <v>11</v>
      </c>
      <c r="B18" s="89" t="s">
        <v>42</v>
      </c>
      <c r="C18" s="42" t="s">
        <v>74</v>
      </c>
      <c r="D18" s="43" t="s">
        <v>75</v>
      </c>
      <c r="E18" s="44" t="s">
        <v>65</v>
      </c>
      <c r="F18" s="44" t="s">
        <v>76</v>
      </c>
      <c r="G18" s="45" t="s">
        <v>77</v>
      </c>
      <c r="H18" s="46" t="s">
        <v>34</v>
      </c>
      <c r="I18" s="72" t="s">
        <v>35</v>
      </c>
    </row>
    <row r="19" spans="1:10" ht="95.25" customHeight="1">
      <c r="A19" s="41">
        <f t="shared" si="0"/>
        <v>12</v>
      </c>
      <c r="B19" s="89" t="s">
        <v>42</v>
      </c>
      <c r="C19" s="42" t="s">
        <v>78</v>
      </c>
      <c r="D19" s="43" t="s">
        <v>79</v>
      </c>
      <c r="E19" s="44" t="s">
        <v>57</v>
      </c>
      <c r="F19" s="44" t="s">
        <v>80</v>
      </c>
      <c r="G19" s="45" t="s">
        <v>81</v>
      </c>
      <c r="H19" s="46" t="s">
        <v>34</v>
      </c>
      <c r="I19" s="72" t="s">
        <v>35</v>
      </c>
    </row>
    <row r="20" spans="1:10" s="40" customFormat="1" ht="256.5" customHeight="1">
      <c r="A20" s="41">
        <f t="shared" si="0"/>
        <v>13</v>
      </c>
      <c r="B20" s="89" t="s">
        <v>42</v>
      </c>
      <c r="C20" s="42" t="s">
        <v>82</v>
      </c>
      <c r="D20" s="43" t="s">
        <v>83</v>
      </c>
      <c r="E20" s="44" t="s">
        <v>57</v>
      </c>
      <c r="F20" s="44" t="s">
        <v>84</v>
      </c>
      <c r="G20" s="45" t="s">
        <v>85</v>
      </c>
      <c r="H20" s="46" t="s">
        <v>34</v>
      </c>
      <c r="I20" s="72" t="s">
        <v>35</v>
      </c>
      <c r="J20" s="36"/>
    </row>
    <row r="21" spans="1:10" s="40" customFormat="1" ht="24" customHeight="1">
      <c r="A21" s="514" t="s">
        <v>86</v>
      </c>
      <c r="B21" s="515"/>
      <c r="C21" s="515"/>
      <c r="D21" s="515"/>
      <c r="E21" s="515"/>
      <c r="F21" s="515"/>
      <c r="G21" s="515"/>
      <c r="H21" s="516"/>
      <c r="I21" s="72"/>
    </row>
    <row r="22" spans="1:10" ht="96" customHeight="1">
      <c r="A22" s="41">
        <f>A20+1</f>
        <v>14</v>
      </c>
      <c r="B22" s="89" t="s">
        <v>42</v>
      </c>
      <c r="C22" s="42" t="s">
        <v>87</v>
      </c>
      <c r="D22" s="43" t="s">
        <v>88</v>
      </c>
      <c r="E22" s="44" t="s">
        <v>65</v>
      </c>
      <c r="F22" s="44" t="s">
        <v>89</v>
      </c>
      <c r="G22" s="45" t="s">
        <v>90</v>
      </c>
      <c r="H22" s="46" t="s">
        <v>34</v>
      </c>
      <c r="I22" s="72" t="s">
        <v>35</v>
      </c>
    </row>
    <row r="23" spans="1:10" ht="174.75" customHeight="1">
      <c r="A23" s="41">
        <f>A22+1</f>
        <v>15</v>
      </c>
      <c r="B23" s="89" t="s">
        <v>42</v>
      </c>
      <c r="C23" s="42" t="s">
        <v>82</v>
      </c>
      <c r="D23" s="43" t="s">
        <v>91</v>
      </c>
      <c r="E23" s="44" t="s">
        <v>65</v>
      </c>
      <c r="F23" s="44" t="s">
        <v>92</v>
      </c>
      <c r="G23" s="45" t="s">
        <v>93</v>
      </c>
      <c r="H23" s="46" t="s">
        <v>34</v>
      </c>
      <c r="I23" s="72" t="s">
        <v>35</v>
      </c>
    </row>
    <row r="24" spans="1:10" ht="99.75" hidden="1" customHeight="1">
      <c r="A24" s="41">
        <f>A23+1</f>
        <v>16</v>
      </c>
      <c r="B24" s="89" t="s">
        <v>28</v>
      </c>
      <c r="C24" s="42" t="s">
        <v>94</v>
      </c>
      <c r="D24" s="43" t="s">
        <v>95</v>
      </c>
      <c r="E24" s="44" t="s">
        <v>31</v>
      </c>
      <c r="F24" s="44" t="s">
        <v>96</v>
      </c>
      <c r="G24" s="45" t="s">
        <v>97</v>
      </c>
      <c r="H24" s="46" t="s">
        <v>34</v>
      </c>
      <c r="I24" s="72" t="s">
        <v>35</v>
      </c>
    </row>
    <row r="25" spans="1:10" s="40" customFormat="1" ht="24" customHeight="1">
      <c r="A25" s="514" t="s">
        <v>98</v>
      </c>
      <c r="B25" s="515"/>
      <c r="C25" s="515"/>
      <c r="D25" s="515"/>
      <c r="E25" s="515"/>
      <c r="F25" s="515"/>
      <c r="G25" s="515"/>
      <c r="H25" s="516"/>
      <c r="I25" s="72"/>
    </row>
    <row r="26" spans="1:10" s="40" customFormat="1" ht="24" customHeight="1">
      <c r="A26" s="514" t="s">
        <v>99</v>
      </c>
      <c r="B26" s="515"/>
      <c r="C26" s="515"/>
      <c r="D26" s="515"/>
      <c r="E26" s="515"/>
      <c r="F26" s="515"/>
      <c r="G26" s="515"/>
      <c r="H26" s="516"/>
      <c r="I26" s="72"/>
    </row>
    <row r="27" spans="1:10" s="40" customFormat="1" ht="84" customHeight="1">
      <c r="A27" s="92">
        <f>A24+1</f>
        <v>17</v>
      </c>
      <c r="B27" s="89" t="s">
        <v>42</v>
      </c>
      <c r="C27" s="93" t="s">
        <v>100</v>
      </c>
      <c r="D27" s="94" t="s">
        <v>101</v>
      </c>
      <c r="E27" s="95" t="s">
        <v>57</v>
      </c>
      <c r="F27" s="95" t="s">
        <v>102</v>
      </c>
      <c r="G27" s="96" t="s">
        <v>103</v>
      </c>
      <c r="H27" s="97" t="s">
        <v>34</v>
      </c>
      <c r="I27" s="72" t="s">
        <v>35</v>
      </c>
    </row>
    <row r="28" spans="1:10" ht="99.75" customHeight="1">
      <c r="A28" s="41">
        <f t="shared" ref="A28:A33" si="1">A27+1</f>
        <v>18</v>
      </c>
      <c r="B28" s="89" t="s">
        <v>42</v>
      </c>
      <c r="C28" s="42" t="s">
        <v>47</v>
      </c>
      <c r="D28" s="43" t="s">
        <v>104</v>
      </c>
      <c r="E28" s="44" t="s">
        <v>57</v>
      </c>
      <c r="F28" s="44" t="s">
        <v>105</v>
      </c>
      <c r="G28" s="45" t="s">
        <v>106</v>
      </c>
      <c r="H28" s="46" t="s">
        <v>34</v>
      </c>
      <c r="I28" s="72" t="s">
        <v>35</v>
      </c>
    </row>
    <row r="29" spans="1:10" ht="85.5">
      <c r="A29" s="41">
        <f t="shared" si="1"/>
        <v>19</v>
      </c>
      <c r="B29" s="89" t="s">
        <v>42</v>
      </c>
      <c r="C29" s="42" t="s">
        <v>107</v>
      </c>
      <c r="D29" s="43" t="s">
        <v>108</v>
      </c>
      <c r="E29" s="44" t="s">
        <v>57</v>
      </c>
      <c r="F29" s="44" t="s">
        <v>109</v>
      </c>
      <c r="G29" s="45" t="s">
        <v>110</v>
      </c>
      <c r="H29" s="46" t="s">
        <v>34</v>
      </c>
      <c r="I29" s="72" t="s">
        <v>35</v>
      </c>
    </row>
    <row r="30" spans="1:10" ht="99.75">
      <c r="A30" s="41">
        <f t="shared" si="1"/>
        <v>20</v>
      </c>
      <c r="B30" s="89" t="s">
        <v>42</v>
      </c>
      <c r="C30" s="42" t="s">
        <v>111</v>
      </c>
      <c r="D30" s="43" t="s">
        <v>112</v>
      </c>
      <c r="E30" s="44" t="s">
        <v>31</v>
      </c>
      <c r="F30" s="44" t="s">
        <v>113</v>
      </c>
      <c r="G30" s="45" t="s">
        <v>114</v>
      </c>
      <c r="H30" s="46" t="s">
        <v>34</v>
      </c>
      <c r="I30" s="72" t="s">
        <v>35</v>
      </c>
    </row>
    <row r="31" spans="1:10" ht="114" hidden="1" customHeight="1">
      <c r="A31" s="41">
        <f t="shared" si="1"/>
        <v>21</v>
      </c>
      <c r="B31" s="89" t="s">
        <v>28</v>
      </c>
      <c r="C31" s="42" t="s">
        <v>115</v>
      </c>
      <c r="D31" s="43" t="s">
        <v>116</v>
      </c>
      <c r="E31" s="44" t="s">
        <v>31</v>
      </c>
      <c r="F31" s="44" t="s">
        <v>117</v>
      </c>
      <c r="G31" s="45" t="s">
        <v>118</v>
      </c>
      <c r="H31" s="46" t="s">
        <v>34</v>
      </c>
      <c r="I31" s="72" t="s">
        <v>35</v>
      </c>
    </row>
    <row r="32" spans="1:10" ht="71.25" hidden="1" customHeight="1">
      <c r="A32" s="41">
        <f t="shared" si="1"/>
        <v>22</v>
      </c>
      <c r="B32" s="89" t="s">
        <v>28</v>
      </c>
      <c r="C32" s="42" t="s">
        <v>119</v>
      </c>
      <c r="D32" s="43" t="s">
        <v>120</v>
      </c>
      <c r="E32" s="44" t="s">
        <v>31</v>
      </c>
      <c r="F32" s="44" t="s">
        <v>121</v>
      </c>
      <c r="G32" s="45" t="s">
        <v>122</v>
      </c>
      <c r="H32" s="46" t="s">
        <v>34</v>
      </c>
      <c r="I32" s="72" t="s">
        <v>35</v>
      </c>
    </row>
    <row r="33" spans="1:9" s="40" customFormat="1" ht="108" hidden="1" customHeight="1">
      <c r="A33" s="41">
        <f t="shared" si="1"/>
        <v>23</v>
      </c>
      <c r="B33" s="89" t="s">
        <v>28</v>
      </c>
      <c r="C33" s="42" t="s">
        <v>82</v>
      </c>
      <c r="D33" s="43" t="s">
        <v>123</v>
      </c>
      <c r="E33" s="44" t="s">
        <v>31</v>
      </c>
      <c r="F33" s="44" t="s">
        <v>124</v>
      </c>
      <c r="G33" s="45" t="s">
        <v>125</v>
      </c>
      <c r="H33" s="46" t="s">
        <v>34</v>
      </c>
      <c r="I33" s="72" t="s">
        <v>35</v>
      </c>
    </row>
    <row r="34" spans="1:9" s="40" customFormat="1" ht="24" customHeight="1">
      <c r="A34" s="514" t="s">
        <v>126</v>
      </c>
      <c r="B34" s="515"/>
      <c r="C34" s="515"/>
      <c r="D34" s="515"/>
      <c r="E34" s="515"/>
      <c r="F34" s="515"/>
      <c r="G34" s="515"/>
      <c r="H34" s="516"/>
      <c r="I34" s="72"/>
    </row>
    <row r="35" spans="1:9" ht="114">
      <c r="A35" s="41">
        <f>A33+1</f>
        <v>24</v>
      </c>
      <c r="B35" s="89" t="s">
        <v>42</v>
      </c>
      <c r="C35" s="42" t="s">
        <v>87</v>
      </c>
      <c r="D35" s="43" t="s">
        <v>127</v>
      </c>
      <c r="E35" s="44" t="s">
        <v>65</v>
      </c>
      <c r="F35" s="44" t="s">
        <v>109</v>
      </c>
      <c r="G35" s="45" t="s">
        <v>128</v>
      </c>
      <c r="H35" s="46" t="s">
        <v>34</v>
      </c>
      <c r="I35" s="72" t="s">
        <v>35</v>
      </c>
    </row>
    <row r="36" spans="1:9" ht="28.5">
      <c r="C36" s="47" t="s">
        <v>129</v>
      </c>
      <c r="E36" s="91"/>
      <c r="F36" s="91"/>
    </row>
    <row r="37" spans="1:9" ht="14.25">
      <c r="C37" s="47" t="s">
        <v>130</v>
      </c>
    </row>
    <row r="38" spans="1:9" ht="14.25">
      <c r="C38" s="47"/>
    </row>
    <row r="39" spans="1:9" ht="14.25">
      <c r="C39" s="47"/>
    </row>
    <row r="40" spans="1:9" ht="14.25">
      <c r="C40" s="47"/>
    </row>
  </sheetData>
  <autoFilter ref="A5:H37" xr:uid="{00000000-0009-0000-0000-000001000000}">
    <filterColumn colId="1">
      <filters blank="1">
        <filter val="全案件"/>
      </filters>
    </filterColumn>
    <filterColumn colId="4" showButton="0"/>
  </autoFilter>
  <mergeCells count="7">
    <mergeCell ref="A34:H34"/>
    <mergeCell ref="E5:F5"/>
    <mergeCell ref="A6:H6"/>
    <mergeCell ref="A12:H12"/>
    <mergeCell ref="A21:H21"/>
    <mergeCell ref="A25:H25"/>
    <mergeCell ref="A26:H26"/>
  </mergeCells>
  <phoneticPr fontId="2"/>
  <conditionalFormatting sqref="A6:H35">
    <cfRule type="expression" dxfId="79" priority="1" stopIfTrue="1">
      <formula>COUNTIF($E6, "該当せず") &gt; 0</formula>
    </cfRule>
    <cfRule type="expression" dxfId="78" priority="2" stopIfTrue="1">
      <formula>COUNTIF($E6, $I6) &gt; 0</formula>
    </cfRule>
  </conditionalFormatting>
  <dataValidations count="1">
    <dataValidation type="list" allowBlank="1" showInputMessage="1" showErrorMessage="1" sqref="E13:E20 E22:E24 E27:E33 E35 E7:E11" xr:uid="{00000000-0002-0000-0100-000000000000}">
      <formula1>"Yes / No,Yes,No,該当せず"</formula1>
    </dataValidation>
  </dataValidations>
  <pageMargins left="0.39370078740157483" right="0.39370078740157483" top="0.62992125984251968" bottom="0.35433070866141736" header="0.27559055118110237" footer="0.19685039370078741"/>
  <pageSetup paperSize="8" scale="60" fitToHeight="0" orientation="portrait" r:id="rId1"/>
  <headerFooter alignWithMargins="0">
    <oddFooter>&amp;L伊藤忠テクノソリューションズ株式会社&amp;C&amp;P/&amp;N&amp;RCQMS-S-102T5 Ver.09.00</oddFooter>
  </headerFooter>
  <rowBreaks count="1" manualBreakCount="1">
    <brk id="20" max="16383"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12C1-A225-4033-AD38-5AD29E0191C3}">
  <sheetPr>
    <tabColor rgb="FFFFFF00"/>
    <pageSetUpPr fitToPage="1"/>
  </sheetPr>
  <dimension ref="A1:X98"/>
  <sheetViews>
    <sheetView tabSelected="1" zoomScale="85" zoomScaleNormal="85" workbookViewId="0">
      <pane xSplit="9" ySplit="9" topLeftCell="J17" activePane="bottomRight" state="frozen"/>
      <selection pane="topRight" activeCell="J1" sqref="J1"/>
      <selection pane="bottomLeft" activeCell="A10" sqref="A10"/>
      <selection pane="bottomRight" activeCell="F19" sqref="F19"/>
    </sheetView>
  </sheetViews>
  <sheetFormatPr defaultColWidth="8.140625" defaultRowHeight="12"/>
  <cols>
    <col min="1" max="1" width="4" style="84" customWidth="1"/>
    <col min="2" max="2" width="10" style="85" customWidth="1"/>
    <col min="3" max="3" width="57.28515625" style="85" customWidth="1"/>
    <col min="4" max="4" width="32.85546875" style="85" customWidth="1"/>
    <col min="5" max="5" width="34.28515625" style="86" customWidth="1"/>
    <col min="6" max="6" width="12" style="86" customWidth="1"/>
    <col min="7" max="7" width="53.85546875" style="78" customWidth="1"/>
    <col min="8" max="8" width="12.140625" style="86" customWidth="1"/>
    <col min="9" max="9" width="17.28515625" style="87" customWidth="1"/>
    <col min="10" max="10" width="25" style="87" customWidth="1"/>
    <col min="11" max="11" width="25.140625" style="87" customWidth="1"/>
    <col min="12" max="12" width="27.28515625" style="87" customWidth="1"/>
    <col min="13" max="13" width="7.85546875" style="84" customWidth="1"/>
    <col min="14" max="14" width="67" style="78" customWidth="1"/>
    <col min="15" max="15" width="15" style="78" customWidth="1"/>
    <col min="16" max="16" width="9.42578125" style="84" customWidth="1"/>
    <col min="17" max="17" width="9" style="84" customWidth="1"/>
    <col min="18" max="18" width="10.7109375" style="78" customWidth="1"/>
    <col min="19" max="19" width="7" style="78" customWidth="1"/>
    <col min="20" max="21" width="23.7109375" style="78" customWidth="1"/>
    <col min="22" max="22" width="16.5703125" style="85" customWidth="1"/>
    <col min="23" max="23" width="24.28515625" style="85" customWidth="1"/>
    <col min="24" max="24" width="23.7109375" style="78" customWidth="1"/>
    <col min="25" max="16384" width="8.140625" style="78"/>
  </cols>
  <sheetData>
    <row r="1" spans="1:24" ht="16.5">
      <c r="A1" s="359" t="s">
        <v>131</v>
      </c>
      <c r="B1" s="187"/>
      <c r="C1" s="187"/>
      <c r="D1" s="187"/>
      <c r="E1" s="188"/>
      <c r="F1" s="188"/>
      <c r="G1" s="31"/>
      <c r="H1" s="188"/>
      <c r="I1" s="189"/>
      <c r="J1" s="189"/>
      <c r="K1" s="189"/>
      <c r="L1" s="189"/>
      <c r="M1" s="186"/>
      <c r="N1" s="31"/>
      <c r="O1" s="31"/>
      <c r="P1" s="186"/>
      <c r="Q1" s="186"/>
      <c r="R1" s="31"/>
      <c r="S1" s="31"/>
      <c r="T1" s="31"/>
      <c r="U1" s="31"/>
      <c r="V1" s="187"/>
      <c r="W1" s="187"/>
      <c r="X1" s="31"/>
    </row>
    <row r="2" spans="1:24" ht="16.5">
      <c r="A2" s="360" t="s">
        <v>132</v>
      </c>
      <c r="B2" s="187"/>
      <c r="C2" s="187"/>
      <c r="D2" s="187"/>
      <c r="E2" s="188"/>
      <c r="F2" s="316"/>
      <c r="G2" s="31"/>
      <c r="H2" s="188">
        <v>0.5</v>
      </c>
      <c r="I2" s="189">
        <v>0.3</v>
      </c>
      <c r="J2" s="189">
        <v>1</v>
      </c>
      <c r="K2" s="189">
        <v>0.5</v>
      </c>
      <c r="L2" s="189">
        <v>1</v>
      </c>
      <c r="M2" s="186"/>
      <c r="N2" s="31"/>
      <c r="O2" s="31"/>
      <c r="P2" s="186"/>
      <c r="Q2" s="186"/>
      <c r="R2" s="31"/>
      <c r="S2" s="31"/>
      <c r="T2" s="31"/>
      <c r="U2" s="31"/>
      <c r="V2" s="187"/>
      <c r="W2" s="187"/>
      <c r="X2" s="31"/>
    </row>
    <row r="3" spans="1:24" ht="16.5">
      <c r="A3" s="360" t="s">
        <v>133</v>
      </c>
      <c r="B3" s="187"/>
      <c r="C3" s="187"/>
      <c r="D3" s="187"/>
      <c r="E3" s="188"/>
      <c r="F3" s="188"/>
      <c r="G3" s="31"/>
      <c r="H3" s="316" t="s">
        <v>1137</v>
      </c>
      <c r="I3" s="316" t="s">
        <v>1121</v>
      </c>
      <c r="J3" s="505" t="s">
        <v>1122</v>
      </c>
      <c r="K3" s="189" t="s">
        <v>1138</v>
      </c>
      <c r="L3" s="189" t="s">
        <v>1123</v>
      </c>
      <c r="M3" s="186"/>
      <c r="N3" s="31"/>
      <c r="O3" s="31"/>
      <c r="P3" s="186"/>
      <c r="Q3" s="186"/>
      <c r="R3" s="31"/>
      <c r="S3" s="31"/>
      <c r="T3" s="31"/>
      <c r="U3" s="31"/>
      <c r="V3" s="187"/>
      <c r="W3" s="187"/>
      <c r="X3" s="31"/>
    </row>
    <row r="4" spans="1:24" ht="16.5">
      <c r="A4" s="360" t="s">
        <v>134</v>
      </c>
      <c r="B4" s="187"/>
      <c r="C4" s="187"/>
      <c r="D4" s="187"/>
      <c r="E4" s="188"/>
      <c r="F4" s="188"/>
      <c r="G4" s="31"/>
      <c r="H4" s="511">
        <v>16115</v>
      </c>
      <c r="I4" s="511">
        <v>16115</v>
      </c>
      <c r="J4" s="511">
        <v>16115</v>
      </c>
      <c r="K4" s="512">
        <v>9000</v>
      </c>
      <c r="L4" s="512">
        <v>9000</v>
      </c>
      <c r="M4" s="186"/>
      <c r="N4" s="31"/>
      <c r="O4" s="31"/>
      <c r="P4" s="186"/>
      <c r="Q4" s="186"/>
      <c r="R4" s="31"/>
      <c r="S4" s="31"/>
      <c r="T4" s="31"/>
      <c r="U4" s="31"/>
      <c r="V4" s="187"/>
      <c r="W4" s="187"/>
      <c r="X4" s="31"/>
    </row>
    <row r="5" spans="1:24" s="16" customFormat="1" ht="12" customHeight="1" thickBot="1">
      <c r="A5" s="17"/>
      <c r="B5" s="23" t="s">
        <v>135</v>
      </c>
      <c r="C5" s="23"/>
      <c r="D5" s="23"/>
      <c r="E5" s="25"/>
      <c r="F5" s="25"/>
      <c r="H5" s="25"/>
      <c r="I5" s="26"/>
      <c r="J5" s="26"/>
      <c r="K5" s="491" t="s">
        <v>136</v>
      </c>
      <c r="L5" s="26"/>
      <c r="M5" s="17"/>
      <c r="P5" s="17"/>
      <c r="Q5" s="17"/>
      <c r="V5" s="164"/>
      <c r="W5" s="164"/>
      <c r="X5" s="165"/>
    </row>
    <row r="6" spans="1:24" ht="57.75" thickTop="1">
      <c r="A6" s="317" t="s">
        <v>65</v>
      </c>
      <c r="B6" s="318" t="s">
        <v>137</v>
      </c>
      <c r="C6" s="319" t="s">
        <v>138</v>
      </c>
      <c r="D6" s="318" t="s">
        <v>22</v>
      </c>
      <c r="E6" s="320" t="s">
        <v>139</v>
      </c>
      <c r="F6" s="320" t="s">
        <v>140</v>
      </c>
      <c r="G6" s="321" t="s">
        <v>141</v>
      </c>
      <c r="H6" s="322" t="s">
        <v>142</v>
      </c>
      <c r="I6" s="323" t="s">
        <v>143</v>
      </c>
      <c r="J6" s="324" t="s">
        <v>144</v>
      </c>
      <c r="K6" s="361" t="s">
        <v>145</v>
      </c>
      <c r="L6" s="403" t="s">
        <v>146</v>
      </c>
      <c r="M6" s="318" t="s">
        <v>147</v>
      </c>
      <c r="N6" s="319" t="s">
        <v>148</v>
      </c>
      <c r="O6" s="319" t="s">
        <v>149</v>
      </c>
      <c r="P6" s="325" t="s">
        <v>150</v>
      </c>
      <c r="Q6" s="325" t="s">
        <v>151</v>
      </c>
      <c r="R6" s="353" t="s">
        <v>152</v>
      </c>
      <c r="S6" s="137" t="s">
        <v>153</v>
      </c>
      <c r="T6" s="192" t="s">
        <v>154</v>
      </c>
      <c r="U6" s="138" t="s">
        <v>155</v>
      </c>
      <c r="V6" s="139" t="s">
        <v>156</v>
      </c>
      <c r="W6" s="140" t="s">
        <v>157</v>
      </c>
      <c r="X6" s="141" t="s">
        <v>158</v>
      </c>
    </row>
    <row r="7" spans="1:24" ht="7.5" customHeight="1">
      <c r="A7" s="326"/>
      <c r="B7" s="327"/>
      <c r="C7" s="328"/>
      <c r="D7" s="327"/>
      <c r="E7" s="329"/>
      <c r="F7" s="329"/>
      <c r="G7" s="330"/>
      <c r="H7" s="331"/>
      <c r="I7" s="332"/>
      <c r="J7" s="333"/>
      <c r="K7" s="362"/>
      <c r="L7" s="365"/>
      <c r="M7" s="366"/>
      <c r="N7" s="335"/>
      <c r="O7" s="368"/>
      <c r="P7" s="334"/>
      <c r="Q7" s="334"/>
      <c r="R7" s="354"/>
      <c r="S7" s="310"/>
      <c r="T7" s="311"/>
      <c r="U7" s="312"/>
      <c r="V7" s="313"/>
      <c r="W7" s="314"/>
      <c r="X7" s="315"/>
    </row>
    <row r="8" spans="1:24" ht="239.25" customHeight="1">
      <c r="A8" s="336" t="s">
        <v>159</v>
      </c>
      <c r="B8" s="342" t="s">
        <v>160</v>
      </c>
      <c r="C8" s="339" t="s">
        <v>161</v>
      </c>
      <c r="D8" s="343" t="s">
        <v>162</v>
      </c>
      <c r="E8" s="344" t="s">
        <v>163</v>
      </c>
      <c r="F8" s="344" t="s">
        <v>164</v>
      </c>
      <c r="G8" s="340" t="s">
        <v>165</v>
      </c>
      <c r="H8" s="345" t="s">
        <v>166</v>
      </c>
      <c r="I8" s="346" t="s">
        <v>167</v>
      </c>
      <c r="J8" s="337" t="s">
        <v>168</v>
      </c>
      <c r="K8" s="363" t="s">
        <v>169</v>
      </c>
      <c r="L8" s="404" t="s">
        <v>170</v>
      </c>
      <c r="M8" s="343" t="s">
        <v>171</v>
      </c>
      <c r="N8" s="339" t="s">
        <v>172</v>
      </c>
      <c r="O8" s="369" t="s">
        <v>173</v>
      </c>
      <c r="P8" s="338" t="s">
        <v>174</v>
      </c>
      <c r="Q8" s="340" t="s">
        <v>175</v>
      </c>
      <c r="R8" s="355" t="s">
        <v>176</v>
      </c>
      <c r="S8" s="117" t="s">
        <v>177</v>
      </c>
      <c r="T8" s="116" t="s">
        <v>178</v>
      </c>
      <c r="U8" s="118" t="s">
        <v>179</v>
      </c>
      <c r="V8" s="119" t="s">
        <v>180</v>
      </c>
      <c r="W8" s="120" t="s">
        <v>181</v>
      </c>
      <c r="X8" s="121" t="s">
        <v>182</v>
      </c>
    </row>
    <row r="9" spans="1:24" ht="13.5">
      <c r="A9" s="402" t="s">
        <v>183</v>
      </c>
      <c r="B9" s="390"/>
      <c r="C9" s="391"/>
      <c r="D9" s="392"/>
      <c r="E9" s="393"/>
      <c r="F9" s="393"/>
      <c r="G9" s="391"/>
      <c r="H9" s="397"/>
      <c r="I9" s="398"/>
      <c r="J9" s="394"/>
      <c r="K9" s="399"/>
      <c r="L9" s="394"/>
      <c r="M9" s="392"/>
      <c r="N9" s="391"/>
      <c r="O9" s="395"/>
      <c r="P9" s="392"/>
      <c r="Q9" s="391"/>
      <c r="R9" s="400"/>
      <c r="S9" s="395"/>
      <c r="T9" s="391"/>
      <c r="U9" s="401"/>
      <c r="V9" s="390"/>
      <c r="W9" s="390"/>
      <c r="X9" s="396"/>
    </row>
    <row r="10" spans="1:24" ht="57">
      <c r="A10" s="375">
        <v>1</v>
      </c>
      <c r="B10" s="376"/>
      <c r="C10" s="492" t="s">
        <v>184</v>
      </c>
      <c r="D10" s="499" t="s">
        <v>185</v>
      </c>
      <c r="E10" s="500" t="s">
        <v>186</v>
      </c>
      <c r="F10" s="500">
        <v>0.2</v>
      </c>
      <c r="G10" s="501" t="s">
        <v>1141</v>
      </c>
      <c r="H10" s="381">
        <f>$L$4*5*4/1000000</f>
        <v>0.18</v>
      </c>
      <c r="I10" s="382">
        <f>H10*F10</f>
        <v>3.5999999999999997E-2</v>
      </c>
      <c r="J10" s="383"/>
      <c r="K10" s="384" t="s">
        <v>187</v>
      </c>
      <c r="L10" s="385"/>
      <c r="M10" s="376"/>
      <c r="N10" s="503" t="s">
        <v>188</v>
      </c>
      <c r="O10" s="386" t="s">
        <v>189</v>
      </c>
      <c r="P10" s="387"/>
      <c r="Q10" s="388"/>
      <c r="R10" s="506">
        <f>I10</f>
        <v>3.5999999999999997E-2</v>
      </c>
      <c r="S10" s="112"/>
      <c r="T10" s="9"/>
      <c r="U10" s="389"/>
      <c r="V10" s="176"/>
      <c r="W10" s="177"/>
      <c r="X10" s="10"/>
    </row>
    <row r="11" spans="1:24" ht="85.5">
      <c r="A11" s="375">
        <f>A10+1</f>
        <v>2</v>
      </c>
      <c r="B11" s="298"/>
      <c r="C11" s="492" t="s">
        <v>190</v>
      </c>
      <c r="D11" s="495" t="s">
        <v>191</v>
      </c>
      <c r="E11" s="496"/>
      <c r="F11" s="496">
        <v>0.1</v>
      </c>
      <c r="G11" s="497" t="s">
        <v>1142</v>
      </c>
      <c r="H11" s="381">
        <f>$L$4*5*4/1000000</f>
        <v>0.18</v>
      </c>
      <c r="I11" s="304">
        <f>H11*F11</f>
        <v>1.7999999999999999E-2</v>
      </c>
      <c r="J11" s="305"/>
      <c r="K11" s="364" t="s">
        <v>187</v>
      </c>
      <c r="L11" s="367"/>
      <c r="M11" s="298"/>
      <c r="N11" s="492" t="s">
        <v>192</v>
      </c>
      <c r="O11" s="347" t="s">
        <v>189</v>
      </c>
      <c r="P11" s="341"/>
      <c r="Q11" s="306"/>
      <c r="R11" s="506">
        <v>0</v>
      </c>
      <c r="S11" s="111"/>
      <c r="T11" s="3"/>
      <c r="U11" s="79"/>
      <c r="V11" s="176"/>
      <c r="W11" s="177"/>
      <c r="X11" s="10"/>
    </row>
    <row r="12" spans="1:24" ht="85.5">
      <c r="A12" s="375">
        <f t="shared" ref="A12:A23" si="0">A11+1</f>
        <v>3</v>
      </c>
      <c r="B12" s="298"/>
      <c r="C12" s="492" t="s">
        <v>193</v>
      </c>
      <c r="D12" s="495" t="s">
        <v>191</v>
      </c>
      <c r="E12" s="496"/>
      <c r="F12" s="496">
        <v>0.1</v>
      </c>
      <c r="G12" s="497" t="s">
        <v>1142</v>
      </c>
      <c r="H12" s="381">
        <f>$L$4*5*4/1000000</f>
        <v>0.18</v>
      </c>
      <c r="I12" s="304">
        <f t="shared" ref="I12:I17" si="1">H12*F12</f>
        <v>1.7999999999999999E-2</v>
      </c>
      <c r="J12" s="305"/>
      <c r="K12" s="364" t="s">
        <v>194</v>
      </c>
      <c r="L12" s="367"/>
      <c r="M12" s="298"/>
      <c r="N12" s="492" t="s">
        <v>195</v>
      </c>
      <c r="O12" s="347" t="s">
        <v>189</v>
      </c>
      <c r="P12" s="341"/>
      <c r="Q12" s="306"/>
      <c r="R12" s="506">
        <v>0</v>
      </c>
      <c r="S12" s="111"/>
      <c r="T12" s="3"/>
      <c r="U12" s="79"/>
      <c r="V12" s="176"/>
      <c r="W12" s="177"/>
      <c r="X12" s="10"/>
    </row>
    <row r="13" spans="1:24" ht="99.75">
      <c r="A13" s="375">
        <f t="shared" si="0"/>
        <v>4</v>
      </c>
      <c r="B13" s="298"/>
      <c r="C13" s="492" t="s">
        <v>196</v>
      </c>
      <c r="D13" s="495" t="s">
        <v>197</v>
      </c>
      <c r="E13" s="496"/>
      <c r="F13" s="496">
        <v>0.2</v>
      </c>
      <c r="G13" s="497" t="s">
        <v>1143</v>
      </c>
      <c r="H13" s="381">
        <f>$L$4*3/1000000</f>
        <v>2.7E-2</v>
      </c>
      <c r="I13" s="304">
        <f t="shared" si="1"/>
        <v>5.4000000000000003E-3</v>
      </c>
      <c r="J13" s="305"/>
      <c r="K13" s="364" t="s">
        <v>187</v>
      </c>
      <c r="L13" s="367"/>
      <c r="M13" s="298"/>
      <c r="N13" s="492" t="s">
        <v>198</v>
      </c>
      <c r="O13" s="347" t="s">
        <v>189</v>
      </c>
      <c r="P13" s="341"/>
      <c r="Q13" s="306"/>
      <c r="R13" s="506">
        <v>0</v>
      </c>
      <c r="S13" s="111"/>
      <c r="T13" s="3"/>
      <c r="U13" s="79"/>
      <c r="V13" s="176"/>
      <c r="W13" s="177"/>
      <c r="X13" s="10"/>
    </row>
    <row r="14" spans="1:24" ht="85.5">
      <c r="A14" s="375">
        <f t="shared" si="0"/>
        <v>5</v>
      </c>
      <c r="B14" s="298"/>
      <c r="C14" s="492" t="s">
        <v>199</v>
      </c>
      <c r="D14" s="495" t="s">
        <v>197</v>
      </c>
      <c r="E14" s="496"/>
      <c r="F14" s="496">
        <v>0.2</v>
      </c>
      <c r="G14" s="497" t="s">
        <v>1144</v>
      </c>
      <c r="H14" s="381">
        <f>$L$4*3/1000000</f>
        <v>2.7E-2</v>
      </c>
      <c r="I14" s="304">
        <f>H14*F14</f>
        <v>5.4000000000000003E-3</v>
      </c>
      <c r="J14" s="305"/>
      <c r="K14" s="364" t="s">
        <v>187</v>
      </c>
      <c r="L14" s="367"/>
      <c r="M14" s="298"/>
      <c r="N14" s="492" t="s">
        <v>200</v>
      </c>
      <c r="O14" s="347" t="s">
        <v>189</v>
      </c>
      <c r="P14" s="341"/>
      <c r="Q14" s="306"/>
      <c r="R14" s="506">
        <f>I14</f>
        <v>5.4000000000000003E-3</v>
      </c>
      <c r="S14" s="111"/>
      <c r="T14" s="3"/>
      <c r="U14" s="79"/>
      <c r="V14" s="176"/>
      <c r="W14" s="177"/>
      <c r="X14" s="10"/>
    </row>
    <row r="15" spans="1:24" ht="85.5">
      <c r="A15" s="375">
        <f t="shared" si="0"/>
        <v>6</v>
      </c>
      <c r="B15" s="298"/>
      <c r="C15" s="492" t="s">
        <v>201</v>
      </c>
      <c r="D15" s="495" t="s">
        <v>197</v>
      </c>
      <c r="E15" s="496"/>
      <c r="F15" s="496">
        <v>0.2</v>
      </c>
      <c r="G15" s="497" t="s">
        <v>1145</v>
      </c>
      <c r="H15" s="381">
        <f>$L$4*1/1000000</f>
        <v>8.9999999999999993E-3</v>
      </c>
      <c r="I15" s="304">
        <f t="shared" si="1"/>
        <v>1.8E-3</v>
      </c>
      <c r="J15" s="305"/>
      <c r="K15" s="364" t="s">
        <v>187</v>
      </c>
      <c r="L15" s="367"/>
      <c r="M15" s="298"/>
      <c r="N15" s="492" t="s">
        <v>202</v>
      </c>
      <c r="O15" s="347" t="s">
        <v>189</v>
      </c>
      <c r="P15" s="341"/>
      <c r="Q15" s="306"/>
      <c r="R15" s="506">
        <v>0</v>
      </c>
      <c r="S15" s="111"/>
      <c r="T15" s="3"/>
      <c r="U15" s="79"/>
      <c r="V15" s="176"/>
      <c r="W15" s="177"/>
      <c r="X15" s="10"/>
    </row>
    <row r="16" spans="1:24" ht="85.5">
      <c r="A16" s="375">
        <f t="shared" si="0"/>
        <v>7</v>
      </c>
      <c r="B16" s="298"/>
      <c r="C16" s="492" t="s">
        <v>203</v>
      </c>
      <c r="D16" s="495" t="s">
        <v>197</v>
      </c>
      <c r="E16" s="496"/>
      <c r="F16" s="496">
        <v>0.2</v>
      </c>
      <c r="G16" s="497" t="s">
        <v>1146</v>
      </c>
      <c r="H16" s="381">
        <f>$L$4*10/1000000</f>
        <v>0.09</v>
      </c>
      <c r="I16" s="304">
        <f>H16*F16</f>
        <v>1.7999999999999999E-2</v>
      </c>
      <c r="J16" s="305"/>
      <c r="K16" s="364" t="s">
        <v>194</v>
      </c>
      <c r="L16" s="367"/>
      <c r="M16" s="298"/>
      <c r="N16" s="492" t="s">
        <v>204</v>
      </c>
      <c r="O16" s="347" t="s">
        <v>189</v>
      </c>
      <c r="P16" s="341"/>
      <c r="Q16" s="306"/>
      <c r="R16" s="506">
        <f>I16</f>
        <v>1.7999999999999999E-2</v>
      </c>
      <c r="S16" s="111"/>
      <c r="T16" s="3"/>
      <c r="U16" s="79"/>
      <c r="V16" s="176"/>
      <c r="W16" s="177"/>
      <c r="X16" s="10"/>
    </row>
    <row r="17" spans="1:24" ht="71.25">
      <c r="A17" s="375">
        <f t="shared" si="0"/>
        <v>8</v>
      </c>
      <c r="B17" s="298"/>
      <c r="C17" s="492" t="s">
        <v>205</v>
      </c>
      <c r="D17" s="495" t="s">
        <v>206</v>
      </c>
      <c r="E17" s="496"/>
      <c r="F17" s="496">
        <v>0.2</v>
      </c>
      <c r="G17" s="497" t="s">
        <v>1148</v>
      </c>
      <c r="H17" s="381">
        <f>$L$4*1/1000000</f>
        <v>8.9999999999999993E-3</v>
      </c>
      <c r="I17" s="304">
        <f t="shared" si="1"/>
        <v>1.8E-3</v>
      </c>
      <c r="J17" s="305"/>
      <c r="K17" s="364" t="s">
        <v>187</v>
      </c>
      <c r="L17" s="367"/>
      <c r="M17" s="298"/>
      <c r="N17" s="492" t="s">
        <v>207</v>
      </c>
      <c r="O17" s="347" t="s">
        <v>189</v>
      </c>
      <c r="P17" s="341"/>
      <c r="Q17" s="306"/>
      <c r="R17" s="506">
        <v>0</v>
      </c>
      <c r="S17" s="111"/>
      <c r="T17" s="3"/>
      <c r="U17" s="79"/>
      <c r="V17" s="176"/>
      <c r="W17" s="168"/>
      <c r="X17" s="178"/>
    </row>
    <row r="18" spans="1:24" ht="99.75">
      <c r="A18" s="375">
        <f t="shared" si="0"/>
        <v>9</v>
      </c>
      <c r="B18" s="298"/>
      <c r="C18" s="492" t="s">
        <v>208</v>
      </c>
      <c r="D18" s="495" t="s">
        <v>209</v>
      </c>
      <c r="E18" s="496" t="s">
        <v>210</v>
      </c>
      <c r="F18" s="496">
        <v>0.2</v>
      </c>
      <c r="G18" s="497" t="s">
        <v>1147</v>
      </c>
      <c r="H18" s="381">
        <f>$L$4*5/1000000</f>
        <v>4.4999999999999998E-2</v>
      </c>
      <c r="I18" s="304">
        <f t="shared" ref="I18:I23" si="2">H18*F18</f>
        <v>8.9999999999999993E-3</v>
      </c>
      <c r="J18" s="305"/>
      <c r="K18" s="364" t="s">
        <v>194</v>
      </c>
      <c r="L18" s="367"/>
      <c r="M18" s="298"/>
      <c r="N18" s="492" t="s">
        <v>211</v>
      </c>
      <c r="O18" s="347" t="s">
        <v>189</v>
      </c>
      <c r="P18" s="341"/>
      <c r="Q18" s="306"/>
      <c r="R18" s="506">
        <v>0</v>
      </c>
      <c r="S18" s="208"/>
      <c r="T18" s="28"/>
      <c r="U18" s="179"/>
      <c r="V18" s="185"/>
      <c r="W18" s="168"/>
      <c r="X18" s="30"/>
    </row>
    <row r="19" spans="1:24" ht="99.75">
      <c r="A19" s="375">
        <f t="shared" si="0"/>
        <v>10</v>
      </c>
      <c r="B19" s="298"/>
      <c r="C19" s="492" t="s">
        <v>212</v>
      </c>
      <c r="D19" s="495" t="s">
        <v>213</v>
      </c>
      <c r="E19" s="496"/>
      <c r="F19" s="496">
        <v>0.1</v>
      </c>
      <c r="G19" s="497" t="s">
        <v>1149</v>
      </c>
      <c r="H19" s="381">
        <f>(($H$4+$K$4)*20*0.5+($J$4+$L$4)*20*1+$I$4*20*0.3)/1000000</f>
        <v>0.85014000000000001</v>
      </c>
      <c r="I19" s="304">
        <f t="shared" si="2"/>
        <v>8.5014000000000006E-2</v>
      </c>
      <c r="J19" s="305"/>
      <c r="K19" s="409" t="s">
        <v>194</v>
      </c>
      <c r="L19" s="367"/>
      <c r="M19" s="298"/>
      <c r="N19" s="492" t="s">
        <v>214</v>
      </c>
      <c r="O19" s="347" t="s">
        <v>189</v>
      </c>
      <c r="P19" s="341"/>
      <c r="Q19" s="306"/>
      <c r="R19" s="506">
        <v>0</v>
      </c>
      <c r="S19" s="208"/>
      <c r="T19" s="28"/>
      <c r="U19" s="179"/>
      <c r="V19" s="185"/>
      <c r="W19" s="168"/>
      <c r="X19" s="30"/>
    </row>
    <row r="20" spans="1:24" ht="71.25">
      <c r="A20" s="375">
        <f t="shared" si="0"/>
        <v>11</v>
      </c>
      <c r="B20" s="298"/>
      <c r="C20" s="492" t="s">
        <v>215</v>
      </c>
      <c r="D20" s="495" t="s">
        <v>213</v>
      </c>
      <c r="E20" s="496"/>
      <c r="F20" s="496">
        <v>0.1</v>
      </c>
      <c r="G20" s="497" t="s">
        <v>1124</v>
      </c>
      <c r="H20" s="381">
        <f>$L$4*1*10/1000000</f>
        <v>0.09</v>
      </c>
      <c r="I20" s="304">
        <f t="shared" si="2"/>
        <v>8.9999999999999993E-3</v>
      </c>
      <c r="J20" s="305"/>
      <c r="K20" s="409" t="s">
        <v>194</v>
      </c>
      <c r="L20" s="367"/>
      <c r="M20" s="298"/>
      <c r="N20" s="492" t="s">
        <v>216</v>
      </c>
      <c r="O20" s="347" t="s">
        <v>189</v>
      </c>
      <c r="P20" s="341"/>
      <c r="Q20" s="306"/>
      <c r="R20" s="506">
        <f>I20</f>
        <v>8.9999999999999993E-3</v>
      </c>
      <c r="S20" s="208"/>
      <c r="T20" s="28"/>
      <c r="U20" s="179"/>
      <c r="V20" s="185"/>
      <c r="W20" s="168"/>
      <c r="X20" s="30"/>
    </row>
    <row r="21" spans="1:24" ht="85.5">
      <c r="A21" s="375">
        <f t="shared" si="0"/>
        <v>12</v>
      </c>
      <c r="B21" s="298"/>
      <c r="C21" s="492" t="s">
        <v>217</v>
      </c>
      <c r="D21" s="495" t="s">
        <v>209</v>
      </c>
      <c r="E21" s="496"/>
      <c r="F21" s="496">
        <v>0.2</v>
      </c>
      <c r="G21" s="497" t="s">
        <v>1139</v>
      </c>
      <c r="H21" s="381">
        <f>$L$4*5/1000000</f>
        <v>4.4999999999999998E-2</v>
      </c>
      <c r="I21" s="304">
        <f t="shared" si="2"/>
        <v>8.9999999999999993E-3</v>
      </c>
      <c r="J21" s="305"/>
      <c r="K21" s="364" t="s">
        <v>194</v>
      </c>
      <c r="L21" s="367"/>
      <c r="M21" s="298"/>
      <c r="N21" s="492" t="s">
        <v>211</v>
      </c>
      <c r="O21" s="347" t="s">
        <v>189</v>
      </c>
      <c r="P21" s="341"/>
      <c r="Q21" s="306"/>
      <c r="R21" s="506">
        <v>0</v>
      </c>
      <c r="S21" s="208"/>
      <c r="T21" s="28"/>
      <c r="U21" s="179"/>
      <c r="V21" s="185"/>
      <c r="W21" s="168"/>
      <c r="X21" s="30"/>
    </row>
    <row r="22" spans="1:24" ht="85.5">
      <c r="A22" s="375">
        <f t="shared" si="0"/>
        <v>13</v>
      </c>
      <c r="B22" s="298"/>
      <c r="C22" s="492" t="s">
        <v>218</v>
      </c>
      <c r="D22" s="495" t="s">
        <v>219</v>
      </c>
      <c r="E22" s="496"/>
      <c r="F22" s="407">
        <v>0.1</v>
      </c>
      <c r="G22" s="497" t="s">
        <v>1140</v>
      </c>
      <c r="H22" s="303">
        <v>0</v>
      </c>
      <c r="I22" s="304">
        <f t="shared" si="2"/>
        <v>0</v>
      </c>
      <c r="J22" s="305"/>
      <c r="K22" s="364" t="s">
        <v>187</v>
      </c>
      <c r="L22" s="367"/>
      <c r="M22" s="298"/>
      <c r="N22" s="492" t="s">
        <v>221</v>
      </c>
      <c r="O22" s="347" t="s">
        <v>189</v>
      </c>
      <c r="P22" s="341"/>
      <c r="Q22" s="306"/>
      <c r="R22" s="506">
        <v>0</v>
      </c>
      <c r="S22" s="208"/>
      <c r="T22" s="28"/>
      <c r="U22" s="179"/>
      <c r="V22" s="185"/>
      <c r="W22" s="168"/>
      <c r="X22" s="30"/>
    </row>
    <row r="23" spans="1:24" ht="99.75">
      <c r="A23" s="375">
        <f t="shared" si="0"/>
        <v>14</v>
      </c>
      <c r="B23" s="298"/>
      <c r="C23" s="492" t="s">
        <v>222</v>
      </c>
      <c r="D23" s="495" t="s">
        <v>223</v>
      </c>
      <c r="E23" s="496"/>
      <c r="F23" s="496">
        <v>0.1</v>
      </c>
      <c r="G23" s="497" t="s">
        <v>1125</v>
      </c>
      <c r="H23" s="303">
        <f>$L$4*1/1000000</f>
        <v>8.9999999999999993E-3</v>
      </c>
      <c r="I23" s="304">
        <f t="shared" si="2"/>
        <v>8.9999999999999998E-4</v>
      </c>
      <c r="J23" s="305"/>
      <c r="K23" s="364" t="s">
        <v>187</v>
      </c>
      <c r="L23" s="367"/>
      <c r="M23" s="298"/>
      <c r="N23" s="492" t="s">
        <v>224</v>
      </c>
      <c r="O23" s="347" t="s">
        <v>189</v>
      </c>
      <c r="P23" s="341"/>
      <c r="Q23" s="306"/>
      <c r="R23" s="506">
        <v>0</v>
      </c>
      <c r="S23" s="208"/>
      <c r="T23" s="28"/>
      <c r="U23" s="179"/>
      <c r="V23" s="185"/>
      <c r="W23" s="168"/>
      <c r="X23" s="30"/>
    </row>
    <row r="24" spans="1:24" ht="13.5">
      <c r="A24" s="402" t="s">
        <v>225</v>
      </c>
      <c r="B24" s="390"/>
      <c r="C24" s="391"/>
      <c r="D24" s="392"/>
      <c r="E24" s="393"/>
      <c r="F24" s="393"/>
      <c r="G24" s="391"/>
      <c r="H24" s="397"/>
      <c r="I24" s="398"/>
      <c r="J24" s="394"/>
      <c r="K24" s="399"/>
      <c r="L24" s="394"/>
      <c r="M24" s="392"/>
      <c r="N24" s="391"/>
      <c r="O24" s="395"/>
      <c r="P24" s="392"/>
      <c r="Q24" s="391"/>
      <c r="R24" s="510"/>
      <c r="S24" s="395"/>
      <c r="T24" s="391"/>
      <c r="U24" s="401"/>
      <c r="V24" s="390"/>
      <c r="W24" s="390"/>
      <c r="X24" s="396"/>
    </row>
    <row r="25" spans="1:24" ht="85.5">
      <c r="A25" s="309">
        <f>A23+1</f>
        <v>15</v>
      </c>
      <c r="B25" s="298"/>
      <c r="C25" s="492" t="s">
        <v>226</v>
      </c>
      <c r="D25" s="495" t="s">
        <v>213</v>
      </c>
      <c r="E25" s="496"/>
      <c r="F25" s="496">
        <v>0.1</v>
      </c>
      <c r="G25" s="497" t="s">
        <v>1126</v>
      </c>
      <c r="H25" s="381">
        <f>$L$4*6/1000000</f>
        <v>5.3999999999999999E-2</v>
      </c>
      <c r="I25" s="304">
        <f t="shared" ref="I25:I59" si="3">H25*F25</f>
        <v>5.4000000000000003E-3</v>
      </c>
      <c r="J25" s="305"/>
      <c r="K25" s="364" t="s">
        <v>187</v>
      </c>
      <c r="L25" s="367"/>
      <c r="M25" s="298"/>
      <c r="N25" s="492" t="s">
        <v>227</v>
      </c>
      <c r="O25" s="347" t="s">
        <v>189</v>
      </c>
      <c r="P25" s="341"/>
      <c r="Q25" s="306"/>
      <c r="R25" s="509">
        <v>0</v>
      </c>
      <c r="S25" s="111"/>
      <c r="T25" s="3"/>
      <c r="U25" s="79"/>
      <c r="V25" s="176"/>
      <c r="W25" s="177"/>
      <c r="X25" s="10"/>
    </row>
    <row r="26" spans="1:24" ht="71.25">
      <c r="A26" s="375">
        <f t="shared" ref="A26:A44" si="4">A25+1</f>
        <v>16</v>
      </c>
      <c r="B26" s="298"/>
      <c r="C26" s="492" t="s">
        <v>228</v>
      </c>
      <c r="D26" s="495" t="s">
        <v>213</v>
      </c>
      <c r="E26" s="496"/>
      <c r="F26" s="496">
        <v>0.1</v>
      </c>
      <c r="G26" s="497" t="s">
        <v>229</v>
      </c>
      <c r="H26" s="381">
        <v>1</v>
      </c>
      <c r="I26" s="304">
        <f t="shared" si="3"/>
        <v>0.1</v>
      </c>
      <c r="J26" s="305"/>
      <c r="K26" s="364" t="s">
        <v>194</v>
      </c>
      <c r="L26" s="367"/>
      <c r="M26" s="298"/>
      <c r="N26" s="492" t="s">
        <v>230</v>
      </c>
      <c r="O26" s="347" t="s">
        <v>189</v>
      </c>
      <c r="P26" s="341"/>
      <c r="Q26" s="306"/>
      <c r="R26" s="508">
        <f>I26</f>
        <v>0.1</v>
      </c>
      <c r="S26" s="111"/>
      <c r="T26" s="3"/>
      <c r="U26" s="79"/>
      <c r="V26" s="176"/>
      <c r="W26" s="168"/>
      <c r="X26" s="178"/>
    </row>
    <row r="27" spans="1:24" ht="85.5">
      <c r="A27" s="375">
        <f t="shared" si="4"/>
        <v>17</v>
      </c>
      <c r="B27" s="298"/>
      <c r="C27" s="492" t="s">
        <v>231</v>
      </c>
      <c r="D27" s="495" t="s">
        <v>206</v>
      </c>
      <c r="E27" s="496"/>
      <c r="F27" s="496">
        <v>0</v>
      </c>
      <c r="G27" s="497" t="s">
        <v>232</v>
      </c>
      <c r="H27" s="307">
        <v>0.2</v>
      </c>
      <c r="I27" s="304">
        <f>H27*F27</f>
        <v>0</v>
      </c>
      <c r="J27" s="305"/>
      <c r="K27" s="364" t="s">
        <v>194</v>
      </c>
      <c r="L27" s="367"/>
      <c r="M27" s="298"/>
      <c r="N27" s="492" t="s">
        <v>233</v>
      </c>
      <c r="O27" s="347" t="s">
        <v>189</v>
      </c>
      <c r="P27" s="341"/>
      <c r="Q27" s="306"/>
      <c r="R27" s="509">
        <v>0</v>
      </c>
      <c r="S27" s="112"/>
      <c r="T27" s="9"/>
      <c r="U27" s="82"/>
      <c r="V27" s="176"/>
      <c r="W27" s="181"/>
      <c r="X27" s="178"/>
    </row>
    <row r="28" spans="1:24" ht="99.75">
      <c r="A28" s="375">
        <f t="shared" si="4"/>
        <v>18</v>
      </c>
      <c r="B28" s="298"/>
      <c r="C28" s="492" t="s">
        <v>234</v>
      </c>
      <c r="D28" s="495" t="s">
        <v>206</v>
      </c>
      <c r="E28" s="496"/>
      <c r="F28" s="496">
        <v>0.2</v>
      </c>
      <c r="G28" s="497" t="s">
        <v>1127</v>
      </c>
      <c r="H28" s="381">
        <f>$L$4*1/1000000</f>
        <v>8.9999999999999993E-3</v>
      </c>
      <c r="I28" s="304">
        <f t="shared" si="3"/>
        <v>1.8E-3</v>
      </c>
      <c r="J28" s="305"/>
      <c r="K28" s="364" t="s">
        <v>194</v>
      </c>
      <c r="L28" s="367"/>
      <c r="M28" s="298"/>
      <c r="N28" s="492" t="s">
        <v>235</v>
      </c>
      <c r="O28" s="347" t="s">
        <v>189</v>
      </c>
      <c r="P28" s="341"/>
      <c r="Q28" s="306"/>
      <c r="R28" s="508">
        <f>I28</f>
        <v>1.8E-3</v>
      </c>
      <c r="S28" s="111"/>
      <c r="T28" s="3"/>
      <c r="U28" s="79"/>
      <c r="V28" s="176"/>
      <c r="W28" s="168"/>
      <c r="X28" s="178"/>
    </row>
    <row r="29" spans="1:24" ht="85.5">
      <c r="A29" s="375">
        <f t="shared" si="4"/>
        <v>19</v>
      </c>
      <c r="B29" s="298"/>
      <c r="C29" s="492" t="s">
        <v>236</v>
      </c>
      <c r="D29" s="495" t="s">
        <v>209</v>
      </c>
      <c r="E29" s="496"/>
      <c r="F29" s="496">
        <v>0.1</v>
      </c>
      <c r="G29" s="497" t="s">
        <v>1128</v>
      </c>
      <c r="H29" s="303">
        <f>$L$4*5/1000000</f>
        <v>4.4999999999999998E-2</v>
      </c>
      <c r="I29" s="304">
        <f t="shared" si="3"/>
        <v>4.4999999999999997E-3</v>
      </c>
      <c r="J29" s="305"/>
      <c r="K29" s="364" t="s">
        <v>187</v>
      </c>
      <c r="L29" s="367"/>
      <c r="M29" s="298"/>
      <c r="N29" s="492" t="s">
        <v>211</v>
      </c>
      <c r="O29" s="347" t="s">
        <v>189</v>
      </c>
      <c r="P29" s="341"/>
      <c r="Q29" s="306"/>
      <c r="R29" s="509">
        <v>0</v>
      </c>
      <c r="S29" s="208"/>
      <c r="T29" s="28"/>
      <c r="U29" s="179"/>
      <c r="V29" s="185"/>
      <c r="W29" s="168"/>
      <c r="X29" s="30"/>
    </row>
    <row r="30" spans="1:24" ht="99.75">
      <c r="A30" s="375">
        <f t="shared" si="4"/>
        <v>20</v>
      </c>
      <c r="B30" s="298"/>
      <c r="C30" s="492" t="s">
        <v>237</v>
      </c>
      <c r="D30" s="495" t="s">
        <v>209</v>
      </c>
      <c r="E30" s="496"/>
      <c r="F30" s="496">
        <v>0.1</v>
      </c>
      <c r="G30" s="497" t="s">
        <v>1129</v>
      </c>
      <c r="H30" s="381">
        <f>$L$4*5/1000000</f>
        <v>4.4999999999999998E-2</v>
      </c>
      <c r="I30" s="304">
        <f>H30*F30</f>
        <v>4.4999999999999997E-3</v>
      </c>
      <c r="J30" s="305"/>
      <c r="K30" s="364" t="s">
        <v>187</v>
      </c>
      <c r="L30" s="367"/>
      <c r="M30" s="298"/>
      <c r="N30" s="492" t="s">
        <v>211</v>
      </c>
      <c r="O30" s="347" t="s">
        <v>189</v>
      </c>
      <c r="P30" s="341"/>
      <c r="Q30" s="306"/>
      <c r="R30" s="509">
        <v>0</v>
      </c>
      <c r="S30" s="208"/>
      <c r="T30" s="28"/>
      <c r="U30" s="179"/>
      <c r="V30" s="185"/>
      <c r="W30" s="168"/>
      <c r="X30" s="30"/>
    </row>
    <row r="31" spans="1:24" ht="85.5">
      <c r="A31" s="375">
        <f t="shared" si="4"/>
        <v>21</v>
      </c>
      <c r="B31" s="298"/>
      <c r="C31" s="492" t="s">
        <v>238</v>
      </c>
      <c r="D31" s="495" t="s">
        <v>239</v>
      </c>
      <c r="E31" s="496"/>
      <c r="F31" s="496">
        <v>0.1</v>
      </c>
      <c r="G31" s="497" t="s">
        <v>1130</v>
      </c>
      <c r="H31" s="381">
        <f>$L$4*10/1000000</f>
        <v>0.09</v>
      </c>
      <c r="I31" s="304">
        <f t="shared" si="3"/>
        <v>8.9999999999999993E-3</v>
      </c>
      <c r="J31" s="305"/>
      <c r="K31" s="364" t="s">
        <v>194</v>
      </c>
      <c r="L31" s="367"/>
      <c r="M31" s="298"/>
      <c r="N31" s="492" t="s">
        <v>240</v>
      </c>
      <c r="O31" s="347" t="s">
        <v>189</v>
      </c>
      <c r="P31" s="341"/>
      <c r="Q31" s="306"/>
      <c r="R31" s="508">
        <f>I31</f>
        <v>8.9999999999999993E-3</v>
      </c>
      <c r="S31" s="208"/>
      <c r="T31" s="28"/>
      <c r="U31" s="179"/>
      <c r="V31" s="185"/>
      <c r="W31" s="168"/>
      <c r="X31" s="30"/>
    </row>
    <row r="32" spans="1:24" ht="57">
      <c r="A32" s="375">
        <f t="shared" si="4"/>
        <v>22</v>
      </c>
      <c r="B32" s="298"/>
      <c r="C32" s="492" t="s">
        <v>241</v>
      </c>
      <c r="D32" s="495" t="s">
        <v>239</v>
      </c>
      <c r="E32" s="496"/>
      <c r="F32" s="496">
        <v>0</v>
      </c>
      <c r="G32" s="497" t="s">
        <v>242</v>
      </c>
      <c r="H32" s="303">
        <v>0.2</v>
      </c>
      <c r="I32" s="304">
        <f t="shared" si="3"/>
        <v>0</v>
      </c>
      <c r="J32" s="305"/>
      <c r="K32" s="364" t="s">
        <v>194</v>
      </c>
      <c r="L32" s="367"/>
      <c r="M32" s="298"/>
      <c r="N32" s="492" t="s">
        <v>243</v>
      </c>
      <c r="O32" s="347" t="s">
        <v>189</v>
      </c>
      <c r="P32" s="341"/>
      <c r="Q32" s="306"/>
      <c r="R32" s="509">
        <v>0</v>
      </c>
      <c r="S32" s="208"/>
      <c r="T32" s="28"/>
      <c r="U32" s="179"/>
      <c r="V32" s="185"/>
      <c r="W32" s="168"/>
      <c r="X32" s="30"/>
    </row>
    <row r="33" spans="1:24" s="31" customFormat="1" ht="56.1" customHeight="1">
      <c r="A33" s="375">
        <f t="shared" si="4"/>
        <v>23</v>
      </c>
      <c r="B33" s="298"/>
      <c r="C33" s="492" t="s">
        <v>244</v>
      </c>
      <c r="D33" s="495" t="s">
        <v>245</v>
      </c>
      <c r="E33" s="496"/>
      <c r="F33" s="496">
        <v>0</v>
      </c>
      <c r="G33" s="497" t="s">
        <v>246</v>
      </c>
      <c r="H33" s="303">
        <v>0</v>
      </c>
      <c r="I33" s="304">
        <f t="shared" si="3"/>
        <v>0</v>
      </c>
      <c r="J33" s="305"/>
      <c r="K33" s="364" t="s">
        <v>194</v>
      </c>
      <c r="L33" s="367"/>
      <c r="M33" s="298"/>
      <c r="N33" s="492" t="s">
        <v>247</v>
      </c>
      <c r="O33" s="347" t="s">
        <v>189</v>
      </c>
      <c r="P33" s="341"/>
      <c r="Q33" s="306"/>
      <c r="R33" s="509">
        <v>0</v>
      </c>
      <c r="S33" s="208"/>
      <c r="T33" s="28"/>
      <c r="U33" s="179"/>
      <c r="V33" s="185"/>
      <c r="W33" s="168"/>
      <c r="X33" s="30"/>
    </row>
    <row r="34" spans="1:24" s="31" customFormat="1" ht="99.75">
      <c r="A34" s="375">
        <f t="shared" si="4"/>
        <v>24</v>
      </c>
      <c r="B34" s="298"/>
      <c r="C34" s="492" t="s">
        <v>248</v>
      </c>
      <c r="D34" s="495" t="s">
        <v>249</v>
      </c>
      <c r="E34" s="496"/>
      <c r="F34" s="496">
        <v>0</v>
      </c>
      <c r="G34" s="497" t="s">
        <v>250</v>
      </c>
      <c r="H34" s="303">
        <v>0</v>
      </c>
      <c r="I34" s="304">
        <f t="shared" si="3"/>
        <v>0</v>
      </c>
      <c r="J34" s="305"/>
      <c r="K34" s="364" t="s">
        <v>194</v>
      </c>
      <c r="L34" s="367"/>
      <c r="M34" s="298"/>
      <c r="N34" s="492" t="s">
        <v>251</v>
      </c>
      <c r="O34" s="347" t="s">
        <v>189</v>
      </c>
      <c r="P34" s="341"/>
      <c r="Q34" s="306"/>
      <c r="R34" s="509">
        <v>0</v>
      </c>
      <c r="S34" s="208"/>
      <c r="T34" s="28"/>
      <c r="U34" s="179"/>
      <c r="V34" s="185"/>
      <c r="W34" s="168"/>
      <c r="X34" s="30"/>
    </row>
    <row r="35" spans="1:24" s="31" customFormat="1" ht="99.75">
      <c r="A35" s="375">
        <f t="shared" si="4"/>
        <v>25</v>
      </c>
      <c r="B35" s="298"/>
      <c r="C35" s="492" t="s">
        <v>252</v>
      </c>
      <c r="D35" s="495" t="s">
        <v>249</v>
      </c>
      <c r="E35" s="496"/>
      <c r="F35" s="496">
        <v>0.1</v>
      </c>
      <c r="G35" s="497" t="s">
        <v>1131</v>
      </c>
      <c r="H35" s="381">
        <f>$L$4* 10 /1000000</f>
        <v>0.09</v>
      </c>
      <c r="I35" s="304">
        <f>H35*F35</f>
        <v>8.9999999999999993E-3</v>
      </c>
      <c r="J35" s="305"/>
      <c r="K35" s="364" t="s">
        <v>194</v>
      </c>
      <c r="L35" s="367"/>
      <c r="M35" s="298"/>
      <c r="N35" s="492" t="s">
        <v>253</v>
      </c>
      <c r="O35" s="347" t="s">
        <v>189</v>
      </c>
      <c r="P35" s="341"/>
      <c r="Q35" s="306"/>
      <c r="R35" s="508">
        <f>I35</f>
        <v>8.9999999999999993E-3</v>
      </c>
      <c r="S35" s="208"/>
      <c r="T35" s="28"/>
      <c r="U35" s="179"/>
      <c r="V35" s="185"/>
      <c r="W35" s="168"/>
      <c r="X35" s="30"/>
    </row>
    <row r="36" spans="1:24" s="31" customFormat="1" ht="85.5">
      <c r="A36" s="375">
        <f t="shared" si="4"/>
        <v>26</v>
      </c>
      <c r="B36" s="298"/>
      <c r="C36" s="492" t="s">
        <v>254</v>
      </c>
      <c r="D36" s="495" t="s">
        <v>249</v>
      </c>
      <c r="E36" s="496"/>
      <c r="F36" s="496">
        <v>0</v>
      </c>
      <c r="G36" s="497" t="s">
        <v>255</v>
      </c>
      <c r="H36" s="303">
        <v>0</v>
      </c>
      <c r="I36" s="304">
        <f t="shared" si="3"/>
        <v>0</v>
      </c>
      <c r="J36" s="305"/>
      <c r="K36" s="364" t="s">
        <v>194</v>
      </c>
      <c r="L36" s="367"/>
      <c r="M36" s="298"/>
      <c r="N36" s="497" t="s">
        <v>256</v>
      </c>
      <c r="O36" s="347" t="s">
        <v>189</v>
      </c>
      <c r="P36" s="341"/>
      <c r="Q36" s="306"/>
      <c r="R36" s="509">
        <v>0</v>
      </c>
      <c r="S36" s="208"/>
      <c r="T36" s="28"/>
      <c r="U36" s="179"/>
      <c r="V36" s="185"/>
      <c r="W36" s="168"/>
      <c r="X36" s="30"/>
    </row>
    <row r="37" spans="1:24" s="31" customFormat="1" ht="99.75">
      <c r="A37" s="375">
        <f t="shared" si="4"/>
        <v>27</v>
      </c>
      <c r="B37" s="298"/>
      <c r="C37" s="492" t="s">
        <v>257</v>
      </c>
      <c r="D37" s="495" t="s">
        <v>249</v>
      </c>
      <c r="E37" s="496"/>
      <c r="F37" s="496">
        <v>0</v>
      </c>
      <c r="G37" s="497" t="s">
        <v>258</v>
      </c>
      <c r="H37" s="303">
        <v>0</v>
      </c>
      <c r="I37" s="304">
        <f t="shared" si="3"/>
        <v>0</v>
      </c>
      <c r="J37" s="305"/>
      <c r="K37" s="364" t="s">
        <v>194</v>
      </c>
      <c r="L37" s="367"/>
      <c r="M37" s="298"/>
      <c r="N37" s="492" t="s">
        <v>259</v>
      </c>
      <c r="O37" s="347" t="s">
        <v>189</v>
      </c>
      <c r="P37" s="341"/>
      <c r="Q37" s="306"/>
      <c r="R37" s="509">
        <v>0</v>
      </c>
      <c r="S37" s="208"/>
      <c r="T37" s="28"/>
      <c r="U37" s="179"/>
      <c r="V37" s="185"/>
      <c r="W37" s="168"/>
      <c r="X37" s="30"/>
    </row>
    <row r="38" spans="1:24" s="31" customFormat="1" ht="71.25">
      <c r="A38" s="375">
        <f t="shared" si="4"/>
        <v>28</v>
      </c>
      <c r="B38" s="298"/>
      <c r="C38" s="492" t="s">
        <v>260</v>
      </c>
      <c r="D38" s="495" t="s">
        <v>261</v>
      </c>
      <c r="E38" s="496"/>
      <c r="F38" s="496">
        <v>0.1</v>
      </c>
      <c r="G38" s="497" t="s">
        <v>1132</v>
      </c>
      <c r="H38" s="381">
        <f>$L$4*1.5/1000000</f>
        <v>1.35E-2</v>
      </c>
      <c r="I38" s="304">
        <f t="shared" si="3"/>
        <v>1.3500000000000001E-3</v>
      </c>
      <c r="J38" s="305"/>
      <c r="K38" s="364" t="s">
        <v>194</v>
      </c>
      <c r="L38" s="367"/>
      <c r="M38" s="298"/>
      <c r="N38" s="492" t="s">
        <v>262</v>
      </c>
      <c r="O38" s="347" t="s">
        <v>189</v>
      </c>
      <c r="P38" s="341"/>
      <c r="Q38" s="306"/>
      <c r="R38" s="508">
        <f>I38</f>
        <v>1.3500000000000001E-3</v>
      </c>
      <c r="S38" s="208"/>
      <c r="T38" s="28"/>
      <c r="U38" s="179"/>
      <c r="V38" s="185"/>
      <c r="W38" s="168"/>
      <c r="X38" s="30"/>
    </row>
    <row r="39" spans="1:24" s="31" customFormat="1" ht="28.5">
      <c r="A39" s="375">
        <f t="shared" si="4"/>
        <v>29</v>
      </c>
      <c r="B39" s="298"/>
      <c r="C39" s="492" t="s">
        <v>263</v>
      </c>
      <c r="D39" s="495" t="s">
        <v>249</v>
      </c>
      <c r="E39" s="496"/>
      <c r="F39" s="496">
        <v>0</v>
      </c>
      <c r="G39" s="497" t="s">
        <v>264</v>
      </c>
      <c r="H39" s="303">
        <v>0</v>
      </c>
      <c r="I39" s="304">
        <f t="shared" si="3"/>
        <v>0</v>
      </c>
      <c r="J39" s="305"/>
      <c r="K39" s="409" t="s">
        <v>194</v>
      </c>
      <c r="L39" s="367"/>
      <c r="M39" s="298"/>
      <c r="N39" s="492" t="s">
        <v>265</v>
      </c>
      <c r="O39" s="347" t="s">
        <v>189</v>
      </c>
      <c r="P39" s="341"/>
      <c r="Q39" s="306"/>
      <c r="R39" s="509">
        <v>0</v>
      </c>
      <c r="S39" s="208"/>
      <c r="T39" s="28"/>
      <c r="U39" s="179"/>
      <c r="V39" s="185"/>
      <c r="W39" s="168"/>
      <c r="X39" s="30"/>
    </row>
    <row r="40" spans="1:24" s="31" customFormat="1" ht="57">
      <c r="A40" s="375">
        <f t="shared" si="4"/>
        <v>30</v>
      </c>
      <c r="B40" s="298"/>
      <c r="C40" s="492" t="s">
        <v>266</v>
      </c>
      <c r="D40" s="495" t="s">
        <v>249</v>
      </c>
      <c r="E40" s="496"/>
      <c r="F40" s="496">
        <v>0</v>
      </c>
      <c r="G40" s="497" t="s">
        <v>267</v>
      </c>
      <c r="H40" s="303">
        <v>0</v>
      </c>
      <c r="I40" s="304">
        <f t="shared" si="3"/>
        <v>0</v>
      </c>
      <c r="J40" s="305"/>
      <c r="K40" s="409" t="s">
        <v>194</v>
      </c>
      <c r="L40" s="367"/>
      <c r="M40" s="298"/>
      <c r="N40" s="492" t="s">
        <v>268</v>
      </c>
      <c r="O40" s="347" t="s">
        <v>189</v>
      </c>
      <c r="P40" s="341"/>
      <c r="Q40" s="306"/>
      <c r="R40" s="509">
        <v>0</v>
      </c>
      <c r="S40" s="208"/>
      <c r="T40" s="28"/>
      <c r="U40" s="179"/>
      <c r="V40" s="185"/>
      <c r="W40" s="168"/>
      <c r="X40" s="30"/>
    </row>
    <row r="41" spans="1:24" s="31" customFormat="1" ht="42.75">
      <c r="A41" s="375">
        <f t="shared" si="4"/>
        <v>31</v>
      </c>
      <c r="B41" s="298"/>
      <c r="C41" s="492" t="s">
        <v>269</v>
      </c>
      <c r="D41" s="495" t="s">
        <v>249</v>
      </c>
      <c r="E41" s="496"/>
      <c r="F41" s="496">
        <v>0</v>
      </c>
      <c r="G41" s="497" t="s">
        <v>267</v>
      </c>
      <c r="H41" s="303">
        <v>0</v>
      </c>
      <c r="I41" s="304">
        <f t="shared" si="3"/>
        <v>0</v>
      </c>
      <c r="J41" s="305"/>
      <c r="K41" s="409" t="s">
        <v>194</v>
      </c>
      <c r="L41" s="367"/>
      <c r="M41" s="298"/>
      <c r="N41" s="492" t="s">
        <v>270</v>
      </c>
      <c r="O41" s="347" t="s">
        <v>189</v>
      </c>
      <c r="P41" s="341"/>
      <c r="Q41" s="306"/>
      <c r="R41" s="509">
        <v>0</v>
      </c>
      <c r="S41" s="208"/>
      <c r="T41" s="28"/>
      <c r="U41" s="179"/>
      <c r="V41" s="185"/>
      <c r="W41" s="168"/>
      <c r="X41" s="30"/>
    </row>
    <row r="42" spans="1:24" ht="99.75">
      <c r="A42" s="375">
        <f t="shared" si="4"/>
        <v>32</v>
      </c>
      <c r="B42" s="298"/>
      <c r="C42" s="502" t="s">
        <v>271</v>
      </c>
      <c r="D42" s="495" t="s">
        <v>272</v>
      </c>
      <c r="E42" s="496"/>
      <c r="F42" s="496">
        <v>0</v>
      </c>
      <c r="G42" s="497" t="s">
        <v>273</v>
      </c>
      <c r="H42" s="303">
        <v>0</v>
      </c>
      <c r="I42" s="304">
        <f t="shared" si="3"/>
        <v>0</v>
      </c>
      <c r="J42" s="305"/>
      <c r="K42" s="364" t="s">
        <v>194</v>
      </c>
      <c r="L42" s="367"/>
      <c r="M42" s="298"/>
      <c r="N42" s="492" t="s">
        <v>274</v>
      </c>
      <c r="O42" s="347" t="s">
        <v>189</v>
      </c>
      <c r="P42" s="341"/>
      <c r="Q42" s="306"/>
      <c r="R42" s="509">
        <v>0</v>
      </c>
      <c r="S42" s="208"/>
      <c r="T42" s="28"/>
      <c r="U42" s="179"/>
      <c r="V42" s="185"/>
      <c r="W42" s="168"/>
      <c r="X42" s="30"/>
    </row>
    <row r="43" spans="1:24" ht="28.5">
      <c r="A43" s="375">
        <f t="shared" si="4"/>
        <v>33</v>
      </c>
      <c r="B43" s="298"/>
      <c r="C43" s="492" t="s">
        <v>275</v>
      </c>
      <c r="D43" s="495" t="s">
        <v>276</v>
      </c>
      <c r="E43" s="496"/>
      <c r="F43" s="496">
        <v>0</v>
      </c>
      <c r="G43" s="497" t="s">
        <v>277</v>
      </c>
      <c r="H43" s="303">
        <v>0</v>
      </c>
      <c r="I43" s="304">
        <f t="shared" si="3"/>
        <v>0</v>
      </c>
      <c r="J43" s="305"/>
      <c r="K43" s="364" t="s">
        <v>187</v>
      </c>
      <c r="L43" s="367"/>
      <c r="M43" s="298"/>
      <c r="N43" s="492" t="s">
        <v>278</v>
      </c>
      <c r="O43" s="347" t="s">
        <v>189</v>
      </c>
      <c r="P43" s="341"/>
      <c r="Q43" s="306"/>
      <c r="R43" s="509">
        <v>0</v>
      </c>
      <c r="S43" s="208"/>
      <c r="T43" s="28"/>
      <c r="U43" s="179"/>
      <c r="V43" s="185"/>
      <c r="W43" s="168"/>
      <c r="X43" s="30"/>
    </row>
    <row r="44" spans="1:24" ht="71.25">
      <c r="A44" s="375">
        <f t="shared" si="4"/>
        <v>34</v>
      </c>
      <c r="B44" s="298"/>
      <c r="C44" s="492" t="s">
        <v>279</v>
      </c>
      <c r="D44" s="495" t="s">
        <v>280</v>
      </c>
      <c r="E44" s="496"/>
      <c r="F44" s="496">
        <v>0</v>
      </c>
      <c r="G44" s="497" t="s">
        <v>281</v>
      </c>
      <c r="H44" s="303">
        <v>0</v>
      </c>
      <c r="I44" s="304">
        <f t="shared" si="3"/>
        <v>0</v>
      </c>
      <c r="J44" s="305"/>
      <c r="K44" s="364" t="s">
        <v>187</v>
      </c>
      <c r="L44" s="367"/>
      <c r="M44" s="298"/>
      <c r="N44" s="492" t="s">
        <v>282</v>
      </c>
      <c r="O44" s="347" t="s">
        <v>189</v>
      </c>
      <c r="P44" s="341"/>
      <c r="Q44" s="306"/>
      <c r="R44" s="509">
        <v>0</v>
      </c>
      <c r="S44" s="208"/>
      <c r="T44" s="28"/>
      <c r="U44" s="179"/>
      <c r="V44" s="185"/>
      <c r="W44" s="168"/>
      <c r="X44" s="30"/>
    </row>
    <row r="45" spans="1:24" ht="13.5">
      <c r="A45" s="402" t="s">
        <v>283</v>
      </c>
      <c r="B45" s="390"/>
      <c r="C45" s="391"/>
      <c r="D45" s="392"/>
      <c r="E45" s="393"/>
      <c r="F45" s="393"/>
      <c r="G45" s="391"/>
      <c r="H45" s="397"/>
      <c r="I45" s="398"/>
      <c r="J45" s="394"/>
      <c r="K45" s="399"/>
      <c r="L45" s="394"/>
      <c r="M45" s="392"/>
      <c r="N45" s="504"/>
      <c r="O45" s="395"/>
      <c r="P45" s="392"/>
      <c r="Q45" s="391"/>
      <c r="R45" s="510"/>
      <c r="S45" s="395"/>
      <c r="T45" s="391"/>
      <c r="U45" s="401"/>
      <c r="V45" s="390"/>
      <c r="W45" s="390"/>
      <c r="X45" s="396"/>
    </row>
    <row r="46" spans="1:24" ht="71.25">
      <c r="A46" s="309">
        <f>A44+1</f>
        <v>35</v>
      </c>
      <c r="B46" s="298"/>
      <c r="C46" s="299" t="s">
        <v>284</v>
      </c>
      <c r="D46" s="300" t="s">
        <v>206</v>
      </c>
      <c r="E46" s="301"/>
      <c r="F46" s="301">
        <v>0</v>
      </c>
      <c r="G46" s="302" t="s">
        <v>285</v>
      </c>
      <c r="H46" s="303">
        <v>0</v>
      </c>
      <c r="I46" s="304">
        <f t="shared" si="3"/>
        <v>0</v>
      </c>
      <c r="J46" s="305"/>
      <c r="K46" s="364" t="s">
        <v>194</v>
      </c>
      <c r="L46" s="367"/>
      <c r="M46" s="298"/>
      <c r="N46" s="492" t="s">
        <v>286</v>
      </c>
      <c r="O46" s="347" t="s">
        <v>189</v>
      </c>
      <c r="P46" s="341"/>
      <c r="Q46" s="306"/>
      <c r="R46" s="509">
        <v>0</v>
      </c>
      <c r="S46" s="111"/>
      <c r="T46" s="3"/>
      <c r="U46" s="79"/>
      <c r="V46" s="176"/>
      <c r="W46" s="168"/>
      <c r="X46" s="178"/>
    </row>
    <row r="47" spans="1:24" ht="99.75">
      <c r="A47" s="375">
        <f>A46+1</f>
        <v>36</v>
      </c>
      <c r="B47" s="298"/>
      <c r="C47" s="308" t="s">
        <v>287</v>
      </c>
      <c r="D47" s="300" t="s">
        <v>288</v>
      </c>
      <c r="E47" s="301"/>
      <c r="F47" s="301">
        <v>0.2</v>
      </c>
      <c r="G47" s="302" t="s">
        <v>1133</v>
      </c>
      <c r="H47" s="381">
        <f>$L$4*6/1000000</f>
        <v>5.3999999999999999E-2</v>
      </c>
      <c r="I47" s="304">
        <f t="shared" si="3"/>
        <v>1.0800000000000001E-2</v>
      </c>
      <c r="J47" s="305"/>
      <c r="K47" s="364" t="s">
        <v>194</v>
      </c>
      <c r="L47" s="367"/>
      <c r="M47" s="298"/>
      <c r="N47" s="492" t="s">
        <v>289</v>
      </c>
      <c r="O47" s="347" t="s">
        <v>189</v>
      </c>
      <c r="P47" s="341"/>
      <c r="Q47" s="306"/>
      <c r="R47" s="508">
        <f>I47</f>
        <v>1.0800000000000001E-2</v>
      </c>
      <c r="S47" s="208"/>
      <c r="T47" s="28"/>
      <c r="U47" s="179"/>
      <c r="V47" s="185"/>
      <c r="W47" s="168"/>
      <c r="X47" s="30"/>
    </row>
    <row r="48" spans="1:24" ht="57">
      <c r="A48" s="375">
        <f>A47+1</f>
        <v>37</v>
      </c>
      <c r="B48" s="298"/>
      <c r="C48" s="299" t="s">
        <v>290</v>
      </c>
      <c r="D48" s="300" t="s">
        <v>291</v>
      </c>
      <c r="E48" s="301"/>
      <c r="F48" s="301">
        <v>0</v>
      </c>
      <c r="G48" s="302" t="s">
        <v>292</v>
      </c>
      <c r="H48" s="303">
        <v>0</v>
      </c>
      <c r="I48" s="304">
        <f t="shared" si="3"/>
        <v>0</v>
      </c>
      <c r="J48" s="305"/>
      <c r="K48" s="364" t="s">
        <v>187</v>
      </c>
      <c r="L48" s="367"/>
      <c r="M48" s="298"/>
      <c r="N48" s="492" t="s">
        <v>293</v>
      </c>
      <c r="O48" s="347" t="s">
        <v>189</v>
      </c>
      <c r="P48" s="341"/>
      <c r="Q48" s="306"/>
      <c r="R48" s="509">
        <v>0</v>
      </c>
      <c r="S48" s="208"/>
      <c r="T48" s="28"/>
      <c r="U48" s="179"/>
      <c r="V48" s="185"/>
      <c r="W48" s="168"/>
      <c r="X48" s="30"/>
    </row>
    <row r="49" spans="1:24" ht="57">
      <c r="A49" s="375">
        <f>A48+1</f>
        <v>38</v>
      </c>
      <c r="B49" s="298"/>
      <c r="C49" s="299" t="s">
        <v>294</v>
      </c>
      <c r="D49" s="300" t="s">
        <v>295</v>
      </c>
      <c r="E49" s="301"/>
      <c r="F49" s="301">
        <v>0</v>
      </c>
      <c r="G49" s="302" t="s">
        <v>296</v>
      </c>
      <c r="H49" s="303">
        <v>0</v>
      </c>
      <c r="I49" s="304">
        <f t="shared" si="3"/>
        <v>0</v>
      </c>
      <c r="J49" s="305"/>
      <c r="K49" s="364" t="s">
        <v>187</v>
      </c>
      <c r="L49" s="367"/>
      <c r="M49" s="298"/>
      <c r="N49" s="492" t="s">
        <v>297</v>
      </c>
      <c r="O49" s="347" t="s">
        <v>189</v>
      </c>
      <c r="P49" s="341"/>
      <c r="Q49" s="306"/>
      <c r="R49" s="509">
        <v>0</v>
      </c>
      <c r="S49" s="208"/>
      <c r="T49" s="28"/>
      <c r="U49" s="179"/>
      <c r="V49" s="185"/>
      <c r="W49" s="168"/>
      <c r="X49" s="30"/>
    </row>
    <row r="50" spans="1:24" ht="42.75">
      <c r="A50" s="375">
        <f>A49+1</f>
        <v>39</v>
      </c>
      <c r="B50" s="298"/>
      <c r="C50" s="299" t="s">
        <v>298</v>
      </c>
      <c r="D50" s="300" t="s">
        <v>299</v>
      </c>
      <c r="E50" s="301"/>
      <c r="F50" s="301">
        <v>0</v>
      </c>
      <c r="G50" s="302" t="s">
        <v>300</v>
      </c>
      <c r="H50" s="303">
        <v>0</v>
      </c>
      <c r="I50" s="304">
        <f t="shared" si="3"/>
        <v>0</v>
      </c>
      <c r="J50" s="305"/>
      <c r="K50" s="364" t="s">
        <v>194</v>
      </c>
      <c r="L50" s="367"/>
      <c r="M50" s="298"/>
      <c r="N50" s="492" t="s">
        <v>301</v>
      </c>
      <c r="O50" s="347" t="s">
        <v>189</v>
      </c>
      <c r="P50" s="341"/>
      <c r="Q50" s="306"/>
      <c r="R50" s="509">
        <v>0</v>
      </c>
      <c r="S50" s="208"/>
      <c r="T50" s="28"/>
      <c r="U50" s="179"/>
      <c r="V50" s="185"/>
      <c r="W50" s="168"/>
      <c r="X50" s="30"/>
    </row>
    <row r="51" spans="1:24" ht="13.5">
      <c r="A51" s="402" t="s">
        <v>302</v>
      </c>
      <c r="B51" s="390"/>
      <c r="C51" s="391"/>
      <c r="D51" s="392"/>
      <c r="E51" s="393"/>
      <c r="F51" s="393"/>
      <c r="G51" s="391"/>
      <c r="H51" s="397"/>
      <c r="I51" s="398"/>
      <c r="J51" s="394"/>
      <c r="K51" s="399"/>
      <c r="L51" s="394"/>
      <c r="M51" s="392"/>
      <c r="N51" s="504"/>
      <c r="O51" s="395"/>
      <c r="P51" s="392"/>
      <c r="Q51" s="391"/>
      <c r="R51" s="510"/>
      <c r="S51" s="395"/>
      <c r="T51" s="391"/>
      <c r="U51" s="401"/>
      <c r="V51" s="390"/>
      <c r="W51" s="390"/>
      <c r="X51" s="396"/>
    </row>
    <row r="52" spans="1:24" s="31" customFormat="1" ht="99.75">
      <c r="A52" s="309">
        <f>A50+1</f>
        <v>40</v>
      </c>
      <c r="B52" s="298"/>
      <c r="C52" s="299" t="s">
        <v>303</v>
      </c>
      <c r="D52" s="300" t="s">
        <v>304</v>
      </c>
      <c r="E52" s="301"/>
      <c r="F52" s="301">
        <v>0</v>
      </c>
      <c r="G52" s="302" t="s">
        <v>305</v>
      </c>
      <c r="H52" s="303">
        <v>0</v>
      </c>
      <c r="I52" s="304">
        <f t="shared" si="3"/>
        <v>0</v>
      </c>
      <c r="J52" s="305"/>
      <c r="K52" s="364" t="s">
        <v>194</v>
      </c>
      <c r="L52" s="367"/>
      <c r="M52" s="298"/>
      <c r="N52" s="492" t="s">
        <v>306</v>
      </c>
      <c r="O52" s="347" t="s">
        <v>189</v>
      </c>
      <c r="P52" s="341"/>
      <c r="Q52" s="306"/>
      <c r="R52" s="509">
        <v>0</v>
      </c>
      <c r="S52" s="208"/>
      <c r="T52" s="28"/>
      <c r="U52" s="179"/>
      <c r="V52" s="185"/>
      <c r="W52" s="168"/>
      <c r="X52" s="30"/>
    </row>
    <row r="53" spans="1:24" s="31" customFormat="1" ht="114">
      <c r="A53" s="309">
        <f>A52+1</f>
        <v>41</v>
      </c>
      <c r="B53" s="298"/>
      <c r="C53" s="299" t="s">
        <v>307</v>
      </c>
      <c r="D53" s="300" t="s">
        <v>308</v>
      </c>
      <c r="E53" s="301"/>
      <c r="F53" s="301">
        <v>0.2</v>
      </c>
      <c r="G53" s="302" t="s">
        <v>1134</v>
      </c>
      <c r="H53" s="381">
        <f>$L$4*10/1000000</f>
        <v>0.09</v>
      </c>
      <c r="I53" s="304">
        <f t="shared" si="3"/>
        <v>1.7999999999999999E-2</v>
      </c>
      <c r="J53" s="305"/>
      <c r="K53" s="364" t="s">
        <v>194</v>
      </c>
      <c r="L53" s="367"/>
      <c r="M53" s="298"/>
      <c r="N53" s="492" t="s">
        <v>309</v>
      </c>
      <c r="O53" s="347" t="s">
        <v>189</v>
      </c>
      <c r="P53" s="341"/>
      <c r="Q53" s="306"/>
      <c r="R53" s="508">
        <f>I53</f>
        <v>1.7999999999999999E-2</v>
      </c>
      <c r="S53" s="208"/>
      <c r="T53" s="28"/>
      <c r="U53" s="179"/>
      <c r="V53" s="185"/>
      <c r="W53" s="168"/>
      <c r="X53" s="30"/>
    </row>
    <row r="54" spans="1:24" ht="13.5">
      <c r="A54" s="402" t="s">
        <v>310</v>
      </c>
      <c r="B54" s="390"/>
      <c r="C54" s="391"/>
      <c r="D54" s="392"/>
      <c r="E54" s="393"/>
      <c r="F54" s="393"/>
      <c r="G54" s="391"/>
      <c r="H54" s="397"/>
      <c r="I54" s="398"/>
      <c r="J54" s="394"/>
      <c r="K54" s="399"/>
      <c r="L54" s="394"/>
      <c r="M54" s="392"/>
      <c r="N54" s="504"/>
      <c r="O54" s="395"/>
      <c r="P54" s="392"/>
      <c r="Q54" s="391"/>
      <c r="R54" s="510"/>
      <c r="S54" s="395"/>
      <c r="T54" s="391"/>
      <c r="U54" s="401"/>
      <c r="V54" s="390"/>
      <c r="W54" s="390"/>
      <c r="X54" s="396"/>
    </row>
    <row r="55" spans="1:24" ht="128.25">
      <c r="A55" s="309">
        <f>A53+1</f>
        <v>42</v>
      </c>
      <c r="B55" s="298"/>
      <c r="C55" s="299" t="s">
        <v>311</v>
      </c>
      <c r="D55" s="300" t="s">
        <v>206</v>
      </c>
      <c r="E55" s="301"/>
      <c r="F55" s="301">
        <v>0.1</v>
      </c>
      <c r="G55" s="302" t="s">
        <v>312</v>
      </c>
      <c r="H55" s="303">
        <v>0</v>
      </c>
      <c r="I55" s="304">
        <f t="shared" si="3"/>
        <v>0</v>
      </c>
      <c r="J55" s="305"/>
      <c r="K55" s="364" t="s">
        <v>187</v>
      </c>
      <c r="L55" s="367"/>
      <c r="M55" s="298"/>
      <c r="N55" s="492" t="s">
        <v>313</v>
      </c>
      <c r="O55" s="347" t="s">
        <v>189</v>
      </c>
      <c r="P55" s="341"/>
      <c r="Q55" s="306"/>
      <c r="R55" s="509">
        <v>0</v>
      </c>
      <c r="S55" s="208"/>
      <c r="T55" s="28"/>
      <c r="U55" s="179"/>
      <c r="V55" s="185"/>
      <c r="W55" s="168"/>
      <c r="X55" s="30"/>
    </row>
    <row r="56" spans="1:24" ht="42.75">
      <c r="A56" s="309">
        <f>A55+1</f>
        <v>43</v>
      </c>
      <c r="B56" s="298"/>
      <c r="C56" s="299" t="s">
        <v>314</v>
      </c>
      <c r="D56" s="300" t="s">
        <v>239</v>
      </c>
      <c r="E56" s="301"/>
      <c r="F56" s="301">
        <v>0.1</v>
      </c>
      <c r="G56" s="302" t="s">
        <v>315</v>
      </c>
      <c r="H56" s="303">
        <v>0</v>
      </c>
      <c r="I56" s="304">
        <f t="shared" si="3"/>
        <v>0</v>
      </c>
      <c r="J56" s="305"/>
      <c r="K56" s="364" t="s">
        <v>187</v>
      </c>
      <c r="L56" s="367"/>
      <c r="M56" s="298"/>
      <c r="N56" s="492" t="s">
        <v>243</v>
      </c>
      <c r="O56" s="347" t="s">
        <v>189</v>
      </c>
      <c r="P56" s="341"/>
      <c r="Q56" s="306"/>
      <c r="R56" s="509">
        <v>0</v>
      </c>
      <c r="S56" s="208"/>
      <c r="T56" s="28"/>
      <c r="U56" s="179"/>
      <c r="V56" s="185"/>
      <c r="W56" s="168"/>
      <c r="X56" s="30"/>
    </row>
    <row r="57" spans="1:24" ht="13.5">
      <c r="A57" s="402" t="s">
        <v>316</v>
      </c>
      <c r="B57" s="390"/>
      <c r="C57" s="391"/>
      <c r="D57" s="392"/>
      <c r="E57" s="393"/>
      <c r="F57" s="393"/>
      <c r="G57" s="391"/>
      <c r="H57" s="397"/>
      <c r="I57" s="398"/>
      <c r="J57" s="394"/>
      <c r="K57" s="399"/>
      <c r="L57" s="394"/>
      <c r="M57" s="392"/>
      <c r="N57" s="504"/>
      <c r="O57" s="395"/>
      <c r="P57" s="392"/>
      <c r="Q57" s="391"/>
      <c r="R57" s="510"/>
      <c r="S57" s="395"/>
      <c r="T57" s="391"/>
      <c r="U57" s="401"/>
      <c r="V57" s="390"/>
      <c r="W57" s="390"/>
      <c r="X57" s="396"/>
    </row>
    <row r="58" spans="1:24" s="31" customFormat="1" ht="85.5">
      <c r="A58" s="309">
        <f>A56+1</f>
        <v>44</v>
      </c>
      <c r="B58" s="298"/>
      <c r="C58" s="299" t="s">
        <v>317</v>
      </c>
      <c r="D58" s="300" t="s">
        <v>318</v>
      </c>
      <c r="E58" s="301"/>
      <c r="F58" s="301">
        <v>0.1</v>
      </c>
      <c r="G58" s="302" t="s">
        <v>1135</v>
      </c>
      <c r="H58" s="381">
        <f>$L$4*2/1000000</f>
        <v>1.7999999999999999E-2</v>
      </c>
      <c r="I58" s="304">
        <f>H58*F58</f>
        <v>1.8E-3</v>
      </c>
      <c r="J58" s="305"/>
      <c r="K58" s="498" t="s">
        <v>194</v>
      </c>
      <c r="L58" s="367"/>
      <c r="M58" s="298"/>
      <c r="N58" s="492" t="s">
        <v>319</v>
      </c>
      <c r="O58" s="347" t="s">
        <v>189</v>
      </c>
      <c r="P58" s="341"/>
      <c r="Q58" s="306"/>
      <c r="R58" s="508">
        <f>I58</f>
        <v>1.8E-3</v>
      </c>
      <c r="S58" s="208"/>
      <c r="T58" s="28"/>
      <c r="U58" s="179"/>
      <c r="V58" s="185"/>
      <c r="W58" s="168"/>
      <c r="X58" s="30"/>
    </row>
    <row r="59" spans="1:24" ht="99.75">
      <c r="A59" s="493">
        <f>A58+1</f>
        <v>45</v>
      </c>
      <c r="B59" s="494"/>
      <c r="C59" s="492" t="s">
        <v>320</v>
      </c>
      <c r="D59" s="495" t="s">
        <v>280</v>
      </c>
      <c r="E59" s="496"/>
      <c r="F59" s="496">
        <v>0</v>
      </c>
      <c r="G59" s="497" t="s">
        <v>1136</v>
      </c>
      <c r="H59" s="303">
        <f>$L$4*2/1000000</f>
        <v>1.7999999999999999E-2</v>
      </c>
      <c r="I59" s="304">
        <f t="shared" si="3"/>
        <v>0</v>
      </c>
      <c r="J59" s="305"/>
      <c r="K59" s="498" t="s">
        <v>187</v>
      </c>
      <c r="L59" s="367"/>
      <c r="M59" s="298"/>
      <c r="N59" s="492" t="s">
        <v>321</v>
      </c>
      <c r="O59" s="347" t="s">
        <v>189</v>
      </c>
      <c r="P59" s="341"/>
      <c r="Q59" s="306"/>
      <c r="R59" s="509">
        <v>0</v>
      </c>
      <c r="S59" s="208"/>
      <c r="T59" s="28"/>
      <c r="U59" s="179"/>
      <c r="V59" s="185"/>
      <c r="W59" s="168"/>
      <c r="X59" s="30"/>
    </row>
    <row r="60" spans="1:24" ht="99.75">
      <c r="A60" s="493">
        <f>A59+1</f>
        <v>46</v>
      </c>
      <c r="B60" s="494"/>
      <c r="C60" s="492" t="s">
        <v>322</v>
      </c>
      <c r="D60" s="495" t="s">
        <v>213</v>
      </c>
      <c r="E60" s="496"/>
      <c r="F60" s="496">
        <v>0.1</v>
      </c>
      <c r="G60" s="497" t="s">
        <v>323</v>
      </c>
      <c r="H60" s="303">
        <v>0</v>
      </c>
      <c r="I60" s="304">
        <f>H60*F60</f>
        <v>0</v>
      </c>
      <c r="J60" s="305"/>
      <c r="K60" s="498" t="s">
        <v>187</v>
      </c>
      <c r="L60" s="367"/>
      <c r="M60" s="298"/>
      <c r="N60" s="492" t="s">
        <v>324</v>
      </c>
      <c r="O60" s="347" t="s">
        <v>189</v>
      </c>
      <c r="P60" s="341"/>
      <c r="Q60" s="306"/>
      <c r="R60" s="509">
        <v>0</v>
      </c>
      <c r="S60" s="111"/>
      <c r="T60" s="3"/>
      <c r="U60" s="79"/>
      <c r="V60" s="176"/>
      <c r="W60" s="168"/>
      <c r="X60" s="178"/>
    </row>
    <row r="61" spans="1:24" ht="23.25" customHeight="1">
      <c r="A61" s="348"/>
      <c r="B61" s="349"/>
      <c r="C61" s="349"/>
      <c r="D61" s="349"/>
      <c r="E61" s="350"/>
      <c r="F61" s="350"/>
      <c r="G61" s="374" t="s">
        <v>325</v>
      </c>
      <c r="H61" s="370">
        <f>SUM(H10:H56)</f>
        <v>3.6316399999999995</v>
      </c>
      <c r="I61" s="371">
        <f>SUM(I10:I56)</f>
        <v>0.38166400000000006</v>
      </c>
      <c r="J61" s="351"/>
      <c r="K61" s="373"/>
      <c r="L61" s="351"/>
      <c r="M61" s="352"/>
      <c r="N61" s="519" t="s">
        <v>326</v>
      </c>
      <c r="O61" s="520"/>
      <c r="P61" s="520"/>
      <c r="Q61" s="521"/>
      <c r="R61" s="507">
        <f>SUM(R10:R56)</f>
        <v>0.21834999999999999</v>
      </c>
      <c r="S61" s="237"/>
      <c r="T61" s="237"/>
      <c r="U61" s="237"/>
      <c r="V61" s="372"/>
      <c r="W61" s="231"/>
      <c r="X61" s="238"/>
    </row>
    <row r="62" spans="1:24" ht="12.75" thickTop="1">
      <c r="A62" s="186"/>
      <c r="B62" s="187"/>
      <c r="C62" s="187"/>
      <c r="D62" s="187"/>
      <c r="E62" s="188"/>
      <c r="F62" s="188"/>
      <c r="G62" s="31"/>
      <c r="H62" s="188"/>
      <c r="I62" s="189"/>
      <c r="J62" s="189"/>
      <c r="K62" s="189"/>
      <c r="L62" s="189"/>
      <c r="M62" s="186"/>
      <c r="N62" s="31"/>
      <c r="O62" s="31"/>
      <c r="P62" s="186"/>
      <c r="Q62" s="186"/>
      <c r="R62" s="31"/>
      <c r="S62" s="31"/>
      <c r="T62" s="31"/>
      <c r="U62" s="31"/>
      <c r="V62" s="187"/>
      <c r="W62" s="187"/>
      <c r="X62" s="31"/>
    </row>
    <row r="63" spans="1:24">
      <c r="A63" s="186"/>
      <c r="B63" s="187"/>
      <c r="C63" s="107" t="s">
        <v>327</v>
      </c>
      <c r="D63" s="108"/>
      <c r="E63" s="188"/>
      <c r="F63" s="188"/>
      <c r="G63" s="31"/>
      <c r="H63" s="188"/>
      <c r="I63" s="189"/>
      <c r="J63" s="189"/>
      <c r="K63" s="189"/>
      <c r="L63" s="189"/>
      <c r="M63" s="186"/>
      <c r="N63" s="31"/>
      <c r="O63" s="31"/>
      <c r="P63" s="186"/>
      <c r="Q63" s="186"/>
      <c r="R63" s="31"/>
      <c r="S63" s="31"/>
      <c r="T63" s="31"/>
      <c r="U63" s="31"/>
      <c r="V63" s="187"/>
      <c r="W63" s="187"/>
      <c r="X63" s="31"/>
    </row>
    <row r="67" spans="1:24">
      <c r="A67" s="186"/>
      <c r="B67" s="187"/>
      <c r="C67" s="187"/>
      <c r="D67" s="187"/>
      <c r="E67" s="188"/>
      <c r="F67" s="188"/>
      <c r="G67" s="31"/>
      <c r="H67" s="188"/>
      <c r="I67" s="189"/>
      <c r="J67" s="189"/>
      <c r="K67" s="189"/>
      <c r="L67" s="189"/>
      <c r="M67" s="186"/>
      <c r="N67" s="239"/>
      <c r="O67" s="31"/>
      <c r="P67" s="186"/>
      <c r="Q67" s="186"/>
      <c r="R67" s="31"/>
      <c r="S67" s="31"/>
      <c r="T67" s="31"/>
      <c r="U67" s="31"/>
      <c r="V67" s="187"/>
      <c r="W67" s="187"/>
      <c r="X67" s="31"/>
    </row>
    <row r="72" spans="1:24">
      <c r="A72" s="186"/>
      <c r="B72" s="187"/>
      <c r="C72" s="187"/>
      <c r="D72" s="102" t="s">
        <v>328</v>
      </c>
      <c r="E72" s="188"/>
      <c r="F72" s="188"/>
      <c r="G72" s="31"/>
      <c r="H72" s="188"/>
      <c r="I72" s="189"/>
      <c r="J72" s="189"/>
      <c r="K72" s="189"/>
      <c r="L72" s="189"/>
      <c r="M72" s="186"/>
      <c r="N72" s="31"/>
      <c r="O72" s="31"/>
      <c r="P72" s="186"/>
      <c r="Q72" s="186"/>
      <c r="R72" s="31"/>
      <c r="S72" s="31"/>
      <c r="T72" s="31"/>
      <c r="U72" s="31"/>
      <c r="V72" s="187"/>
      <c r="W72" s="187"/>
      <c r="X72" s="31"/>
    </row>
    <row r="73" spans="1:24">
      <c r="A73" s="186"/>
      <c r="B73" s="187"/>
      <c r="C73" s="187"/>
      <c r="D73" s="98" t="s">
        <v>329</v>
      </c>
      <c r="E73" s="188"/>
      <c r="F73" s="188"/>
      <c r="G73" s="31"/>
      <c r="H73" s="188"/>
      <c r="I73" s="189"/>
      <c r="J73" s="189"/>
      <c r="K73" s="189"/>
      <c r="L73" s="189"/>
      <c r="M73" s="186"/>
      <c r="N73" s="31"/>
      <c r="O73" s="31"/>
      <c r="P73" s="186"/>
      <c r="Q73" s="186"/>
      <c r="R73" s="31"/>
      <c r="S73" s="31"/>
      <c r="T73" s="31"/>
      <c r="U73" s="31"/>
      <c r="V73" s="187"/>
      <c r="W73" s="187"/>
      <c r="X73" s="31"/>
    </row>
    <row r="74" spans="1:24">
      <c r="A74" s="186"/>
      <c r="B74" s="187"/>
      <c r="C74" s="187"/>
      <c r="D74" s="99" t="s">
        <v>330</v>
      </c>
      <c r="E74" s="188"/>
      <c r="F74" s="188"/>
      <c r="G74" s="31"/>
      <c r="H74" s="188"/>
      <c r="I74" s="189"/>
      <c r="J74" s="189"/>
      <c r="K74" s="189"/>
      <c r="L74" s="189"/>
      <c r="M74" s="186"/>
      <c r="N74" s="31"/>
      <c r="O74" s="31"/>
      <c r="P74" s="186"/>
      <c r="Q74" s="186"/>
      <c r="R74" s="31"/>
      <c r="S74" s="31"/>
      <c r="T74" s="31"/>
      <c r="U74" s="31"/>
      <c r="V74" s="187"/>
      <c r="W74" s="187"/>
      <c r="X74" s="31"/>
    </row>
    <row r="75" spans="1:24">
      <c r="A75" s="186"/>
      <c r="B75" s="187"/>
      <c r="C75" s="187"/>
      <c r="D75" s="100" t="s">
        <v>185</v>
      </c>
      <c r="E75" s="188"/>
      <c r="F75" s="188"/>
      <c r="G75" s="31"/>
      <c r="H75" s="188"/>
      <c r="I75" s="189"/>
      <c r="J75" s="189"/>
      <c r="K75" s="189"/>
      <c r="L75" s="189"/>
      <c r="M75" s="186"/>
      <c r="N75" s="31"/>
      <c r="O75" s="31"/>
      <c r="P75" s="186"/>
      <c r="Q75" s="186"/>
      <c r="R75" s="31"/>
      <c r="S75" s="31"/>
      <c r="T75" s="31"/>
      <c r="U75" s="31"/>
      <c r="V75" s="187"/>
      <c r="W75" s="187"/>
      <c r="X75" s="31"/>
    </row>
    <row r="76" spans="1:24" s="86" customFormat="1">
      <c r="A76" s="186"/>
      <c r="B76" s="187"/>
      <c r="C76" s="187"/>
      <c r="D76" s="100" t="s">
        <v>191</v>
      </c>
      <c r="E76" s="188"/>
      <c r="F76" s="188"/>
      <c r="G76" s="31"/>
      <c r="H76" s="188"/>
      <c r="I76" s="189"/>
      <c r="J76" s="189"/>
      <c r="K76" s="189"/>
      <c r="L76" s="189"/>
      <c r="M76" s="186"/>
      <c r="N76" s="31"/>
      <c r="O76" s="188"/>
      <c r="P76" s="186"/>
      <c r="Q76" s="186"/>
      <c r="R76" s="31"/>
      <c r="S76" s="31"/>
      <c r="T76" s="31"/>
      <c r="U76" s="31"/>
      <c r="V76" s="187"/>
      <c r="W76" s="187"/>
      <c r="X76" s="31"/>
    </row>
    <row r="77" spans="1:24" s="86" customFormat="1">
      <c r="A77" s="186"/>
      <c r="B77" s="187"/>
      <c r="C77" s="187"/>
      <c r="D77" s="100" t="s">
        <v>197</v>
      </c>
      <c r="E77" s="188"/>
      <c r="F77" s="188"/>
      <c r="G77" s="31"/>
      <c r="H77" s="188"/>
      <c r="I77" s="189"/>
      <c r="J77" s="189"/>
      <c r="K77" s="189"/>
      <c r="L77" s="189"/>
      <c r="M77" s="186"/>
      <c r="N77" s="31"/>
      <c r="O77" s="188"/>
      <c r="P77" s="186"/>
      <c r="Q77" s="186"/>
      <c r="R77" s="31"/>
      <c r="S77" s="31"/>
      <c r="T77" s="31"/>
      <c r="U77" s="31"/>
      <c r="V77" s="187"/>
      <c r="W77" s="187"/>
      <c r="X77" s="31"/>
    </row>
    <row r="78" spans="1:24" s="86" customFormat="1">
      <c r="A78" s="186"/>
      <c r="B78" s="187"/>
      <c r="C78" s="187"/>
      <c r="D78" s="100" t="s">
        <v>213</v>
      </c>
      <c r="E78" s="188"/>
      <c r="F78" s="188"/>
      <c r="G78" s="31"/>
      <c r="H78" s="188"/>
      <c r="I78" s="189"/>
      <c r="J78" s="189"/>
      <c r="K78" s="189"/>
      <c r="L78" s="189"/>
      <c r="M78" s="186"/>
      <c r="N78" s="31"/>
      <c r="O78" s="188"/>
      <c r="P78" s="186"/>
      <c r="Q78" s="186"/>
      <c r="R78" s="31"/>
      <c r="S78" s="31"/>
      <c r="T78" s="31"/>
      <c r="U78" s="31"/>
      <c r="V78" s="187"/>
      <c r="W78" s="187"/>
      <c r="X78" s="31"/>
    </row>
    <row r="79" spans="1:24" s="86" customFormat="1">
      <c r="A79" s="186"/>
      <c r="B79" s="187"/>
      <c r="C79" s="187"/>
      <c r="D79" s="100" t="s">
        <v>206</v>
      </c>
      <c r="E79" s="188"/>
      <c r="F79" s="188"/>
      <c r="G79" s="31"/>
      <c r="H79" s="188"/>
      <c r="I79" s="189"/>
      <c r="J79" s="189"/>
      <c r="K79" s="189"/>
      <c r="L79" s="189"/>
      <c r="M79" s="186"/>
      <c r="N79" s="31"/>
      <c r="O79" s="188"/>
      <c r="P79" s="186"/>
      <c r="Q79" s="186"/>
      <c r="R79" s="31"/>
      <c r="S79" s="31"/>
      <c r="T79" s="31"/>
      <c r="U79" s="31"/>
      <c r="V79" s="187"/>
      <c r="W79" s="187"/>
      <c r="X79" s="31"/>
    </row>
    <row r="80" spans="1:24" s="86" customFormat="1">
      <c r="A80" s="186"/>
      <c r="B80" s="187"/>
      <c r="C80" s="187"/>
      <c r="D80" s="99" t="s">
        <v>331</v>
      </c>
      <c r="E80" s="188"/>
      <c r="F80" s="188"/>
      <c r="G80" s="31"/>
      <c r="H80" s="188"/>
      <c r="I80" s="189"/>
      <c r="J80" s="189"/>
      <c r="K80" s="189"/>
      <c r="L80" s="189"/>
      <c r="M80" s="186"/>
      <c r="N80" s="31"/>
      <c r="O80" s="188"/>
      <c r="P80" s="186"/>
      <c r="Q80" s="186"/>
      <c r="R80" s="31"/>
      <c r="S80" s="31"/>
      <c r="T80" s="31"/>
      <c r="U80" s="31"/>
      <c r="V80" s="187"/>
      <c r="W80" s="187"/>
      <c r="X80" s="31"/>
    </row>
    <row r="81" spans="1:24" s="86" customFormat="1">
      <c r="A81" s="186"/>
      <c r="B81" s="187"/>
      <c r="C81" s="187"/>
      <c r="D81" s="99" t="s">
        <v>332</v>
      </c>
      <c r="E81" s="188"/>
      <c r="F81" s="188"/>
      <c r="G81" s="31"/>
      <c r="H81" s="188"/>
      <c r="I81" s="189"/>
      <c r="J81" s="189"/>
      <c r="K81" s="189"/>
      <c r="L81" s="189"/>
      <c r="M81" s="186"/>
      <c r="N81" s="31"/>
      <c r="O81" s="188"/>
      <c r="P81" s="186"/>
      <c r="Q81" s="186"/>
      <c r="R81" s="31"/>
      <c r="S81" s="31"/>
      <c r="T81" s="31"/>
      <c r="U81" s="31"/>
      <c r="V81" s="187"/>
      <c r="W81" s="187"/>
      <c r="X81" s="31"/>
    </row>
    <row r="82" spans="1:24" s="86" customFormat="1">
      <c r="A82" s="186"/>
      <c r="B82" s="187"/>
      <c r="C82" s="187"/>
      <c r="D82" s="99" t="s">
        <v>333</v>
      </c>
      <c r="E82" s="188"/>
      <c r="F82" s="188"/>
      <c r="G82" s="31"/>
      <c r="H82" s="188"/>
      <c r="I82" s="189"/>
      <c r="J82" s="189"/>
      <c r="K82" s="189"/>
      <c r="L82" s="189"/>
      <c r="M82" s="186"/>
      <c r="N82" s="31"/>
      <c r="O82" s="188"/>
      <c r="P82" s="186"/>
      <c r="Q82" s="186"/>
      <c r="R82" s="31"/>
      <c r="S82" s="31"/>
      <c r="T82" s="31"/>
      <c r="U82" s="31"/>
      <c r="V82" s="187"/>
      <c r="W82" s="187"/>
      <c r="X82" s="31"/>
    </row>
    <row r="83" spans="1:24" s="86" customFormat="1">
      <c r="A83" s="186"/>
      <c r="B83" s="187"/>
      <c r="C83" s="187"/>
      <c r="D83" s="99" t="s">
        <v>334</v>
      </c>
      <c r="E83" s="188"/>
      <c r="F83" s="188"/>
      <c r="G83" s="31"/>
      <c r="H83" s="188"/>
      <c r="I83" s="189"/>
      <c r="J83" s="189"/>
      <c r="K83" s="189"/>
      <c r="L83" s="189"/>
      <c r="M83" s="186"/>
      <c r="N83" s="31"/>
      <c r="O83" s="188"/>
      <c r="P83" s="186"/>
      <c r="Q83" s="186"/>
      <c r="R83" s="31"/>
      <c r="S83" s="31"/>
      <c r="T83" s="31"/>
      <c r="U83" s="31"/>
      <c r="V83" s="187"/>
      <c r="W83" s="187"/>
      <c r="X83" s="31"/>
    </row>
    <row r="84" spans="1:24" s="86" customFormat="1">
      <c r="A84" s="186"/>
      <c r="B84" s="187"/>
      <c r="C84" s="187"/>
      <c r="D84" s="99" t="s">
        <v>335</v>
      </c>
      <c r="E84" s="188"/>
      <c r="F84" s="188"/>
      <c r="G84" s="31"/>
      <c r="H84" s="188"/>
      <c r="I84" s="189"/>
      <c r="J84" s="189"/>
      <c r="K84" s="189"/>
      <c r="L84" s="189"/>
      <c r="M84" s="186"/>
      <c r="N84" s="31"/>
      <c r="O84" s="188"/>
      <c r="P84" s="186"/>
      <c r="Q84" s="186"/>
      <c r="R84" s="31"/>
      <c r="S84" s="31"/>
      <c r="T84" s="31"/>
      <c r="U84" s="31"/>
      <c r="V84" s="187"/>
      <c r="W84" s="187"/>
      <c r="X84" s="31"/>
    </row>
    <row r="85" spans="1:24" s="86" customFormat="1">
      <c r="A85" s="186"/>
      <c r="B85" s="187"/>
      <c r="C85" s="187"/>
      <c r="D85" s="99" t="s">
        <v>336</v>
      </c>
      <c r="E85" s="188"/>
      <c r="F85" s="188"/>
      <c r="G85" s="31"/>
      <c r="H85" s="188"/>
      <c r="I85" s="189"/>
      <c r="J85" s="189"/>
      <c r="K85" s="189"/>
      <c r="L85" s="189"/>
      <c r="M85" s="186"/>
      <c r="N85" s="31"/>
      <c r="O85" s="188"/>
      <c r="P85" s="186"/>
      <c r="Q85" s="186"/>
      <c r="R85" s="31"/>
      <c r="S85" s="31"/>
      <c r="T85" s="31"/>
      <c r="U85" s="31"/>
      <c r="V85" s="187"/>
      <c r="W85" s="187"/>
      <c r="X85" s="31"/>
    </row>
    <row r="86" spans="1:24" s="86" customFormat="1">
      <c r="A86" s="186"/>
      <c r="B86" s="187"/>
      <c r="C86" s="187"/>
      <c r="D86" s="99" t="s">
        <v>337</v>
      </c>
      <c r="E86" s="188"/>
      <c r="F86" s="188"/>
      <c r="G86" s="31"/>
      <c r="H86" s="188"/>
      <c r="I86" s="189"/>
      <c r="J86" s="189"/>
      <c r="K86" s="189"/>
      <c r="L86" s="189"/>
      <c r="M86" s="186"/>
      <c r="N86" s="31"/>
      <c r="O86" s="188"/>
      <c r="P86" s="186"/>
      <c r="Q86" s="186"/>
      <c r="R86" s="31"/>
      <c r="S86" s="31"/>
      <c r="T86" s="31"/>
      <c r="U86" s="31"/>
      <c r="V86" s="187"/>
      <c r="W86" s="187"/>
      <c r="X86" s="31"/>
    </row>
    <row r="87" spans="1:24" s="86" customFormat="1">
      <c r="A87" s="186"/>
      <c r="B87" s="187"/>
      <c r="C87" s="187"/>
      <c r="D87" s="99" t="s">
        <v>304</v>
      </c>
      <c r="E87" s="188"/>
      <c r="F87" s="188"/>
      <c r="G87" s="31"/>
      <c r="H87" s="188"/>
      <c r="I87" s="189"/>
      <c r="J87" s="189"/>
      <c r="K87" s="189"/>
      <c r="L87" s="189"/>
      <c r="M87" s="186"/>
      <c r="N87" s="31"/>
      <c r="O87" s="188"/>
      <c r="P87" s="186"/>
      <c r="Q87" s="186"/>
      <c r="R87" s="31"/>
      <c r="S87" s="31"/>
      <c r="T87" s="31"/>
      <c r="U87" s="31"/>
      <c r="V87" s="187"/>
      <c r="W87" s="187"/>
      <c r="X87" s="31"/>
    </row>
    <row r="88" spans="1:24" s="86" customFormat="1">
      <c r="A88" s="186"/>
      <c r="B88" s="187"/>
      <c r="C88" s="187"/>
      <c r="D88" s="99" t="s">
        <v>338</v>
      </c>
      <c r="E88" s="188"/>
      <c r="F88" s="188"/>
      <c r="G88" s="31"/>
      <c r="H88" s="188"/>
      <c r="I88" s="189"/>
      <c r="J88" s="189"/>
      <c r="K88" s="189"/>
      <c r="L88" s="189"/>
      <c r="M88" s="186"/>
      <c r="N88" s="31"/>
      <c r="O88" s="188"/>
      <c r="P88" s="186"/>
      <c r="Q88" s="186"/>
      <c r="R88" s="31"/>
      <c r="S88" s="31"/>
      <c r="T88" s="31"/>
      <c r="U88" s="31"/>
      <c r="V88" s="187"/>
      <c r="W88" s="187"/>
      <c r="X88" s="31"/>
    </row>
    <row r="89" spans="1:24" s="86" customFormat="1">
      <c r="A89" s="186"/>
      <c r="B89" s="187"/>
      <c r="C89" s="187"/>
      <c r="D89" s="99" t="s">
        <v>308</v>
      </c>
      <c r="E89" s="188"/>
      <c r="F89" s="188"/>
      <c r="G89" s="31"/>
      <c r="H89" s="188"/>
      <c r="I89" s="189"/>
      <c r="J89" s="189"/>
      <c r="K89" s="189"/>
      <c r="L89" s="189"/>
      <c r="M89" s="186"/>
      <c r="N89" s="31"/>
      <c r="O89" s="188"/>
      <c r="P89" s="186"/>
      <c r="Q89" s="186"/>
      <c r="R89" s="31"/>
      <c r="S89" s="31"/>
      <c r="T89" s="31"/>
      <c r="U89" s="31"/>
      <c r="V89" s="187"/>
      <c r="W89" s="187"/>
      <c r="X89" s="31"/>
    </row>
    <row r="90" spans="1:24" s="86" customFormat="1">
      <c r="A90" s="186"/>
      <c r="B90" s="187"/>
      <c r="C90" s="187"/>
      <c r="D90" s="99" t="s">
        <v>339</v>
      </c>
      <c r="E90" s="188"/>
      <c r="F90" s="188"/>
      <c r="G90" s="31"/>
      <c r="H90" s="188"/>
      <c r="I90" s="189"/>
      <c r="J90" s="189"/>
      <c r="K90" s="189"/>
      <c r="L90" s="189"/>
      <c r="M90" s="186"/>
      <c r="N90" s="31"/>
      <c r="O90" s="188"/>
      <c r="P90" s="186"/>
      <c r="Q90" s="186"/>
      <c r="R90" s="31"/>
      <c r="S90" s="31"/>
      <c r="T90" s="31"/>
      <c r="U90" s="31"/>
      <c r="V90" s="187"/>
      <c r="W90" s="187"/>
      <c r="X90" s="31"/>
    </row>
    <row r="91" spans="1:24" s="86" customFormat="1">
      <c r="A91" s="186"/>
      <c r="B91" s="187"/>
      <c r="C91" s="187"/>
      <c r="D91" s="99" t="s">
        <v>340</v>
      </c>
      <c r="E91" s="188"/>
      <c r="F91" s="188"/>
      <c r="G91" s="31"/>
      <c r="H91" s="188"/>
      <c r="I91" s="189"/>
      <c r="J91" s="189"/>
      <c r="K91" s="189"/>
      <c r="L91" s="189"/>
      <c r="M91" s="186"/>
      <c r="N91" s="31"/>
      <c r="O91" s="188"/>
      <c r="P91" s="186"/>
      <c r="Q91" s="186"/>
      <c r="R91" s="31"/>
      <c r="S91" s="31"/>
      <c r="T91" s="31"/>
      <c r="U91" s="31"/>
      <c r="V91" s="187"/>
      <c r="W91" s="187"/>
      <c r="X91" s="31"/>
    </row>
    <row r="92" spans="1:24" s="86" customFormat="1">
      <c r="A92" s="186"/>
      <c r="B92" s="187"/>
      <c r="C92" s="187"/>
      <c r="D92" s="99" t="s">
        <v>341</v>
      </c>
      <c r="E92" s="188"/>
      <c r="F92" s="188"/>
      <c r="G92" s="31"/>
      <c r="H92" s="188"/>
      <c r="I92" s="189"/>
      <c r="J92" s="189"/>
      <c r="K92" s="189"/>
      <c r="L92" s="189"/>
      <c r="M92" s="186"/>
      <c r="N92" s="31"/>
      <c r="O92" s="188"/>
      <c r="P92" s="186"/>
      <c r="Q92" s="186"/>
      <c r="R92" s="31"/>
      <c r="S92" s="31"/>
      <c r="T92" s="31"/>
      <c r="U92" s="31"/>
      <c r="V92" s="187"/>
      <c r="W92" s="187"/>
      <c r="X92" s="31"/>
    </row>
    <row r="93" spans="1:24" s="86" customFormat="1">
      <c r="A93" s="186"/>
      <c r="B93" s="187"/>
      <c r="C93" s="187"/>
      <c r="D93" s="99" t="s">
        <v>342</v>
      </c>
      <c r="E93" s="188"/>
      <c r="F93" s="188"/>
      <c r="G93" s="31"/>
      <c r="H93" s="188"/>
      <c r="I93" s="189"/>
      <c r="J93" s="189"/>
      <c r="K93" s="189"/>
      <c r="L93" s="189"/>
      <c r="M93" s="186"/>
      <c r="N93" s="31"/>
      <c r="O93" s="188"/>
      <c r="P93" s="186"/>
      <c r="Q93" s="186"/>
      <c r="R93" s="31"/>
      <c r="S93" s="31"/>
      <c r="T93" s="31"/>
      <c r="U93" s="31"/>
      <c r="V93" s="187"/>
      <c r="W93" s="187"/>
      <c r="X93" s="31"/>
    </row>
    <row r="94" spans="1:24" s="86" customFormat="1">
      <c r="A94" s="186"/>
      <c r="B94" s="187"/>
      <c r="C94" s="187"/>
      <c r="D94" s="99" t="s">
        <v>343</v>
      </c>
      <c r="E94" s="188"/>
      <c r="F94" s="188"/>
      <c r="G94" s="31"/>
      <c r="H94" s="188"/>
      <c r="I94" s="189"/>
      <c r="J94" s="189"/>
      <c r="K94" s="189"/>
      <c r="L94" s="189"/>
      <c r="M94" s="186"/>
      <c r="N94" s="31"/>
      <c r="O94" s="188"/>
      <c r="P94" s="186"/>
      <c r="Q94" s="186"/>
      <c r="R94" s="31"/>
      <c r="S94" s="31"/>
      <c r="T94" s="31"/>
      <c r="U94" s="31"/>
      <c r="V94" s="187"/>
      <c r="W94" s="187"/>
      <c r="X94" s="31"/>
    </row>
    <row r="95" spans="1:24" s="86" customFormat="1">
      <c r="A95" s="186"/>
      <c r="B95" s="187"/>
      <c r="C95" s="187"/>
      <c r="D95" s="99" t="s">
        <v>344</v>
      </c>
      <c r="E95" s="188"/>
      <c r="F95" s="188"/>
      <c r="G95" s="31"/>
      <c r="H95" s="188"/>
      <c r="I95" s="189"/>
      <c r="J95" s="189"/>
      <c r="K95" s="189"/>
      <c r="L95" s="189"/>
      <c r="M95" s="186"/>
      <c r="N95" s="31"/>
      <c r="O95" s="188"/>
      <c r="P95" s="186"/>
      <c r="Q95" s="186"/>
      <c r="R95" s="31"/>
      <c r="S95" s="31"/>
      <c r="T95" s="31"/>
      <c r="U95" s="31"/>
      <c r="V95" s="187"/>
      <c r="W95" s="187"/>
      <c r="X95" s="31"/>
    </row>
    <row r="96" spans="1:24" s="86" customFormat="1">
      <c r="A96" s="186"/>
      <c r="B96" s="187"/>
      <c r="C96" s="187"/>
      <c r="D96" s="99" t="s">
        <v>345</v>
      </c>
      <c r="E96" s="188"/>
      <c r="F96" s="188"/>
      <c r="G96" s="31"/>
      <c r="H96" s="188"/>
      <c r="I96" s="189"/>
      <c r="J96" s="189"/>
      <c r="K96" s="189"/>
      <c r="L96" s="189"/>
      <c r="M96" s="186"/>
      <c r="N96" s="31"/>
      <c r="O96" s="188"/>
      <c r="P96" s="186"/>
      <c r="Q96" s="186"/>
      <c r="R96" s="31"/>
      <c r="S96" s="31"/>
      <c r="T96" s="31"/>
      <c r="U96" s="31"/>
      <c r="V96" s="187"/>
      <c r="W96" s="187"/>
      <c r="X96" s="31"/>
    </row>
    <row r="97" spans="1:24" s="86" customFormat="1">
      <c r="A97" s="186"/>
      <c r="B97" s="187"/>
      <c r="C97" s="187"/>
      <c r="D97" s="99" t="s">
        <v>276</v>
      </c>
      <c r="E97" s="188"/>
      <c r="F97" s="188"/>
      <c r="G97" s="31"/>
      <c r="H97" s="188"/>
      <c r="I97" s="189"/>
      <c r="J97" s="189"/>
      <c r="K97" s="189"/>
      <c r="L97" s="189"/>
      <c r="M97" s="186"/>
      <c r="N97" s="31"/>
      <c r="O97" s="188"/>
      <c r="P97" s="186"/>
      <c r="Q97" s="186"/>
      <c r="R97" s="31"/>
      <c r="S97" s="31"/>
      <c r="T97" s="31"/>
      <c r="U97" s="31"/>
      <c r="V97" s="187"/>
      <c r="W97" s="187"/>
      <c r="X97" s="31"/>
    </row>
    <row r="98" spans="1:24" s="86" customFormat="1">
      <c r="A98" s="186"/>
      <c r="B98" s="187"/>
      <c r="C98" s="187"/>
      <c r="D98" s="101" t="s">
        <v>346</v>
      </c>
      <c r="E98" s="188"/>
      <c r="F98" s="188"/>
      <c r="G98" s="31"/>
      <c r="H98" s="188"/>
      <c r="I98" s="189"/>
      <c r="J98" s="189"/>
      <c r="K98" s="189"/>
      <c r="L98" s="189"/>
      <c r="M98" s="186"/>
      <c r="N98" s="31"/>
      <c r="O98" s="188"/>
      <c r="P98" s="186"/>
      <c r="Q98" s="186"/>
      <c r="R98" s="31"/>
      <c r="S98" s="31"/>
      <c r="T98" s="31"/>
      <c r="U98" s="31"/>
      <c r="V98" s="187"/>
      <c r="W98" s="187"/>
      <c r="X98" s="31"/>
    </row>
  </sheetData>
  <autoFilter ref="A6:X61" xr:uid="{88A4FE2B-90D3-4E9F-94E6-D6EEEC1B5C8F}"/>
  <mergeCells count="1">
    <mergeCell ref="N61:Q61"/>
  </mergeCells>
  <phoneticPr fontId="2"/>
  <conditionalFormatting sqref="C10 D59 F59:G59 F60">
    <cfRule type="expression" dxfId="77" priority="19" stopIfTrue="1">
      <formula>$V10="消滅"</formula>
    </cfRule>
  </conditionalFormatting>
  <conditionalFormatting sqref="C23">
    <cfRule type="expression" dxfId="76" priority="35" stopIfTrue="1">
      <formula>#REF!="消滅"</formula>
    </cfRule>
  </conditionalFormatting>
  <conditionalFormatting sqref="C31:C44">
    <cfRule type="expression" dxfId="75" priority="11" stopIfTrue="1">
      <formula>#REF!="消滅"</formula>
    </cfRule>
  </conditionalFormatting>
  <conditionalFormatting sqref="C47:C53">
    <cfRule type="expression" dxfId="74" priority="23" stopIfTrue="1">
      <formula>#REF!="消滅"</formula>
    </cfRule>
  </conditionalFormatting>
  <conditionalFormatting sqref="C55:C56">
    <cfRule type="expression" dxfId="73" priority="27" stopIfTrue="1">
      <formula>#REF!="消滅"</formula>
    </cfRule>
  </conditionalFormatting>
  <conditionalFormatting sqref="C58:C60">
    <cfRule type="expression" dxfId="72" priority="6" stopIfTrue="1">
      <formula>#REF!="消滅"</formula>
    </cfRule>
  </conditionalFormatting>
  <conditionalFormatting sqref="C16:D16">
    <cfRule type="expression" dxfId="71" priority="18" stopIfTrue="1">
      <formula>$V16="消滅"</formula>
    </cfRule>
  </conditionalFormatting>
  <conditionalFormatting sqref="C19:D20">
    <cfRule type="expression" dxfId="70" priority="15" stopIfTrue="1">
      <formula>$V19="消滅"</formula>
    </cfRule>
  </conditionalFormatting>
  <conditionalFormatting sqref="D39:D41">
    <cfRule type="expression" dxfId="69" priority="12" stopIfTrue="1">
      <formula>$V39="消滅"</formula>
    </cfRule>
  </conditionalFormatting>
  <conditionalFormatting sqref="D10:N10 I11:N11 B11:H15 H16:H19 H19:M20 B21:N22 H25:H28 H30:H44 H52:M53">
    <cfRule type="expression" dxfId="68" priority="20" stopIfTrue="1">
      <formula>$W10="消滅"</formula>
    </cfRule>
  </conditionalFormatting>
  <conditionalFormatting sqref="F39:F41">
    <cfRule type="expression" dxfId="67" priority="10" stopIfTrue="1">
      <formula>$V39="消滅"</formula>
    </cfRule>
  </conditionalFormatting>
  <conditionalFormatting sqref="F19:G20">
    <cfRule type="expression" dxfId="66" priority="14" stopIfTrue="1">
      <formula>$V19="消滅"</formula>
    </cfRule>
  </conditionalFormatting>
  <conditionalFormatting sqref="G16">
    <cfRule type="expression" dxfId="65" priority="17" stopIfTrue="1">
      <formula>$V16="消滅"</formula>
    </cfRule>
  </conditionalFormatting>
  <conditionalFormatting sqref="G23">
    <cfRule type="expression" dxfId="64" priority="34" stopIfTrue="1">
      <formula>#REF!="消滅"</formula>
    </cfRule>
  </conditionalFormatting>
  <conditionalFormatting sqref="G27">
    <cfRule type="expression" dxfId="63" priority="32" stopIfTrue="1">
      <formula>#REF!="消滅"</formula>
    </cfRule>
  </conditionalFormatting>
  <conditionalFormatting sqref="G31:G44">
    <cfRule type="expression" dxfId="62" priority="9" stopIfTrue="1">
      <formula>#REF!="消滅"</formula>
    </cfRule>
  </conditionalFormatting>
  <conditionalFormatting sqref="G47:G53">
    <cfRule type="expression" dxfId="61" priority="22" stopIfTrue="1">
      <formula>#REF!="消滅"</formula>
    </cfRule>
  </conditionalFormatting>
  <conditionalFormatting sqref="G55:G56">
    <cfRule type="expression" dxfId="60" priority="26" stopIfTrue="1">
      <formula>#REF!="消滅"</formula>
    </cfRule>
  </conditionalFormatting>
  <conditionalFormatting sqref="G58:G60">
    <cfRule type="expression" dxfId="59" priority="24" stopIfTrue="1">
      <formula>#REF!="消滅"</formula>
    </cfRule>
  </conditionalFormatting>
  <conditionalFormatting sqref="G60">
    <cfRule type="expression" dxfId="58" priority="5" stopIfTrue="1">
      <formula>#REF!="消滅"</formula>
    </cfRule>
  </conditionalFormatting>
  <conditionalFormatting sqref="H47:M50">
    <cfRule type="expression" dxfId="57" priority="1" stopIfTrue="1">
      <formula>$W47="消滅"</formula>
    </cfRule>
  </conditionalFormatting>
  <conditionalFormatting sqref="H55:M56">
    <cfRule type="expression" dxfId="56" priority="3" stopIfTrue="1">
      <formula>$W55="消滅"</formula>
    </cfRule>
  </conditionalFormatting>
  <conditionalFormatting sqref="H58:M60">
    <cfRule type="expression" dxfId="55" priority="2" stopIfTrue="1">
      <formula>$W58="消滅"</formula>
    </cfRule>
  </conditionalFormatting>
  <conditionalFormatting sqref="J31:M44 A10:B10 P10:X23 A11:A23 B16 E16:F16 J16:M16 J17:N17 B17:G18 I18:N18 B19:B20 E19:E20 B23 D23:F23 H23:M23 A25:G25 I25:N25 P25:X44 B26:G26 J26:N26 A26:A44 I26:I44 B27:F27 M27 J27:L30 B28:G28 M28:N30 B29:H29 B30:G30 D31:F38 B31:B44 E39:E41 D42:F44 A46:N46 P46:X50 A47:B50 D47:F50 A52:B53 D52:F53 P52:X53 A55:B56 D55:F56 D58:F58 A58:B60 P58:X60 E59 D60:E60">
    <cfRule type="expression" dxfId="54" priority="36" stopIfTrue="1">
      <formula>$W10="消滅"</formula>
    </cfRule>
  </conditionalFormatting>
  <conditionalFormatting sqref="J12:N15 I12:I17">
    <cfRule type="expression" dxfId="53" priority="30" stopIfTrue="1">
      <formula>$W12="消滅"</formula>
    </cfRule>
  </conditionalFormatting>
  <conditionalFormatting sqref="K39:K41">
    <cfRule type="expression" dxfId="52" priority="8" stopIfTrue="1">
      <formula>$V39="消滅"</formula>
    </cfRule>
  </conditionalFormatting>
  <conditionalFormatting sqref="N16">
    <cfRule type="expression" dxfId="51" priority="16" stopIfTrue="1">
      <formula>$V16="消滅"</formula>
    </cfRule>
  </conditionalFormatting>
  <conditionalFormatting sqref="N19:N20">
    <cfRule type="expression" dxfId="50" priority="13" stopIfTrue="1">
      <formula>$V19="消滅"</formula>
    </cfRule>
  </conditionalFormatting>
  <conditionalFormatting sqref="N23">
    <cfRule type="expression" dxfId="49" priority="33" stopIfTrue="1">
      <formula>#REF!="消滅"</formula>
    </cfRule>
  </conditionalFormatting>
  <conditionalFormatting sqref="N27">
    <cfRule type="expression" dxfId="48" priority="31" stopIfTrue="1">
      <formula>#REF!="消滅"</formula>
    </cfRule>
  </conditionalFormatting>
  <conditionalFormatting sqref="N31:N44">
    <cfRule type="expression" dxfId="47" priority="7" stopIfTrue="1">
      <formula>#REF!="消滅"</formula>
    </cfRule>
  </conditionalFormatting>
  <conditionalFormatting sqref="N47:N53">
    <cfRule type="expression" dxfId="46" priority="21" stopIfTrue="1">
      <formula>#REF!="消滅"</formula>
    </cfRule>
  </conditionalFormatting>
  <conditionalFormatting sqref="N55:N56">
    <cfRule type="expression" dxfId="45" priority="25" stopIfTrue="1">
      <formula>#REF!="消滅"</formula>
    </cfRule>
  </conditionalFormatting>
  <conditionalFormatting sqref="N58:N60">
    <cfRule type="expression" dxfId="44" priority="4" stopIfTrue="1">
      <formula>#REF!="消滅"</formula>
    </cfRule>
  </conditionalFormatting>
  <conditionalFormatting sqref="P55:X56">
    <cfRule type="expression" dxfId="43" priority="28" stopIfTrue="1">
      <formula>$W55="消滅"</formula>
    </cfRule>
  </conditionalFormatting>
  <dataValidations count="7">
    <dataValidation type="list" showInputMessage="1" showErrorMessage="1" sqref="D59:D60" xr:uid="{E0C4131D-A147-4F33-B874-C3257F146E32}">
      <formula1>$D$70:$D$95</formula1>
    </dataValidation>
    <dataValidation type="list" showInputMessage="1" showErrorMessage="1" sqref="D19:D20 D39:D41" xr:uid="{637890DA-BFA4-4D64-BC71-B19BDCBFAEE9}">
      <formula1>$D$71:$D$96</formula1>
    </dataValidation>
    <dataValidation type="list" allowBlank="1" showInputMessage="1" showErrorMessage="1" sqref="L55:L56 L46:L53 L10:L23 L58:L60 L25:L44" xr:uid="{D7830F49-A34B-4C16-A269-2F69320EC431}">
      <formula1>"フィジ有/効果高:20～30%,フィジ有/効果低:30～40%,フィジ無/効果高:80～90%,フィジ無/効果低:90～95%"</formula1>
    </dataValidation>
    <dataValidation type="list" showInputMessage="1" showErrorMessage="1" sqref="E55:E56 E46:E53 E10:E23 E58:E60 E25:E44" xr:uid="{3D93A530-7050-4399-A170-5B6C7FA7FB31}">
      <formula1>"低:10～19%,中:20～29%,高:30%以上"</formula1>
    </dataValidation>
    <dataValidation type="list" showInputMessage="1" showErrorMessage="1" sqref="D42:D44 D25:D38 D58:D60 D55:D56 D21:D23 D46:D53 D10:D18" xr:uid="{E6524753-E2AD-441D-8DE3-DEBF430D65BC}">
      <formula1>$D$73:$D$98</formula1>
    </dataValidation>
    <dataValidation type="list" allowBlank="1" showInputMessage="1" showErrorMessage="1" sqref="K55:K56 K46:K53 K10:K23 K58:K60 K25:K44" xr:uid="{00FF1EE5-ADAF-4154-A62A-E8C9D4E63B71}">
      <formula1>"回避,転嫁,軽減,受容"</formula1>
    </dataValidation>
    <dataValidation type="list" allowBlank="1" showInputMessage="1" showErrorMessage="1" sqref="W55:W56 W46:W53 W10:W23 W58:W60 W25:W44" xr:uid="{86D38B37-7056-4A81-ABE8-B9183DCB2740}">
      <formula1>"監視継続,顕在化,消滅"</formula1>
    </dataValidation>
  </dataValidations>
  <hyperlinks>
    <hyperlink ref="K5" location="リスク管理計画立案手順ガイド!A1" display="▼対応方針についての詳細説明はこちら" xr:uid="{6B09DDA6-0032-4120-805A-EA6535765D15}"/>
  </hyperlinks>
  <printOptions horizontalCentered="1"/>
  <pageMargins left="0.19685039370078741" right="0.19685039370078741" top="0.82677165354330717" bottom="0.47244094488188981" header="0.51181102362204722" footer="0.19685039370078741"/>
  <pageSetup paperSize="8" scale="60" fitToHeight="0" orientation="landscape" cellComments="asDisplayed" r:id="rId1"/>
  <headerFooter alignWithMargins="0">
    <oddFooter>&amp;L伊藤忠テクノソリューションズ株式会社&amp;C&amp;P/&amp;N&amp;RCQMS-S-102T5 Ver.09.00</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597B-4A8A-49F6-816F-85B4CB778029}">
  <sheetPr>
    <pageSetUpPr fitToPage="1"/>
  </sheetPr>
  <dimension ref="A1:V187"/>
  <sheetViews>
    <sheetView workbookViewId="0">
      <selection activeCell="P3" sqref="P3"/>
    </sheetView>
  </sheetViews>
  <sheetFormatPr defaultColWidth="8.140625" defaultRowHeight="16.5"/>
  <cols>
    <col min="1" max="1" width="4" style="414" customWidth="1"/>
    <col min="2" max="2" width="6.85546875" style="411" customWidth="1"/>
    <col min="3" max="3" width="30.7109375" style="411" customWidth="1"/>
    <col min="4" max="4" width="23.7109375" style="411" customWidth="1"/>
    <col min="5" max="5" width="7.85546875" style="412" customWidth="1"/>
    <col min="6" max="6" width="30.7109375" style="260" customWidth="1"/>
    <col min="7" max="7" width="6.140625" style="412" customWidth="1"/>
    <col min="8" max="8" width="6.85546875" style="413" bestFit="1" customWidth="1"/>
    <col min="9" max="9" width="5.42578125" style="413" customWidth="1"/>
    <col min="10" max="10" width="7.85546875" style="413" bestFit="1" customWidth="1"/>
    <col min="11" max="11" width="30.85546875" style="414" customWidth="1"/>
    <col min="12" max="12" width="8.7109375" style="260" customWidth="1"/>
    <col min="13" max="14" width="11" style="414" customWidth="1"/>
    <col min="15" max="15" width="34" style="260" customWidth="1"/>
    <col min="16" max="16" width="7" style="260" customWidth="1"/>
    <col min="17" max="18" width="23.7109375" style="260" customWidth="1"/>
    <col min="19" max="19" width="15.85546875" style="411" customWidth="1"/>
    <col min="20" max="20" width="14.140625" style="411" customWidth="1"/>
    <col min="21" max="21" width="38" style="260" customWidth="1"/>
    <col min="22" max="22" width="26.7109375" style="260" customWidth="1"/>
    <col min="23" max="16384" width="8.140625" style="260"/>
  </cols>
  <sheetData>
    <row r="1" spans="1:22" ht="22.5">
      <c r="A1" s="410" t="s">
        <v>347</v>
      </c>
    </row>
    <row r="3" spans="1:22" s="419" customFormat="1" ht="18" customHeight="1">
      <c r="A3" s="415"/>
      <c r="B3" s="416"/>
      <c r="C3" s="417" t="s">
        <v>348</v>
      </c>
      <c r="D3" s="522"/>
      <c r="E3" s="523"/>
      <c r="F3" s="417" t="s">
        <v>349</v>
      </c>
      <c r="G3" s="524"/>
      <c r="H3" s="525"/>
      <c r="I3" s="525"/>
      <c r="J3" s="525"/>
      <c r="K3" s="525"/>
      <c r="L3" s="526"/>
      <c r="M3" s="418"/>
      <c r="N3" s="418"/>
      <c r="O3" s="418"/>
      <c r="R3" s="420" t="s">
        <v>350</v>
      </c>
      <c r="S3" s="421"/>
      <c r="T3" s="420" t="s">
        <v>351</v>
      </c>
      <c r="U3" s="527"/>
      <c r="V3" s="528"/>
    </row>
    <row r="4" spans="1:22" s="419" customFormat="1" ht="18" customHeight="1">
      <c r="A4" s="422"/>
      <c r="B4" s="416" t="s">
        <v>135</v>
      </c>
      <c r="C4" s="417" t="s">
        <v>352</v>
      </c>
      <c r="D4" s="522"/>
      <c r="E4" s="523"/>
      <c r="F4" s="417" t="s">
        <v>353</v>
      </c>
      <c r="G4" s="524"/>
      <c r="H4" s="525"/>
      <c r="I4" s="525"/>
      <c r="J4" s="525"/>
      <c r="K4" s="525"/>
      <c r="L4" s="526"/>
      <c r="M4" s="418"/>
      <c r="N4" s="418"/>
      <c r="O4" s="418"/>
      <c r="R4" s="420" t="s">
        <v>354</v>
      </c>
      <c r="S4" s="421"/>
      <c r="T4" s="420" t="s">
        <v>355</v>
      </c>
      <c r="U4" s="527"/>
      <c r="V4" s="528"/>
    </row>
    <row r="5" spans="1:22" s="419" customFormat="1" ht="18" customHeight="1">
      <c r="A5" s="422"/>
      <c r="B5" s="416"/>
      <c r="C5" s="423"/>
      <c r="D5" s="424"/>
      <c r="E5" s="424"/>
      <c r="F5" s="424"/>
      <c r="G5" s="423"/>
      <c r="H5" s="423"/>
      <c r="I5" s="423"/>
      <c r="J5" s="423"/>
      <c r="K5" s="423"/>
      <c r="L5" s="418"/>
      <c r="M5" s="418"/>
      <c r="N5" s="418"/>
      <c r="O5" s="418"/>
      <c r="Q5" s="425"/>
    </row>
    <row r="6" spans="1:22" s="419" customFormat="1" ht="18" customHeight="1">
      <c r="A6" s="415"/>
      <c r="B6" s="426" t="s">
        <v>135</v>
      </c>
      <c r="C6" s="427" t="s">
        <v>356</v>
      </c>
      <c r="D6" s="532" t="s">
        <v>357</v>
      </c>
      <c r="E6" s="532"/>
      <c r="F6" s="533" t="s">
        <v>358</v>
      </c>
      <c r="G6" s="534"/>
      <c r="H6" s="428"/>
      <c r="I6" s="428"/>
      <c r="J6" s="428"/>
      <c r="K6" s="415"/>
      <c r="M6" s="415"/>
      <c r="N6" s="415"/>
    </row>
    <row r="7" spans="1:22" s="419" customFormat="1" ht="18" customHeight="1">
      <c r="A7" s="415"/>
      <c r="B7" s="429" t="s">
        <v>159</v>
      </c>
      <c r="C7" s="430" t="s">
        <v>359</v>
      </c>
      <c r="D7" s="535">
        <v>43922</v>
      </c>
      <c r="E7" s="535"/>
      <c r="F7" s="536" t="s">
        <v>360</v>
      </c>
      <c r="G7" s="536"/>
      <c r="H7" s="428"/>
      <c r="I7" s="428"/>
      <c r="J7" s="428"/>
      <c r="K7" s="415"/>
      <c r="M7" s="415"/>
      <c r="N7" s="415"/>
    </row>
    <row r="8" spans="1:22" s="419" customFormat="1" ht="18" customHeight="1">
      <c r="A8" s="415"/>
      <c r="B8" s="431">
        <v>1</v>
      </c>
      <c r="C8" s="432"/>
      <c r="D8" s="529"/>
      <c r="E8" s="529"/>
      <c r="F8" s="529"/>
      <c r="G8" s="529"/>
      <c r="H8" s="428"/>
      <c r="I8" s="428"/>
      <c r="J8" s="428"/>
      <c r="K8" s="415"/>
      <c r="M8" s="415"/>
      <c r="N8" s="415"/>
    </row>
    <row r="9" spans="1:22" s="419" customFormat="1" ht="18" customHeight="1">
      <c r="A9" s="415"/>
      <c r="B9" s="431">
        <v>2</v>
      </c>
      <c r="C9" s="432"/>
      <c r="D9" s="529"/>
      <c r="E9" s="529"/>
      <c r="F9" s="529"/>
      <c r="G9" s="529"/>
      <c r="H9" s="428"/>
      <c r="I9" s="428"/>
      <c r="J9" s="428"/>
      <c r="K9" s="415"/>
      <c r="M9" s="415"/>
      <c r="N9" s="415"/>
      <c r="S9" s="433"/>
      <c r="T9" s="433"/>
      <c r="U9" s="434"/>
    </row>
    <row r="10" spans="1:22" s="419" customFormat="1" ht="18" customHeight="1">
      <c r="A10" s="415"/>
      <c r="B10" s="431">
        <v>3</v>
      </c>
      <c r="C10" s="432"/>
      <c r="D10" s="529"/>
      <c r="E10" s="529"/>
      <c r="F10" s="530"/>
      <c r="G10" s="531"/>
      <c r="H10" s="428"/>
      <c r="I10" s="428"/>
      <c r="J10" s="428"/>
      <c r="K10" s="415"/>
      <c r="M10" s="415"/>
      <c r="N10" s="415"/>
      <c r="S10" s="433"/>
      <c r="T10" s="433"/>
      <c r="U10" s="434"/>
    </row>
    <row r="11" spans="1:22" s="419" customFormat="1" ht="18" customHeight="1" thickBot="1">
      <c r="A11" s="415"/>
      <c r="B11" s="426"/>
      <c r="C11" s="426"/>
      <c r="D11" s="426"/>
      <c r="E11" s="435"/>
      <c r="G11" s="435"/>
      <c r="H11" s="428"/>
      <c r="I11" s="428"/>
      <c r="J11" s="428"/>
      <c r="K11" s="415"/>
      <c r="M11" s="415"/>
      <c r="N11" s="415"/>
      <c r="S11" s="433"/>
      <c r="T11" s="433"/>
      <c r="U11" s="434"/>
    </row>
    <row r="12" spans="1:22" ht="37.5" customHeight="1" thickTop="1">
      <c r="A12" s="436" t="s">
        <v>65</v>
      </c>
      <c r="B12" s="437" t="s">
        <v>137</v>
      </c>
      <c r="C12" s="438" t="s">
        <v>138</v>
      </c>
      <c r="D12" s="437" t="s">
        <v>22</v>
      </c>
      <c r="E12" s="439" t="s">
        <v>140</v>
      </c>
      <c r="F12" s="440" t="s">
        <v>141</v>
      </c>
      <c r="G12" s="439" t="s">
        <v>142</v>
      </c>
      <c r="H12" s="441" t="s">
        <v>143</v>
      </c>
      <c r="I12" s="442" t="s">
        <v>144</v>
      </c>
      <c r="J12" s="443" t="s">
        <v>361</v>
      </c>
      <c r="K12" s="250" t="s">
        <v>362</v>
      </c>
      <c r="L12" s="247" t="s">
        <v>147</v>
      </c>
      <c r="M12" s="247" t="s">
        <v>150</v>
      </c>
      <c r="N12" s="444" t="s">
        <v>363</v>
      </c>
      <c r="O12" s="445" t="s">
        <v>364</v>
      </c>
      <c r="P12" s="446" t="s">
        <v>153</v>
      </c>
      <c r="Q12" s="447" t="s">
        <v>154</v>
      </c>
      <c r="R12" s="448" t="s">
        <v>155</v>
      </c>
      <c r="S12" s="449" t="s">
        <v>156</v>
      </c>
      <c r="T12" s="450" t="s">
        <v>365</v>
      </c>
      <c r="U12" s="451" t="s">
        <v>158</v>
      </c>
      <c r="V12" s="452" t="s">
        <v>152</v>
      </c>
    </row>
    <row r="13" spans="1:22">
      <c r="A13" s="453">
        <v>1</v>
      </c>
      <c r="B13" s="278"/>
      <c r="C13" s="279"/>
      <c r="D13" s="280" t="s">
        <v>366</v>
      </c>
      <c r="E13" s="281"/>
      <c r="F13" s="292"/>
      <c r="G13" s="454"/>
      <c r="H13" s="455"/>
      <c r="I13" s="456"/>
      <c r="J13" s="457"/>
      <c r="K13" s="458"/>
      <c r="L13" s="458"/>
      <c r="M13" s="459"/>
      <c r="N13" s="460"/>
      <c r="O13" s="461"/>
      <c r="P13" s="462"/>
      <c r="Q13" s="463"/>
      <c r="R13" s="464"/>
      <c r="S13" s="465"/>
      <c r="T13" s="459"/>
      <c r="U13" s="466"/>
      <c r="V13" s="467"/>
    </row>
    <row r="14" spans="1:22">
      <c r="A14" s="468">
        <v>2</v>
      </c>
      <c r="B14" s="278"/>
      <c r="C14" s="279"/>
      <c r="D14" s="280"/>
      <c r="E14" s="281"/>
      <c r="F14" s="292"/>
      <c r="G14" s="454"/>
      <c r="H14" s="469"/>
      <c r="I14" s="285"/>
      <c r="J14" s="470"/>
      <c r="K14" s="292"/>
      <c r="L14" s="292"/>
      <c r="M14" s="278"/>
      <c r="N14" s="289"/>
      <c r="O14" s="471"/>
      <c r="P14" s="472"/>
      <c r="Q14" s="279"/>
      <c r="R14" s="292"/>
      <c r="S14" s="473"/>
      <c r="T14" s="474"/>
      <c r="U14" s="475"/>
      <c r="V14" s="476"/>
    </row>
    <row r="15" spans="1:22">
      <c r="A15" s="468">
        <v>3</v>
      </c>
      <c r="B15" s="278"/>
      <c r="C15" s="279"/>
      <c r="D15" s="280"/>
      <c r="E15" s="281"/>
      <c r="F15" s="292"/>
      <c r="G15" s="454"/>
      <c r="H15" s="469"/>
      <c r="I15" s="285"/>
      <c r="J15" s="470"/>
      <c r="K15" s="292"/>
      <c r="L15" s="292"/>
      <c r="M15" s="278"/>
      <c r="N15" s="289"/>
      <c r="O15" s="471"/>
      <c r="P15" s="472"/>
      <c r="Q15" s="279"/>
      <c r="R15" s="292"/>
      <c r="S15" s="473"/>
      <c r="T15" s="278"/>
      <c r="U15" s="475"/>
      <c r="V15" s="476"/>
    </row>
    <row r="16" spans="1:22">
      <c r="A16" s="468">
        <v>4</v>
      </c>
      <c r="B16" s="278"/>
      <c r="C16" s="279"/>
      <c r="D16" s="280"/>
      <c r="E16" s="281"/>
      <c r="F16" s="292"/>
      <c r="G16" s="454"/>
      <c r="H16" s="469"/>
      <c r="I16" s="285"/>
      <c r="J16" s="470"/>
      <c r="K16" s="292"/>
      <c r="L16" s="292"/>
      <c r="M16" s="278"/>
      <c r="N16" s="289"/>
      <c r="O16" s="471"/>
      <c r="P16" s="472"/>
      <c r="Q16" s="279"/>
      <c r="R16" s="292"/>
      <c r="S16" s="473"/>
      <c r="T16" s="477"/>
      <c r="U16" s="475"/>
      <c r="V16" s="476"/>
    </row>
    <row r="17" spans="1:22">
      <c r="A17" s="468">
        <v>5</v>
      </c>
      <c r="B17" s="278"/>
      <c r="C17" s="279"/>
      <c r="D17" s="280"/>
      <c r="E17" s="281"/>
      <c r="F17" s="478"/>
      <c r="G17" s="469"/>
      <c r="H17" s="479"/>
      <c r="I17" s="480"/>
      <c r="J17" s="481"/>
      <c r="K17" s="282"/>
      <c r="L17" s="282"/>
      <c r="M17" s="474"/>
      <c r="N17" s="482"/>
      <c r="O17" s="471"/>
      <c r="P17" s="483"/>
      <c r="Q17" s="484"/>
      <c r="R17" s="282"/>
      <c r="S17" s="473"/>
      <c r="T17" s="477"/>
      <c r="U17" s="475"/>
      <c r="V17" s="476"/>
    </row>
    <row r="18" spans="1:22">
      <c r="A18" s="293">
        <v>6</v>
      </c>
      <c r="B18" s="278"/>
      <c r="C18" s="279"/>
      <c r="D18" s="280"/>
      <c r="E18" s="281"/>
      <c r="F18" s="292"/>
      <c r="G18" s="454"/>
      <c r="H18" s="469"/>
      <c r="I18" s="285"/>
      <c r="J18" s="470"/>
      <c r="K18" s="292"/>
      <c r="L18" s="292"/>
      <c r="M18" s="278"/>
      <c r="N18" s="289"/>
      <c r="O18" s="471"/>
      <c r="P18" s="472"/>
      <c r="Q18" s="279"/>
      <c r="R18" s="292"/>
      <c r="S18" s="485"/>
      <c r="T18" s="278"/>
      <c r="U18" s="486"/>
      <c r="V18" s="476"/>
    </row>
    <row r="19" spans="1:22">
      <c r="A19" s="293">
        <v>7</v>
      </c>
      <c r="B19" s="278"/>
      <c r="C19" s="279"/>
      <c r="D19" s="280"/>
      <c r="E19" s="281"/>
      <c r="F19" s="292"/>
      <c r="G19" s="454"/>
      <c r="H19" s="469"/>
      <c r="I19" s="285"/>
      <c r="J19" s="470"/>
      <c r="K19" s="292"/>
      <c r="L19" s="292"/>
      <c r="M19" s="278"/>
      <c r="N19" s="289"/>
      <c r="O19" s="471"/>
      <c r="P19" s="472"/>
      <c r="Q19" s="279"/>
      <c r="R19" s="292"/>
      <c r="S19" s="485"/>
      <c r="T19" s="278"/>
      <c r="U19" s="486"/>
      <c r="V19" s="476"/>
    </row>
    <row r="20" spans="1:22">
      <c r="A20" s="293">
        <v>8</v>
      </c>
      <c r="B20" s="278"/>
      <c r="C20" s="279"/>
      <c r="D20" s="280"/>
      <c r="E20" s="281"/>
      <c r="F20" s="292"/>
      <c r="G20" s="454"/>
      <c r="H20" s="469"/>
      <c r="I20" s="285"/>
      <c r="J20" s="470"/>
      <c r="K20" s="292"/>
      <c r="L20" s="292"/>
      <c r="M20" s="278"/>
      <c r="N20" s="289"/>
      <c r="O20" s="471"/>
      <c r="P20" s="472"/>
      <c r="Q20" s="279"/>
      <c r="R20" s="292"/>
      <c r="S20" s="485"/>
      <c r="T20" s="278"/>
      <c r="U20" s="486"/>
      <c r="V20" s="476"/>
    </row>
    <row r="21" spans="1:22">
      <c r="A21" s="293">
        <v>9</v>
      </c>
      <c r="B21" s="278"/>
      <c r="C21" s="279"/>
      <c r="D21" s="280"/>
      <c r="E21" s="281"/>
      <c r="F21" s="292"/>
      <c r="G21" s="454"/>
      <c r="H21" s="469"/>
      <c r="I21" s="285"/>
      <c r="J21" s="470"/>
      <c r="K21" s="292"/>
      <c r="L21" s="292"/>
      <c r="M21" s="278"/>
      <c r="N21" s="289"/>
      <c r="O21" s="471"/>
      <c r="P21" s="472"/>
      <c r="Q21" s="279"/>
      <c r="R21" s="292"/>
      <c r="S21" s="485"/>
      <c r="T21" s="278"/>
      <c r="U21" s="486"/>
      <c r="V21" s="476"/>
    </row>
    <row r="22" spans="1:22">
      <c r="A22" s="293">
        <v>10</v>
      </c>
      <c r="B22" s="278"/>
      <c r="C22" s="279"/>
      <c r="D22" s="280"/>
      <c r="E22" s="281"/>
      <c r="F22" s="292"/>
      <c r="G22" s="454"/>
      <c r="H22" s="469"/>
      <c r="I22" s="285"/>
      <c r="J22" s="470"/>
      <c r="K22" s="292"/>
      <c r="L22" s="292"/>
      <c r="M22" s="278"/>
      <c r="N22" s="289"/>
      <c r="O22" s="471"/>
      <c r="P22" s="472"/>
      <c r="Q22" s="279"/>
      <c r="R22" s="292"/>
      <c r="S22" s="485"/>
      <c r="T22" s="278"/>
      <c r="U22" s="486"/>
      <c r="V22" s="476"/>
    </row>
    <row r="23" spans="1:22">
      <c r="A23" s="293">
        <v>11</v>
      </c>
      <c r="B23" s="278"/>
      <c r="C23" s="279"/>
      <c r="D23" s="280"/>
      <c r="E23" s="281"/>
      <c r="F23" s="292"/>
      <c r="G23" s="454"/>
      <c r="H23" s="469"/>
      <c r="I23" s="285"/>
      <c r="J23" s="470"/>
      <c r="K23" s="292"/>
      <c r="L23" s="292"/>
      <c r="M23" s="278"/>
      <c r="N23" s="289"/>
      <c r="O23" s="471"/>
      <c r="P23" s="472"/>
      <c r="Q23" s="279"/>
      <c r="R23" s="292"/>
      <c r="S23" s="485"/>
      <c r="T23" s="278"/>
      <c r="U23" s="486"/>
      <c r="V23" s="476"/>
    </row>
    <row r="24" spans="1:22">
      <c r="A24" s="293">
        <v>12</v>
      </c>
      <c r="B24" s="278"/>
      <c r="C24" s="279"/>
      <c r="D24" s="280"/>
      <c r="E24" s="281"/>
      <c r="F24" s="292"/>
      <c r="G24" s="454"/>
      <c r="H24" s="469"/>
      <c r="I24" s="285"/>
      <c r="J24" s="470"/>
      <c r="K24" s="292"/>
      <c r="L24" s="292"/>
      <c r="M24" s="278"/>
      <c r="N24" s="289"/>
      <c r="O24" s="471"/>
      <c r="P24" s="472"/>
      <c r="Q24" s="279"/>
      <c r="R24" s="292"/>
      <c r="S24" s="485"/>
      <c r="T24" s="278"/>
      <c r="U24" s="486"/>
      <c r="V24" s="476"/>
    </row>
    <row r="25" spans="1:22">
      <c r="A25" s="293">
        <v>13</v>
      </c>
      <c r="B25" s="278"/>
      <c r="C25" s="279"/>
      <c r="D25" s="280"/>
      <c r="E25" s="281"/>
      <c r="F25" s="292"/>
      <c r="G25" s="454"/>
      <c r="H25" s="469"/>
      <c r="I25" s="285"/>
      <c r="J25" s="470"/>
      <c r="K25" s="292"/>
      <c r="L25" s="292"/>
      <c r="M25" s="278"/>
      <c r="N25" s="289"/>
      <c r="O25" s="471"/>
      <c r="P25" s="472"/>
      <c r="Q25" s="279"/>
      <c r="R25" s="292"/>
      <c r="S25" s="485"/>
      <c r="T25" s="278"/>
      <c r="U25" s="486"/>
      <c r="V25" s="476"/>
    </row>
    <row r="26" spans="1:22" s="489" customFormat="1">
      <c r="A26" s="293">
        <v>14</v>
      </c>
      <c r="B26" s="278"/>
      <c r="C26" s="279"/>
      <c r="D26" s="280"/>
      <c r="E26" s="281"/>
      <c r="F26" s="292"/>
      <c r="G26" s="454"/>
      <c r="H26" s="469"/>
      <c r="I26" s="285"/>
      <c r="J26" s="470"/>
      <c r="K26" s="292"/>
      <c r="L26" s="292"/>
      <c r="M26" s="278"/>
      <c r="N26" s="289"/>
      <c r="O26" s="487"/>
      <c r="P26" s="472"/>
      <c r="Q26" s="279"/>
      <c r="R26" s="292"/>
      <c r="S26" s="485"/>
      <c r="T26" s="278"/>
      <c r="U26" s="486"/>
      <c r="V26" s="488"/>
    </row>
    <row r="27" spans="1:22">
      <c r="J27" s="490"/>
    </row>
    <row r="28" spans="1:22">
      <c r="J28" s="490"/>
    </row>
    <row r="29" spans="1:22">
      <c r="J29" s="490"/>
    </row>
    <row r="30" spans="1:22">
      <c r="J30" s="490"/>
    </row>
    <row r="31" spans="1:22">
      <c r="J31" s="490"/>
    </row>
    <row r="32" spans="1:22">
      <c r="J32" s="490"/>
    </row>
    <row r="33" spans="10:10">
      <c r="J33" s="490"/>
    </row>
    <row r="34" spans="10:10">
      <c r="J34" s="490"/>
    </row>
    <row r="35" spans="10:10">
      <c r="J35" s="490"/>
    </row>
    <row r="64" spans="4:20">
      <c r="D64" s="412"/>
      <c r="E64" s="260"/>
      <c r="F64" s="412"/>
      <c r="G64" s="413"/>
      <c r="J64" s="414"/>
      <c r="K64" s="260"/>
      <c r="L64" s="414"/>
      <c r="N64" s="260"/>
      <c r="R64" s="411"/>
      <c r="T64" s="260"/>
    </row>
    <row r="65" spans="1:22">
      <c r="D65" s="412"/>
      <c r="E65" s="260"/>
      <c r="F65" s="412"/>
      <c r="G65" s="413"/>
      <c r="J65" s="414"/>
      <c r="K65" s="260"/>
      <c r="L65" s="414"/>
      <c r="N65" s="260"/>
      <c r="R65" s="411"/>
      <c r="T65" s="260"/>
    </row>
    <row r="66" spans="1:22">
      <c r="D66" s="412"/>
      <c r="E66" s="260"/>
      <c r="F66" s="412"/>
      <c r="G66" s="413"/>
      <c r="J66" s="414"/>
      <c r="K66" s="260"/>
      <c r="L66" s="414"/>
      <c r="N66" s="260"/>
      <c r="R66" s="411"/>
      <c r="T66" s="260"/>
    </row>
    <row r="67" spans="1:22" s="412" customFormat="1">
      <c r="A67" s="414"/>
      <c r="B67" s="411"/>
      <c r="C67" s="411"/>
      <c r="E67" s="260"/>
      <c r="G67" s="413"/>
      <c r="H67" s="413"/>
      <c r="I67" s="413"/>
      <c r="J67" s="414"/>
      <c r="K67" s="260"/>
      <c r="L67" s="414"/>
      <c r="M67" s="414"/>
      <c r="N67" s="260"/>
      <c r="O67" s="260"/>
      <c r="P67" s="260"/>
      <c r="Q67" s="260"/>
      <c r="R67" s="411"/>
      <c r="S67" s="411"/>
      <c r="T67" s="260"/>
      <c r="U67" s="260"/>
      <c r="V67" s="260"/>
    </row>
    <row r="68" spans="1:22" s="412" customFormat="1">
      <c r="A68" s="414"/>
      <c r="B68" s="411"/>
      <c r="C68" s="411"/>
      <c r="E68" s="260"/>
      <c r="G68" s="413"/>
      <c r="H68" s="413"/>
      <c r="I68" s="413"/>
      <c r="J68" s="414"/>
      <c r="K68" s="260"/>
      <c r="L68" s="414"/>
      <c r="M68" s="414"/>
      <c r="N68" s="260"/>
      <c r="O68" s="260"/>
      <c r="P68" s="260"/>
      <c r="Q68" s="260"/>
      <c r="R68" s="411"/>
      <c r="S68" s="411"/>
      <c r="T68" s="260"/>
      <c r="U68" s="260"/>
      <c r="V68" s="260"/>
    </row>
    <row r="69" spans="1:22" s="412" customFormat="1">
      <c r="A69" s="414"/>
      <c r="B69" s="411"/>
      <c r="C69" s="411"/>
      <c r="E69" s="260"/>
      <c r="G69" s="413"/>
      <c r="H69" s="413"/>
      <c r="I69" s="413"/>
      <c r="J69" s="414"/>
      <c r="K69" s="260"/>
      <c r="L69" s="414"/>
      <c r="M69" s="414"/>
      <c r="N69" s="260"/>
      <c r="O69" s="260"/>
      <c r="P69" s="260"/>
      <c r="Q69" s="260"/>
      <c r="R69" s="411"/>
      <c r="S69" s="411"/>
      <c r="T69" s="260"/>
      <c r="U69" s="260"/>
      <c r="V69" s="260"/>
    </row>
    <row r="70" spans="1:22" s="412" customFormat="1">
      <c r="A70" s="414"/>
      <c r="B70" s="411"/>
      <c r="C70" s="411"/>
      <c r="E70" s="260"/>
      <c r="G70" s="413"/>
      <c r="H70" s="413"/>
      <c r="I70" s="413"/>
      <c r="J70" s="414"/>
      <c r="K70" s="260"/>
      <c r="L70" s="414"/>
      <c r="M70" s="414"/>
      <c r="N70" s="260"/>
      <c r="O70" s="260"/>
      <c r="P70" s="260"/>
      <c r="Q70" s="260"/>
      <c r="R70" s="411"/>
      <c r="S70" s="411"/>
      <c r="T70" s="260"/>
      <c r="U70" s="260"/>
      <c r="V70" s="260"/>
    </row>
    <row r="71" spans="1:22" s="412" customFormat="1">
      <c r="A71" s="414"/>
      <c r="B71" s="411"/>
      <c r="C71" s="411"/>
      <c r="E71" s="260"/>
      <c r="G71" s="413"/>
      <c r="H71" s="413"/>
      <c r="I71" s="413"/>
      <c r="J71" s="414"/>
      <c r="K71" s="260"/>
      <c r="L71" s="414"/>
      <c r="M71" s="414"/>
      <c r="N71" s="260"/>
      <c r="O71" s="260"/>
      <c r="P71" s="260"/>
      <c r="Q71" s="260"/>
      <c r="R71" s="411"/>
      <c r="S71" s="411"/>
      <c r="T71" s="260"/>
      <c r="U71" s="260"/>
      <c r="V71" s="260"/>
    </row>
    <row r="72" spans="1:22" s="412" customFormat="1">
      <c r="A72" s="414"/>
      <c r="B72" s="411"/>
      <c r="C72" s="411"/>
      <c r="E72" s="260"/>
      <c r="G72" s="413"/>
      <c r="H72" s="413"/>
      <c r="I72" s="413"/>
      <c r="J72" s="414"/>
      <c r="K72" s="260"/>
      <c r="L72" s="414"/>
      <c r="M72" s="414"/>
      <c r="N72" s="260"/>
      <c r="O72" s="260"/>
      <c r="P72" s="260"/>
      <c r="Q72" s="260"/>
      <c r="R72" s="411"/>
      <c r="S72" s="411"/>
      <c r="T72" s="260"/>
      <c r="U72" s="260"/>
      <c r="V72" s="260"/>
    </row>
    <row r="73" spans="1:22" s="412" customFormat="1">
      <c r="A73" s="414"/>
      <c r="B73" s="411"/>
      <c r="C73" s="411"/>
      <c r="E73" s="260"/>
      <c r="G73" s="413"/>
      <c r="H73" s="413"/>
      <c r="I73" s="413"/>
      <c r="J73" s="414"/>
      <c r="K73" s="260"/>
      <c r="L73" s="414"/>
      <c r="M73" s="414"/>
      <c r="N73" s="260"/>
      <c r="O73" s="260"/>
      <c r="P73" s="260"/>
      <c r="Q73" s="260"/>
      <c r="R73" s="411"/>
      <c r="S73" s="411"/>
      <c r="T73" s="260"/>
      <c r="U73" s="260"/>
      <c r="V73" s="260"/>
    </row>
    <row r="74" spans="1:22" s="412" customFormat="1">
      <c r="A74" s="414"/>
      <c r="B74" s="411"/>
      <c r="C74" s="411"/>
      <c r="E74" s="260"/>
      <c r="G74" s="413"/>
      <c r="H74" s="413"/>
      <c r="I74" s="413"/>
      <c r="J74" s="414"/>
      <c r="K74" s="260"/>
      <c r="L74" s="414"/>
      <c r="M74" s="414"/>
      <c r="N74" s="260"/>
      <c r="O74" s="260"/>
      <c r="P74" s="260"/>
      <c r="Q74" s="260"/>
      <c r="R74" s="411"/>
      <c r="S74" s="411"/>
      <c r="T74" s="260"/>
      <c r="U74" s="260"/>
      <c r="V74" s="260"/>
    </row>
    <row r="75" spans="1:22" s="412" customFormat="1">
      <c r="A75" s="414"/>
      <c r="B75" s="411"/>
      <c r="C75" s="411"/>
      <c r="E75" s="260"/>
      <c r="G75" s="413"/>
      <c r="H75" s="413"/>
      <c r="I75" s="413"/>
      <c r="J75" s="414"/>
      <c r="K75" s="260"/>
      <c r="L75" s="414"/>
      <c r="M75" s="414"/>
      <c r="N75" s="260"/>
      <c r="O75" s="260"/>
      <c r="P75" s="260"/>
      <c r="Q75" s="260"/>
      <c r="R75" s="411"/>
      <c r="S75" s="411"/>
      <c r="T75" s="260"/>
      <c r="U75" s="260"/>
      <c r="V75" s="260"/>
    </row>
    <row r="76" spans="1:22" s="412" customFormat="1">
      <c r="A76" s="414"/>
      <c r="B76" s="411"/>
      <c r="C76" s="411"/>
      <c r="E76" s="260"/>
      <c r="G76" s="413"/>
      <c r="H76" s="413"/>
      <c r="I76" s="413"/>
      <c r="J76" s="414"/>
      <c r="K76" s="260"/>
      <c r="L76" s="414"/>
      <c r="M76" s="414"/>
      <c r="N76" s="260"/>
      <c r="O76" s="260"/>
      <c r="P76" s="260"/>
      <c r="Q76" s="260"/>
      <c r="R76" s="411"/>
      <c r="S76" s="411"/>
      <c r="T76" s="260"/>
      <c r="U76" s="260"/>
      <c r="V76" s="260"/>
    </row>
    <row r="77" spans="1:22" s="412" customFormat="1">
      <c r="A77" s="414"/>
      <c r="B77" s="411"/>
      <c r="C77" s="411"/>
      <c r="E77" s="260"/>
      <c r="G77" s="413"/>
      <c r="H77" s="413"/>
      <c r="I77" s="413"/>
      <c r="J77" s="414"/>
      <c r="K77" s="260"/>
      <c r="L77" s="414"/>
      <c r="M77" s="414"/>
      <c r="N77" s="260"/>
      <c r="O77" s="260"/>
      <c r="P77" s="260"/>
      <c r="Q77" s="260"/>
      <c r="R77" s="411"/>
      <c r="S77" s="411"/>
      <c r="T77" s="260"/>
      <c r="U77" s="260"/>
      <c r="V77" s="260"/>
    </row>
    <row r="78" spans="1:22" s="412" customFormat="1">
      <c r="A78" s="414"/>
      <c r="B78" s="411"/>
      <c r="C78" s="411"/>
      <c r="E78" s="260"/>
      <c r="G78" s="413"/>
      <c r="H78" s="413"/>
      <c r="I78" s="413"/>
      <c r="J78" s="414"/>
      <c r="K78" s="260"/>
      <c r="L78" s="414"/>
      <c r="M78" s="414"/>
      <c r="N78" s="260"/>
      <c r="O78" s="260"/>
      <c r="P78" s="260"/>
      <c r="Q78" s="260"/>
      <c r="R78" s="411"/>
      <c r="S78" s="411"/>
      <c r="T78" s="260"/>
      <c r="U78" s="260"/>
      <c r="V78" s="260"/>
    </row>
    <row r="79" spans="1:22" s="412" customFormat="1">
      <c r="A79" s="414"/>
      <c r="B79" s="411"/>
      <c r="C79" s="411"/>
      <c r="E79" s="260"/>
      <c r="G79" s="413"/>
      <c r="H79" s="413"/>
      <c r="I79" s="413"/>
      <c r="J79" s="414"/>
      <c r="K79" s="260"/>
      <c r="L79" s="414"/>
      <c r="M79" s="414"/>
      <c r="N79" s="260"/>
      <c r="O79" s="260"/>
      <c r="P79" s="260"/>
      <c r="Q79" s="260"/>
      <c r="R79" s="411"/>
      <c r="S79" s="411"/>
      <c r="T79" s="260"/>
      <c r="U79" s="260"/>
      <c r="V79" s="260"/>
    </row>
    <row r="80" spans="1:22" s="412" customFormat="1">
      <c r="A80" s="414"/>
      <c r="B80" s="411"/>
      <c r="C80" s="411"/>
      <c r="E80" s="260"/>
      <c r="G80" s="413"/>
      <c r="H80" s="413"/>
      <c r="I80" s="413"/>
      <c r="J80" s="414"/>
      <c r="K80" s="260"/>
      <c r="L80" s="414"/>
      <c r="M80" s="414"/>
      <c r="N80" s="260"/>
      <c r="O80" s="260"/>
      <c r="P80" s="260"/>
      <c r="Q80" s="260"/>
      <c r="R80" s="411"/>
      <c r="S80" s="411"/>
      <c r="T80" s="260"/>
      <c r="U80" s="260"/>
      <c r="V80" s="260"/>
    </row>
    <row r="81" spans="1:22" s="412" customFormat="1">
      <c r="A81" s="414"/>
      <c r="B81" s="411"/>
      <c r="C81" s="411"/>
      <c r="E81" s="260"/>
      <c r="G81" s="413"/>
      <c r="H81" s="413"/>
      <c r="I81" s="413"/>
      <c r="J81" s="414"/>
      <c r="K81" s="260"/>
      <c r="L81" s="414"/>
      <c r="M81" s="414"/>
      <c r="N81" s="260"/>
      <c r="O81" s="260"/>
      <c r="P81" s="260"/>
      <c r="Q81" s="260"/>
      <c r="R81" s="411"/>
      <c r="S81" s="411"/>
      <c r="T81" s="260"/>
      <c r="U81" s="260"/>
      <c r="V81" s="260"/>
    </row>
    <row r="82" spans="1:22" s="412" customFormat="1">
      <c r="A82" s="414"/>
      <c r="B82" s="411"/>
      <c r="C82" s="411"/>
      <c r="E82" s="260"/>
      <c r="G82" s="413"/>
      <c r="H82" s="413"/>
      <c r="I82" s="413"/>
      <c r="J82" s="414"/>
      <c r="K82" s="260"/>
      <c r="L82" s="414"/>
      <c r="M82" s="414"/>
      <c r="N82" s="260"/>
      <c r="O82" s="260"/>
      <c r="P82" s="260"/>
      <c r="Q82" s="260"/>
      <c r="R82" s="411"/>
      <c r="S82" s="411"/>
      <c r="T82" s="260"/>
      <c r="U82" s="260"/>
      <c r="V82" s="260"/>
    </row>
    <row r="83" spans="1:22" s="412" customFormat="1">
      <c r="A83" s="414"/>
      <c r="B83" s="411"/>
      <c r="C83" s="411"/>
      <c r="E83" s="260"/>
      <c r="G83" s="413"/>
      <c r="H83" s="413"/>
      <c r="I83" s="413"/>
      <c r="J83" s="414"/>
      <c r="K83" s="260"/>
      <c r="L83" s="414"/>
      <c r="M83" s="414"/>
      <c r="N83" s="260"/>
      <c r="O83" s="260"/>
      <c r="P83" s="260"/>
      <c r="Q83" s="260"/>
      <c r="R83" s="411"/>
      <c r="S83" s="411"/>
      <c r="T83" s="260"/>
      <c r="U83" s="260"/>
      <c r="V83" s="260"/>
    </row>
    <row r="84" spans="1:22" s="412" customFormat="1">
      <c r="A84" s="414"/>
      <c r="B84" s="411"/>
      <c r="C84" s="411"/>
      <c r="E84" s="260"/>
      <c r="G84" s="413"/>
      <c r="H84" s="413"/>
      <c r="I84" s="413"/>
      <c r="J84" s="414"/>
      <c r="K84" s="260"/>
      <c r="L84" s="414"/>
      <c r="M84" s="414"/>
      <c r="N84" s="260"/>
      <c r="O84" s="260"/>
      <c r="P84" s="260"/>
      <c r="Q84" s="260"/>
      <c r="R84" s="411"/>
      <c r="S84" s="411"/>
      <c r="T84" s="260"/>
      <c r="U84" s="260"/>
      <c r="V84" s="260"/>
    </row>
    <row r="85" spans="1:22" s="412" customFormat="1">
      <c r="A85" s="414"/>
      <c r="B85" s="411"/>
      <c r="C85" s="411"/>
      <c r="E85" s="260"/>
      <c r="G85" s="413"/>
      <c r="H85" s="413"/>
      <c r="I85" s="413"/>
      <c r="J85" s="414"/>
      <c r="K85" s="260"/>
      <c r="L85" s="414"/>
      <c r="M85" s="414"/>
      <c r="N85" s="260"/>
      <c r="O85" s="260"/>
      <c r="P85" s="260"/>
      <c r="Q85" s="260"/>
      <c r="R85" s="411"/>
      <c r="S85" s="411"/>
      <c r="T85" s="260"/>
      <c r="U85" s="260"/>
      <c r="V85" s="260"/>
    </row>
    <row r="86" spans="1:22" s="412" customFormat="1">
      <c r="A86" s="414"/>
      <c r="B86" s="411"/>
      <c r="C86" s="411"/>
      <c r="E86" s="260"/>
      <c r="G86" s="413"/>
      <c r="H86" s="413"/>
      <c r="I86" s="413"/>
      <c r="J86" s="414"/>
      <c r="K86" s="260"/>
      <c r="L86" s="414"/>
      <c r="M86" s="414"/>
      <c r="N86" s="260"/>
      <c r="O86" s="260"/>
      <c r="P86" s="260"/>
      <c r="Q86" s="260"/>
      <c r="R86" s="411"/>
      <c r="S86" s="411"/>
      <c r="T86" s="260"/>
      <c r="U86" s="260"/>
      <c r="V86" s="260"/>
    </row>
    <row r="87" spans="1:22" s="412" customFormat="1">
      <c r="A87" s="414"/>
      <c r="B87" s="411"/>
      <c r="C87" s="411"/>
      <c r="E87" s="260"/>
      <c r="G87" s="413"/>
      <c r="H87" s="413"/>
      <c r="I87" s="413"/>
      <c r="J87" s="414"/>
      <c r="K87" s="260"/>
      <c r="L87" s="414"/>
      <c r="M87" s="414"/>
      <c r="N87" s="260"/>
      <c r="O87" s="260"/>
      <c r="P87" s="260"/>
      <c r="Q87" s="260"/>
      <c r="R87" s="411"/>
      <c r="S87" s="411"/>
      <c r="T87" s="260"/>
      <c r="U87" s="260"/>
      <c r="V87" s="260"/>
    </row>
    <row r="88" spans="1:22" s="412" customFormat="1">
      <c r="A88" s="414"/>
      <c r="B88" s="411"/>
      <c r="C88" s="411"/>
      <c r="E88" s="260"/>
      <c r="G88" s="413"/>
      <c r="H88" s="413"/>
      <c r="I88" s="413"/>
      <c r="J88" s="414"/>
      <c r="K88" s="260"/>
      <c r="L88" s="414"/>
      <c r="M88" s="414"/>
      <c r="N88" s="260"/>
      <c r="O88" s="260"/>
      <c r="P88" s="260"/>
      <c r="Q88" s="260"/>
      <c r="R88" s="411"/>
      <c r="S88" s="411"/>
      <c r="T88" s="260"/>
      <c r="U88" s="260"/>
      <c r="V88" s="260"/>
    </row>
    <row r="89" spans="1:22" s="412" customFormat="1">
      <c r="A89" s="414"/>
      <c r="B89" s="411"/>
      <c r="C89" s="411"/>
      <c r="E89" s="260"/>
      <c r="G89" s="413"/>
      <c r="H89" s="413"/>
      <c r="I89" s="413"/>
      <c r="J89" s="414"/>
      <c r="K89" s="260"/>
      <c r="L89" s="414"/>
      <c r="M89" s="414"/>
      <c r="N89" s="260"/>
      <c r="O89" s="260"/>
      <c r="P89" s="260"/>
      <c r="Q89" s="260"/>
      <c r="R89" s="411"/>
      <c r="S89" s="411"/>
      <c r="T89" s="260"/>
      <c r="U89" s="260"/>
      <c r="V89" s="260"/>
    </row>
    <row r="90" spans="1:22" s="412" customFormat="1">
      <c r="A90" s="414"/>
      <c r="B90" s="411"/>
      <c r="C90" s="411"/>
      <c r="E90" s="260"/>
      <c r="G90" s="413"/>
      <c r="H90" s="413"/>
      <c r="I90" s="413"/>
      <c r="J90" s="414"/>
      <c r="K90" s="260"/>
      <c r="L90" s="414"/>
      <c r="M90" s="414"/>
      <c r="N90" s="260"/>
      <c r="O90" s="260"/>
      <c r="P90" s="260"/>
      <c r="Q90" s="260"/>
      <c r="R90" s="411"/>
      <c r="S90" s="411"/>
      <c r="T90" s="260"/>
      <c r="U90" s="260"/>
      <c r="V90" s="260"/>
    </row>
    <row r="91" spans="1:22">
      <c r="D91" s="412"/>
      <c r="E91" s="260"/>
      <c r="F91" s="412"/>
      <c r="G91" s="413"/>
      <c r="J91" s="414"/>
      <c r="K91" s="260"/>
      <c r="L91" s="414"/>
      <c r="N91" s="260"/>
      <c r="R91" s="411"/>
      <c r="T91" s="260"/>
    </row>
    <row r="92" spans="1:22">
      <c r="D92" s="412"/>
      <c r="E92" s="260"/>
      <c r="F92" s="412"/>
      <c r="G92" s="413"/>
      <c r="J92" s="414"/>
      <c r="K92" s="260"/>
      <c r="L92" s="414"/>
      <c r="N92" s="260"/>
      <c r="R92" s="411"/>
      <c r="T92" s="260"/>
    </row>
    <row r="93" spans="1:22">
      <c r="D93" s="412"/>
      <c r="E93" s="260"/>
      <c r="F93" s="412"/>
      <c r="G93" s="413"/>
      <c r="J93" s="414"/>
      <c r="K93" s="260"/>
      <c r="L93" s="414"/>
      <c r="N93" s="260"/>
      <c r="R93" s="411"/>
      <c r="T93" s="260"/>
    </row>
    <row r="94" spans="1:22">
      <c r="D94" s="412"/>
      <c r="E94" s="260"/>
      <c r="F94" s="412"/>
      <c r="G94" s="413"/>
      <c r="J94" s="414"/>
      <c r="K94" s="260"/>
      <c r="L94" s="414"/>
      <c r="N94" s="260"/>
      <c r="R94" s="411"/>
      <c r="T94" s="260"/>
    </row>
    <row r="95" spans="1:22">
      <c r="D95" s="412"/>
      <c r="E95" s="260"/>
      <c r="F95" s="412"/>
      <c r="G95" s="413"/>
      <c r="J95" s="414"/>
      <c r="K95" s="260"/>
      <c r="L95" s="414"/>
      <c r="N95" s="260"/>
      <c r="R95" s="411"/>
      <c r="T95" s="260"/>
    </row>
    <row r="96" spans="1:22">
      <c r="D96" s="412"/>
      <c r="E96" s="260"/>
      <c r="F96" s="412"/>
      <c r="G96" s="413"/>
      <c r="J96" s="414"/>
      <c r="K96" s="260"/>
      <c r="L96" s="414"/>
      <c r="N96" s="260"/>
      <c r="R96" s="411"/>
      <c r="T96" s="260"/>
    </row>
    <row r="97" spans="4:20">
      <c r="D97" s="412"/>
      <c r="E97" s="260"/>
      <c r="F97" s="412"/>
      <c r="G97" s="413"/>
      <c r="J97" s="414"/>
      <c r="K97" s="260"/>
      <c r="L97" s="414"/>
      <c r="N97" s="260"/>
      <c r="R97" s="411"/>
      <c r="T97" s="260"/>
    </row>
    <row r="98" spans="4:20">
      <c r="D98" s="412"/>
      <c r="E98" s="260"/>
      <c r="F98" s="412"/>
      <c r="G98" s="413"/>
      <c r="J98" s="414"/>
      <c r="K98" s="260"/>
      <c r="L98" s="414"/>
      <c r="N98" s="260"/>
      <c r="R98" s="411"/>
      <c r="T98" s="260"/>
    </row>
    <row r="99" spans="4:20">
      <c r="D99" s="412"/>
      <c r="E99" s="260"/>
      <c r="F99" s="412"/>
      <c r="G99" s="413"/>
      <c r="J99" s="414"/>
      <c r="K99" s="260"/>
      <c r="L99" s="414"/>
      <c r="N99" s="260"/>
      <c r="R99" s="411"/>
      <c r="T99" s="260"/>
    </row>
    <row r="100" spans="4:20">
      <c r="D100" s="412"/>
      <c r="E100" s="260"/>
      <c r="F100" s="412"/>
      <c r="G100" s="413"/>
      <c r="J100" s="414"/>
      <c r="K100" s="260"/>
      <c r="L100" s="414"/>
      <c r="N100" s="260"/>
      <c r="R100" s="411"/>
      <c r="T100" s="260"/>
    </row>
    <row r="101" spans="4:20">
      <c r="D101" s="412"/>
      <c r="E101" s="260"/>
      <c r="F101" s="412"/>
      <c r="G101" s="413"/>
      <c r="J101" s="414"/>
      <c r="K101" s="260"/>
      <c r="L101" s="414"/>
      <c r="N101" s="260"/>
      <c r="R101" s="411"/>
      <c r="T101" s="260"/>
    </row>
    <row r="102" spans="4:20">
      <c r="D102" s="412"/>
      <c r="E102" s="260"/>
      <c r="F102" s="412"/>
      <c r="G102" s="413"/>
      <c r="J102" s="414"/>
      <c r="K102" s="260"/>
      <c r="L102" s="414"/>
      <c r="N102" s="260"/>
      <c r="R102" s="411"/>
      <c r="T102" s="260"/>
    </row>
    <row r="103" spans="4:20">
      <c r="D103" s="412"/>
      <c r="E103" s="260"/>
      <c r="F103" s="412"/>
      <c r="G103" s="413"/>
      <c r="J103" s="414"/>
      <c r="K103" s="260"/>
      <c r="L103" s="414"/>
      <c r="N103" s="260"/>
      <c r="R103" s="411"/>
      <c r="T103" s="260"/>
    </row>
    <row r="104" spans="4:20">
      <c r="D104" s="412"/>
      <c r="E104" s="260"/>
      <c r="F104" s="412"/>
      <c r="G104" s="413"/>
      <c r="J104" s="414"/>
      <c r="K104" s="260"/>
      <c r="L104" s="414"/>
      <c r="N104" s="260"/>
      <c r="R104" s="411"/>
      <c r="T104" s="260"/>
    </row>
    <row r="105" spans="4:20">
      <c r="D105" s="412"/>
      <c r="E105" s="260"/>
      <c r="F105" s="412"/>
      <c r="G105" s="413"/>
      <c r="J105" s="414"/>
      <c r="K105" s="260"/>
      <c r="L105" s="414"/>
      <c r="N105" s="260"/>
      <c r="R105" s="411"/>
      <c r="T105" s="260"/>
    </row>
    <row r="106" spans="4:20">
      <c r="D106" s="412"/>
      <c r="E106" s="260"/>
      <c r="F106" s="412"/>
      <c r="G106" s="413"/>
      <c r="J106" s="414"/>
      <c r="K106" s="260"/>
      <c r="L106" s="414"/>
      <c r="N106" s="260"/>
      <c r="R106" s="411"/>
      <c r="T106" s="260"/>
    </row>
    <row r="107" spans="4:20">
      <c r="D107" s="412"/>
      <c r="E107" s="260"/>
      <c r="F107" s="412"/>
      <c r="G107" s="413"/>
      <c r="J107" s="414"/>
      <c r="K107" s="260"/>
      <c r="L107" s="414"/>
      <c r="N107" s="260"/>
      <c r="R107" s="411"/>
      <c r="T107" s="260"/>
    </row>
    <row r="108" spans="4:20">
      <c r="D108" s="412"/>
      <c r="E108" s="260"/>
      <c r="F108" s="412"/>
      <c r="G108" s="413"/>
      <c r="J108" s="414"/>
      <c r="K108" s="260"/>
      <c r="L108" s="414"/>
      <c r="N108" s="260"/>
      <c r="R108" s="411"/>
      <c r="T108" s="260"/>
    </row>
    <row r="109" spans="4:20">
      <c r="D109" s="412"/>
      <c r="E109" s="260"/>
      <c r="F109" s="412"/>
      <c r="G109" s="413"/>
      <c r="J109" s="414"/>
      <c r="K109" s="260"/>
      <c r="L109" s="414"/>
      <c r="N109" s="260"/>
      <c r="R109" s="411"/>
      <c r="T109" s="260"/>
    </row>
    <row r="110" spans="4:20">
      <c r="D110" s="412"/>
      <c r="E110" s="260"/>
      <c r="F110" s="412"/>
      <c r="G110" s="413"/>
      <c r="J110" s="414"/>
      <c r="K110" s="260"/>
      <c r="L110" s="414"/>
      <c r="N110" s="260"/>
      <c r="R110" s="411"/>
      <c r="T110" s="260"/>
    </row>
    <row r="111" spans="4:20">
      <c r="D111" s="412"/>
      <c r="E111" s="260"/>
      <c r="F111" s="412"/>
      <c r="G111" s="413"/>
      <c r="J111" s="414"/>
      <c r="K111" s="260"/>
      <c r="L111" s="414"/>
      <c r="N111" s="260"/>
      <c r="R111" s="411"/>
      <c r="T111" s="260"/>
    </row>
    <row r="112" spans="4:20">
      <c r="D112" s="412"/>
      <c r="E112" s="260"/>
      <c r="F112" s="412"/>
      <c r="G112" s="413"/>
      <c r="J112" s="414"/>
      <c r="K112" s="260"/>
      <c r="L112" s="414"/>
      <c r="N112" s="260"/>
      <c r="R112" s="411"/>
      <c r="T112" s="260"/>
    </row>
    <row r="113" spans="4:20">
      <c r="D113" s="412"/>
      <c r="E113" s="260"/>
      <c r="F113" s="412"/>
      <c r="G113" s="413"/>
      <c r="J113" s="414"/>
      <c r="K113" s="260"/>
      <c r="L113" s="414"/>
      <c r="N113" s="260"/>
      <c r="R113" s="411"/>
      <c r="T113" s="260"/>
    </row>
    <row r="114" spans="4:20">
      <c r="D114" s="412"/>
      <c r="E114" s="260"/>
      <c r="F114" s="412"/>
      <c r="G114" s="413"/>
      <c r="J114" s="414"/>
      <c r="K114" s="260"/>
      <c r="L114" s="414"/>
      <c r="N114" s="260"/>
      <c r="R114" s="411"/>
      <c r="T114" s="260"/>
    </row>
    <row r="115" spans="4:20">
      <c r="D115" s="412"/>
      <c r="E115" s="260"/>
      <c r="F115" s="412"/>
      <c r="G115" s="413"/>
      <c r="J115" s="414"/>
      <c r="K115" s="260"/>
      <c r="L115" s="414"/>
      <c r="N115" s="260"/>
      <c r="R115" s="411"/>
      <c r="T115" s="260"/>
    </row>
    <row r="116" spans="4:20">
      <c r="D116" s="412"/>
      <c r="E116" s="260"/>
      <c r="F116" s="412"/>
      <c r="G116" s="413"/>
      <c r="J116" s="414"/>
      <c r="K116" s="260"/>
      <c r="L116" s="414"/>
      <c r="N116" s="260"/>
      <c r="R116" s="411"/>
      <c r="T116" s="260"/>
    </row>
    <row r="117" spans="4:20">
      <c r="D117" s="412"/>
      <c r="E117" s="260"/>
      <c r="F117" s="412"/>
      <c r="G117" s="413"/>
      <c r="J117" s="414"/>
      <c r="K117" s="260"/>
      <c r="L117" s="414"/>
      <c r="N117" s="260"/>
      <c r="R117" s="411"/>
      <c r="T117" s="260"/>
    </row>
    <row r="118" spans="4:20">
      <c r="D118" s="412"/>
      <c r="E118" s="260"/>
      <c r="F118" s="412"/>
      <c r="G118" s="413"/>
      <c r="J118" s="414"/>
      <c r="K118" s="260"/>
      <c r="L118" s="414"/>
      <c r="N118" s="260"/>
      <c r="R118" s="411"/>
      <c r="T118" s="260"/>
    </row>
    <row r="119" spans="4:20">
      <c r="D119" s="412"/>
      <c r="E119" s="260"/>
      <c r="F119" s="412"/>
      <c r="G119" s="413"/>
      <c r="J119" s="414"/>
      <c r="K119" s="260"/>
      <c r="L119" s="414"/>
      <c r="N119" s="260"/>
      <c r="R119" s="411"/>
      <c r="T119" s="260"/>
    </row>
    <row r="120" spans="4:20">
      <c r="D120" s="412"/>
      <c r="E120" s="260"/>
      <c r="F120" s="412"/>
      <c r="G120" s="413"/>
      <c r="J120" s="414"/>
      <c r="K120" s="260"/>
      <c r="L120" s="414"/>
      <c r="N120" s="260"/>
      <c r="R120" s="411"/>
      <c r="T120" s="260"/>
    </row>
    <row r="121" spans="4:20">
      <c r="D121" s="412"/>
      <c r="E121" s="260"/>
      <c r="F121" s="412"/>
      <c r="G121" s="413"/>
      <c r="J121" s="414"/>
      <c r="K121" s="260"/>
      <c r="L121" s="414"/>
      <c r="N121" s="260"/>
      <c r="R121" s="411"/>
      <c r="T121" s="260"/>
    </row>
    <row r="122" spans="4:20">
      <c r="D122" s="412"/>
      <c r="E122" s="260"/>
      <c r="F122" s="412"/>
      <c r="G122" s="413"/>
      <c r="J122" s="414"/>
      <c r="K122" s="260"/>
      <c r="L122" s="414"/>
      <c r="N122" s="260"/>
      <c r="R122" s="411"/>
      <c r="T122" s="260"/>
    </row>
    <row r="123" spans="4:20">
      <c r="D123" s="412"/>
      <c r="E123" s="260"/>
      <c r="F123" s="412"/>
      <c r="G123" s="413"/>
      <c r="J123" s="414"/>
      <c r="K123" s="260"/>
      <c r="L123" s="414"/>
      <c r="N123" s="260"/>
      <c r="R123" s="411"/>
      <c r="T123" s="260"/>
    </row>
    <row r="124" spans="4:20">
      <c r="D124" s="412"/>
      <c r="E124" s="260"/>
      <c r="F124" s="412"/>
      <c r="G124" s="413"/>
      <c r="J124" s="414"/>
      <c r="K124" s="260"/>
      <c r="L124" s="414"/>
      <c r="N124" s="260"/>
      <c r="R124" s="411"/>
      <c r="T124" s="260"/>
    </row>
    <row r="125" spans="4:20">
      <c r="D125" s="412"/>
      <c r="E125" s="260"/>
      <c r="F125" s="412"/>
      <c r="G125" s="413"/>
      <c r="J125" s="414"/>
      <c r="K125" s="260"/>
      <c r="L125" s="414"/>
      <c r="N125" s="260"/>
      <c r="R125" s="411"/>
      <c r="T125" s="260"/>
    </row>
    <row r="126" spans="4:20">
      <c r="D126" s="412"/>
      <c r="E126" s="260"/>
      <c r="F126" s="412"/>
      <c r="G126" s="413"/>
      <c r="J126" s="414"/>
      <c r="K126" s="260"/>
      <c r="L126" s="414"/>
      <c r="N126" s="260"/>
      <c r="R126" s="411"/>
      <c r="T126" s="260"/>
    </row>
    <row r="127" spans="4:20">
      <c r="D127" s="412"/>
      <c r="E127" s="260"/>
      <c r="F127" s="412"/>
      <c r="G127" s="413"/>
      <c r="J127" s="414"/>
      <c r="K127" s="260"/>
      <c r="L127" s="414"/>
      <c r="N127" s="260"/>
      <c r="R127" s="411"/>
      <c r="T127" s="260"/>
    </row>
    <row r="128" spans="4:20">
      <c r="D128" s="412"/>
      <c r="E128" s="260"/>
      <c r="F128" s="412"/>
      <c r="G128" s="413"/>
      <c r="J128" s="414"/>
      <c r="K128" s="260"/>
      <c r="L128" s="414"/>
      <c r="N128" s="260"/>
      <c r="R128" s="411"/>
      <c r="T128" s="260"/>
    </row>
    <row r="129" spans="4:20">
      <c r="D129" s="412"/>
      <c r="E129" s="260"/>
      <c r="F129" s="412"/>
      <c r="G129" s="413"/>
      <c r="J129" s="414"/>
      <c r="K129" s="260"/>
      <c r="L129" s="414"/>
      <c r="N129" s="260"/>
      <c r="R129" s="411"/>
      <c r="T129" s="260"/>
    </row>
    <row r="130" spans="4:20">
      <c r="D130" s="412"/>
      <c r="E130" s="260"/>
      <c r="F130" s="412"/>
      <c r="G130" s="413"/>
      <c r="J130" s="414"/>
      <c r="K130" s="260"/>
      <c r="L130" s="414"/>
      <c r="N130" s="260"/>
      <c r="R130" s="411"/>
      <c r="T130" s="260"/>
    </row>
    <row r="131" spans="4:20">
      <c r="D131" s="412"/>
      <c r="E131" s="260"/>
      <c r="F131" s="412"/>
      <c r="G131" s="413"/>
      <c r="J131" s="414"/>
      <c r="K131" s="260"/>
      <c r="L131" s="414"/>
      <c r="N131" s="260"/>
      <c r="R131" s="411"/>
      <c r="T131" s="260"/>
    </row>
    <row r="132" spans="4:20">
      <c r="D132" s="412"/>
      <c r="E132" s="260"/>
      <c r="F132" s="412"/>
      <c r="G132" s="413"/>
      <c r="J132" s="414"/>
      <c r="K132" s="260"/>
      <c r="L132" s="414"/>
      <c r="N132" s="260"/>
      <c r="R132" s="411"/>
      <c r="T132" s="260"/>
    </row>
    <row r="133" spans="4:20">
      <c r="D133" s="412"/>
      <c r="E133" s="260"/>
      <c r="F133" s="412"/>
      <c r="G133" s="413"/>
      <c r="J133" s="414"/>
      <c r="K133" s="260"/>
      <c r="L133" s="414"/>
      <c r="N133" s="260"/>
      <c r="R133" s="411"/>
      <c r="T133" s="260"/>
    </row>
    <row r="134" spans="4:20">
      <c r="D134" s="412"/>
      <c r="E134" s="260"/>
      <c r="F134" s="412"/>
      <c r="G134" s="413"/>
      <c r="J134" s="414"/>
      <c r="K134" s="260"/>
      <c r="L134" s="414"/>
      <c r="N134" s="260"/>
      <c r="R134" s="411"/>
      <c r="T134" s="260"/>
    </row>
    <row r="135" spans="4:20">
      <c r="D135" s="412"/>
      <c r="E135" s="260"/>
      <c r="F135" s="412"/>
      <c r="G135" s="413"/>
      <c r="J135" s="414"/>
      <c r="K135" s="260"/>
      <c r="L135" s="414"/>
      <c r="N135" s="260"/>
      <c r="R135" s="411"/>
      <c r="T135" s="260"/>
    </row>
    <row r="136" spans="4:20">
      <c r="D136" s="412"/>
      <c r="E136" s="260"/>
      <c r="F136" s="412"/>
      <c r="G136" s="413"/>
      <c r="J136" s="414"/>
      <c r="K136" s="260"/>
      <c r="L136" s="414"/>
      <c r="N136" s="260"/>
      <c r="R136" s="411"/>
      <c r="T136" s="260"/>
    </row>
    <row r="137" spans="4:20">
      <c r="D137" s="412"/>
      <c r="E137" s="260"/>
      <c r="F137" s="412"/>
      <c r="G137" s="413"/>
      <c r="J137" s="414"/>
      <c r="K137" s="260"/>
      <c r="L137" s="414"/>
      <c r="N137" s="260"/>
      <c r="R137" s="411"/>
      <c r="T137" s="260"/>
    </row>
    <row r="138" spans="4:20">
      <c r="D138" s="412"/>
      <c r="E138" s="260"/>
      <c r="F138" s="412"/>
      <c r="G138" s="413"/>
      <c r="J138" s="414"/>
      <c r="K138" s="260"/>
      <c r="L138" s="414"/>
      <c r="N138" s="260"/>
      <c r="R138" s="411"/>
      <c r="T138" s="260"/>
    </row>
    <row r="139" spans="4:20">
      <c r="D139" s="412"/>
      <c r="E139" s="260"/>
      <c r="F139" s="412"/>
      <c r="G139" s="413"/>
      <c r="J139" s="414"/>
      <c r="K139" s="260"/>
      <c r="L139" s="414"/>
      <c r="N139" s="260"/>
      <c r="R139" s="411"/>
      <c r="T139" s="260"/>
    </row>
    <row r="140" spans="4:20">
      <c r="D140" s="412"/>
      <c r="E140" s="260"/>
      <c r="F140" s="412"/>
      <c r="G140" s="413"/>
      <c r="J140" s="414"/>
      <c r="K140" s="260"/>
      <c r="L140" s="414"/>
      <c r="N140" s="260"/>
      <c r="R140" s="411"/>
      <c r="T140" s="260"/>
    </row>
    <row r="141" spans="4:20">
      <c r="D141" s="412"/>
      <c r="E141" s="260"/>
      <c r="F141" s="412"/>
      <c r="G141" s="413"/>
      <c r="J141" s="414"/>
      <c r="K141" s="260"/>
      <c r="L141" s="414"/>
      <c r="N141" s="260"/>
      <c r="R141" s="411"/>
      <c r="T141" s="260"/>
    </row>
    <row r="142" spans="4:20">
      <c r="D142" s="412"/>
      <c r="E142" s="260"/>
      <c r="F142" s="412"/>
      <c r="G142" s="413"/>
      <c r="J142" s="414"/>
      <c r="K142" s="260"/>
      <c r="L142" s="414"/>
      <c r="N142" s="260"/>
      <c r="R142" s="411"/>
      <c r="T142" s="260"/>
    </row>
    <row r="143" spans="4:20">
      <c r="D143" s="412"/>
      <c r="E143" s="260"/>
      <c r="F143" s="412"/>
      <c r="G143" s="413"/>
      <c r="J143" s="414"/>
      <c r="K143" s="260"/>
      <c r="L143" s="414"/>
      <c r="N143" s="260"/>
      <c r="R143" s="411"/>
      <c r="T143" s="260"/>
    </row>
    <row r="144" spans="4:20">
      <c r="D144" s="412"/>
      <c r="E144" s="260"/>
      <c r="F144" s="412"/>
      <c r="G144" s="413"/>
      <c r="J144" s="414"/>
      <c r="K144" s="260"/>
      <c r="L144" s="414"/>
      <c r="N144" s="260"/>
      <c r="R144" s="411"/>
      <c r="T144" s="260"/>
    </row>
    <row r="145" spans="4:20">
      <c r="D145" s="412"/>
      <c r="E145" s="260"/>
      <c r="F145" s="412"/>
      <c r="G145" s="413"/>
      <c r="J145" s="414"/>
      <c r="K145" s="260"/>
      <c r="L145" s="414"/>
      <c r="N145" s="260"/>
      <c r="R145" s="411"/>
      <c r="T145" s="260"/>
    </row>
    <row r="146" spans="4:20">
      <c r="D146" s="412"/>
      <c r="E146" s="260"/>
      <c r="F146" s="412"/>
      <c r="G146" s="413"/>
      <c r="J146" s="414"/>
      <c r="K146" s="260"/>
      <c r="L146" s="414"/>
      <c r="N146" s="260"/>
      <c r="R146" s="411"/>
      <c r="T146" s="260"/>
    </row>
    <row r="147" spans="4:20">
      <c r="D147" s="412"/>
      <c r="E147" s="260"/>
      <c r="F147" s="412"/>
      <c r="G147" s="413"/>
      <c r="J147" s="414"/>
      <c r="K147" s="260"/>
      <c r="L147" s="414"/>
      <c r="N147" s="260"/>
      <c r="R147" s="411"/>
      <c r="T147" s="260"/>
    </row>
    <row r="148" spans="4:20">
      <c r="D148" s="412"/>
      <c r="E148" s="260"/>
      <c r="F148" s="412"/>
      <c r="G148" s="413"/>
      <c r="J148" s="414"/>
      <c r="K148" s="260"/>
      <c r="L148" s="414"/>
      <c r="N148" s="260"/>
      <c r="R148" s="411"/>
      <c r="T148" s="260"/>
    </row>
    <row r="149" spans="4:20">
      <c r="D149" s="412"/>
      <c r="E149" s="260"/>
      <c r="F149" s="412"/>
      <c r="G149" s="413"/>
      <c r="J149" s="414"/>
      <c r="K149" s="260"/>
      <c r="L149" s="414"/>
      <c r="N149" s="260"/>
      <c r="R149" s="411"/>
      <c r="T149" s="260"/>
    </row>
    <row r="150" spans="4:20">
      <c r="D150" s="412"/>
      <c r="E150" s="260"/>
      <c r="F150" s="412"/>
      <c r="G150" s="413"/>
      <c r="J150" s="414"/>
      <c r="K150" s="260"/>
      <c r="L150" s="414"/>
      <c r="N150" s="260"/>
      <c r="R150" s="411"/>
      <c r="T150" s="260"/>
    </row>
    <row r="151" spans="4:20">
      <c r="D151" s="412"/>
      <c r="E151" s="260"/>
      <c r="F151" s="412"/>
      <c r="G151" s="413"/>
      <c r="J151" s="414"/>
      <c r="K151" s="260"/>
      <c r="L151" s="414"/>
      <c r="N151" s="260"/>
      <c r="R151" s="411"/>
      <c r="T151" s="260"/>
    </row>
    <row r="152" spans="4:20">
      <c r="D152" s="412"/>
      <c r="E152" s="260"/>
      <c r="F152" s="412"/>
      <c r="G152" s="413"/>
      <c r="J152" s="414"/>
      <c r="K152" s="260"/>
      <c r="L152" s="414"/>
      <c r="N152" s="260"/>
      <c r="R152" s="411"/>
      <c r="T152" s="260"/>
    </row>
    <row r="153" spans="4:20">
      <c r="D153" s="412"/>
      <c r="E153" s="260"/>
      <c r="F153" s="412"/>
      <c r="G153" s="413"/>
      <c r="J153" s="414"/>
      <c r="K153" s="260"/>
      <c r="L153" s="414"/>
      <c r="N153" s="260"/>
      <c r="R153" s="411"/>
      <c r="T153" s="260"/>
    </row>
    <row r="154" spans="4:20">
      <c r="D154" s="412"/>
      <c r="E154" s="260"/>
      <c r="F154" s="412"/>
      <c r="G154" s="413"/>
      <c r="J154" s="414"/>
      <c r="K154" s="260"/>
      <c r="L154" s="414"/>
      <c r="N154" s="260"/>
      <c r="R154" s="411"/>
      <c r="T154" s="260"/>
    </row>
    <row r="155" spans="4:20">
      <c r="D155" s="412"/>
      <c r="E155" s="260"/>
      <c r="F155" s="412"/>
      <c r="G155" s="413"/>
      <c r="J155" s="414"/>
      <c r="K155" s="260"/>
      <c r="L155" s="414"/>
      <c r="N155" s="260"/>
      <c r="R155" s="411"/>
      <c r="T155" s="260"/>
    </row>
    <row r="156" spans="4:20">
      <c r="D156" s="412"/>
      <c r="E156" s="260"/>
      <c r="F156" s="412"/>
      <c r="G156" s="413"/>
      <c r="J156" s="414"/>
      <c r="K156" s="260"/>
      <c r="L156" s="414"/>
      <c r="N156" s="260"/>
      <c r="R156" s="411"/>
      <c r="T156" s="260"/>
    </row>
    <row r="157" spans="4:20">
      <c r="D157" s="412"/>
      <c r="E157" s="260"/>
      <c r="F157" s="412"/>
      <c r="G157" s="413"/>
      <c r="J157" s="414"/>
      <c r="K157" s="260"/>
      <c r="L157" s="414"/>
      <c r="N157" s="260"/>
      <c r="R157" s="411"/>
      <c r="T157" s="260"/>
    </row>
    <row r="158" spans="4:20">
      <c r="D158" s="412"/>
      <c r="E158" s="260"/>
      <c r="F158" s="412"/>
      <c r="G158" s="413"/>
      <c r="J158" s="414"/>
      <c r="K158" s="260"/>
      <c r="L158" s="414"/>
      <c r="N158" s="260"/>
      <c r="R158" s="411"/>
      <c r="T158" s="260"/>
    </row>
    <row r="159" spans="4:20">
      <c r="D159" s="412"/>
      <c r="E159" s="260"/>
      <c r="F159" s="412"/>
      <c r="G159" s="413"/>
      <c r="J159" s="414"/>
      <c r="K159" s="260"/>
      <c r="L159" s="414"/>
      <c r="N159" s="260"/>
      <c r="R159" s="411"/>
      <c r="T159" s="260"/>
    </row>
    <row r="160" spans="4:20">
      <c r="D160" s="412"/>
      <c r="E160" s="260"/>
      <c r="F160" s="412"/>
      <c r="G160" s="413"/>
      <c r="J160" s="414"/>
      <c r="K160" s="260"/>
      <c r="L160" s="414"/>
      <c r="N160" s="260"/>
      <c r="R160" s="411"/>
      <c r="T160" s="260"/>
    </row>
    <row r="161" spans="4:20">
      <c r="D161" s="412"/>
      <c r="E161" s="260"/>
      <c r="F161" s="412"/>
      <c r="G161" s="413"/>
      <c r="J161" s="414"/>
      <c r="K161" s="260"/>
      <c r="L161" s="414"/>
      <c r="N161" s="260"/>
      <c r="R161" s="411"/>
      <c r="T161" s="260"/>
    </row>
    <row r="162" spans="4:20">
      <c r="D162" s="412"/>
      <c r="E162" s="260"/>
      <c r="F162" s="412"/>
      <c r="G162" s="413"/>
      <c r="J162" s="414"/>
      <c r="K162" s="260"/>
      <c r="L162" s="414"/>
      <c r="N162" s="260"/>
      <c r="R162" s="411"/>
      <c r="T162" s="260"/>
    </row>
    <row r="163" spans="4:20">
      <c r="D163" s="412"/>
      <c r="E163" s="260"/>
      <c r="F163" s="412"/>
      <c r="G163" s="413"/>
      <c r="J163" s="414"/>
      <c r="K163" s="260"/>
      <c r="L163" s="414"/>
      <c r="N163" s="260"/>
      <c r="R163" s="411"/>
      <c r="T163" s="260"/>
    </row>
    <row r="164" spans="4:20">
      <c r="D164" s="412"/>
      <c r="E164" s="260"/>
      <c r="F164" s="412"/>
      <c r="G164" s="413"/>
      <c r="J164" s="414"/>
      <c r="K164" s="260"/>
      <c r="L164" s="414"/>
      <c r="N164" s="260"/>
      <c r="R164" s="411"/>
      <c r="T164" s="260"/>
    </row>
    <row r="165" spans="4:20">
      <c r="D165" s="412"/>
      <c r="E165" s="260"/>
      <c r="F165" s="412"/>
      <c r="G165" s="413"/>
      <c r="J165" s="414"/>
      <c r="K165" s="260"/>
      <c r="L165" s="414"/>
      <c r="N165" s="260"/>
      <c r="R165" s="411"/>
      <c r="T165" s="260"/>
    </row>
    <row r="166" spans="4:20">
      <c r="D166" s="412"/>
      <c r="E166" s="260"/>
      <c r="F166" s="412"/>
      <c r="G166" s="413"/>
      <c r="J166" s="414"/>
      <c r="K166" s="260"/>
      <c r="L166" s="414"/>
      <c r="N166" s="260"/>
      <c r="R166" s="411"/>
      <c r="T166" s="260"/>
    </row>
    <row r="167" spans="4:20">
      <c r="D167" s="412"/>
      <c r="E167" s="260"/>
      <c r="F167" s="412"/>
      <c r="G167" s="413"/>
      <c r="J167" s="414"/>
      <c r="K167" s="260"/>
      <c r="L167" s="414"/>
      <c r="N167" s="260"/>
      <c r="R167" s="411"/>
      <c r="T167" s="260"/>
    </row>
    <row r="168" spans="4:20">
      <c r="D168" s="412"/>
      <c r="E168" s="260"/>
      <c r="F168" s="412"/>
      <c r="G168" s="413"/>
      <c r="J168" s="414"/>
      <c r="K168" s="260"/>
      <c r="L168" s="414"/>
      <c r="N168" s="260"/>
      <c r="R168" s="411"/>
      <c r="T168" s="260"/>
    </row>
    <row r="169" spans="4:20">
      <c r="D169" s="412"/>
      <c r="E169" s="260"/>
      <c r="F169" s="412"/>
      <c r="G169" s="413"/>
      <c r="J169" s="414"/>
      <c r="K169" s="260"/>
      <c r="L169" s="414"/>
      <c r="N169" s="260"/>
      <c r="R169" s="411"/>
      <c r="T169" s="260"/>
    </row>
    <row r="170" spans="4:20">
      <c r="D170" s="412"/>
      <c r="E170" s="260"/>
      <c r="F170" s="412"/>
      <c r="G170" s="413"/>
      <c r="J170" s="414"/>
      <c r="K170" s="260"/>
      <c r="L170" s="414"/>
      <c r="N170" s="260"/>
      <c r="R170" s="411"/>
      <c r="T170" s="260"/>
    </row>
    <row r="171" spans="4:20">
      <c r="D171" s="412"/>
      <c r="E171" s="260"/>
      <c r="F171" s="412"/>
      <c r="G171" s="413"/>
      <c r="J171" s="414"/>
      <c r="K171" s="260"/>
      <c r="L171" s="414"/>
      <c r="N171" s="260"/>
      <c r="R171" s="411"/>
      <c r="T171" s="260"/>
    </row>
    <row r="172" spans="4:20">
      <c r="D172" s="412"/>
      <c r="E172" s="260"/>
      <c r="F172" s="412"/>
      <c r="G172" s="413"/>
      <c r="J172" s="414"/>
      <c r="K172" s="260"/>
      <c r="L172" s="414"/>
      <c r="N172" s="260"/>
      <c r="R172" s="411"/>
      <c r="T172" s="260"/>
    </row>
    <row r="173" spans="4:20">
      <c r="D173" s="412"/>
      <c r="E173" s="260"/>
      <c r="F173" s="412"/>
      <c r="G173" s="413"/>
      <c r="J173" s="414"/>
      <c r="K173" s="260"/>
      <c r="L173" s="414"/>
      <c r="N173" s="260"/>
      <c r="R173" s="411"/>
      <c r="T173" s="260"/>
    </row>
    <row r="174" spans="4:20">
      <c r="D174" s="412"/>
      <c r="E174" s="260"/>
      <c r="F174" s="412"/>
      <c r="G174" s="413"/>
      <c r="J174" s="414"/>
      <c r="K174" s="260"/>
      <c r="L174" s="414"/>
      <c r="N174" s="260"/>
      <c r="R174" s="411"/>
      <c r="T174" s="260"/>
    </row>
    <row r="175" spans="4:20">
      <c r="D175" s="412"/>
      <c r="E175" s="260"/>
      <c r="F175" s="412"/>
      <c r="G175" s="413"/>
      <c r="J175" s="414"/>
      <c r="K175" s="260"/>
      <c r="L175" s="414"/>
      <c r="N175" s="260"/>
      <c r="R175" s="411"/>
      <c r="T175" s="260"/>
    </row>
    <row r="176" spans="4:20">
      <c r="D176" s="412"/>
      <c r="E176" s="260"/>
      <c r="F176" s="412"/>
      <c r="G176" s="413"/>
      <c r="J176" s="414"/>
      <c r="K176" s="260"/>
      <c r="L176" s="414"/>
      <c r="N176" s="260"/>
      <c r="R176" s="411"/>
      <c r="T176" s="260"/>
    </row>
    <row r="177" spans="4:20">
      <c r="D177" s="412"/>
      <c r="E177" s="260"/>
      <c r="F177" s="412"/>
      <c r="G177" s="413"/>
      <c r="J177" s="414"/>
      <c r="K177" s="260"/>
      <c r="L177" s="414"/>
      <c r="N177" s="260"/>
      <c r="R177" s="411"/>
      <c r="T177" s="260"/>
    </row>
    <row r="178" spans="4:20">
      <c r="D178" s="412"/>
      <c r="E178" s="260"/>
      <c r="F178" s="412"/>
      <c r="G178" s="413"/>
      <c r="J178" s="414"/>
      <c r="K178" s="260"/>
      <c r="L178" s="414"/>
      <c r="N178" s="260"/>
      <c r="R178" s="411"/>
      <c r="T178" s="260"/>
    </row>
    <row r="179" spans="4:20">
      <c r="D179" s="412"/>
      <c r="E179" s="260"/>
      <c r="F179" s="412"/>
      <c r="G179" s="413"/>
      <c r="J179" s="414"/>
      <c r="K179" s="260"/>
      <c r="L179" s="414"/>
      <c r="N179" s="260"/>
      <c r="R179" s="411"/>
      <c r="T179" s="260"/>
    </row>
    <row r="180" spans="4:20">
      <c r="D180" s="412"/>
      <c r="E180" s="260"/>
      <c r="F180" s="412"/>
      <c r="G180" s="413"/>
      <c r="J180" s="414"/>
      <c r="K180" s="260"/>
      <c r="L180" s="414"/>
      <c r="N180" s="260"/>
      <c r="R180" s="411"/>
      <c r="T180" s="260"/>
    </row>
    <row r="181" spans="4:20">
      <c r="D181" s="412"/>
      <c r="E181" s="260"/>
      <c r="F181" s="412"/>
      <c r="G181" s="413"/>
      <c r="J181" s="414"/>
      <c r="K181" s="260"/>
      <c r="L181" s="414"/>
      <c r="N181" s="260"/>
      <c r="R181" s="411"/>
      <c r="T181" s="260"/>
    </row>
    <row r="182" spans="4:20">
      <c r="D182" s="412"/>
      <c r="E182" s="260"/>
      <c r="F182" s="412"/>
      <c r="G182" s="413"/>
      <c r="J182" s="414"/>
      <c r="K182" s="260"/>
      <c r="L182" s="414"/>
      <c r="N182" s="260"/>
      <c r="R182" s="411"/>
      <c r="T182" s="260"/>
    </row>
    <row r="183" spans="4:20">
      <c r="D183" s="412"/>
      <c r="E183" s="260"/>
      <c r="F183" s="412"/>
      <c r="G183" s="413"/>
      <c r="J183" s="414"/>
      <c r="K183" s="260"/>
      <c r="L183" s="414"/>
      <c r="N183" s="260"/>
      <c r="R183" s="411"/>
      <c r="T183" s="260"/>
    </row>
    <row r="184" spans="4:20">
      <c r="D184" s="412"/>
      <c r="E184" s="260"/>
      <c r="F184" s="412"/>
      <c r="G184" s="413"/>
      <c r="J184" s="414"/>
      <c r="K184" s="260"/>
      <c r="L184" s="414"/>
      <c r="N184" s="260"/>
      <c r="R184" s="411"/>
      <c r="T184" s="260"/>
    </row>
    <row r="185" spans="4:20">
      <c r="D185" s="412"/>
      <c r="E185" s="260"/>
      <c r="F185" s="412"/>
      <c r="G185" s="413"/>
      <c r="J185" s="414"/>
      <c r="K185" s="260"/>
      <c r="L185" s="414"/>
      <c r="N185" s="260"/>
      <c r="R185" s="411"/>
      <c r="T185" s="260"/>
    </row>
    <row r="186" spans="4:20">
      <c r="D186" s="412"/>
      <c r="E186" s="260"/>
      <c r="F186" s="412"/>
      <c r="G186" s="413"/>
      <c r="J186" s="414"/>
      <c r="K186" s="260"/>
      <c r="L186" s="414"/>
      <c r="N186" s="260"/>
      <c r="R186" s="411"/>
      <c r="T186" s="260"/>
    </row>
    <row r="187" spans="4:20">
      <c r="D187" s="412"/>
      <c r="E187" s="260"/>
      <c r="F187" s="412"/>
      <c r="G187" s="413"/>
      <c r="J187" s="414"/>
      <c r="K187" s="260"/>
      <c r="L187" s="414"/>
      <c r="N187" s="260"/>
      <c r="R187" s="411"/>
      <c r="T187" s="260"/>
    </row>
  </sheetData>
  <autoFilter ref="A12:U12" xr:uid="{00000000-0009-0000-0000-000002000000}"/>
  <mergeCells count="16">
    <mergeCell ref="D9:E9"/>
    <mergeCell ref="F9:G9"/>
    <mergeCell ref="D10:E10"/>
    <mergeCell ref="F10:G10"/>
    <mergeCell ref="D6:E6"/>
    <mergeCell ref="F6:G6"/>
    <mergeCell ref="D7:E7"/>
    <mergeCell ref="F7:G7"/>
    <mergeCell ref="D8:E8"/>
    <mergeCell ref="F8:G8"/>
    <mergeCell ref="D3:E3"/>
    <mergeCell ref="G3:L3"/>
    <mergeCell ref="U3:V3"/>
    <mergeCell ref="D4:E4"/>
    <mergeCell ref="G4:L4"/>
    <mergeCell ref="U4:V4"/>
  </mergeCells>
  <phoneticPr fontId="2"/>
  <dataValidations count="3">
    <dataValidation type="list" showInputMessage="1" showErrorMessage="1" sqref="D13:D26" xr:uid="{477BDC77-00D8-4DFA-924D-95118D9A8A32}">
      <formula1>#REF!</formula1>
    </dataValidation>
    <dataValidation type="list" allowBlank="1" showInputMessage="1" showErrorMessage="1" sqref="J13:J35" xr:uid="{9CE5BF9E-72B8-492C-90C4-ED2354CB9D9B}">
      <formula1>"回避,転嫁,軽減,受容"</formula1>
    </dataValidation>
    <dataValidation type="list" allowBlank="1" showInputMessage="1" showErrorMessage="1" sqref="T13:T26" xr:uid="{6DDC3F1B-D0D4-4CA1-A7DC-B265DF257631}">
      <formula1>"　,OK,NG"</formula1>
    </dataValidation>
  </dataValidations>
  <pageMargins left="0.74803149606299213" right="0.74803149606299213" top="0.98425196850393704" bottom="0.98425196850393704" header="0.51181102362204722" footer="0.51181102362204722"/>
  <pageSetup paperSize="9" scale="29" fitToHeight="0" orientation="portrait" r:id="rId1"/>
  <headerFooter alignWithMargins="0">
    <oddFooter>&amp;L伊藤忠テクノソリューションズ株式会社&amp;C&amp;P/&amp;N&amp;RCQMS-S-102T5 Ver.09.30</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Z71"/>
  <sheetViews>
    <sheetView workbookViewId="0"/>
  </sheetViews>
  <sheetFormatPr defaultColWidth="8.140625" defaultRowHeight="12"/>
  <cols>
    <col min="1" max="1" width="4" style="84" customWidth="1"/>
    <col min="2" max="2" width="10" style="85" customWidth="1"/>
    <col min="3" max="3" width="41.7109375" style="85" customWidth="1"/>
    <col min="4" max="4" width="32.85546875" style="85" customWidth="1"/>
    <col min="5" max="5" width="14.42578125" style="86" customWidth="1"/>
    <col min="6" max="6" width="30.7109375" style="78" customWidth="1"/>
    <col min="7" max="7" width="12.140625" style="86" customWidth="1"/>
    <col min="8" max="8" width="17.28515625" style="87" customWidth="1"/>
    <col min="9" max="9" width="25" style="87" customWidth="1"/>
    <col min="10" max="10" width="13.42578125" style="87" customWidth="1"/>
    <col min="11" max="11" width="7.85546875" style="84" customWidth="1"/>
    <col min="12" max="12" width="30.7109375" style="78" customWidth="1"/>
    <col min="13" max="13" width="9.42578125" style="84" bestFit="1" customWidth="1"/>
    <col min="14" max="14" width="9" style="84" customWidth="1"/>
    <col min="15" max="15" width="10.85546875" style="78" customWidth="1"/>
    <col min="16" max="16" width="10.7109375" style="78" customWidth="1"/>
    <col min="17" max="17" width="7" style="78" customWidth="1"/>
    <col min="18" max="19" width="23.7109375" style="78" customWidth="1"/>
    <col min="20" max="20" width="16.5703125" style="85" customWidth="1"/>
    <col min="21" max="21" width="24.28515625" style="85" customWidth="1"/>
    <col min="22" max="22" width="23.7109375" style="78" customWidth="1"/>
    <col min="23" max="23" width="7.42578125" style="78" customWidth="1"/>
    <col min="24" max="25" width="8.140625" style="78"/>
    <col min="26" max="26" width="22.7109375" style="78" bestFit="1" customWidth="1"/>
    <col min="27" max="16384" width="8.140625" style="78"/>
  </cols>
  <sheetData>
    <row r="1" spans="1:26" s="16" customFormat="1" ht="18" customHeight="1">
      <c r="A1" s="17"/>
      <c r="B1" s="22"/>
      <c r="C1" s="75" t="s">
        <v>348</v>
      </c>
      <c r="D1" s="538"/>
      <c r="E1" s="538"/>
      <c r="F1" s="538"/>
      <c r="G1" s="545" t="s">
        <v>349</v>
      </c>
      <c r="H1" s="545"/>
      <c r="I1" s="545"/>
      <c r="J1" s="545"/>
      <c r="K1" s="545"/>
      <c r="L1" s="546"/>
      <c r="M1" s="546"/>
      <c r="N1" s="546"/>
      <c r="O1" s="546"/>
      <c r="R1" s="24"/>
      <c r="S1" s="76" t="s">
        <v>367</v>
      </c>
      <c r="T1" s="537"/>
      <c r="U1" s="537"/>
      <c r="V1" s="77"/>
    </row>
    <row r="2" spans="1:26" s="16" customFormat="1" ht="18" customHeight="1">
      <c r="A2" s="18"/>
      <c r="B2" s="22" t="s">
        <v>135</v>
      </c>
      <c r="C2" s="75" t="s">
        <v>352</v>
      </c>
      <c r="D2" s="538"/>
      <c r="E2" s="538"/>
      <c r="F2" s="538"/>
      <c r="G2" s="545" t="s">
        <v>353</v>
      </c>
      <c r="H2" s="545"/>
      <c r="I2" s="545"/>
      <c r="J2" s="545"/>
      <c r="K2" s="545"/>
      <c r="L2" s="546"/>
      <c r="M2" s="546"/>
      <c r="N2" s="546"/>
      <c r="O2" s="546"/>
      <c r="R2" s="19"/>
      <c r="S2" s="76" t="s">
        <v>368</v>
      </c>
      <c r="T2" s="537"/>
      <c r="U2" s="537"/>
      <c r="V2" s="77"/>
    </row>
    <row r="3" spans="1:26" s="16" customFormat="1" ht="18" customHeight="1">
      <c r="A3" s="17"/>
      <c r="B3" s="23" t="s">
        <v>135</v>
      </c>
      <c r="C3" s="143" t="s">
        <v>356</v>
      </c>
      <c r="D3" s="539" t="s">
        <v>357</v>
      </c>
      <c r="E3" s="539"/>
      <c r="F3" s="547" t="s">
        <v>358</v>
      </c>
      <c r="G3" s="548"/>
      <c r="H3" s="26"/>
      <c r="I3" s="26"/>
      <c r="J3" s="26"/>
      <c r="K3" s="17"/>
      <c r="M3" s="17"/>
      <c r="N3" s="17"/>
      <c r="T3" s="164"/>
      <c r="U3" s="164"/>
      <c r="V3" s="165"/>
    </row>
    <row r="4" spans="1:26" s="16" customFormat="1" ht="18" customHeight="1">
      <c r="A4" s="17"/>
      <c r="B4" s="145" t="s">
        <v>159</v>
      </c>
      <c r="C4" s="144" t="s">
        <v>359</v>
      </c>
      <c r="D4" s="541">
        <v>42826</v>
      </c>
      <c r="E4" s="541"/>
      <c r="F4" s="542" t="s">
        <v>360</v>
      </c>
      <c r="G4" s="542"/>
      <c r="H4" s="26"/>
      <c r="I4" s="26"/>
      <c r="J4" s="26"/>
      <c r="K4" s="17"/>
      <c r="M4" s="17"/>
      <c r="N4" s="17"/>
      <c r="T4" s="164"/>
      <c r="U4" s="164"/>
      <c r="V4" s="165"/>
    </row>
    <row r="5" spans="1:26" s="16" customFormat="1" ht="18" customHeight="1">
      <c r="A5" s="17"/>
      <c r="B5" s="113">
        <v>1</v>
      </c>
      <c r="C5" s="114"/>
      <c r="D5" s="540"/>
      <c r="E5" s="540"/>
      <c r="F5" s="540"/>
      <c r="G5" s="540"/>
      <c r="H5" s="26"/>
      <c r="I5" s="26"/>
      <c r="J5" s="26"/>
      <c r="K5" s="17"/>
      <c r="M5" s="17"/>
      <c r="N5" s="17"/>
      <c r="T5" s="164"/>
      <c r="U5" s="164"/>
      <c r="V5" s="165"/>
    </row>
    <row r="6" spans="1:26" s="16" customFormat="1" ht="18" customHeight="1">
      <c r="A6" s="17"/>
      <c r="B6" s="113">
        <v>2</v>
      </c>
      <c r="C6" s="114"/>
      <c r="D6" s="540"/>
      <c r="E6" s="540"/>
      <c r="F6" s="540"/>
      <c r="G6" s="540"/>
      <c r="H6" s="26"/>
      <c r="I6" s="26"/>
      <c r="J6" s="26"/>
      <c r="K6" s="17"/>
      <c r="M6" s="17"/>
      <c r="N6" s="17"/>
      <c r="T6" s="164"/>
      <c r="U6" s="164"/>
      <c r="V6" s="165"/>
    </row>
    <row r="7" spans="1:26" s="16" customFormat="1" ht="18" customHeight="1">
      <c r="A7" s="17"/>
      <c r="B7" s="113">
        <v>3</v>
      </c>
      <c r="C7" s="114"/>
      <c r="D7" s="540"/>
      <c r="E7" s="540"/>
      <c r="F7" s="549"/>
      <c r="G7" s="550"/>
      <c r="H7" s="26"/>
      <c r="I7" s="26"/>
      <c r="J7" s="26"/>
      <c r="K7" s="17"/>
      <c r="M7" s="17"/>
      <c r="N7" s="17"/>
      <c r="T7" s="164"/>
      <c r="U7" s="164"/>
      <c r="V7" s="165"/>
    </row>
    <row r="8" spans="1:26" s="16" customFormat="1" ht="18" customHeight="1" thickBot="1">
      <c r="A8" s="17"/>
      <c r="B8" s="23" t="s">
        <v>135</v>
      </c>
      <c r="C8" s="23"/>
      <c r="D8" s="23"/>
      <c r="E8" s="25"/>
      <c r="G8" s="25"/>
      <c r="H8" s="26"/>
      <c r="I8" s="26"/>
      <c r="J8" s="491" t="s">
        <v>136</v>
      </c>
      <c r="K8" s="17"/>
      <c r="M8" s="17"/>
      <c r="N8" s="17"/>
      <c r="T8" s="164"/>
      <c r="U8" s="164"/>
      <c r="V8" s="165"/>
    </row>
    <row r="9" spans="1:26" ht="48.75" thickTop="1">
      <c r="A9" s="190" t="s">
        <v>65</v>
      </c>
      <c r="B9" s="191" t="s">
        <v>137</v>
      </c>
      <c r="C9" s="192" t="s">
        <v>138</v>
      </c>
      <c r="D9" s="191" t="s">
        <v>22</v>
      </c>
      <c r="E9" s="193" t="s">
        <v>140</v>
      </c>
      <c r="F9" s="166" t="s">
        <v>141</v>
      </c>
      <c r="G9" s="146" t="s">
        <v>142</v>
      </c>
      <c r="H9" s="194" t="s">
        <v>143</v>
      </c>
      <c r="I9" s="131" t="s">
        <v>144</v>
      </c>
      <c r="J9" s="132" t="s">
        <v>145</v>
      </c>
      <c r="K9" s="133" t="s">
        <v>147</v>
      </c>
      <c r="L9" s="134" t="s">
        <v>148</v>
      </c>
      <c r="M9" s="133" t="s">
        <v>150</v>
      </c>
      <c r="N9" s="133" t="s">
        <v>151</v>
      </c>
      <c r="O9" s="135" t="s">
        <v>369</v>
      </c>
      <c r="P9" s="136" t="s">
        <v>152</v>
      </c>
      <c r="Q9" s="137" t="s">
        <v>153</v>
      </c>
      <c r="R9" s="192" t="s">
        <v>154</v>
      </c>
      <c r="S9" s="138" t="s">
        <v>155</v>
      </c>
      <c r="T9" s="139" t="s">
        <v>156</v>
      </c>
      <c r="U9" s="140" t="s">
        <v>157</v>
      </c>
      <c r="V9" s="141" t="s">
        <v>158</v>
      </c>
      <c r="W9" s="31"/>
      <c r="X9" s="31"/>
      <c r="Y9" s="31"/>
      <c r="Z9" s="31"/>
    </row>
    <row r="10" spans="1:26" ht="120">
      <c r="A10" s="142" t="s">
        <v>159</v>
      </c>
      <c r="B10" s="129" t="s">
        <v>160</v>
      </c>
      <c r="C10" s="122" t="s">
        <v>161</v>
      </c>
      <c r="D10" s="123" t="s">
        <v>162</v>
      </c>
      <c r="E10" s="124" t="s">
        <v>164</v>
      </c>
      <c r="F10" s="195" t="s">
        <v>165</v>
      </c>
      <c r="G10" s="125" t="s">
        <v>166</v>
      </c>
      <c r="H10" s="126" t="s">
        <v>167</v>
      </c>
      <c r="I10" s="128" t="s">
        <v>168</v>
      </c>
      <c r="J10" s="127" t="s">
        <v>370</v>
      </c>
      <c r="K10" s="115" t="s">
        <v>171</v>
      </c>
      <c r="L10" s="116" t="s">
        <v>371</v>
      </c>
      <c r="M10" s="115" t="s">
        <v>174</v>
      </c>
      <c r="N10" s="130" t="s">
        <v>175</v>
      </c>
      <c r="O10" s="196" t="s">
        <v>372</v>
      </c>
      <c r="P10" s="197" t="s">
        <v>176</v>
      </c>
      <c r="Q10" s="117" t="s">
        <v>177</v>
      </c>
      <c r="R10" s="116" t="s">
        <v>178</v>
      </c>
      <c r="S10" s="118" t="s">
        <v>179</v>
      </c>
      <c r="T10" s="119" t="s">
        <v>180</v>
      </c>
      <c r="U10" s="120" t="s">
        <v>181</v>
      </c>
      <c r="V10" s="121" t="s">
        <v>182</v>
      </c>
      <c r="W10" s="31"/>
      <c r="X10" s="31"/>
      <c r="Y10" s="31"/>
      <c r="Z10" s="31"/>
    </row>
    <row r="11" spans="1:26">
      <c r="A11" s="167">
        <v>1</v>
      </c>
      <c r="B11" s="168"/>
      <c r="C11" s="3"/>
      <c r="D11" s="169"/>
      <c r="E11" s="170"/>
      <c r="F11" s="79"/>
      <c r="G11" s="198"/>
      <c r="H11" s="199">
        <f>G11*E11</f>
        <v>0</v>
      </c>
      <c r="I11" s="171"/>
      <c r="J11" s="200"/>
      <c r="K11" s="103"/>
      <c r="L11" s="80"/>
      <c r="M11" s="201"/>
      <c r="N11" s="183"/>
      <c r="O11" s="202"/>
      <c r="P11" s="203"/>
      <c r="Q11" s="110"/>
      <c r="R11" s="80"/>
      <c r="S11" s="81"/>
      <c r="T11" s="172"/>
      <c r="U11" s="173"/>
      <c r="V11" s="88"/>
      <c r="W11" s="31"/>
      <c r="X11" s="31"/>
      <c r="Y11" s="31"/>
      <c r="Z11" s="34"/>
    </row>
    <row r="12" spans="1:26">
      <c r="A12" s="174">
        <v>2</v>
      </c>
      <c r="B12" s="168"/>
      <c r="C12" s="3"/>
      <c r="D12" s="169"/>
      <c r="E12" s="170"/>
      <c r="F12" s="79"/>
      <c r="G12" s="198"/>
      <c r="H12" s="204">
        <f t="shared" ref="H12:H33" si="0">G12*E12</f>
        <v>0</v>
      </c>
      <c r="I12" s="175"/>
      <c r="J12" s="205"/>
      <c r="K12" s="104"/>
      <c r="L12" s="3"/>
      <c r="M12" s="206"/>
      <c r="N12" s="183"/>
      <c r="O12" s="198"/>
      <c r="P12" s="207"/>
      <c r="Q12" s="111"/>
      <c r="R12" s="3"/>
      <c r="S12" s="79"/>
      <c r="T12" s="176"/>
      <c r="U12" s="177"/>
      <c r="V12" s="10"/>
      <c r="W12" s="31"/>
      <c r="X12" s="31"/>
      <c r="Y12" s="31"/>
      <c r="Z12" s="34"/>
    </row>
    <row r="13" spans="1:26">
      <c r="A13" s="174">
        <v>3</v>
      </c>
      <c r="B13" s="168"/>
      <c r="C13" s="3"/>
      <c r="D13" s="169"/>
      <c r="E13" s="170"/>
      <c r="F13" s="79"/>
      <c r="G13" s="198"/>
      <c r="H13" s="204">
        <f t="shared" si="0"/>
        <v>0</v>
      </c>
      <c r="I13" s="175"/>
      <c r="J13" s="205"/>
      <c r="K13" s="104"/>
      <c r="L13" s="3"/>
      <c r="M13" s="206"/>
      <c r="N13" s="183"/>
      <c r="O13" s="198"/>
      <c r="P13" s="207"/>
      <c r="Q13" s="111"/>
      <c r="R13" s="3"/>
      <c r="S13" s="79"/>
      <c r="T13" s="176"/>
      <c r="U13" s="168"/>
      <c r="V13" s="178"/>
      <c r="W13" s="31"/>
      <c r="X13" s="31"/>
      <c r="Y13" s="31"/>
      <c r="Z13" s="34"/>
    </row>
    <row r="14" spans="1:26">
      <c r="A14" s="174">
        <v>4</v>
      </c>
      <c r="B14" s="168"/>
      <c r="C14" s="28"/>
      <c r="D14" s="169"/>
      <c r="E14" s="170"/>
      <c r="F14" s="179"/>
      <c r="G14" s="198"/>
      <c r="H14" s="204">
        <f t="shared" si="0"/>
        <v>0</v>
      </c>
      <c r="I14" s="175"/>
      <c r="J14" s="205"/>
      <c r="K14" s="180"/>
      <c r="L14" s="3"/>
      <c r="M14" s="206"/>
      <c r="N14" s="183"/>
      <c r="O14" s="198"/>
      <c r="P14" s="207"/>
      <c r="Q14" s="208"/>
      <c r="R14" s="28"/>
      <c r="S14" s="179"/>
      <c r="T14" s="176"/>
      <c r="U14" s="181"/>
      <c r="V14" s="178"/>
      <c r="W14" s="31"/>
      <c r="X14" s="31"/>
      <c r="Y14" s="31"/>
      <c r="Z14" s="34"/>
    </row>
    <row r="15" spans="1:26">
      <c r="A15" s="174">
        <v>5</v>
      </c>
      <c r="B15" s="168"/>
      <c r="C15" s="28"/>
      <c r="D15" s="169"/>
      <c r="E15" s="170"/>
      <c r="F15" s="105"/>
      <c r="G15" s="209"/>
      <c r="H15" s="204">
        <f t="shared" si="0"/>
        <v>0</v>
      </c>
      <c r="I15" s="182"/>
      <c r="J15" s="210"/>
      <c r="K15" s="183"/>
      <c r="L15" s="9"/>
      <c r="M15" s="206"/>
      <c r="N15" s="183"/>
      <c r="O15" s="209"/>
      <c r="P15" s="211"/>
      <c r="Q15" s="112"/>
      <c r="R15" s="9"/>
      <c r="S15" s="82"/>
      <c r="T15" s="176"/>
      <c r="U15" s="181"/>
      <c r="V15" s="178"/>
      <c r="W15" s="31"/>
      <c r="X15" s="31"/>
      <c r="Y15" s="31"/>
      <c r="Z15" s="34"/>
    </row>
    <row r="16" spans="1:26">
      <c r="A16" s="184">
        <v>6</v>
      </c>
      <c r="B16" s="168"/>
      <c r="C16" s="3"/>
      <c r="D16" s="169"/>
      <c r="E16" s="170"/>
      <c r="F16" s="79"/>
      <c r="G16" s="198"/>
      <c r="H16" s="204">
        <f t="shared" si="0"/>
        <v>0</v>
      </c>
      <c r="I16" s="175"/>
      <c r="J16" s="205"/>
      <c r="K16" s="104"/>
      <c r="L16" s="3"/>
      <c r="M16" s="212"/>
      <c r="N16" s="180"/>
      <c r="O16" s="198"/>
      <c r="P16" s="207"/>
      <c r="Q16" s="111"/>
      <c r="R16" s="3"/>
      <c r="S16" s="79"/>
      <c r="T16" s="185"/>
      <c r="U16" s="168"/>
      <c r="V16" s="30"/>
      <c r="W16" s="31"/>
      <c r="X16" s="31"/>
      <c r="Y16" s="31"/>
      <c r="Z16" s="34"/>
    </row>
    <row r="17" spans="1:26">
      <c r="A17" s="184">
        <v>7</v>
      </c>
      <c r="B17" s="168"/>
      <c r="C17" s="28"/>
      <c r="D17" s="169"/>
      <c r="E17" s="170"/>
      <c r="F17" s="179"/>
      <c r="G17" s="198"/>
      <c r="H17" s="204">
        <f t="shared" si="0"/>
        <v>0</v>
      </c>
      <c r="I17" s="175"/>
      <c r="J17" s="205"/>
      <c r="K17" s="180"/>
      <c r="L17" s="28"/>
      <c r="M17" s="212"/>
      <c r="N17" s="180"/>
      <c r="O17" s="198"/>
      <c r="P17" s="207"/>
      <c r="Q17" s="208"/>
      <c r="R17" s="28"/>
      <c r="S17" s="179"/>
      <c r="T17" s="185"/>
      <c r="U17" s="168"/>
      <c r="V17" s="30"/>
      <c r="W17" s="31"/>
      <c r="X17" s="31"/>
      <c r="Y17" s="31"/>
      <c r="Z17" s="34"/>
    </row>
    <row r="18" spans="1:26">
      <c r="A18" s="213">
        <v>8</v>
      </c>
      <c r="B18" s="168"/>
      <c r="C18" s="28"/>
      <c r="D18" s="169"/>
      <c r="E18" s="170"/>
      <c r="F18" s="179"/>
      <c r="G18" s="198"/>
      <c r="H18" s="204">
        <f t="shared" si="0"/>
        <v>0</v>
      </c>
      <c r="I18" s="175"/>
      <c r="J18" s="205"/>
      <c r="K18" s="180"/>
      <c r="L18" s="28"/>
      <c r="M18" s="212"/>
      <c r="N18" s="180"/>
      <c r="O18" s="198"/>
      <c r="P18" s="207"/>
      <c r="Q18" s="208"/>
      <c r="R18" s="28"/>
      <c r="S18" s="179"/>
      <c r="T18" s="185"/>
      <c r="U18" s="168"/>
      <c r="V18" s="30"/>
      <c r="W18" s="31"/>
      <c r="X18" s="31"/>
      <c r="Y18" s="31"/>
      <c r="Z18" s="33"/>
    </row>
    <row r="19" spans="1:26">
      <c r="A19" s="184">
        <v>9</v>
      </c>
      <c r="B19" s="168"/>
      <c r="C19" s="3"/>
      <c r="D19" s="169"/>
      <c r="E19" s="170"/>
      <c r="F19" s="79"/>
      <c r="G19" s="198"/>
      <c r="H19" s="204">
        <f t="shared" si="0"/>
        <v>0</v>
      </c>
      <c r="I19" s="175"/>
      <c r="J19" s="205"/>
      <c r="K19" s="104"/>
      <c r="L19" s="3"/>
      <c r="M19" s="212"/>
      <c r="N19" s="180"/>
      <c r="O19" s="198"/>
      <c r="P19" s="207"/>
      <c r="Q19" s="111"/>
      <c r="R19" s="3"/>
      <c r="S19" s="79"/>
      <c r="T19" s="185"/>
      <c r="U19" s="168"/>
      <c r="V19" s="30"/>
      <c r="W19" s="31"/>
      <c r="X19" s="31"/>
      <c r="Y19" s="31"/>
      <c r="Z19" s="34"/>
    </row>
    <row r="20" spans="1:26">
      <c r="A20" s="174">
        <v>10</v>
      </c>
      <c r="B20" s="168"/>
      <c r="C20" s="28"/>
      <c r="D20" s="169"/>
      <c r="E20" s="170"/>
      <c r="F20" s="179"/>
      <c r="G20" s="198"/>
      <c r="H20" s="204">
        <f t="shared" si="0"/>
        <v>0</v>
      </c>
      <c r="I20" s="175"/>
      <c r="J20" s="205"/>
      <c r="K20" s="180"/>
      <c r="L20" s="28"/>
      <c r="M20" s="212"/>
      <c r="N20" s="180"/>
      <c r="O20" s="198"/>
      <c r="P20" s="207"/>
      <c r="Q20" s="208"/>
      <c r="R20" s="28"/>
      <c r="S20" s="179"/>
      <c r="T20" s="185"/>
      <c r="U20" s="168"/>
      <c r="V20" s="30"/>
      <c r="W20" s="31"/>
      <c r="X20" s="31"/>
      <c r="Y20" s="31"/>
      <c r="Z20" s="34"/>
    </row>
    <row r="21" spans="1:26">
      <c r="A21" s="174">
        <v>11</v>
      </c>
      <c r="B21" s="168"/>
      <c r="C21" s="28"/>
      <c r="D21" s="169"/>
      <c r="E21" s="170"/>
      <c r="F21" s="179"/>
      <c r="G21" s="198"/>
      <c r="H21" s="204">
        <f t="shared" si="0"/>
        <v>0</v>
      </c>
      <c r="I21" s="175"/>
      <c r="J21" s="205"/>
      <c r="K21" s="180"/>
      <c r="L21" s="28"/>
      <c r="M21" s="212"/>
      <c r="N21" s="180"/>
      <c r="O21" s="198"/>
      <c r="P21" s="207"/>
      <c r="Q21" s="208"/>
      <c r="R21" s="28"/>
      <c r="S21" s="179"/>
      <c r="T21" s="185"/>
      <c r="U21" s="168"/>
      <c r="V21" s="30"/>
      <c r="W21" s="31"/>
      <c r="X21" s="31"/>
      <c r="Y21" s="31"/>
      <c r="Z21" s="33"/>
    </row>
    <row r="22" spans="1:26">
      <c r="A22" s="174">
        <v>12</v>
      </c>
      <c r="B22" s="168"/>
      <c r="C22" s="28"/>
      <c r="D22" s="169"/>
      <c r="E22" s="170"/>
      <c r="F22" s="179"/>
      <c r="G22" s="198"/>
      <c r="H22" s="204">
        <f t="shared" si="0"/>
        <v>0</v>
      </c>
      <c r="I22" s="175"/>
      <c r="J22" s="205"/>
      <c r="K22" s="180"/>
      <c r="L22" s="28"/>
      <c r="M22" s="212"/>
      <c r="N22" s="180"/>
      <c r="O22" s="198"/>
      <c r="P22" s="207"/>
      <c r="Q22" s="208"/>
      <c r="R22" s="28"/>
      <c r="S22" s="179"/>
      <c r="T22" s="185"/>
      <c r="U22" s="168"/>
      <c r="V22" s="30"/>
      <c r="W22" s="31"/>
      <c r="X22" s="31"/>
      <c r="Y22" s="31"/>
      <c r="Z22" s="33"/>
    </row>
    <row r="23" spans="1:26">
      <c r="A23" s="174">
        <v>13</v>
      </c>
      <c r="B23" s="168"/>
      <c r="C23" s="28"/>
      <c r="D23" s="169"/>
      <c r="E23" s="170"/>
      <c r="F23" s="179"/>
      <c r="G23" s="198"/>
      <c r="H23" s="204">
        <f t="shared" si="0"/>
        <v>0</v>
      </c>
      <c r="I23" s="175"/>
      <c r="J23" s="205"/>
      <c r="K23" s="180"/>
      <c r="L23" s="28"/>
      <c r="M23" s="212"/>
      <c r="N23" s="180"/>
      <c r="O23" s="198"/>
      <c r="P23" s="207"/>
      <c r="Q23" s="208"/>
      <c r="R23" s="28"/>
      <c r="S23" s="179"/>
      <c r="T23" s="185"/>
      <c r="U23" s="168"/>
      <c r="V23" s="30"/>
      <c r="W23" s="31"/>
      <c r="X23" s="31"/>
      <c r="Y23" s="31"/>
      <c r="Z23" s="33"/>
    </row>
    <row r="24" spans="1:26">
      <c r="A24" s="184">
        <v>14</v>
      </c>
      <c r="B24" s="168"/>
      <c r="C24" s="28"/>
      <c r="D24" s="169"/>
      <c r="E24" s="170"/>
      <c r="F24" s="179"/>
      <c r="G24" s="198"/>
      <c r="H24" s="204">
        <f t="shared" si="0"/>
        <v>0</v>
      </c>
      <c r="I24" s="175"/>
      <c r="J24" s="205"/>
      <c r="K24" s="180"/>
      <c r="L24" s="28"/>
      <c r="M24" s="212"/>
      <c r="N24" s="180"/>
      <c r="O24" s="198"/>
      <c r="P24" s="207"/>
      <c r="Q24" s="208"/>
      <c r="R24" s="28"/>
      <c r="S24" s="179"/>
      <c r="T24" s="185"/>
      <c r="U24" s="168"/>
      <c r="V24" s="30"/>
      <c r="W24" s="31"/>
      <c r="X24" s="31"/>
      <c r="Y24" s="31"/>
      <c r="Z24" s="33"/>
    </row>
    <row r="25" spans="1:26">
      <c r="A25" s="184">
        <v>15</v>
      </c>
      <c r="B25" s="168"/>
      <c r="C25" s="28"/>
      <c r="D25" s="169"/>
      <c r="E25" s="170"/>
      <c r="F25" s="179"/>
      <c r="G25" s="198"/>
      <c r="H25" s="204">
        <f t="shared" si="0"/>
        <v>0</v>
      </c>
      <c r="I25" s="175"/>
      <c r="J25" s="205"/>
      <c r="K25" s="180"/>
      <c r="L25" s="28"/>
      <c r="M25" s="212"/>
      <c r="N25" s="180"/>
      <c r="O25" s="198"/>
      <c r="P25" s="207"/>
      <c r="Q25" s="208"/>
      <c r="R25" s="28"/>
      <c r="S25" s="179"/>
      <c r="T25" s="185"/>
      <c r="U25" s="168"/>
      <c r="V25" s="30"/>
      <c r="W25" s="31"/>
      <c r="X25" s="31"/>
      <c r="Y25" s="31"/>
      <c r="Z25" s="33"/>
    </row>
    <row r="26" spans="1:26">
      <c r="A26" s="213">
        <v>16</v>
      </c>
      <c r="B26" s="168"/>
      <c r="C26" s="28"/>
      <c r="D26" s="169"/>
      <c r="E26" s="170"/>
      <c r="F26" s="179"/>
      <c r="G26" s="198"/>
      <c r="H26" s="204">
        <f t="shared" si="0"/>
        <v>0</v>
      </c>
      <c r="I26" s="175"/>
      <c r="J26" s="205"/>
      <c r="K26" s="180"/>
      <c r="L26" s="28"/>
      <c r="M26" s="212"/>
      <c r="N26" s="180"/>
      <c r="O26" s="198"/>
      <c r="P26" s="207"/>
      <c r="Q26" s="208"/>
      <c r="R26" s="28"/>
      <c r="S26" s="179"/>
      <c r="T26" s="185"/>
      <c r="U26" s="168"/>
      <c r="V26" s="30"/>
      <c r="W26" s="31"/>
      <c r="X26" s="31"/>
      <c r="Y26" s="31"/>
      <c r="Z26" s="33"/>
    </row>
    <row r="27" spans="1:26">
      <c r="A27" s="174">
        <v>17</v>
      </c>
      <c r="B27" s="168"/>
      <c r="C27" s="28"/>
      <c r="D27" s="169"/>
      <c r="E27" s="170"/>
      <c r="F27" s="179"/>
      <c r="G27" s="198"/>
      <c r="H27" s="204">
        <f t="shared" si="0"/>
        <v>0</v>
      </c>
      <c r="I27" s="175"/>
      <c r="J27" s="205"/>
      <c r="K27" s="180"/>
      <c r="L27" s="28"/>
      <c r="M27" s="212"/>
      <c r="N27" s="180"/>
      <c r="O27" s="198"/>
      <c r="P27" s="207"/>
      <c r="Q27" s="208"/>
      <c r="R27" s="28"/>
      <c r="S27" s="179"/>
      <c r="T27" s="185"/>
      <c r="U27" s="168"/>
      <c r="V27" s="30"/>
      <c r="W27" s="31"/>
      <c r="X27" s="31"/>
      <c r="Y27" s="31"/>
      <c r="Z27" s="33"/>
    </row>
    <row r="28" spans="1:26">
      <c r="A28" s="174">
        <v>18</v>
      </c>
      <c r="B28" s="168"/>
      <c r="C28" s="28"/>
      <c r="D28" s="169"/>
      <c r="E28" s="170"/>
      <c r="F28" s="179"/>
      <c r="G28" s="198"/>
      <c r="H28" s="204">
        <f t="shared" si="0"/>
        <v>0</v>
      </c>
      <c r="I28" s="175"/>
      <c r="J28" s="205"/>
      <c r="K28" s="180"/>
      <c r="L28" s="28"/>
      <c r="M28" s="212"/>
      <c r="N28" s="180"/>
      <c r="O28" s="198"/>
      <c r="P28" s="207"/>
      <c r="Q28" s="208"/>
      <c r="R28" s="28"/>
      <c r="S28" s="179"/>
      <c r="T28" s="185"/>
      <c r="U28" s="168"/>
      <c r="V28" s="30"/>
      <c r="W28" s="31"/>
      <c r="X28" s="31"/>
      <c r="Y28" s="31"/>
      <c r="Z28" s="33"/>
    </row>
    <row r="29" spans="1:26">
      <c r="A29" s="174">
        <v>19</v>
      </c>
      <c r="B29" s="168"/>
      <c r="C29" s="28"/>
      <c r="D29" s="169"/>
      <c r="E29" s="170"/>
      <c r="F29" s="179"/>
      <c r="G29" s="198"/>
      <c r="H29" s="204">
        <f t="shared" si="0"/>
        <v>0</v>
      </c>
      <c r="I29" s="175"/>
      <c r="J29" s="205"/>
      <c r="K29" s="180"/>
      <c r="L29" s="28"/>
      <c r="M29" s="212"/>
      <c r="N29" s="180"/>
      <c r="O29" s="198"/>
      <c r="P29" s="207"/>
      <c r="Q29" s="208"/>
      <c r="R29" s="28"/>
      <c r="S29" s="179"/>
      <c r="T29" s="185"/>
      <c r="U29" s="168"/>
      <c r="V29" s="30"/>
      <c r="W29" s="31"/>
      <c r="X29" s="31"/>
      <c r="Y29" s="31"/>
      <c r="Z29" s="33"/>
    </row>
    <row r="30" spans="1:26">
      <c r="A30" s="174">
        <v>20</v>
      </c>
      <c r="B30" s="168"/>
      <c r="C30" s="28"/>
      <c r="D30" s="169"/>
      <c r="E30" s="170"/>
      <c r="F30" s="179"/>
      <c r="G30" s="198"/>
      <c r="H30" s="204">
        <f>G30*E30</f>
        <v>0</v>
      </c>
      <c r="I30" s="175"/>
      <c r="J30" s="205"/>
      <c r="K30" s="180"/>
      <c r="L30" s="28"/>
      <c r="M30" s="212"/>
      <c r="N30" s="180"/>
      <c r="O30" s="198"/>
      <c r="P30" s="207"/>
      <c r="Q30" s="208"/>
      <c r="R30" s="28"/>
      <c r="S30" s="179"/>
      <c r="T30" s="185"/>
      <c r="U30" s="168"/>
      <c r="V30" s="30"/>
      <c r="W30" s="31"/>
      <c r="X30" s="31"/>
      <c r="Y30" s="31"/>
      <c r="Z30" s="33"/>
    </row>
    <row r="31" spans="1:26">
      <c r="A31" s="174">
        <v>21</v>
      </c>
      <c r="B31" s="168"/>
      <c r="C31" s="28"/>
      <c r="D31" s="169"/>
      <c r="E31" s="170"/>
      <c r="F31" s="179"/>
      <c r="G31" s="198"/>
      <c r="H31" s="204">
        <f>G31*E31</f>
        <v>0</v>
      </c>
      <c r="I31" s="175"/>
      <c r="J31" s="205"/>
      <c r="K31" s="180"/>
      <c r="L31" s="28"/>
      <c r="M31" s="212"/>
      <c r="N31" s="180"/>
      <c r="O31" s="198"/>
      <c r="P31" s="207"/>
      <c r="Q31" s="208"/>
      <c r="R31" s="28"/>
      <c r="S31" s="179"/>
      <c r="T31" s="185"/>
      <c r="U31" s="168"/>
      <c r="V31" s="30"/>
      <c r="W31" s="31"/>
      <c r="X31" s="31"/>
      <c r="Y31" s="31"/>
      <c r="Z31" s="33"/>
    </row>
    <row r="32" spans="1:26">
      <c r="A32" s="184">
        <v>22</v>
      </c>
      <c r="B32" s="168"/>
      <c r="C32" s="28"/>
      <c r="D32" s="169"/>
      <c r="E32" s="170"/>
      <c r="F32" s="179"/>
      <c r="G32" s="198"/>
      <c r="H32" s="204">
        <f>G32*E32</f>
        <v>0</v>
      </c>
      <c r="I32" s="175"/>
      <c r="J32" s="205"/>
      <c r="K32" s="180"/>
      <c r="L32" s="28"/>
      <c r="M32" s="212"/>
      <c r="N32" s="180"/>
      <c r="O32" s="198"/>
      <c r="P32" s="207"/>
      <c r="Q32" s="208"/>
      <c r="R32" s="28"/>
      <c r="S32" s="179"/>
      <c r="T32" s="185"/>
      <c r="U32" s="168"/>
      <c r="V32" s="30"/>
      <c r="W32" s="31"/>
      <c r="X32" s="31"/>
      <c r="Y32" s="31"/>
      <c r="Z32" s="33"/>
    </row>
    <row r="33" spans="1:26" s="83" customFormat="1" ht="12.75" thickBot="1">
      <c r="A33" s="184">
        <v>23</v>
      </c>
      <c r="B33" s="214"/>
      <c r="C33" s="215"/>
      <c r="D33" s="216"/>
      <c r="E33" s="217"/>
      <c r="F33" s="218"/>
      <c r="G33" s="219"/>
      <c r="H33" s="220">
        <f t="shared" si="0"/>
        <v>0</v>
      </c>
      <c r="I33" s="221"/>
      <c r="J33" s="205"/>
      <c r="K33" s="222"/>
      <c r="L33" s="223"/>
      <c r="M33" s="224"/>
      <c r="N33" s="222"/>
      <c r="O33" s="219"/>
      <c r="P33" s="225"/>
      <c r="Q33" s="226"/>
      <c r="R33" s="215"/>
      <c r="S33" s="218"/>
      <c r="T33" s="227"/>
      <c r="U33" s="214"/>
      <c r="V33" s="228"/>
      <c r="W33" s="229"/>
      <c r="X33" s="229"/>
      <c r="Y33" s="229"/>
      <c r="Z33"/>
    </row>
    <row r="34" spans="1:26" ht="23.25" customHeight="1" thickTop="1" thickBot="1">
      <c r="A34" s="230"/>
      <c r="B34" s="231"/>
      <c r="C34" s="231"/>
      <c r="D34" s="231"/>
      <c r="E34" s="232"/>
      <c r="F34" s="106" t="s">
        <v>325</v>
      </c>
      <c r="G34" s="233">
        <f>SUM(G11:G33)</f>
        <v>0</v>
      </c>
      <c r="H34" s="234">
        <f>SUM(H11:H33)</f>
        <v>0</v>
      </c>
      <c r="I34" s="235"/>
      <c r="J34" s="235"/>
      <c r="K34" s="236"/>
      <c r="L34" s="543" t="s">
        <v>326</v>
      </c>
      <c r="M34" s="544"/>
      <c r="N34" s="544"/>
      <c r="O34" s="233">
        <f>SUM(O11:O33)</f>
        <v>0</v>
      </c>
      <c r="P34" s="234">
        <f>SUM(P11:P33)</f>
        <v>0</v>
      </c>
      <c r="Q34" s="237"/>
      <c r="R34" s="237"/>
      <c r="S34" s="237"/>
      <c r="T34" s="231"/>
      <c r="U34" s="231"/>
      <c r="V34" s="238"/>
      <c r="W34" s="31"/>
      <c r="X34" s="31"/>
      <c r="Y34" s="31"/>
      <c r="Z34" s="33"/>
    </row>
    <row r="35" spans="1:26" ht="12.75" thickTop="1">
      <c r="A35" s="186"/>
      <c r="B35" s="187"/>
      <c r="C35" s="187"/>
      <c r="D35" s="187"/>
      <c r="E35" s="188"/>
      <c r="F35" s="31"/>
      <c r="G35" s="188"/>
      <c r="H35" s="189"/>
      <c r="I35" s="189"/>
      <c r="J35" s="189"/>
      <c r="K35" s="186"/>
      <c r="L35" s="31"/>
      <c r="M35" s="186"/>
      <c r="N35" s="186"/>
      <c r="O35" s="31"/>
      <c r="P35" s="31"/>
      <c r="Q35" s="31"/>
      <c r="R35" s="31"/>
      <c r="S35" s="31"/>
      <c r="T35" s="187"/>
      <c r="U35" s="187"/>
      <c r="V35" s="31"/>
      <c r="W35" s="31"/>
      <c r="X35" s="31"/>
      <c r="Y35" s="31"/>
      <c r="Z35" s="33"/>
    </row>
    <row r="36" spans="1:26">
      <c r="A36" s="186"/>
      <c r="B36" s="187"/>
      <c r="C36" s="107" t="s">
        <v>327</v>
      </c>
      <c r="D36" s="108"/>
      <c r="E36" s="188"/>
      <c r="F36" s="31"/>
      <c r="G36" s="188"/>
      <c r="H36" s="189"/>
      <c r="I36" s="189"/>
      <c r="J36" s="189"/>
      <c r="K36" s="186"/>
      <c r="L36" s="31"/>
      <c r="M36" s="186"/>
      <c r="N36" s="186"/>
      <c r="O36" s="31"/>
      <c r="P36" s="31"/>
      <c r="Q36" s="31"/>
      <c r="R36" s="31"/>
      <c r="S36" s="31"/>
      <c r="T36" s="187"/>
      <c r="U36" s="187"/>
      <c r="V36" s="31"/>
      <c r="W36" s="31"/>
      <c r="X36" s="31"/>
      <c r="Y36" s="31"/>
      <c r="Z36" s="31"/>
    </row>
    <row r="40" spans="1:26">
      <c r="A40" s="186"/>
      <c r="B40" s="187"/>
      <c r="C40" s="187"/>
      <c r="D40" s="187"/>
      <c r="E40" s="188"/>
      <c r="F40" s="31"/>
      <c r="G40" s="188"/>
      <c r="H40" s="189"/>
      <c r="I40" s="189"/>
      <c r="J40" s="189"/>
      <c r="K40" s="186"/>
      <c r="L40" s="239"/>
      <c r="M40" s="186"/>
      <c r="N40" s="186"/>
      <c r="O40" s="31"/>
      <c r="P40" s="31"/>
      <c r="Q40" s="31"/>
      <c r="R40" s="31"/>
      <c r="S40" s="31"/>
      <c r="T40" s="187"/>
      <c r="U40" s="187"/>
      <c r="V40" s="31"/>
      <c r="W40" s="31"/>
      <c r="X40" s="31"/>
      <c r="Y40" s="31"/>
      <c r="Z40" s="31"/>
    </row>
    <row r="45" spans="1:26">
      <c r="A45" s="186"/>
      <c r="B45" s="187"/>
      <c r="C45" s="187"/>
      <c r="D45" s="102" t="s">
        <v>328</v>
      </c>
      <c r="E45" s="188"/>
      <c r="F45" s="31"/>
      <c r="G45" s="188"/>
      <c r="H45" s="189"/>
      <c r="I45" s="189"/>
      <c r="J45" s="189"/>
      <c r="K45" s="186"/>
      <c r="L45" s="31"/>
      <c r="M45" s="186"/>
      <c r="N45" s="186"/>
      <c r="O45" s="31"/>
      <c r="P45" s="31"/>
      <c r="Q45" s="31"/>
      <c r="R45" s="31"/>
      <c r="S45" s="31"/>
      <c r="T45" s="187"/>
      <c r="U45" s="187"/>
      <c r="V45" s="31"/>
      <c r="W45" s="31"/>
      <c r="X45" s="31"/>
      <c r="Y45" s="31"/>
      <c r="Z45" s="31"/>
    </row>
    <row r="46" spans="1:26">
      <c r="A46" s="186"/>
      <c r="B46" s="187"/>
      <c r="C46" s="187"/>
      <c r="D46" s="98" t="s">
        <v>329</v>
      </c>
      <c r="E46" s="188"/>
      <c r="F46" s="31"/>
      <c r="G46" s="188"/>
      <c r="H46" s="189"/>
      <c r="I46" s="189"/>
      <c r="J46" s="189"/>
      <c r="K46" s="186"/>
      <c r="L46" s="31"/>
      <c r="M46" s="186"/>
      <c r="N46" s="186"/>
      <c r="O46" s="31"/>
      <c r="P46" s="31"/>
      <c r="Q46" s="31"/>
      <c r="R46" s="31"/>
      <c r="S46" s="31"/>
      <c r="T46" s="187"/>
      <c r="U46" s="187"/>
      <c r="V46" s="31"/>
      <c r="W46" s="31"/>
      <c r="X46" s="31"/>
      <c r="Y46" s="31"/>
      <c r="Z46" s="31"/>
    </row>
    <row r="47" spans="1:26">
      <c r="A47" s="186"/>
      <c r="B47" s="187"/>
      <c r="C47" s="187"/>
      <c r="D47" s="99" t="s">
        <v>330</v>
      </c>
      <c r="E47" s="188"/>
      <c r="F47" s="31"/>
      <c r="G47" s="188"/>
      <c r="H47" s="189"/>
      <c r="I47" s="189"/>
      <c r="J47" s="189"/>
      <c r="K47" s="186"/>
      <c r="L47" s="31"/>
      <c r="M47" s="186"/>
      <c r="N47" s="186"/>
      <c r="O47" s="31"/>
      <c r="P47" s="31"/>
      <c r="Q47" s="31"/>
      <c r="R47" s="31"/>
      <c r="S47" s="31"/>
      <c r="T47" s="187"/>
      <c r="U47" s="187"/>
      <c r="V47" s="31"/>
      <c r="W47" s="31"/>
      <c r="X47" s="31"/>
      <c r="Y47" s="31"/>
      <c r="Z47" s="31"/>
    </row>
    <row r="48" spans="1:26">
      <c r="A48" s="186"/>
      <c r="B48" s="187"/>
      <c r="C48" s="187"/>
      <c r="D48" s="100" t="s">
        <v>185</v>
      </c>
      <c r="E48" s="188"/>
      <c r="F48" s="31"/>
      <c r="G48" s="188"/>
      <c r="H48" s="189"/>
      <c r="I48" s="189"/>
      <c r="J48" s="189"/>
      <c r="K48" s="186"/>
      <c r="L48" s="31"/>
      <c r="M48" s="186"/>
      <c r="N48" s="186"/>
      <c r="O48" s="31"/>
      <c r="P48" s="31"/>
      <c r="Q48" s="31"/>
      <c r="R48" s="31"/>
      <c r="S48" s="31"/>
      <c r="T48" s="187"/>
      <c r="U48" s="187"/>
      <c r="V48" s="31"/>
      <c r="W48" s="31"/>
      <c r="X48" s="31"/>
      <c r="Y48" s="31"/>
      <c r="Z48" s="31"/>
    </row>
    <row r="49" spans="4:4">
      <c r="D49" s="100" t="s">
        <v>191</v>
      </c>
    </row>
    <row r="50" spans="4:4">
      <c r="D50" s="100" t="s">
        <v>197</v>
      </c>
    </row>
    <row r="51" spans="4:4">
      <c r="D51" s="100" t="s">
        <v>213</v>
      </c>
    </row>
    <row r="52" spans="4:4">
      <c r="D52" s="100" t="s">
        <v>206</v>
      </c>
    </row>
    <row r="53" spans="4:4">
      <c r="D53" s="99" t="s">
        <v>331</v>
      </c>
    </row>
    <row r="54" spans="4:4">
      <c r="D54" s="99" t="s">
        <v>332</v>
      </c>
    </row>
    <row r="55" spans="4:4">
      <c r="D55" s="99" t="s">
        <v>333</v>
      </c>
    </row>
    <row r="56" spans="4:4">
      <c r="D56" s="99" t="s">
        <v>334</v>
      </c>
    </row>
    <row r="57" spans="4:4">
      <c r="D57" s="99" t="s">
        <v>335</v>
      </c>
    </row>
    <row r="58" spans="4:4">
      <c r="D58" s="99" t="s">
        <v>336</v>
      </c>
    </row>
    <row r="59" spans="4:4">
      <c r="D59" s="99" t="s">
        <v>337</v>
      </c>
    </row>
    <row r="60" spans="4:4">
      <c r="D60" s="99" t="s">
        <v>304</v>
      </c>
    </row>
    <row r="61" spans="4:4">
      <c r="D61" s="99" t="s">
        <v>338</v>
      </c>
    </row>
    <row r="62" spans="4:4">
      <c r="D62" s="99" t="s">
        <v>308</v>
      </c>
    </row>
    <row r="63" spans="4:4">
      <c r="D63" s="99" t="s">
        <v>339</v>
      </c>
    </row>
    <row r="64" spans="4:4">
      <c r="D64" s="99" t="s">
        <v>340</v>
      </c>
    </row>
    <row r="65" spans="4:4">
      <c r="D65" s="99" t="s">
        <v>341</v>
      </c>
    </row>
    <row r="66" spans="4:4">
      <c r="D66" s="99" t="s">
        <v>342</v>
      </c>
    </row>
    <row r="67" spans="4:4">
      <c r="D67" s="99" t="s">
        <v>343</v>
      </c>
    </row>
    <row r="68" spans="4:4">
      <c r="D68" s="99" t="s">
        <v>344</v>
      </c>
    </row>
    <row r="69" spans="4:4">
      <c r="D69" s="99" t="s">
        <v>345</v>
      </c>
    </row>
    <row r="70" spans="4:4">
      <c r="D70" s="99" t="s">
        <v>276</v>
      </c>
    </row>
    <row r="71" spans="4:4">
      <c r="D71" s="101" t="s">
        <v>346</v>
      </c>
    </row>
  </sheetData>
  <autoFilter ref="A9:V9" xr:uid="{00000000-0009-0000-0000-000003000000}"/>
  <mergeCells count="19">
    <mergeCell ref="L34:N34"/>
    <mergeCell ref="G1:K1"/>
    <mergeCell ref="G2:K2"/>
    <mergeCell ref="L1:O1"/>
    <mergeCell ref="L2:O2"/>
    <mergeCell ref="F3:G3"/>
    <mergeCell ref="F5:G5"/>
    <mergeCell ref="F6:G6"/>
    <mergeCell ref="F7:G7"/>
    <mergeCell ref="D1:F1"/>
    <mergeCell ref="D6:E6"/>
    <mergeCell ref="D7:E7"/>
    <mergeCell ref="T1:U1"/>
    <mergeCell ref="D2:F2"/>
    <mergeCell ref="T2:U2"/>
    <mergeCell ref="D3:E3"/>
    <mergeCell ref="D5:E5"/>
    <mergeCell ref="D4:E4"/>
    <mergeCell ref="F4:G4"/>
  </mergeCells>
  <phoneticPr fontId="2"/>
  <conditionalFormatting sqref="A11:V33">
    <cfRule type="expression" dxfId="42" priority="1" stopIfTrue="1">
      <formula>$U11="消滅"</formula>
    </cfRule>
  </conditionalFormatting>
  <dataValidations count="3">
    <dataValidation type="list" allowBlank="1" showInputMessage="1" showErrorMessage="1" sqref="U11:U33" xr:uid="{00000000-0002-0000-0300-000000000000}">
      <formula1>"監視継続,顕在化,消滅"</formula1>
    </dataValidation>
    <dataValidation type="list" showInputMessage="1" showErrorMessage="1" sqref="D11:D33" xr:uid="{00000000-0002-0000-0300-000001000000}">
      <formula1>$D$46:$D$71</formula1>
    </dataValidation>
    <dataValidation type="list" allowBlank="1" showInputMessage="1" showErrorMessage="1" sqref="J11:J33" xr:uid="{00000000-0002-0000-0300-000002000000}">
      <formula1>"回避,転嫁,軽減,受容"</formula1>
    </dataValidation>
  </dataValidations>
  <hyperlinks>
    <hyperlink ref="J8" location="リスク管理計画立案手順ガイド!A1" display="▼対応方針についての詳細説明はこちら" xr:uid="{ED6202A1-79B0-4263-BBC3-8294EFE4A1B6}"/>
  </hyperlinks>
  <printOptions horizontalCentered="1"/>
  <pageMargins left="0.19685039370078741" right="0.19685039370078741" top="0.82677165354330717" bottom="0.47244094488188981" header="0.51181102362204722" footer="0.19685039370078741"/>
  <pageSetup paperSize="8" scale="60" fitToHeight="0" orientation="landscape" cellComments="asDisplayed" r:id="rId1"/>
  <headerFooter alignWithMargins="0">
    <oddFooter>&amp;L伊藤忠テクノソリューションズ株式会社&amp;C&amp;P/&amp;N&amp;RCQMS-S-102T5 Ver.09.00</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4FE2B-90D3-4E9F-94E6-D6EEEC1B5C8F}">
  <sheetPr>
    <pageSetUpPr fitToPage="1"/>
  </sheetPr>
  <dimension ref="A1:X98"/>
  <sheetViews>
    <sheetView topLeftCell="A52" workbookViewId="0"/>
  </sheetViews>
  <sheetFormatPr defaultColWidth="8.140625" defaultRowHeight="12"/>
  <cols>
    <col min="1" max="1" width="4" style="84" customWidth="1"/>
    <col min="2" max="2" width="10" style="85" customWidth="1"/>
    <col min="3" max="3" width="57.28515625" style="85" customWidth="1"/>
    <col min="4" max="4" width="32.85546875" style="85" customWidth="1"/>
    <col min="5" max="5" width="34.28515625" style="86" customWidth="1"/>
    <col min="6" max="6" width="12" style="86" customWidth="1"/>
    <col min="7" max="7" width="53.85546875" style="78" customWidth="1"/>
    <col min="8" max="8" width="12.140625" style="86" customWidth="1"/>
    <col min="9" max="9" width="17.28515625" style="87" customWidth="1"/>
    <col min="10" max="10" width="25" style="87" customWidth="1"/>
    <col min="11" max="11" width="25.140625" style="87" customWidth="1"/>
    <col min="12" max="12" width="27.28515625" style="87" customWidth="1"/>
    <col min="13" max="13" width="7.85546875" style="84" customWidth="1"/>
    <col min="14" max="14" width="67" style="78" customWidth="1"/>
    <col min="15" max="15" width="15" style="78" customWidth="1"/>
    <col min="16" max="16" width="9.42578125" style="84" customWidth="1"/>
    <col min="17" max="17" width="9" style="84" customWidth="1"/>
    <col min="18" max="18" width="10.7109375" style="78" customWidth="1"/>
    <col min="19" max="19" width="7" style="78" customWidth="1"/>
    <col min="20" max="21" width="23.7109375" style="78" customWidth="1"/>
    <col min="22" max="22" width="16.5703125" style="85" customWidth="1"/>
    <col min="23" max="23" width="24.28515625" style="85" customWidth="1"/>
    <col min="24" max="24" width="23.7109375" style="78" customWidth="1"/>
    <col min="25" max="16384" width="8.140625" style="78"/>
  </cols>
  <sheetData>
    <row r="1" spans="1:24" ht="16.5">
      <c r="A1" s="359" t="s">
        <v>131</v>
      </c>
      <c r="B1" s="187"/>
      <c r="C1" s="187"/>
      <c r="D1" s="187"/>
      <c r="E1" s="188"/>
      <c r="F1" s="188"/>
      <c r="G1" s="31"/>
      <c r="H1" s="188"/>
      <c r="I1" s="189"/>
      <c r="J1" s="189"/>
      <c r="K1" s="189"/>
      <c r="L1" s="189"/>
      <c r="M1" s="186"/>
      <c r="N1" s="31"/>
      <c r="O1" s="31"/>
      <c r="P1" s="186"/>
      <c r="Q1" s="186"/>
      <c r="R1" s="31"/>
      <c r="S1" s="31"/>
      <c r="T1" s="31"/>
      <c r="U1" s="31"/>
      <c r="V1" s="187"/>
      <c r="W1" s="187"/>
      <c r="X1" s="31"/>
    </row>
    <row r="2" spans="1:24" ht="16.5">
      <c r="A2" s="360" t="s">
        <v>132</v>
      </c>
      <c r="B2" s="187"/>
      <c r="C2" s="187"/>
      <c r="D2" s="187"/>
      <c r="E2" s="188"/>
      <c r="F2" s="316"/>
      <c r="G2" s="31"/>
      <c r="H2" s="188"/>
      <c r="I2" s="189"/>
      <c r="J2" s="189"/>
      <c r="K2" s="189"/>
      <c r="L2" s="189"/>
      <c r="M2" s="186"/>
      <c r="N2" s="31"/>
      <c r="O2" s="31"/>
      <c r="P2" s="186"/>
      <c r="Q2" s="186"/>
      <c r="R2" s="31"/>
      <c r="S2" s="31"/>
      <c r="T2" s="31"/>
      <c r="U2" s="31"/>
      <c r="V2" s="187"/>
      <c r="W2" s="187"/>
      <c r="X2" s="31"/>
    </row>
    <row r="3" spans="1:24" ht="16.5">
      <c r="A3" s="360" t="s">
        <v>133</v>
      </c>
      <c r="B3" s="187"/>
      <c r="C3" s="187"/>
      <c r="D3" s="187"/>
      <c r="E3" s="188"/>
      <c r="F3" s="188"/>
      <c r="G3" s="31"/>
      <c r="H3" s="188"/>
      <c r="I3" s="189"/>
      <c r="J3" s="189"/>
      <c r="K3" s="189"/>
      <c r="L3" s="189"/>
      <c r="M3" s="186"/>
      <c r="N3" s="31"/>
      <c r="O3" s="31"/>
      <c r="P3" s="186"/>
      <c r="Q3" s="186"/>
      <c r="R3" s="31"/>
      <c r="S3" s="31"/>
      <c r="T3" s="31"/>
      <c r="U3" s="31"/>
      <c r="V3" s="187"/>
      <c r="W3" s="187"/>
      <c r="X3" s="31"/>
    </row>
    <row r="4" spans="1:24" ht="16.5">
      <c r="A4" s="360" t="s">
        <v>134</v>
      </c>
      <c r="B4" s="187"/>
      <c r="C4" s="187"/>
      <c r="D4" s="187"/>
      <c r="E4" s="188"/>
      <c r="F4" s="188"/>
      <c r="G4" s="31"/>
      <c r="H4" s="188"/>
      <c r="I4" s="189"/>
      <c r="J4" s="189"/>
      <c r="K4" s="491"/>
      <c r="L4" s="189"/>
      <c r="M4" s="186"/>
      <c r="N4" s="31"/>
      <c r="O4" s="31"/>
      <c r="P4" s="186"/>
      <c r="Q4" s="186"/>
      <c r="R4" s="31"/>
      <c r="S4" s="31"/>
      <c r="T4" s="31"/>
      <c r="U4" s="31"/>
      <c r="V4" s="187"/>
      <c r="W4" s="187"/>
      <c r="X4" s="31"/>
    </row>
    <row r="5" spans="1:24" s="16" customFormat="1" ht="12" customHeight="1" thickBot="1">
      <c r="A5" s="17"/>
      <c r="B5" s="23" t="s">
        <v>135</v>
      </c>
      <c r="C5" s="23"/>
      <c r="D5" s="23"/>
      <c r="E5" s="25"/>
      <c r="F5" s="25"/>
      <c r="H5" s="25"/>
      <c r="I5" s="26"/>
      <c r="J5" s="26"/>
      <c r="K5" s="491" t="s">
        <v>136</v>
      </c>
      <c r="L5" s="26"/>
      <c r="M5" s="17"/>
      <c r="P5" s="17"/>
      <c r="Q5" s="17"/>
      <c r="V5" s="164"/>
      <c r="W5" s="164"/>
      <c r="X5" s="165"/>
    </row>
    <row r="6" spans="1:24" ht="57.75" thickTop="1">
      <c r="A6" s="317" t="s">
        <v>65</v>
      </c>
      <c r="B6" s="318" t="s">
        <v>137</v>
      </c>
      <c r="C6" s="319" t="s">
        <v>138</v>
      </c>
      <c r="D6" s="318" t="s">
        <v>22</v>
      </c>
      <c r="E6" s="320" t="s">
        <v>139</v>
      </c>
      <c r="F6" s="320" t="s">
        <v>140</v>
      </c>
      <c r="G6" s="321" t="s">
        <v>141</v>
      </c>
      <c r="H6" s="322" t="s">
        <v>142</v>
      </c>
      <c r="I6" s="323" t="s">
        <v>143</v>
      </c>
      <c r="J6" s="324" t="s">
        <v>144</v>
      </c>
      <c r="K6" s="361" t="s">
        <v>145</v>
      </c>
      <c r="L6" s="403" t="s">
        <v>146</v>
      </c>
      <c r="M6" s="318" t="s">
        <v>147</v>
      </c>
      <c r="N6" s="319" t="s">
        <v>148</v>
      </c>
      <c r="O6" s="319" t="s">
        <v>149</v>
      </c>
      <c r="P6" s="325" t="s">
        <v>150</v>
      </c>
      <c r="Q6" s="325" t="s">
        <v>151</v>
      </c>
      <c r="R6" s="353" t="s">
        <v>152</v>
      </c>
      <c r="S6" s="137" t="s">
        <v>153</v>
      </c>
      <c r="T6" s="192" t="s">
        <v>154</v>
      </c>
      <c r="U6" s="138" t="s">
        <v>155</v>
      </c>
      <c r="V6" s="139" t="s">
        <v>156</v>
      </c>
      <c r="W6" s="140" t="s">
        <v>157</v>
      </c>
      <c r="X6" s="141" t="s">
        <v>158</v>
      </c>
    </row>
    <row r="7" spans="1:24" ht="7.5" customHeight="1">
      <c r="A7" s="326"/>
      <c r="B7" s="327"/>
      <c r="C7" s="328"/>
      <c r="D7" s="327"/>
      <c r="E7" s="329"/>
      <c r="F7" s="329"/>
      <c r="G7" s="330"/>
      <c r="H7" s="331"/>
      <c r="I7" s="332"/>
      <c r="J7" s="333"/>
      <c r="K7" s="362"/>
      <c r="L7" s="365"/>
      <c r="M7" s="366"/>
      <c r="N7" s="335"/>
      <c r="O7" s="368"/>
      <c r="P7" s="334"/>
      <c r="Q7" s="334"/>
      <c r="R7" s="354"/>
      <c r="S7" s="310"/>
      <c r="T7" s="311"/>
      <c r="U7" s="312"/>
      <c r="V7" s="313"/>
      <c r="W7" s="314"/>
      <c r="X7" s="315"/>
    </row>
    <row r="8" spans="1:24" ht="239.25" customHeight="1">
      <c r="A8" s="336" t="s">
        <v>159</v>
      </c>
      <c r="B8" s="342" t="s">
        <v>160</v>
      </c>
      <c r="C8" s="339" t="s">
        <v>161</v>
      </c>
      <c r="D8" s="343" t="s">
        <v>162</v>
      </c>
      <c r="E8" s="344" t="s">
        <v>163</v>
      </c>
      <c r="F8" s="344" t="s">
        <v>164</v>
      </c>
      <c r="G8" s="340" t="s">
        <v>165</v>
      </c>
      <c r="H8" s="345" t="s">
        <v>166</v>
      </c>
      <c r="I8" s="346" t="s">
        <v>167</v>
      </c>
      <c r="J8" s="337" t="s">
        <v>168</v>
      </c>
      <c r="K8" s="363" t="s">
        <v>169</v>
      </c>
      <c r="L8" s="404" t="s">
        <v>170</v>
      </c>
      <c r="M8" s="343" t="s">
        <v>171</v>
      </c>
      <c r="N8" s="339" t="s">
        <v>172</v>
      </c>
      <c r="O8" s="369" t="s">
        <v>173</v>
      </c>
      <c r="P8" s="338" t="s">
        <v>174</v>
      </c>
      <c r="Q8" s="340" t="s">
        <v>175</v>
      </c>
      <c r="R8" s="355" t="s">
        <v>176</v>
      </c>
      <c r="S8" s="117" t="s">
        <v>177</v>
      </c>
      <c r="T8" s="116" t="s">
        <v>178</v>
      </c>
      <c r="U8" s="118" t="s">
        <v>179</v>
      </c>
      <c r="V8" s="119" t="s">
        <v>180</v>
      </c>
      <c r="W8" s="120" t="s">
        <v>181</v>
      </c>
      <c r="X8" s="121" t="s">
        <v>182</v>
      </c>
    </row>
    <row r="9" spans="1:24" ht="13.5">
      <c r="A9" s="402" t="s">
        <v>183</v>
      </c>
      <c r="B9" s="390"/>
      <c r="C9" s="391"/>
      <c r="D9" s="392"/>
      <c r="E9" s="393"/>
      <c r="F9" s="393"/>
      <c r="G9" s="391"/>
      <c r="H9" s="397"/>
      <c r="I9" s="398"/>
      <c r="J9" s="394"/>
      <c r="K9" s="399"/>
      <c r="L9" s="394"/>
      <c r="M9" s="392"/>
      <c r="N9" s="391"/>
      <c r="O9" s="395"/>
      <c r="P9" s="392"/>
      <c r="Q9" s="391"/>
      <c r="R9" s="400"/>
      <c r="S9" s="395"/>
      <c r="T9" s="391"/>
      <c r="U9" s="401"/>
      <c r="V9" s="390"/>
      <c r="W9" s="390"/>
      <c r="X9" s="396"/>
    </row>
    <row r="10" spans="1:24" ht="57">
      <c r="A10" s="375">
        <v>1</v>
      </c>
      <c r="B10" s="376"/>
      <c r="C10" s="299" t="s">
        <v>373</v>
      </c>
      <c r="D10" s="378" t="s">
        <v>185</v>
      </c>
      <c r="E10" s="379" t="s">
        <v>186</v>
      </c>
      <c r="F10" s="379">
        <v>0.2</v>
      </c>
      <c r="G10" s="380" t="s">
        <v>374</v>
      </c>
      <c r="H10" s="381"/>
      <c r="I10" s="382">
        <f>H10*F10</f>
        <v>0</v>
      </c>
      <c r="J10" s="383"/>
      <c r="K10" s="384" t="s">
        <v>187</v>
      </c>
      <c r="L10" s="385"/>
      <c r="M10" s="376"/>
      <c r="N10" s="377" t="s">
        <v>375</v>
      </c>
      <c r="O10" s="386" t="s">
        <v>189</v>
      </c>
      <c r="P10" s="387"/>
      <c r="Q10" s="388"/>
      <c r="R10" s="357"/>
      <c r="S10" s="112"/>
      <c r="T10" s="9"/>
      <c r="U10" s="389"/>
      <c r="V10" s="176"/>
      <c r="W10" s="177"/>
      <c r="X10" s="10"/>
    </row>
    <row r="11" spans="1:24" ht="85.5">
      <c r="A11" s="375">
        <f>A10+1</f>
        <v>2</v>
      </c>
      <c r="B11" s="298"/>
      <c r="C11" s="299" t="s">
        <v>190</v>
      </c>
      <c r="D11" s="300" t="s">
        <v>191</v>
      </c>
      <c r="E11" s="301"/>
      <c r="F11" s="301">
        <v>0.2</v>
      </c>
      <c r="G11" s="302" t="s">
        <v>376</v>
      </c>
      <c r="H11" s="303"/>
      <c r="I11" s="304">
        <f>H11*F11</f>
        <v>0</v>
      </c>
      <c r="J11" s="305"/>
      <c r="K11" s="364" t="s">
        <v>187</v>
      </c>
      <c r="L11" s="367"/>
      <c r="M11" s="298"/>
      <c r="N11" s="299" t="s">
        <v>195</v>
      </c>
      <c r="O11" s="347" t="s">
        <v>189</v>
      </c>
      <c r="P11" s="341"/>
      <c r="Q11" s="306"/>
      <c r="R11" s="356"/>
      <c r="S11" s="111"/>
      <c r="T11" s="3"/>
      <c r="U11" s="79"/>
      <c r="V11" s="176"/>
      <c r="W11" s="177"/>
      <c r="X11" s="10"/>
    </row>
    <row r="12" spans="1:24" ht="85.5">
      <c r="A12" s="375">
        <f t="shared" ref="A12:A23" si="0">A11+1</f>
        <v>3</v>
      </c>
      <c r="B12" s="298"/>
      <c r="C12" s="299" t="s">
        <v>193</v>
      </c>
      <c r="D12" s="300" t="s">
        <v>191</v>
      </c>
      <c r="E12" s="301"/>
      <c r="F12" s="301">
        <v>0.2</v>
      </c>
      <c r="G12" s="302" t="s">
        <v>376</v>
      </c>
      <c r="H12" s="303"/>
      <c r="I12" s="304">
        <f>H12*F12</f>
        <v>0</v>
      </c>
      <c r="J12" s="305"/>
      <c r="K12" s="364" t="s">
        <v>187</v>
      </c>
      <c r="L12" s="367"/>
      <c r="M12" s="298"/>
      <c r="N12" s="299" t="s">
        <v>195</v>
      </c>
      <c r="O12" s="347" t="s">
        <v>189</v>
      </c>
      <c r="P12" s="341"/>
      <c r="Q12" s="306"/>
      <c r="R12" s="356"/>
      <c r="S12" s="111"/>
      <c r="T12" s="3"/>
      <c r="U12" s="79"/>
      <c r="V12" s="176"/>
      <c r="W12" s="177"/>
      <c r="X12" s="10"/>
    </row>
    <row r="13" spans="1:24" ht="99.75">
      <c r="A13" s="375">
        <f t="shared" si="0"/>
        <v>4</v>
      </c>
      <c r="B13" s="298"/>
      <c r="C13" s="299" t="s">
        <v>196</v>
      </c>
      <c r="D13" s="300" t="s">
        <v>197</v>
      </c>
      <c r="E13" s="301"/>
      <c r="F13" s="301">
        <v>0.2</v>
      </c>
      <c r="G13" s="302" t="s">
        <v>377</v>
      </c>
      <c r="H13" s="303"/>
      <c r="I13" s="304"/>
      <c r="J13" s="305"/>
      <c r="K13" s="364" t="s">
        <v>187</v>
      </c>
      <c r="L13" s="367"/>
      <c r="M13" s="298"/>
      <c r="N13" s="299" t="s">
        <v>198</v>
      </c>
      <c r="O13" s="347" t="s">
        <v>189</v>
      </c>
      <c r="P13" s="341"/>
      <c r="Q13" s="306"/>
      <c r="R13" s="356"/>
      <c r="S13" s="111"/>
      <c r="T13" s="3"/>
      <c r="U13" s="79"/>
      <c r="V13" s="176"/>
      <c r="W13" s="177"/>
      <c r="X13" s="10"/>
    </row>
    <row r="14" spans="1:24" ht="85.5">
      <c r="A14" s="375">
        <f t="shared" si="0"/>
        <v>5</v>
      </c>
      <c r="B14" s="298"/>
      <c r="C14" s="299" t="s">
        <v>199</v>
      </c>
      <c r="D14" s="300" t="s">
        <v>197</v>
      </c>
      <c r="E14" s="301"/>
      <c r="F14" s="301">
        <v>0.2</v>
      </c>
      <c r="G14" s="302" t="s">
        <v>378</v>
      </c>
      <c r="H14" s="303"/>
      <c r="I14" s="304"/>
      <c r="J14" s="305"/>
      <c r="K14" s="364" t="s">
        <v>187</v>
      </c>
      <c r="L14" s="367"/>
      <c r="M14" s="298"/>
      <c r="N14" s="299" t="s">
        <v>200</v>
      </c>
      <c r="O14" s="347" t="s">
        <v>189</v>
      </c>
      <c r="P14" s="341"/>
      <c r="Q14" s="306"/>
      <c r="R14" s="356"/>
      <c r="S14" s="111"/>
      <c r="T14" s="3"/>
      <c r="U14" s="79"/>
      <c r="V14" s="176"/>
      <c r="W14" s="177"/>
      <c r="X14" s="10"/>
    </row>
    <row r="15" spans="1:24" ht="85.5">
      <c r="A15" s="375">
        <f t="shared" si="0"/>
        <v>6</v>
      </c>
      <c r="B15" s="298"/>
      <c r="C15" s="299" t="s">
        <v>201</v>
      </c>
      <c r="D15" s="300" t="s">
        <v>197</v>
      </c>
      <c r="E15" s="301"/>
      <c r="F15" s="301">
        <v>0.2</v>
      </c>
      <c r="G15" s="302" t="s">
        <v>379</v>
      </c>
      <c r="H15" s="303"/>
      <c r="I15" s="304"/>
      <c r="J15" s="305"/>
      <c r="K15" s="364" t="s">
        <v>187</v>
      </c>
      <c r="L15" s="367"/>
      <c r="M15" s="298"/>
      <c r="N15" s="299" t="s">
        <v>202</v>
      </c>
      <c r="O15" s="347" t="s">
        <v>189</v>
      </c>
      <c r="P15" s="341"/>
      <c r="Q15" s="306"/>
      <c r="R15" s="356"/>
      <c r="S15" s="111"/>
      <c r="T15" s="3"/>
      <c r="U15" s="79"/>
      <c r="V15" s="176"/>
      <c r="W15" s="177"/>
      <c r="X15" s="10"/>
    </row>
    <row r="16" spans="1:24" ht="85.5">
      <c r="A16" s="375">
        <f t="shared" si="0"/>
        <v>7</v>
      </c>
      <c r="B16" s="298"/>
      <c r="C16" s="405" t="s">
        <v>203</v>
      </c>
      <c r="D16" s="406" t="s">
        <v>197</v>
      </c>
      <c r="E16" s="301"/>
      <c r="F16" s="301">
        <v>0.2</v>
      </c>
      <c r="G16" s="408" t="s">
        <v>380</v>
      </c>
      <c r="H16" s="303"/>
      <c r="I16" s="304"/>
      <c r="J16" s="305"/>
      <c r="K16" s="364" t="s">
        <v>194</v>
      </c>
      <c r="L16" s="367"/>
      <c r="M16" s="298"/>
      <c r="N16" s="405" t="s">
        <v>204</v>
      </c>
      <c r="O16" s="347" t="s">
        <v>189</v>
      </c>
      <c r="P16" s="341"/>
      <c r="Q16" s="306"/>
      <c r="R16" s="356"/>
      <c r="S16" s="111"/>
      <c r="T16" s="3"/>
      <c r="U16" s="79"/>
      <c r="V16" s="176"/>
      <c r="W16" s="177"/>
      <c r="X16" s="10"/>
    </row>
    <row r="17" spans="1:24" ht="71.25">
      <c r="A17" s="375">
        <f t="shared" si="0"/>
        <v>8</v>
      </c>
      <c r="B17" s="298"/>
      <c r="C17" s="299" t="s">
        <v>205</v>
      </c>
      <c r="D17" s="300" t="s">
        <v>206</v>
      </c>
      <c r="E17" s="301"/>
      <c r="F17" s="301">
        <v>0.3</v>
      </c>
      <c r="G17" s="302" t="s">
        <v>381</v>
      </c>
      <c r="H17" s="303"/>
      <c r="I17" s="304"/>
      <c r="J17" s="305"/>
      <c r="K17" s="364" t="s">
        <v>194</v>
      </c>
      <c r="L17" s="367"/>
      <c r="M17" s="298"/>
      <c r="N17" s="299" t="s">
        <v>382</v>
      </c>
      <c r="O17" s="347" t="s">
        <v>189</v>
      </c>
      <c r="P17" s="341"/>
      <c r="Q17" s="306"/>
      <c r="R17" s="356"/>
      <c r="S17" s="111"/>
      <c r="T17" s="3"/>
      <c r="U17" s="79"/>
      <c r="V17" s="176"/>
      <c r="W17" s="168"/>
      <c r="X17" s="178"/>
    </row>
    <row r="18" spans="1:24" ht="99.75">
      <c r="A18" s="375">
        <f t="shared" si="0"/>
        <v>9</v>
      </c>
      <c r="B18" s="298"/>
      <c r="C18" s="299" t="s">
        <v>208</v>
      </c>
      <c r="D18" s="300" t="s">
        <v>209</v>
      </c>
      <c r="E18" s="301"/>
      <c r="F18" s="301">
        <v>0.2</v>
      </c>
      <c r="G18" s="302" t="s">
        <v>383</v>
      </c>
      <c r="H18" s="303"/>
      <c r="I18" s="304">
        <f>H18*F18</f>
        <v>0</v>
      </c>
      <c r="J18" s="305"/>
      <c r="K18" s="364" t="s">
        <v>187</v>
      </c>
      <c r="L18" s="367"/>
      <c r="M18" s="298"/>
      <c r="N18" s="299" t="s">
        <v>211</v>
      </c>
      <c r="O18" s="347" t="s">
        <v>189</v>
      </c>
      <c r="P18" s="341"/>
      <c r="Q18" s="306"/>
      <c r="R18" s="356"/>
      <c r="S18" s="208"/>
      <c r="T18" s="28"/>
      <c r="U18" s="179"/>
      <c r="V18" s="185"/>
      <c r="W18" s="168"/>
      <c r="X18" s="30"/>
    </row>
    <row r="19" spans="1:24" ht="42.75">
      <c r="A19" s="375">
        <f t="shared" si="0"/>
        <v>10</v>
      </c>
      <c r="B19" s="298"/>
      <c r="C19" s="405" t="s">
        <v>212</v>
      </c>
      <c r="D19" s="406" t="s">
        <v>213</v>
      </c>
      <c r="E19" s="301"/>
      <c r="F19" s="407">
        <v>0.1</v>
      </c>
      <c r="G19" s="408" t="s">
        <v>384</v>
      </c>
      <c r="H19" s="303"/>
      <c r="I19" s="304">
        <f>H19*F19</f>
        <v>0</v>
      </c>
      <c r="J19" s="305"/>
      <c r="K19" s="409" t="s">
        <v>194</v>
      </c>
      <c r="L19" s="367"/>
      <c r="M19" s="298"/>
      <c r="N19" s="405" t="s">
        <v>214</v>
      </c>
      <c r="O19" s="347" t="s">
        <v>189</v>
      </c>
      <c r="P19" s="341"/>
      <c r="Q19" s="306"/>
      <c r="R19" s="356"/>
      <c r="S19" s="208"/>
      <c r="T19" s="28"/>
      <c r="U19" s="179"/>
      <c r="V19" s="185"/>
      <c r="W19" s="168"/>
      <c r="X19" s="30"/>
    </row>
    <row r="20" spans="1:24" ht="42.75">
      <c r="A20" s="375">
        <f t="shared" si="0"/>
        <v>11</v>
      </c>
      <c r="B20" s="298"/>
      <c r="C20" s="405" t="s">
        <v>215</v>
      </c>
      <c r="D20" s="406" t="s">
        <v>213</v>
      </c>
      <c r="E20" s="301"/>
      <c r="F20" s="407">
        <v>0.1</v>
      </c>
      <c r="G20" s="408" t="s">
        <v>385</v>
      </c>
      <c r="H20" s="303"/>
      <c r="I20" s="304">
        <f>H20*F20</f>
        <v>0</v>
      </c>
      <c r="J20" s="305"/>
      <c r="K20" s="409" t="s">
        <v>386</v>
      </c>
      <c r="L20" s="367"/>
      <c r="M20" s="298"/>
      <c r="N20" s="405" t="s">
        <v>216</v>
      </c>
      <c r="O20" s="347" t="s">
        <v>189</v>
      </c>
      <c r="P20" s="341"/>
      <c r="Q20" s="306"/>
      <c r="R20" s="356"/>
      <c r="S20" s="208"/>
      <c r="T20" s="28"/>
      <c r="U20" s="179"/>
      <c r="V20" s="185"/>
      <c r="W20" s="168"/>
      <c r="X20" s="30"/>
    </row>
    <row r="21" spans="1:24" ht="85.5">
      <c r="A21" s="375">
        <f t="shared" si="0"/>
        <v>12</v>
      </c>
      <c r="B21" s="298"/>
      <c r="C21" s="299" t="s">
        <v>217</v>
      </c>
      <c r="D21" s="300" t="s">
        <v>209</v>
      </c>
      <c r="E21" s="301"/>
      <c r="F21" s="301">
        <v>0.2</v>
      </c>
      <c r="G21" s="302" t="s">
        <v>387</v>
      </c>
      <c r="H21" s="303"/>
      <c r="I21" s="304">
        <f>H21*F21</f>
        <v>0</v>
      </c>
      <c r="J21" s="305"/>
      <c r="K21" s="364" t="s">
        <v>187</v>
      </c>
      <c r="L21" s="367"/>
      <c r="M21" s="298"/>
      <c r="N21" s="299" t="s">
        <v>211</v>
      </c>
      <c r="O21" s="347" t="s">
        <v>189</v>
      </c>
      <c r="P21" s="341"/>
      <c r="Q21" s="306"/>
      <c r="R21" s="356"/>
      <c r="S21" s="208"/>
      <c r="T21" s="28"/>
      <c r="U21" s="179"/>
      <c r="V21" s="185"/>
      <c r="W21" s="168"/>
      <c r="X21" s="30"/>
    </row>
    <row r="22" spans="1:24" ht="85.5">
      <c r="A22" s="375">
        <f t="shared" si="0"/>
        <v>13</v>
      </c>
      <c r="B22" s="298"/>
      <c r="C22" s="299" t="s">
        <v>218</v>
      </c>
      <c r="D22" s="300" t="s">
        <v>219</v>
      </c>
      <c r="E22" s="301"/>
      <c r="F22" s="301">
        <v>0.2</v>
      </c>
      <c r="G22" s="302" t="s">
        <v>220</v>
      </c>
      <c r="H22" s="303"/>
      <c r="I22" s="304">
        <f>H22*F22</f>
        <v>0</v>
      </c>
      <c r="J22" s="305"/>
      <c r="K22" s="364" t="s">
        <v>187</v>
      </c>
      <c r="L22" s="367"/>
      <c r="M22" s="298"/>
      <c r="N22" s="299" t="s">
        <v>221</v>
      </c>
      <c r="O22" s="347" t="s">
        <v>189</v>
      </c>
      <c r="P22" s="341"/>
      <c r="Q22" s="306"/>
      <c r="R22" s="356"/>
      <c r="S22" s="208"/>
      <c r="T22" s="28"/>
      <c r="U22" s="179"/>
      <c r="V22" s="185"/>
      <c r="W22" s="168"/>
      <c r="X22" s="30"/>
    </row>
    <row r="23" spans="1:24" ht="71.25">
      <c r="A23" s="375">
        <f t="shared" si="0"/>
        <v>14</v>
      </c>
      <c r="B23" s="298"/>
      <c r="C23" s="299" t="s">
        <v>222</v>
      </c>
      <c r="D23" s="300" t="s">
        <v>223</v>
      </c>
      <c r="E23" s="301"/>
      <c r="F23" s="301"/>
      <c r="G23" s="302" t="s">
        <v>388</v>
      </c>
      <c r="H23" s="303"/>
      <c r="I23" s="304"/>
      <c r="J23" s="305"/>
      <c r="K23" s="364" t="s">
        <v>389</v>
      </c>
      <c r="L23" s="367"/>
      <c r="M23" s="298"/>
      <c r="N23" s="299" t="s">
        <v>224</v>
      </c>
      <c r="O23" s="347" t="s">
        <v>189</v>
      </c>
      <c r="P23" s="341"/>
      <c r="Q23" s="306"/>
      <c r="R23" s="356"/>
      <c r="S23" s="208"/>
      <c r="T23" s="28"/>
      <c r="U23" s="179"/>
      <c r="V23" s="185"/>
      <c r="W23" s="168"/>
      <c r="X23" s="30"/>
    </row>
    <row r="24" spans="1:24" ht="13.5">
      <c r="A24" s="402" t="s">
        <v>225</v>
      </c>
      <c r="B24" s="390"/>
      <c r="C24" s="391"/>
      <c r="D24" s="392"/>
      <c r="E24" s="393"/>
      <c r="F24" s="393"/>
      <c r="G24" s="391"/>
      <c r="H24" s="397"/>
      <c r="I24" s="398"/>
      <c r="J24" s="394"/>
      <c r="K24" s="399"/>
      <c r="L24" s="394"/>
      <c r="M24" s="392"/>
      <c r="N24" s="391"/>
      <c r="O24" s="395"/>
      <c r="P24" s="392"/>
      <c r="Q24" s="391"/>
      <c r="R24" s="400"/>
      <c r="S24" s="395"/>
      <c r="T24" s="391"/>
      <c r="U24" s="401"/>
      <c r="V24" s="390"/>
      <c r="W24" s="390"/>
      <c r="X24" s="396"/>
    </row>
    <row r="25" spans="1:24" ht="85.5">
      <c r="A25" s="309">
        <f>A23+1</f>
        <v>15</v>
      </c>
      <c r="B25" s="298"/>
      <c r="C25" s="299" t="s">
        <v>226</v>
      </c>
      <c r="D25" s="300" t="s">
        <v>213</v>
      </c>
      <c r="E25" s="301"/>
      <c r="F25" s="301">
        <v>0.2</v>
      </c>
      <c r="G25" s="302" t="s">
        <v>390</v>
      </c>
      <c r="H25" s="303"/>
      <c r="I25" s="304"/>
      <c r="J25" s="305"/>
      <c r="K25" s="364" t="s">
        <v>194</v>
      </c>
      <c r="L25" s="367"/>
      <c r="M25" s="298"/>
      <c r="N25" s="299" t="s">
        <v>227</v>
      </c>
      <c r="O25" s="347" t="s">
        <v>189</v>
      </c>
      <c r="P25" s="341"/>
      <c r="Q25" s="306"/>
      <c r="R25" s="356"/>
      <c r="S25" s="111"/>
      <c r="T25" s="3"/>
      <c r="U25" s="79"/>
      <c r="V25" s="176"/>
      <c r="W25" s="177"/>
      <c r="X25" s="10"/>
    </row>
    <row r="26" spans="1:24" ht="71.25">
      <c r="A26" s="375">
        <f t="shared" ref="A26:A44" si="1">A25+1</f>
        <v>16</v>
      </c>
      <c r="B26" s="298"/>
      <c r="C26" s="299" t="s">
        <v>228</v>
      </c>
      <c r="D26" s="300" t="s">
        <v>213</v>
      </c>
      <c r="E26" s="301"/>
      <c r="F26" s="301">
        <v>0.1</v>
      </c>
      <c r="G26" s="302" t="s">
        <v>391</v>
      </c>
      <c r="H26" s="303"/>
      <c r="I26" s="304">
        <f>H26*F26</f>
        <v>0</v>
      </c>
      <c r="J26" s="305"/>
      <c r="K26" s="364" t="s">
        <v>194</v>
      </c>
      <c r="L26" s="367"/>
      <c r="M26" s="298"/>
      <c r="N26" s="299" t="s">
        <v>230</v>
      </c>
      <c r="O26" s="347" t="s">
        <v>189</v>
      </c>
      <c r="P26" s="341"/>
      <c r="Q26" s="306"/>
      <c r="R26" s="356"/>
      <c r="S26" s="111"/>
      <c r="T26" s="3"/>
      <c r="U26" s="79"/>
      <c r="V26" s="176"/>
      <c r="W26" s="168"/>
      <c r="X26" s="178"/>
    </row>
    <row r="27" spans="1:24" ht="85.5">
      <c r="A27" s="375">
        <f t="shared" si="1"/>
        <v>17</v>
      </c>
      <c r="B27" s="298"/>
      <c r="C27" s="299" t="s">
        <v>231</v>
      </c>
      <c r="D27" s="300" t="s">
        <v>206</v>
      </c>
      <c r="E27" s="301"/>
      <c r="F27" s="301">
        <v>0.3</v>
      </c>
      <c r="G27" s="302" t="s">
        <v>232</v>
      </c>
      <c r="H27" s="307"/>
      <c r="I27" s="304">
        <f>H27*F27</f>
        <v>0</v>
      </c>
      <c r="J27" s="305"/>
      <c r="K27" s="364" t="s">
        <v>386</v>
      </c>
      <c r="L27" s="367"/>
      <c r="M27" s="298"/>
      <c r="N27" s="299" t="s">
        <v>233</v>
      </c>
      <c r="O27" s="347" t="s">
        <v>189</v>
      </c>
      <c r="P27" s="341"/>
      <c r="Q27" s="306"/>
      <c r="R27" s="357"/>
      <c r="S27" s="112"/>
      <c r="T27" s="9"/>
      <c r="U27" s="82"/>
      <c r="V27" s="176"/>
      <c r="W27" s="181"/>
      <c r="X27" s="178"/>
    </row>
    <row r="28" spans="1:24" ht="99.75">
      <c r="A28" s="375">
        <f t="shared" si="1"/>
        <v>18</v>
      </c>
      <c r="B28" s="298"/>
      <c r="C28" s="299" t="s">
        <v>234</v>
      </c>
      <c r="D28" s="300" t="s">
        <v>206</v>
      </c>
      <c r="E28" s="301"/>
      <c r="F28" s="301">
        <v>0.3</v>
      </c>
      <c r="G28" s="302" t="s">
        <v>392</v>
      </c>
      <c r="H28" s="303"/>
      <c r="I28" s="304"/>
      <c r="J28" s="305"/>
      <c r="K28" s="364" t="s">
        <v>194</v>
      </c>
      <c r="L28" s="367"/>
      <c r="M28" s="298"/>
      <c r="N28" s="299" t="s">
        <v>235</v>
      </c>
      <c r="O28" s="347" t="s">
        <v>189</v>
      </c>
      <c r="P28" s="341"/>
      <c r="Q28" s="306"/>
      <c r="R28" s="356"/>
      <c r="S28" s="111"/>
      <c r="T28" s="3"/>
      <c r="U28" s="79"/>
      <c r="V28" s="176"/>
      <c r="W28" s="168"/>
      <c r="X28" s="178"/>
    </row>
    <row r="29" spans="1:24" ht="85.5">
      <c r="A29" s="375">
        <f t="shared" si="1"/>
        <v>19</v>
      </c>
      <c r="B29" s="298"/>
      <c r="C29" s="299" t="s">
        <v>236</v>
      </c>
      <c r="D29" s="300" t="s">
        <v>209</v>
      </c>
      <c r="E29" s="301"/>
      <c r="F29" s="301">
        <v>0.2</v>
      </c>
      <c r="G29" s="302" t="s">
        <v>393</v>
      </c>
      <c r="H29" s="303"/>
      <c r="I29" s="304">
        <f>H29*F29</f>
        <v>0</v>
      </c>
      <c r="J29" s="305"/>
      <c r="K29" s="364" t="s">
        <v>187</v>
      </c>
      <c r="L29" s="367"/>
      <c r="M29" s="298"/>
      <c r="N29" s="299" t="s">
        <v>211</v>
      </c>
      <c r="O29" s="347" t="s">
        <v>189</v>
      </c>
      <c r="P29" s="341"/>
      <c r="Q29" s="306"/>
      <c r="R29" s="356"/>
      <c r="S29" s="208"/>
      <c r="T29" s="28"/>
      <c r="U29" s="179"/>
      <c r="V29" s="185"/>
      <c r="W29" s="168"/>
      <c r="X29" s="30"/>
    </row>
    <row r="30" spans="1:24" ht="99.75">
      <c r="A30" s="375">
        <f t="shared" si="1"/>
        <v>20</v>
      </c>
      <c r="B30" s="298"/>
      <c r="C30" s="299" t="s">
        <v>237</v>
      </c>
      <c r="D30" s="300" t="s">
        <v>209</v>
      </c>
      <c r="E30" s="301"/>
      <c r="F30" s="301">
        <v>0.2</v>
      </c>
      <c r="G30" s="302" t="s">
        <v>394</v>
      </c>
      <c r="H30" s="303"/>
      <c r="I30" s="304">
        <f>H30*F30</f>
        <v>0</v>
      </c>
      <c r="J30" s="305"/>
      <c r="K30" s="364" t="s">
        <v>187</v>
      </c>
      <c r="L30" s="367"/>
      <c r="M30" s="298"/>
      <c r="N30" s="299" t="s">
        <v>211</v>
      </c>
      <c r="O30" s="347" t="s">
        <v>189</v>
      </c>
      <c r="P30" s="341"/>
      <c r="Q30" s="306"/>
      <c r="R30" s="356"/>
      <c r="S30" s="208"/>
      <c r="T30" s="28"/>
      <c r="U30" s="179"/>
      <c r="V30" s="185"/>
      <c r="W30" s="168"/>
      <c r="X30" s="30"/>
    </row>
    <row r="31" spans="1:24" ht="57">
      <c r="A31" s="375">
        <f t="shared" si="1"/>
        <v>21</v>
      </c>
      <c r="B31" s="298"/>
      <c r="C31" s="299" t="s">
        <v>238</v>
      </c>
      <c r="D31" s="300" t="s">
        <v>239</v>
      </c>
      <c r="E31" s="301"/>
      <c r="F31" s="301">
        <v>0.3</v>
      </c>
      <c r="G31" s="302" t="s">
        <v>281</v>
      </c>
      <c r="H31" s="303"/>
      <c r="I31" s="304"/>
      <c r="J31" s="305"/>
      <c r="K31" s="364" t="s">
        <v>194</v>
      </c>
      <c r="L31" s="367"/>
      <c r="M31" s="298"/>
      <c r="N31" s="299" t="s">
        <v>240</v>
      </c>
      <c r="O31" s="347" t="s">
        <v>189</v>
      </c>
      <c r="P31" s="341"/>
      <c r="Q31" s="306"/>
      <c r="R31" s="356"/>
      <c r="S31" s="208"/>
      <c r="T31" s="28"/>
      <c r="U31" s="179"/>
      <c r="V31" s="185"/>
      <c r="W31" s="168"/>
      <c r="X31" s="30"/>
    </row>
    <row r="32" spans="1:24" ht="57">
      <c r="A32" s="375">
        <f t="shared" si="1"/>
        <v>22</v>
      </c>
      <c r="B32" s="298"/>
      <c r="C32" s="299" t="s">
        <v>241</v>
      </c>
      <c r="D32" s="300" t="s">
        <v>239</v>
      </c>
      <c r="E32" s="301"/>
      <c r="F32" s="301">
        <v>0.3</v>
      </c>
      <c r="G32" s="302" t="s">
        <v>242</v>
      </c>
      <c r="H32" s="303"/>
      <c r="I32" s="304"/>
      <c r="J32" s="305"/>
      <c r="K32" s="364" t="s">
        <v>386</v>
      </c>
      <c r="L32" s="367"/>
      <c r="M32" s="298"/>
      <c r="N32" s="299" t="s">
        <v>243</v>
      </c>
      <c r="O32" s="347" t="s">
        <v>189</v>
      </c>
      <c r="P32" s="341"/>
      <c r="Q32" s="306"/>
      <c r="R32" s="356"/>
      <c r="S32" s="208"/>
      <c r="T32" s="28"/>
      <c r="U32" s="179"/>
      <c r="V32" s="185"/>
      <c r="W32" s="168"/>
      <c r="X32" s="30"/>
    </row>
    <row r="33" spans="1:24" s="31" customFormat="1" ht="56.1" customHeight="1">
      <c r="A33" s="375">
        <f t="shared" si="1"/>
        <v>23</v>
      </c>
      <c r="B33" s="298"/>
      <c r="C33" s="299" t="s">
        <v>244</v>
      </c>
      <c r="D33" s="300" t="s">
        <v>245</v>
      </c>
      <c r="E33" s="301"/>
      <c r="F33" s="301">
        <v>0.2</v>
      </c>
      <c r="G33" s="302" t="s">
        <v>246</v>
      </c>
      <c r="H33" s="303"/>
      <c r="I33" s="304"/>
      <c r="J33" s="305"/>
      <c r="K33" s="364" t="s">
        <v>194</v>
      </c>
      <c r="L33" s="367"/>
      <c r="M33" s="298"/>
      <c r="N33" s="299" t="s">
        <v>247</v>
      </c>
      <c r="O33" s="347" t="s">
        <v>189</v>
      </c>
      <c r="P33" s="341"/>
      <c r="Q33" s="306"/>
      <c r="R33" s="356"/>
      <c r="S33" s="208"/>
      <c r="T33" s="28"/>
      <c r="U33" s="179"/>
      <c r="V33" s="185"/>
      <c r="W33" s="168"/>
      <c r="X33" s="30"/>
    </row>
    <row r="34" spans="1:24" s="31" customFormat="1" ht="99.75">
      <c r="A34" s="375">
        <f t="shared" si="1"/>
        <v>24</v>
      </c>
      <c r="B34" s="298"/>
      <c r="C34" s="299" t="s">
        <v>248</v>
      </c>
      <c r="D34" s="300" t="s">
        <v>249</v>
      </c>
      <c r="E34" s="301"/>
      <c r="F34" s="301">
        <v>0.2</v>
      </c>
      <c r="G34" s="302" t="s">
        <v>250</v>
      </c>
      <c r="H34" s="303"/>
      <c r="I34" s="304"/>
      <c r="J34" s="305"/>
      <c r="K34" s="364" t="s">
        <v>194</v>
      </c>
      <c r="L34" s="367"/>
      <c r="M34" s="298"/>
      <c r="N34" s="299" t="s">
        <v>251</v>
      </c>
      <c r="O34" s="347" t="s">
        <v>189</v>
      </c>
      <c r="P34" s="341"/>
      <c r="Q34" s="306"/>
      <c r="R34" s="356"/>
      <c r="S34" s="208"/>
      <c r="T34" s="28"/>
      <c r="U34" s="179"/>
      <c r="V34" s="185"/>
      <c r="W34" s="168"/>
      <c r="X34" s="30"/>
    </row>
    <row r="35" spans="1:24" s="31" customFormat="1" ht="99.75">
      <c r="A35" s="375">
        <f t="shared" si="1"/>
        <v>25</v>
      </c>
      <c r="B35" s="298"/>
      <c r="C35" s="299" t="s">
        <v>252</v>
      </c>
      <c r="D35" s="300" t="s">
        <v>249</v>
      </c>
      <c r="E35" s="301"/>
      <c r="F35" s="301">
        <v>0.2</v>
      </c>
      <c r="G35" s="302" t="s">
        <v>395</v>
      </c>
      <c r="H35" s="303"/>
      <c r="I35" s="304"/>
      <c r="J35" s="305"/>
      <c r="K35" s="364" t="s">
        <v>194</v>
      </c>
      <c r="L35" s="367"/>
      <c r="M35" s="298"/>
      <c r="N35" s="299" t="s">
        <v>253</v>
      </c>
      <c r="O35" s="347" t="s">
        <v>189</v>
      </c>
      <c r="P35" s="341"/>
      <c r="Q35" s="306"/>
      <c r="R35" s="356"/>
      <c r="S35" s="208"/>
      <c r="T35" s="28"/>
      <c r="U35" s="179"/>
      <c r="V35" s="185"/>
      <c r="W35" s="168"/>
      <c r="X35" s="30"/>
    </row>
    <row r="36" spans="1:24" s="31" customFormat="1" ht="85.5">
      <c r="A36" s="375">
        <f t="shared" si="1"/>
        <v>26</v>
      </c>
      <c r="B36" s="298"/>
      <c r="C36" s="299" t="s">
        <v>254</v>
      </c>
      <c r="D36" s="300" t="s">
        <v>249</v>
      </c>
      <c r="E36" s="301"/>
      <c r="F36" s="301">
        <v>0.2</v>
      </c>
      <c r="G36" s="302" t="s">
        <v>255</v>
      </c>
      <c r="H36" s="303"/>
      <c r="I36" s="304"/>
      <c r="J36" s="305"/>
      <c r="K36" s="364" t="s">
        <v>194</v>
      </c>
      <c r="L36" s="367"/>
      <c r="M36" s="298"/>
      <c r="N36" s="302" t="s">
        <v>256</v>
      </c>
      <c r="O36" s="347" t="s">
        <v>189</v>
      </c>
      <c r="P36" s="341"/>
      <c r="Q36" s="306"/>
      <c r="R36" s="356"/>
      <c r="S36" s="208"/>
      <c r="T36" s="28"/>
      <c r="U36" s="179"/>
      <c r="V36" s="185"/>
      <c r="W36" s="168"/>
      <c r="X36" s="30"/>
    </row>
    <row r="37" spans="1:24" s="31" customFormat="1" ht="99.75">
      <c r="A37" s="375">
        <f t="shared" si="1"/>
        <v>27</v>
      </c>
      <c r="B37" s="298"/>
      <c r="C37" s="299" t="s">
        <v>257</v>
      </c>
      <c r="D37" s="300" t="s">
        <v>249</v>
      </c>
      <c r="E37" s="301"/>
      <c r="F37" s="301">
        <v>0.2</v>
      </c>
      <c r="G37" s="302" t="s">
        <v>258</v>
      </c>
      <c r="H37" s="303"/>
      <c r="I37" s="304"/>
      <c r="J37" s="305"/>
      <c r="K37" s="364" t="s">
        <v>194</v>
      </c>
      <c r="L37" s="367"/>
      <c r="M37" s="298"/>
      <c r="N37" s="299" t="s">
        <v>259</v>
      </c>
      <c r="O37" s="347" t="s">
        <v>189</v>
      </c>
      <c r="P37" s="341"/>
      <c r="Q37" s="306"/>
      <c r="R37" s="356"/>
      <c r="S37" s="208"/>
      <c r="T37" s="28"/>
      <c r="U37" s="179"/>
      <c r="V37" s="185"/>
      <c r="W37" s="168"/>
      <c r="X37" s="30"/>
    </row>
    <row r="38" spans="1:24" s="31" customFormat="1" ht="42.75">
      <c r="A38" s="375">
        <f t="shared" si="1"/>
        <v>28</v>
      </c>
      <c r="B38" s="298"/>
      <c r="C38" s="299" t="s">
        <v>260</v>
      </c>
      <c r="D38" s="300" t="s">
        <v>261</v>
      </c>
      <c r="E38" s="301"/>
      <c r="F38" s="301">
        <v>0.2</v>
      </c>
      <c r="G38" s="302" t="s">
        <v>396</v>
      </c>
      <c r="H38" s="303"/>
      <c r="I38" s="304"/>
      <c r="J38" s="305"/>
      <c r="K38" s="364" t="s">
        <v>187</v>
      </c>
      <c r="L38" s="367"/>
      <c r="M38" s="298"/>
      <c r="N38" s="299" t="s">
        <v>397</v>
      </c>
      <c r="O38" s="347" t="s">
        <v>189</v>
      </c>
      <c r="P38" s="341"/>
      <c r="Q38" s="306"/>
      <c r="R38" s="356"/>
      <c r="S38" s="208"/>
      <c r="T38" s="28"/>
      <c r="U38" s="179"/>
      <c r="V38" s="185"/>
      <c r="W38" s="168"/>
      <c r="X38" s="30"/>
    </row>
    <row r="39" spans="1:24" s="31" customFormat="1" ht="28.5">
      <c r="A39" s="375">
        <f t="shared" si="1"/>
        <v>29</v>
      </c>
      <c r="B39" s="298"/>
      <c r="C39" s="405" t="s">
        <v>263</v>
      </c>
      <c r="D39" s="406" t="s">
        <v>249</v>
      </c>
      <c r="E39" s="301"/>
      <c r="F39" s="407">
        <v>0.2</v>
      </c>
      <c r="G39" s="408" t="s">
        <v>264</v>
      </c>
      <c r="H39" s="303"/>
      <c r="I39" s="304"/>
      <c r="J39" s="305"/>
      <c r="K39" s="409" t="s">
        <v>386</v>
      </c>
      <c r="L39" s="367"/>
      <c r="M39" s="298"/>
      <c r="N39" s="405" t="s">
        <v>265</v>
      </c>
      <c r="O39" s="347" t="s">
        <v>189</v>
      </c>
      <c r="P39" s="341"/>
      <c r="Q39" s="306"/>
      <c r="R39" s="356"/>
      <c r="S39" s="208"/>
      <c r="T39" s="28"/>
      <c r="U39" s="179"/>
      <c r="V39" s="185"/>
      <c r="W39" s="168"/>
      <c r="X39" s="30"/>
    </row>
    <row r="40" spans="1:24" s="31" customFormat="1" ht="57">
      <c r="A40" s="375">
        <f t="shared" si="1"/>
        <v>30</v>
      </c>
      <c r="B40" s="298"/>
      <c r="C40" s="405" t="s">
        <v>266</v>
      </c>
      <c r="D40" s="406" t="s">
        <v>249</v>
      </c>
      <c r="E40" s="301"/>
      <c r="F40" s="407">
        <v>0.2</v>
      </c>
      <c r="G40" s="408" t="s">
        <v>267</v>
      </c>
      <c r="H40" s="303"/>
      <c r="I40" s="304"/>
      <c r="J40" s="305"/>
      <c r="K40" s="409" t="s">
        <v>386</v>
      </c>
      <c r="L40" s="367"/>
      <c r="M40" s="298"/>
      <c r="N40" s="405" t="s">
        <v>268</v>
      </c>
      <c r="O40" s="347" t="s">
        <v>189</v>
      </c>
      <c r="P40" s="341"/>
      <c r="Q40" s="306"/>
      <c r="R40" s="356"/>
      <c r="S40" s="208"/>
      <c r="T40" s="28"/>
      <c r="U40" s="179"/>
      <c r="V40" s="185"/>
      <c r="W40" s="168"/>
      <c r="X40" s="30"/>
    </row>
    <row r="41" spans="1:24" s="31" customFormat="1" ht="42.75">
      <c r="A41" s="375">
        <f t="shared" si="1"/>
        <v>31</v>
      </c>
      <c r="B41" s="298"/>
      <c r="C41" s="405" t="s">
        <v>269</v>
      </c>
      <c r="D41" s="406" t="s">
        <v>249</v>
      </c>
      <c r="E41" s="301"/>
      <c r="F41" s="407">
        <v>0.2</v>
      </c>
      <c r="G41" s="408" t="s">
        <v>267</v>
      </c>
      <c r="H41" s="303"/>
      <c r="I41" s="304"/>
      <c r="J41" s="305"/>
      <c r="K41" s="409" t="s">
        <v>386</v>
      </c>
      <c r="L41" s="367"/>
      <c r="M41" s="298"/>
      <c r="N41" s="405" t="s">
        <v>270</v>
      </c>
      <c r="O41" s="347" t="s">
        <v>189</v>
      </c>
      <c r="P41" s="341"/>
      <c r="Q41" s="306"/>
      <c r="R41" s="356"/>
      <c r="S41" s="208"/>
      <c r="T41" s="28"/>
      <c r="U41" s="179"/>
      <c r="V41" s="185"/>
      <c r="W41" s="168"/>
      <c r="X41" s="30"/>
    </row>
    <row r="42" spans="1:24" ht="99.75">
      <c r="A42" s="375">
        <f t="shared" si="1"/>
        <v>32</v>
      </c>
      <c r="B42" s="298"/>
      <c r="C42" s="308" t="s">
        <v>271</v>
      </c>
      <c r="D42" s="300" t="s">
        <v>272</v>
      </c>
      <c r="E42" s="301"/>
      <c r="F42" s="301">
        <v>0.1</v>
      </c>
      <c r="G42" s="302" t="s">
        <v>273</v>
      </c>
      <c r="H42" s="303"/>
      <c r="I42" s="304"/>
      <c r="J42" s="305"/>
      <c r="K42" s="364" t="s">
        <v>194</v>
      </c>
      <c r="L42" s="367"/>
      <c r="M42" s="298"/>
      <c r="N42" s="299" t="s">
        <v>274</v>
      </c>
      <c r="O42" s="347" t="s">
        <v>189</v>
      </c>
      <c r="P42" s="341"/>
      <c r="Q42" s="306"/>
      <c r="R42" s="356"/>
      <c r="S42" s="208"/>
      <c r="T42" s="28"/>
      <c r="U42" s="179"/>
      <c r="V42" s="185"/>
      <c r="W42" s="168"/>
      <c r="X42" s="30"/>
    </row>
    <row r="43" spans="1:24" ht="28.5">
      <c r="A43" s="375">
        <f t="shared" si="1"/>
        <v>33</v>
      </c>
      <c r="B43" s="298"/>
      <c r="C43" s="299" t="s">
        <v>275</v>
      </c>
      <c r="D43" s="300" t="s">
        <v>276</v>
      </c>
      <c r="E43" s="301"/>
      <c r="F43" s="301">
        <v>0.1</v>
      </c>
      <c r="G43" s="302" t="s">
        <v>277</v>
      </c>
      <c r="H43" s="303"/>
      <c r="I43" s="304"/>
      <c r="J43" s="305"/>
      <c r="K43" s="364" t="s">
        <v>187</v>
      </c>
      <c r="L43" s="367"/>
      <c r="M43" s="298"/>
      <c r="N43" s="299" t="s">
        <v>278</v>
      </c>
      <c r="O43" s="347" t="s">
        <v>189</v>
      </c>
      <c r="P43" s="341"/>
      <c r="Q43" s="306"/>
      <c r="R43" s="356"/>
      <c r="S43" s="208"/>
      <c r="T43" s="28"/>
      <c r="U43" s="179"/>
      <c r="V43" s="185"/>
      <c r="W43" s="168"/>
      <c r="X43" s="30"/>
    </row>
    <row r="44" spans="1:24" ht="71.25">
      <c r="A44" s="375">
        <f t="shared" si="1"/>
        <v>34</v>
      </c>
      <c r="B44" s="298"/>
      <c r="C44" s="299" t="s">
        <v>279</v>
      </c>
      <c r="D44" s="300" t="s">
        <v>280</v>
      </c>
      <c r="E44" s="301"/>
      <c r="F44" s="301">
        <v>0.1</v>
      </c>
      <c r="G44" s="302" t="s">
        <v>281</v>
      </c>
      <c r="H44" s="303"/>
      <c r="I44" s="304"/>
      <c r="J44" s="305"/>
      <c r="K44" s="364" t="s">
        <v>187</v>
      </c>
      <c r="L44" s="367"/>
      <c r="M44" s="298"/>
      <c r="N44" s="299" t="s">
        <v>282</v>
      </c>
      <c r="O44" s="347" t="s">
        <v>189</v>
      </c>
      <c r="P44" s="341"/>
      <c r="Q44" s="306"/>
      <c r="R44" s="356"/>
      <c r="S44" s="208"/>
      <c r="T44" s="28"/>
      <c r="U44" s="179"/>
      <c r="V44" s="185"/>
      <c r="W44" s="168"/>
      <c r="X44" s="30"/>
    </row>
    <row r="45" spans="1:24" ht="13.5">
      <c r="A45" s="402" t="s">
        <v>283</v>
      </c>
      <c r="B45" s="390"/>
      <c r="C45" s="391"/>
      <c r="D45" s="392"/>
      <c r="E45" s="393"/>
      <c r="F45" s="393"/>
      <c r="G45" s="391"/>
      <c r="H45" s="397"/>
      <c r="I45" s="398"/>
      <c r="J45" s="394"/>
      <c r="K45" s="399"/>
      <c r="L45" s="394"/>
      <c r="M45" s="392"/>
      <c r="N45" s="391"/>
      <c r="O45" s="395"/>
      <c r="P45" s="392"/>
      <c r="Q45" s="391"/>
      <c r="R45" s="400"/>
      <c r="S45" s="395"/>
      <c r="T45" s="391"/>
      <c r="U45" s="401"/>
      <c r="V45" s="390"/>
      <c r="W45" s="390"/>
      <c r="X45" s="396"/>
    </row>
    <row r="46" spans="1:24" ht="71.25">
      <c r="A46" s="309">
        <f>A44+1</f>
        <v>35</v>
      </c>
      <c r="B46" s="298"/>
      <c r="C46" s="299" t="s">
        <v>284</v>
      </c>
      <c r="D46" s="300" t="s">
        <v>206</v>
      </c>
      <c r="E46" s="301"/>
      <c r="F46" s="301">
        <v>0.3</v>
      </c>
      <c r="G46" s="302" t="s">
        <v>285</v>
      </c>
      <c r="H46" s="303"/>
      <c r="I46" s="304"/>
      <c r="J46" s="305"/>
      <c r="K46" s="364" t="s">
        <v>194</v>
      </c>
      <c r="L46" s="367"/>
      <c r="M46" s="298"/>
      <c r="N46" s="299" t="s">
        <v>286</v>
      </c>
      <c r="O46" s="347" t="s">
        <v>189</v>
      </c>
      <c r="P46" s="341"/>
      <c r="Q46" s="306"/>
      <c r="R46" s="356"/>
      <c r="S46" s="111"/>
      <c r="T46" s="3"/>
      <c r="U46" s="79"/>
      <c r="V46" s="176"/>
      <c r="W46" s="168"/>
      <c r="X46" s="178"/>
    </row>
    <row r="47" spans="1:24" ht="85.5">
      <c r="A47" s="375">
        <f>A46+1</f>
        <v>36</v>
      </c>
      <c r="B47" s="298"/>
      <c r="C47" s="308" t="s">
        <v>287</v>
      </c>
      <c r="D47" s="300" t="s">
        <v>288</v>
      </c>
      <c r="E47" s="301"/>
      <c r="F47" s="301">
        <v>0.2</v>
      </c>
      <c r="G47" s="302" t="s">
        <v>398</v>
      </c>
      <c r="H47" s="303"/>
      <c r="I47" s="304"/>
      <c r="J47" s="305"/>
      <c r="K47" s="364" t="s">
        <v>194</v>
      </c>
      <c r="L47" s="367"/>
      <c r="M47" s="298"/>
      <c r="N47" s="299" t="s">
        <v>289</v>
      </c>
      <c r="O47" s="347" t="s">
        <v>189</v>
      </c>
      <c r="P47" s="341"/>
      <c r="Q47" s="306"/>
      <c r="R47" s="356"/>
      <c r="S47" s="208"/>
      <c r="T47" s="28"/>
      <c r="U47" s="179"/>
      <c r="V47" s="185"/>
      <c r="W47" s="168"/>
      <c r="X47" s="30"/>
    </row>
    <row r="48" spans="1:24" ht="57">
      <c r="A48" s="375">
        <f>A47+1</f>
        <v>37</v>
      </c>
      <c r="B48" s="298"/>
      <c r="C48" s="299" t="s">
        <v>290</v>
      </c>
      <c r="D48" s="300" t="s">
        <v>291</v>
      </c>
      <c r="E48" s="301"/>
      <c r="F48" s="301">
        <v>0.3</v>
      </c>
      <c r="G48" s="302" t="s">
        <v>292</v>
      </c>
      <c r="H48" s="303"/>
      <c r="I48" s="304"/>
      <c r="J48" s="305"/>
      <c r="K48" s="364" t="s">
        <v>194</v>
      </c>
      <c r="L48" s="367"/>
      <c r="M48" s="298"/>
      <c r="N48" s="299" t="s">
        <v>293</v>
      </c>
      <c r="O48" s="347" t="s">
        <v>189</v>
      </c>
      <c r="P48" s="341"/>
      <c r="Q48" s="306"/>
      <c r="R48" s="356"/>
      <c r="S48" s="208"/>
      <c r="T48" s="28"/>
      <c r="U48" s="179"/>
      <c r="V48" s="185"/>
      <c r="W48" s="168"/>
      <c r="X48" s="30"/>
    </row>
    <row r="49" spans="1:24" ht="57">
      <c r="A49" s="375">
        <f>A48+1</f>
        <v>38</v>
      </c>
      <c r="B49" s="298"/>
      <c r="C49" s="299" t="s">
        <v>294</v>
      </c>
      <c r="D49" s="300" t="s">
        <v>295</v>
      </c>
      <c r="E49" s="301"/>
      <c r="F49" s="301">
        <v>0.2</v>
      </c>
      <c r="G49" s="302" t="s">
        <v>296</v>
      </c>
      <c r="H49" s="303"/>
      <c r="I49" s="304"/>
      <c r="J49" s="305"/>
      <c r="K49" s="364" t="s">
        <v>194</v>
      </c>
      <c r="L49" s="367"/>
      <c r="M49" s="298"/>
      <c r="N49" s="299" t="s">
        <v>297</v>
      </c>
      <c r="O49" s="347" t="s">
        <v>189</v>
      </c>
      <c r="P49" s="341"/>
      <c r="Q49" s="306"/>
      <c r="R49" s="356"/>
      <c r="S49" s="208"/>
      <c r="T49" s="28"/>
      <c r="U49" s="179"/>
      <c r="V49" s="185"/>
      <c r="W49" s="168"/>
      <c r="X49" s="30"/>
    </row>
    <row r="50" spans="1:24" ht="42.75">
      <c r="A50" s="375">
        <f>A49+1</f>
        <v>39</v>
      </c>
      <c r="B50" s="298"/>
      <c r="C50" s="299" t="s">
        <v>298</v>
      </c>
      <c r="D50" s="300" t="s">
        <v>299</v>
      </c>
      <c r="E50" s="301"/>
      <c r="F50" s="301">
        <v>0.1</v>
      </c>
      <c r="G50" s="302" t="s">
        <v>300</v>
      </c>
      <c r="H50" s="303"/>
      <c r="I50" s="304"/>
      <c r="J50" s="305"/>
      <c r="K50" s="364" t="s">
        <v>194</v>
      </c>
      <c r="L50" s="367"/>
      <c r="M50" s="298"/>
      <c r="N50" s="299" t="s">
        <v>301</v>
      </c>
      <c r="O50" s="347" t="s">
        <v>189</v>
      </c>
      <c r="P50" s="341"/>
      <c r="Q50" s="306"/>
      <c r="R50" s="356"/>
      <c r="S50" s="208"/>
      <c r="T50" s="28"/>
      <c r="U50" s="179"/>
      <c r="V50" s="185"/>
      <c r="W50" s="168"/>
      <c r="X50" s="30"/>
    </row>
    <row r="51" spans="1:24" ht="13.5">
      <c r="A51" s="402" t="s">
        <v>302</v>
      </c>
      <c r="B51" s="390"/>
      <c r="C51" s="391"/>
      <c r="D51" s="392"/>
      <c r="E51" s="393"/>
      <c r="F51" s="393"/>
      <c r="G51" s="391"/>
      <c r="H51" s="397"/>
      <c r="I51" s="398"/>
      <c r="J51" s="394"/>
      <c r="K51" s="399"/>
      <c r="L51" s="394"/>
      <c r="M51" s="392"/>
      <c r="N51" s="391"/>
      <c r="O51" s="395"/>
      <c r="P51" s="392"/>
      <c r="Q51" s="391"/>
      <c r="R51" s="400"/>
      <c r="S51" s="395"/>
      <c r="T51" s="391"/>
      <c r="U51" s="401"/>
      <c r="V51" s="390"/>
      <c r="W51" s="390"/>
      <c r="X51" s="396"/>
    </row>
    <row r="52" spans="1:24" s="31" customFormat="1" ht="99.75">
      <c r="A52" s="309">
        <f>A50+1</f>
        <v>40</v>
      </c>
      <c r="B52" s="298"/>
      <c r="C52" s="299" t="s">
        <v>303</v>
      </c>
      <c r="D52" s="300" t="s">
        <v>304</v>
      </c>
      <c r="E52" s="301"/>
      <c r="F52" s="301">
        <v>0.2</v>
      </c>
      <c r="G52" s="302" t="s">
        <v>305</v>
      </c>
      <c r="H52" s="303"/>
      <c r="I52" s="304"/>
      <c r="J52" s="305"/>
      <c r="K52" s="364" t="s">
        <v>194</v>
      </c>
      <c r="L52" s="367"/>
      <c r="M52" s="298"/>
      <c r="N52" s="299" t="s">
        <v>306</v>
      </c>
      <c r="O52" s="347" t="s">
        <v>189</v>
      </c>
      <c r="P52" s="341"/>
      <c r="Q52" s="306"/>
      <c r="R52" s="356"/>
      <c r="S52" s="208"/>
      <c r="T52" s="28"/>
      <c r="U52" s="179"/>
      <c r="V52" s="185"/>
      <c r="W52" s="168"/>
      <c r="X52" s="30"/>
    </row>
    <row r="53" spans="1:24" s="31" customFormat="1" ht="85.5">
      <c r="A53" s="309">
        <f>A52+1</f>
        <v>41</v>
      </c>
      <c r="B53" s="298"/>
      <c r="C53" s="299" t="s">
        <v>307</v>
      </c>
      <c r="D53" s="300" t="s">
        <v>308</v>
      </c>
      <c r="E53" s="301"/>
      <c r="F53" s="301">
        <v>0.2</v>
      </c>
      <c r="G53" s="302" t="s">
        <v>399</v>
      </c>
      <c r="H53" s="303"/>
      <c r="I53" s="304"/>
      <c r="J53" s="305"/>
      <c r="K53" s="364" t="s">
        <v>400</v>
      </c>
      <c r="L53" s="367"/>
      <c r="M53" s="298"/>
      <c r="N53" s="299" t="s">
        <v>309</v>
      </c>
      <c r="O53" s="347" t="s">
        <v>189</v>
      </c>
      <c r="P53" s="341"/>
      <c r="Q53" s="306"/>
      <c r="R53" s="356"/>
      <c r="S53" s="208"/>
      <c r="T53" s="28"/>
      <c r="U53" s="179"/>
      <c r="V53" s="185"/>
      <c r="W53" s="168"/>
      <c r="X53" s="30"/>
    </row>
    <row r="54" spans="1:24" ht="13.5">
      <c r="A54" s="402" t="s">
        <v>310</v>
      </c>
      <c r="B54" s="390"/>
      <c r="C54" s="391"/>
      <c r="D54" s="392"/>
      <c r="E54" s="393"/>
      <c r="F54" s="393"/>
      <c r="G54" s="391"/>
      <c r="H54" s="397"/>
      <c r="I54" s="398"/>
      <c r="J54" s="394"/>
      <c r="K54" s="399"/>
      <c r="L54" s="394"/>
      <c r="M54" s="392"/>
      <c r="N54" s="391"/>
      <c r="O54" s="395"/>
      <c r="P54" s="392"/>
      <c r="Q54" s="391"/>
      <c r="R54" s="400"/>
      <c r="S54" s="395"/>
      <c r="T54" s="391"/>
      <c r="U54" s="401"/>
      <c r="V54" s="390"/>
      <c r="W54" s="390"/>
      <c r="X54" s="396"/>
    </row>
    <row r="55" spans="1:24" ht="128.25">
      <c r="A55" s="309">
        <f>A53+1</f>
        <v>42</v>
      </c>
      <c r="B55" s="298"/>
      <c r="C55" s="299" t="s">
        <v>311</v>
      </c>
      <c r="D55" s="300" t="s">
        <v>206</v>
      </c>
      <c r="E55" s="301"/>
      <c r="F55" s="301">
        <v>0.2</v>
      </c>
      <c r="G55" s="302" t="s">
        <v>312</v>
      </c>
      <c r="H55" s="303"/>
      <c r="I55" s="304"/>
      <c r="J55" s="305"/>
      <c r="K55" s="364" t="s">
        <v>194</v>
      </c>
      <c r="L55" s="367"/>
      <c r="M55" s="298"/>
      <c r="N55" s="299" t="s">
        <v>313</v>
      </c>
      <c r="O55" s="347" t="s">
        <v>189</v>
      </c>
      <c r="P55" s="341"/>
      <c r="Q55" s="306"/>
      <c r="R55" s="356"/>
      <c r="S55" s="208"/>
      <c r="T55" s="28"/>
      <c r="U55" s="179"/>
      <c r="V55" s="185"/>
      <c r="W55" s="168"/>
      <c r="X55" s="30"/>
    </row>
    <row r="56" spans="1:24" ht="42.75">
      <c r="A56" s="309">
        <f>A55+1</f>
        <v>43</v>
      </c>
      <c r="B56" s="298"/>
      <c r="C56" s="299" t="s">
        <v>314</v>
      </c>
      <c r="D56" s="300" t="s">
        <v>239</v>
      </c>
      <c r="E56" s="301"/>
      <c r="F56" s="301">
        <v>0.3</v>
      </c>
      <c r="G56" s="302" t="s">
        <v>315</v>
      </c>
      <c r="H56" s="303"/>
      <c r="I56" s="304"/>
      <c r="J56" s="305"/>
      <c r="K56" s="364" t="s">
        <v>194</v>
      </c>
      <c r="L56" s="367"/>
      <c r="M56" s="298"/>
      <c r="N56" s="299" t="s">
        <v>243</v>
      </c>
      <c r="O56" s="347" t="s">
        <v>189</v>
      </c>
      <c r="P56" s="341"/>
      <c r="Q56" s="306"/>
      <c r="R56" s="356"/>
      <c r="S56" s="208"/>
      <c r="T56" s="28"/>
      <c r="U56" s="179"/>
      <c r="V56" s="185"/>
      <c r="W56" s="168"/>
      <c r="X56" s="30"/>
    </row>
    <row r="57" spans="1:24" ht="13.5">
      <c r="A57" s="402" t="s">
        <v>316</v>
      </c>
      <c r="B57" s="390"/>
      <c r="C57" s="391"/>
      <c r="D57" s="392"/>
      <c r="E57" s="393"/>
      <c r="F57" s="393"/>
      <c r="G57" s="391"/>
      <c r="H57" s="397"/>
      <c r="I57" s="398"/>
      <c r="J57" s="394"/>
      <c r="K57" s="399"/>
      <c r="L57" s="394"/>
      <c r="M57" s="392"/>
      <c r="N57" s="391"/>
      <c r="O57" s="395"/>
      <c r="P57" s="392"/>
      <c r="Q57" s="391"/>
      <c r="R57" s="400"/>
      <c r="S57" s="395"/>
      <c r="T57" s="391"/>
      <c r="U57" s="401"/>
      <c r="V57" s="390"/>
      <c r="W57" s="390"/>
      <c r="X57" s="396"/>
    </row>
    <row r="58" spans="1:24" s="31" customFormat="1" ht="85.5">
      <c r="A58" s="309">
        <f>A56+1</f>
        <v>44</v>
      </c>
      <c r="B58" s="298"/>
      <c r="C58" s="299" t="s">
        <v>317</v>
      </c>
      <c r="D58" s="300" t="s">
        <v>318</v>
      </c>
      <c r="E58" s="301"/>
      <c r="F58" s="301">
        <v>0.2</v>
      </c>
      <c r="G58" s="302" t="s">
        <v>401</v>
      </c>
      <c r="H58" s="303"/>
      <c r="I58" s="304"/>
      <c r="J58" s="305"/>
      <c r="K58" s="364" t="s">
        <v>400</v>
      </c>
      <c r="L58" s="367"/>
      <c r="M58" s="298"/>
      <c r="N58" s="299" t="s">
        <v>319</v>
      </c>
      <c r="O58" s="347" t="s">
        <v>189</v>
      </c>
      <c r="P58" s="341"/>
      <c r="Q58" s="306"/>
      <c r="R58" s="356"/>
      <c r="S58" s="208"/>
      <c r="T58" s="28"/>
      <c r="U58" s="179"/>
      <c r="V58" s="185"/>
      <c r="W58" s="168"/>
      <c r="X58" s="30"/>
    </row>
    <row r="59" spans="1:24" ht="99.75">
      <c r="A59" s="309">
        <f>A58+1</f>
        <v>45</v>
      </c>
      <c r="B59" s="298"/>
      <c r="C59" s="405" t="s">
        <v>320</v>
      </c>
      <c r="D59" s="406" t="s">
        <v>280</v>
      </c>
      <c r="E59" s="301"/>
      <c r="F59" s="407">
        <v>0.1</v>
      </c>
      <c r="G59" s="408" t="s">
        <v>402</v>
      </c>
      <c r="H59" s="303"/>
      <c r="I59" s="304"/>
      <c r="J59" s="305"/>
      <c r="K59" s="409" t="s">
        <v>403</v>
      </c>
      <c r="L59" s="367"/>
      <c r="M59" s="298"/>
      <c r="N59" s="405" t="s">
        <v>321</v>
      </c>
      <c r="O59" s="347" t="s">
        <v>189</v>
      </c>
      <c r="P59" s="341"/>
      <c r="Q59" s="306"/>
      <c r="R59" s="356"/>
      <c r="S59" s="208"/>
      <c r="T59" s="28"/>
      <c r="U59" s="179"/>
      <c r="V59" s="185"/>
      <c r="W59" s="168"/>
      <c r="X59" s="30"/>
    </row>
    <row r="60" spans="1:24" ht="99.75">
      <c r="A60" s="309">
        <f>A59+1</f>
        <v>46</v>
      </c>
      <c r="B60" s="298"/>
      <c r="C60" s="405" t="s">
        <v>322</v>
      </c>
      <c r="D60" s="300" t="s">
        <v>213</v>
      </c>
      <c r="E60" s="301"/>
      <c r="F60" s="407">
        <v>0.1</v>
      </c>
      <c r="G60" s="408" t="s">
        <v>323</v>
      </c>
      <c r="H60" s="303"/>
      <c r="I60" s="304"/>
      <c r="J60" s="305"/>
      <c r="K60" s="409" t="s">
        <v>194</v>
      </c>
      <c r="L60" s="367"/>
      <c r="M60" s="298"/>
      <c r="N60" s="405" t="s">
        <v>324</v>
      </c>
      <c r="O60" s="347" t="s">
        <v>189</v>
      </c>
      <c r="P60" s="341"/>
      <c r="Q60" s="306"/>
      <c r="R60" s="356"/>
      <c r="S60" s="111"/>
      <c r="T60" s="3"/>
      <c r="U60" s="79"/>
      <c r="V60" s="176"/>
      <c r="W60" s="168"/>
      <c r="X60" s="178"/>
    </row>
    <row r="61" spans="1:24" ht="23.25" customHeight="1" thickBot="1">
      <c r="A61" s="348"/>
      <c r="B61" s="349"/>
      <c r="C61" s="349"/>
      <c r="D61" s="349"/>
      <c r="E61" s="350"/>
      <c r="F61" s="350"/>
      <c r="G61" s="374" t="s">
        <v>325</v>
      </c>
      <c r="H61" s="370">
        <f>SUM(H10:H56)</f>
        <v>0</v>
      </c>
      <c r="I61" s="371">
        <f>SUM(I10:I56)</f>
        <v>0</v>
      </c>
      <c r="J61" s="351"/>
      <c r="K61" s="373"/>
      <c r="L61" s="351"/>
      <c r="M61" s="352"/>
      <c r="N61" s="519" t="s">
        <v>326</v>
      </c>
      <c r="O61" s="520"/>
      <c r="P61" s="520"/>
      <c r="Q61" s="521"/>
      <c r="R61" s="358">
        <f>SUM(R10:R56)</f>
        <v>0</v>
      </c>
      <c r="S61" s="237"/>
      <c r="T61" s="237"/>
      <c r="U61" s="237"/>
      <c r="V61" s="372"/>
      <c r="W61" s="231"/>
      <c r="X61" s="238"/>
    </row>
    <row r="62" spans="1:24" ht="12.75" thickTop="1">
      <c r="A62" s="186"/>
      <c r="B62" s="187"/>
      <c r="C62" s="187"/>
      <c r="D62" s="187"/>
      <c r="E62" s="188"/>
      <c r="F62" s="188"/>
      <c r="G62" s="31"/>
      <c r="H62" s="188"/>
      <c r="I62" s="189"/>
      <c r="J62" s="189"/>
      <c r="K62" s="189"/>
      <c r="L62" s="189"/>
      <c r="M62" s="186"/>
      <c r="N62" s="31"/>
      <c r="O62" s="31"/>
      <c r="P62" s="186"/>
      <c r="Q62" s="186"/>
      <c r="R62" s="31"/>
      <c r="S62" s="31"/>
      <c r="T62" s="31"/>
      <c r="U62" s="31"/>
      <c r="V62" s="187"/>
      <c r="W62" s="187"/>
      <c r="X62" s="31"/>
    </row>
    <row r="63" spans="1:24">
      <c r="A63" s="186"/>
      <c r="B63" s="187"/>
      <c r="C63" s="107" t="s">
        <v>327</v>
      </c>
      <c r="D63" s="108"/>
      <c r="E63" s="188"/>
      <c r="F63" s="188"/>
      <c r="G63" s="31"/>
      <c r="H63" s="188"/>
      <c r="I63" s="189"/>
      <c r="J63" s="189"/>
      <c r="K63" s="189"/>
      <c r="L63" s="189"/>
      <c r="M63" s="186"/>
      <c r="N63" s="31"/>
      <c r="O63" s="31"/>
      <c r="P63" s="186"/>
      <c r="Q63" s="186"/>
      <c r="R63" s="31"/>
      <c r="S63" s="31"/>
      <c r="T63" s="31"/>
      <c r="U63" s="31"/>
      <c r="V63" s="187"/>
      <c r="W63" s="187"/>
      <c r="X63" s="31"/>
    </row>
    <row r="67" spans="1:24">
      <c r="A67" s="186"/>
      <c r="B67" s="187"/>
      <c r="C67" s="187"/>
      <c r="D67" s="187"/>
      <c r="E67" s="188"/>
      <c r="F67" s="188"/>
      <c r="G67" s="31"/>
      <c r="H67" s="188"/>
      <c r="I67" s="189"/>
      <c r="J67" s="189"/>
      <c r="K67" s="189"/>
      <c r="L67" s="189"/>
      <c r="M67" s="186"/>
      <c r="N67" s="239"/>
      <c r="O67" s="31"/>
      <c r="P67" s="186"/>
      <c r="Q67" s="186"/>
      <c r="R67" s="31"/>
      <c r="S67" s="31"/>
      <c r="T67" s="31"/>
      <c r="U67" s="31"/>
      <c r="V67" s="187"/>
      <c r="W67" s="187"/>
      <c r="X67" s="31"/>
    </row>
    <row r="72" spans="1:24">
      <c r="A72" s="186"/>
      <c r="B72" s="187"/>
      <c r="C72" s="187"/>
      <c r="D72" s="102" t="s">
        <v>328</v>
      </c>
      <c r="E72" s="188"/>
      <c r="F72" s="188"/>
      <c r="G72" s="31"/>
      <c r="H72" s="188"/>
      <c r="I72" s="189"/>
      <c r="J72" s="189"/>
      <c r="K72" s="189"/>
      <c r="L72" s="189"/>
      <c r="M72" s="186"/>
      <c r="N72" s="31"/>
      <c r="O72" s="31"/>
      <c r="P72" s="186"/>
      <c r="Q72" s="186"/>
      <c r="R72" s="31"/>
      <c r="S72" s="31"/>
      <c r="T72" s="31"/>
      <c r="U72" s="31"/>
      <c r="V72" s="187"/>
      <c r="W72" s="187"/>
      <c r="X72" s="31"/>
    </row>
    <row r="73" spans="1:24">
      <c r="A73" s="186"/>
      <c r="B73" s="187"/>
      <c r="C73" s="187"/>
      <c r="D73" s="98" t="s">
        <v>329</v>
      </c>
      <c r="E73" s="188"/>
      <c r="F73" s="188"/>
      <c r="G73" s="31"/>
      <c r="H73" s="188"/>
      <c r="I73" s="189"/>
      <c r="J73" s="189"/>
      <c r="K73" s="189"/>
      <c r="L73" s="189"/>
      <c r="M73" s="186"/>
      <c r="N73" s="31"/>
      <c r="O73" s="31"/>
      <c r="P73" s="186"/>
      <c r="Q73" s="186"/>
      <c r="R73" s="31"/>
      <c r="S73" s="31"/>
      <c r="T73" s="31"/>
      <c r="U73" s="31"/>
      <c r="V73" s="187"/>
      <c r="W73" s="187"/>
      <c r="X73" s="31"/>
    </row>
    <row r="74" spans="1:24">
      <c r="A74" s="186"/>
      <c r="B74" s="187"/>
      <c r="C74" s="187"/>
      <c r="D74" s="99" t="s">
        <v>330</v>
      </c>
      <c r="E74" s="188"/>
      <c r="F74" s="188"/>
      <c r="G74" s="31"/>
      <c r="H74" s="188"/>
      <c r="I74" s="189"/>
      <c r="J74" s="189"/>
      <c r="K74" s="189"/>
      <c r="L74" s="189"/>
      <c r="M74" s="186"/>
      <c r="N74" s="31"/>
      <c r="O74" s="31"/>
      <c r="P74" s="186"/>
      <c r="Q74" s="186"/>
      <c r="R74" s="31"/>
      <c r="S74" s="31"/>
      <c r="T74" s="31"/>
      <c r="U74" s="31"/>
      <c r="V74" s="187"/>
      <c r="W74" s="187"/>
      <c r="X74" s="31"/>
    </row>
    <row r="75" spans="1:24">
      <c r="A75" s="186"/>
      <c r="B75" s="187"/>
      <c r="C75" s="187"/>
      <c r="D75" s="100" t="s">
        <v>185</v>
      </c>
      <c r="E75" s="188"/>
      <c r="F75" s="188"/>
      <c r="G75" s="31"/>
      <c r="H75" s="188"/>
      <c r="I75" s="189"/>
      <c r="J75" s="189"/>
      <c r="K75" s="189"/>
      <c r="L75" s="189"/>
      <c r="M75" s="186"/>
      <c r="N75" s="31"/>
      <c r="O75" s="31"/>
      <c r="P75" s="186"/>
      <c r="Q75" s="186"/>
      <c r="R75" s="31"/>
      <c r="S75" s="31"/>
      <c r="T75" s="31"/>
      <c r="U75" s="31"/>
      <c r="V75" s="187"/>
      <c r="W75" s="187"/>
      <c r="X75" s="31"/>
    </row>
    <row r="76" spans="1:24" s="86" customFormat="1">
      <c r="A76" s="186"/>
      <c r="B76" s="187"/>
      <c r="C76" s="187"/>
      <c r="D76" s="100" t="s">
        <v>191</v>
      </c>
      <c r="E76" s="188"/>
      <c r="F76" s="188"/>
      <c r="G76" s="31"/>
      <c r="H76" s="188"/>
      <c r="I76" s="189"/>
      <c r="J76" s="189"/>
      <c r="K76" s="189"/>
      <c r="L76" s="189"/>
      <c r="M76" s="186"/>
      <c r="N76" s="31"/>
      <c r="O76" s="188"/>
      <c r="P76" s="186"/>
      <c r="Q76" s="186"/>
      <c r="R76" s="31"/>
      <c r="S76" s="31"/>
      <c r="T76" s="31"/>
      <c r="U76" s="31"/>
      <c r="V76" s="187"/>
      <c r="W76" s="187"/>
      <c r="X76" s="31"/>
    </row>
    <row r="77" spans="1:24" s="86" customFormat="1">
      <c r="A77" s="186"/>
      <c r="B77" s="187"/>
      <c r="C77" s="187"/>
      <c r="D77" s="100" t="s">
        <v>197</v>
      </c>
      <c r="E77" s="188"/>
      <c r="F77" s="188"/>
      <c r="G77" s="31"/>
      <c r="H77" s="188"/>
      <c r="I77" s="189"/>
      <c r="J77" s="189"/>
      <c r="K77" s="189"/>
      <c r="L77" s="189"/>
      <c r="M77" s="186"/>
      <c r="N77" s="31"/>
      <c r="O77" s="188"/>
      <c r="P77" s="186"/>
      <c r="Q77" s="186"/>
      <c r="R77" s="31"/>
      <c r="S77" s="31"/>
      <c r="T77" s="31"/>
      <c r="U77" s="31"/>
      <c r="V77" s="187"/>
      <c r="W77" s="187"/>
      <c r="X77" s="31"/>
    </row>
    <row r="78" spans="1:24" s="86" customFormat="1">
      <c r="A78" s="186"/>
      <c r="B78" s="187"/>
      <c r="C78" s="187"/>
      <c r="D78" s="100" t="s">
        <v>213</v>
      </c>
      <c r="E78" s="188"/>
      <c r="F78" s="188"/>
      <c r="G78" s="31"/>
      <c r="H78" s="188"/>
      <c r="I78" s="189"/>
      <c r="J78" s="189"/>
      <c r="K78" s="189"/>
      <c r="L78" s="189"/>
      <c r="M78" s="186"/>
      <c r="N78" s="31"/>
      <c r="O78" s="188"/>
      <c r="P78" s="186"/>
      <c r="Q78" s="186"/>
      <c r="R78" s="31"/>
      <c r="S78" s="31"/>
      <c r="T78" s="31"/>
      <c r="U78" s="31"/>
      <c r="V78" s="187"/>
      <c r="W78" s="187"/>
      <c r="X78" s="31"/>
    </row>
    <row r="79" spans="1:24" s="86" customFormat="1">
      <c r="A79" s="186"/>
      <c r="B79" s="187"/>
      <c r="C79" s="187"/>
      <c r="D79" s="100" t="s">
        <v>206</v>
      </c>
      <c r="E79" s="188"/>
      <c r="F79" s="188"/>
      <c r="G79" s="31"/>
      <c r="H79" s="188"/>
      <c r="I79" s="189"/>
      <c r="J79" s="189"/>
      <c r="K79" s="189"/>
      <c r="L79" s="189"/>
      <c r="M79" s="186"/>
      <c r="N79" s="31"/>
      <c r="O79" s="188"/>
      <c r="P79" s="186"/>
      <c r="Q79" s="186"/>
      <c r="R79" s="31"/>
      <c r="S79" s="31"/>
      <c r="T79" s="31"/>
      <c r="U79" s="31"/>
      <c r="V79" s="187"/>
      <c r="W79" s="187"/>
      <c r="X79" s="31"/>
    </row>
    <row r="80" spans="1:24" s="86" customFormat="1">
      <c r="A80" s="186"/>
      <c r="B80" s="187"/>
      <c r="C80" s="187"/>
      <c r="D80" s="99" t="s">
        <v>331</v>
      </c>
      <c r="E80" s="188"/>
      <c r="F80" s="188"/>
      <c r="G80" s="31"/>
      <c r="H80" s="188"/>
      <c r="I80" s="189"/>
      <c r="J80" s="189"/>
      <c r="K80" s="189"/>
      <c r="L80" s="189"/>
      <c r="M80" s="186"/>
      <c r="N80" s="31"/>
      <c r="O80" s="188"/>
      <c r="P80" s="186"/>
      <c r="Q80" s="186"/>
      <c r="R80" s="31"/>
      <c r="S80" s="31"/>
      <c r="T80" s="31"/>
      <c r="U80" s="31"/>
      <c r="V80" s="187"/>
      <c r="W80" s="187"/>
      <c r="X80" s="31"/>
    </row>
    <row r="81" spans="1:24" s="86" customFormat="1">
      <c r="A81" s="186"/>
      <c r="B81" s="187"/>
      <c r="C81" s="187"/>
      <c r="D81" s="99" t="s">
        <v>332</v>
      </c>
      <c r="E81" s="188"/>
      <c r="F81" s="188"/>
      <c r="G81" s="31"/>
      <c r="H81" s="188"/>
      <c r="I81" s="189"/>
      <c r="J81" s="189"/>
      <c r="K81" s="189"/>
      <c r="L81" s="189"/>
      <c r="M81" s="186"/>
      <c r="N81" s="31"/>
      <c r="O81" s="188"/>
      <c r="P81" s="186"/>
      <c r="Q81" s="186"/>
      <c r="R81" s="31"/>
      <c r="S81" s="31"/>
      <c r="T81" s="31"/>
      <c r="U81" s="31"/>
      <c r="V81" s="187"/>
      <c r="W81" s="187"/>
      <c r="X81" s="31"/>
    </row>
    <row r="82" spans="1:24" s="86" customFormat="1">
      <c r="A82" s="186"/>
      <c r="B82" s="187"/>
      <c r="C82" s="187"/>
      <c r="D82" s="99" t="s">
        <v>333</v>
      </c>
      <c r="E82" s="188"/>
      <c r="F82" s="188"/>
      <c r="G82" s="31"/>
      <c r="H82" s="188"/>
      <c r="I82" s="189"/>
      <c r="J82" s="189"/>
      <c r="K82" s="189"/>
      <c r="L82" s="189"/>
      <c r="M82" s="186"/>
      <c r="N82" s="31"/>
      <c r="O82" s="188"/>
      <c r="P82" s="186"/>
      <c r="Q82" s="186"/>
      <c r="R82" s="31"/>
      <c r="S82" s="31"/>
      <c r="T82" s="31"/>
      <c r="U82" s="31"/>
      <c r="V82" s="187"/>
      <c r="W82" s="187"/>
      <c r="X82" s="31"/>
    </row>
    <row r="83" spans="1:24" s="86" customFormat="1">
      <c r="A83" s="186"/>
      <c r="B83" s="187"/>
      <c r="C83" s="187"/>
      <c r="D83" s="99" t="s">
        <v>334</v>
      </c>
      <c r="E83" s="188"/>
      <c r="F83" s="188"/>
      <c r="G83" s="31"/>
      <c r="H83" s="188"/>
      <c r="I83" s="189"/>
      <c r="J83" s="189"/>
      <c r="K83" s="189"/>
      <c r="L83" s="189"/>
      <c r="M83" s="186"/>
      <c r="N83" s="31"/>
      <c r="O83" s="188"/>
      <c r="P83" s="186"/>
      <c r="Q83" s="186"/>
      <c r="R83" s="31"/>
      <c r="S83" s="31"/>
      <c r="T83" s="31"/>
      <c r="U83" s="31"/>
      <c r="V83" s="187"/>
      <c r="W83" s="187"/>
      <c r="X83" s="31"/>
    </row>
    <row r="84" spans="1:24" s="86" customFormat="1">
      <c r="A84" s="186"/>
      <c r="B84" s="187"/>
      <c r="C84" s="187"/>
      <c r="D84" s="99" t="s">
        <v>335</v>
      </c>
      <c r="E84" s="188"/>
      <c r="F84" s="188"/>
      <c r="G84" s="31"/>
      <c r="H84" s="188"/>
      <c r="I84" s="189"/>
      <c r="J84" s="189"/>
      <c r="K84" s="189"/>
      <c r="L84" s="189"/>
      <c r="M84" s="186"/>
      <c r="N84" s="31"/>
      <c r="O84" s="188"/>
      <c r="P84" s="186"/>
      <c r="Q84" s="186"/>
      <c r="R84" s="31"/>
      <c r="S84" s="31"/>
      <c r="T84" s="31"/>
      <c r="U84" s="31"/>
      <c r="V84" s="187"/>
      <c r="W84" s="187"/>
      <c r="X84" s="31"/>
    </row>
    <row r="85" spans="1:24" s="86" customFormat="1">
      <c r="A85" s="186"/>
      <c r="B85" s="187"/>
      <c r="C85" s="187"/>
      <c r="D85" s="99" t="s">
        <v>336</v>
      </c>
      <c r="E85" s="188"/>
      <c r="F85" s="188"/>
      <c r="G85" s="31"/>
      <c r="H85" s="188"/>
      <c r="I85" s="189"/>
      <c r="J85" s="189"/>
      <c r="K85" s="189"/>
      <c r="L85" s="189"/>
      <c r="M85" s="186"/>
      <c r="N85" s="31"/>
      <c r="O85" s="188"/>
      <c r="P85" s="186"/>
      <c r="Q85" s="186"/>
      <c r="R85" s="31"/>
      <c r="S85" s="31"/>
      <c r="T85" s="31"/>
      <c r="U85" s="31"/>
      <c r="V85" s="187"/>
      <c r="W85" s="187"/>
      <c r="X85" s="31"/>
    </row>
    <row r="86" spans="1:24" s="86" customFormat="1">
      <c r="A86" s="186"/>
      <c r="B86" s="187"/>
      <c r="C86" s="187"/>
      <c r="D86" s="99" t="s">
        <v>337</v>
      </c>
      <c r="E86" s="188"/>
      <c r="F86" s="188"/>
      <c r="G86" s="31"/>
      <c r="H86" s="188"/>
      <c r="I86" s="189"/>
      <c r="J86" s="189"/>
      <c r="K86" s="189"/>
      <c r="L86" s="189"/>
      <c r="M86" s="186"/>
      <c r="N86" s="31"/>
      <c r="O86" s="188"/>
      <c r="P86" s="186"/>
      <c r="Q86" s="186"/>
      <c r="R86" s="31"/>
      <c r="S86" s="31"/>
      <c r="T86" s="31"/>
      <c r="U86" s="31"/>
      <c r="V86" s="187"/>
      <c r="W86" s="187"/>
      <c r="X86" s="31"/>
    </row>
    <row r="87" spans="1:24" s="86" customFormat="1">
      <c r="A87" s="186"/>
      <c r="B87" s="187"/>
      <c r="C87" s="187"/>
      <c r="D87" s="99" t="s">
        <v>304</v>
      </c>
      <c r="E87" s="188"/>
      <c r="F87" s="188"/>
      <c r="G87" s="31"/>
      <c r="H87" s="188"/>
      <c r="I87" s="189"/>
      <c r="J87" s="189"/>
      <c r="K87" s="189"/>
      <c r="L87" s="189"/>
      <c r="M87" s="186"/>
      <c r="N87" s="31"/>
      <c r="O87" s="188"/>
      <c r="P87" s="186"/>
      <c r="Q87" s="186"/>
      <c r="R87" s="31"/>
      <c r="S87" s="31"/>
      <c r="T87" s="31"/>
      <c r="U87" s="31"/>
      <c r="V87" s="187"/>
      <c r="W87" s="187"/>
      <c r="X87" s="31"/>
    </row>
    <row r="88" spans="1:24" s="86" customFormat="1">
      <c r="A88" s="186"/>
      <c r="B88" s="187"/>
      <c r="C88" s="187"/>
      <c r="D88" s="99" t="s">
        <v>338</v>
      </c>
      <c r="E88" s="188"/>
      <c r="F88" s="188"/>
      <c r="G88" s="31"/>
      <c r="H88" s="188"/>
      <c r="I88" s="189"/>
      <c r="J88" s="189"/>
      <c r="K88" s="189"/>
      <c r="L88" s="189"/>
      <c r="M88" s="186"/>
      <c r="N88" s="31"/>
      <c r="O88" s="188"/>
      <c r="P88" s="186"/>
      <c r="Q88" s="186"/>
      <c r="R88" s="31"/>
      <c r="S88" s="31"/>
      <c r="T88" s="31"/>
      <c r="U88" s="31"/>
      <c r="V88" s="187"/>
      <c r="W88" s="187"/>
      <c r="X88" s="31"/>
    </row>
    <row r="89" spans="1:24" s="86" customFormat="1">
      <c r="A89" s="186"/>
      <c r="B89" s="187"/>
      <c r="C89" s="187"/>
      <c r="D89" s="99" t="s">
        <v>308</v>
      </c>
      <c r="E89" s="188"/>
      <c r="F89" s="188"/>
      <c r="G89" s="31"/>
      <c r="H89" s="188"/>
      <c r="I89" s="189"/>
      <c r="J89" s="189"/>
      <c r="K89" s="189"/>
      <c r="L89" s="189"/>
      <c r="M89" s="186"/>
      <c r="N89" s="31"/>
      <c r="O89" s="188"/>
      <c r="P89" s="186"/>
      <c r="Q89" s="186"/>
      <c r="R89" s="31"/>
      <c r="S89" s="31"/>
      <c r="T89" s="31"/>
      <c r="U89" s="31"/>
      <c r="V89" s="187"/>
      <c r="W89" s="187"/>
      <c r="X89" s="31"/>
    </row>
    <row r="90" spans="1:24" s="86" customFormat="1">
      <c r="A90" s="186"/>
      <c r="B90" s="187"/>
      <c r="C90" s="187"/>
      <c r="D90" s="99" t="s">
        <v>339</v>
      </c>
      <c r="E90" s="188"/>
      <c r="F90" s="188"/>
      <c r="G90" s="31"/>
      <c r="H90" s="188"/>
      <c r="I90" s="189"/>
      <c r="J90" s="189"/>
      <c r="K90" s="189"/>
      <c r="L90" s="189"/>
      <c r="M90" s="186"/>
      <c r="N90" s="31"/>
      <c r="O90" s="188"/>
      <c r="P90" s="186"/>
      <c r="Q90" s="186"/>
      <c r="R90" s="31"/>
      <c r="S90" s="31"/>
      <c r="T90" s="31"/>
      <c r="U90" s="31"/>
      <c r="V90" s="187"/>
      <c r="W90" s="187"/>
      <c r="X90" s="31"/>
    </row>
    <row r="91" spans="1:24" s="86" customFormat="1">
      <c r="A91" s="186"/>
      <c r="B91" s="187"/>
      <c r="C91" s="187"/>
      <c r="D91" s="99" t="s">
        <v>340</v>
      </c>
      <c r="E91" s="188"/>
      <c r="F91" s="188"/>
      <c r="G91" s="31"/>
      <c r="H91" s="188"/>
      <c r="I91" s="189"/>
      <c r="J91" s="189"/>
      <c r="K91" s="189"/>
      <c r="L91" s="189"/>
      <c r="M91" s="186"/>
      <c r="N91" s="31"/>
      <c r="O91" s="188"/>
      <c r="P91" s="186"/>
      <c r="Q91" s="186"/>
      <c r="R91" s="31"/>
      <c r="S91" s="31"/>
      <c r="T91" s="31"/>
      <c r="U91" s="31"/>
      <c r="V91" s="187"/>
      <c r="W91" s="187"/>
      <c r="X91" s="31"/>
    </row>
    <row r="92" spans="1:24" s="86" customFormat="1">
      <c r="A92" s="186"/>
      <c r="B92" s="187"/>
      <c r="C92" s="187"/>
      <c r="D92" s="99" t="s">
        <v>341</v>
      </c>
      <c r="E92" s="188"/>
      <c r="F92" s="188"/>
      <c r="G92" s="31"/>
      <c r="H92" s="188"/>
      <c r="I92" s="189"/>
      <c r="J92" s="189"/>
      <c r="K92" s="189"/>
      <c r="L92" s="189"/>
      <c r="M92" s="186"/>
      <c r="N92" s="31"/>
      <c r="O92" s="188"/>
      <c r="P92" s="186"/>
      <c r="Q92" s="186"/>
      <c r="R92" s="31"/>
      <c r="S92" s="31"/>
      <c r="T92" s="31"/>
      <c r="U92" s="31"/>
      <c r="V92" s="187"/>
      <c r="W92" s="187"/>
      <c r="X92" s="31"/>
    </row>
    <row r="93" spans="1:24" s="86" customFormat="1">
      <c r="A93" s="186"/>
      <c r="B93" s="187"/>
      <c r="C93" s="187"/>
      <c r="D93" s="99" t="s">
        <v>342</v>
      </c>
      <c r="E93" s="188"/>
      <c r="F93" s="188"/>
      <c r="G93" s="31"/>
      <c r="H93" s="188"/>
      <c r="I93" s="189"/>
      <c r="J93" s="189"/>
      <c r="K93" s="189"/>
      <c r="L93" s="189"/>
      <c r="M93" s="186"/>
      <c r="N93" s="31"/>
      <c r="O93" s="188"/>
      <c r="P93" s="186"/>
      <c r="Q93" s="186"/>
      <c r="R93" s="31"/>
      <c r="S93" s="31"/>
      <c r="T93" s="31"/>
      <c r="U93" s="31"/>
      <c r="V93" s="187"/>
      <c r="W93" s="187"/>
      <c r="X93" s="31"/>
    </row>
    <row r="94" spans="1:24" s="86" customFormat="1">
      <c r="A94" s="186"/>
      <c r="B94" s="187"/>
      <c r="C94" s="187"/>
      <c r="D94" s="99" t="s">
        <v>343</v>
      </c>
      <c r="E94" s="188"/>
      <c r="F94" s="188"/>
      <c r="G94" s="31"/>
      <c r="H94" s="188"/>
      <c r="I94" s="189"/>
      <c r="J94" s="189"/>
      <c r="K94" s="189"/>
      <c r="L94" s="189"/>
      <c r="M94" s="186"/>
      <c r="N94" s="31"/>
      <c r="O94" s="188"/>
      <c r="P94" s="186"/>
      <c r="Q94" s="186"/>
      <c r="R94" s="31"/>
      <c r="S94" s="31"/>
      <c r="T94" s="31"/>
      <c r="U94" s="31"/>
      <c r="V94" s="187"/>
      <c r="W94" s="187"/>
      <c r="X94" s="31"/>
    </row>
    <row r="95" spans="1:24" s="86" customFormat="1">
      <c r="A95" s="186"/>
      <c r="B95" s="187"/>
      <c r="C95" s="187"/>
      <c r="D95" s="99" t="s">
        <v>344</v>
      </c>
      <c r="E95" s="188"/>
      <c r="F95" s="188"/>
      <c r="G95" s="31"/>
      <c r="H95" s="188"/>
      <c r="I95" s="189"/>
      <c r="J95" s="189"/>
      <c r="K95" s="189"/>
      <c r="L95" s="189"/>
      <c r="M95" s="186"/>
      <c r="N95" s="31"/>
      <c r="O95" s="188"/>
      <c r="P95" s="186"/>
      <c r="Q95" s="186"/>
      <c r="R95" s="31"/>
      <c r="S95" s="31"/>
      <c r="T95" s="31"/>
      <c r="U95" s="31"/>
      <c r="V95" s="187"/>
      <c r="W95" s="187"/>
      <c r="X95" s="31"/>
    </row>
    <row r="96" spans="1:24" s="86" customFormat="1">
      <c r="A96" s="186"/>
      <c r="B96" s="187"/>
      <c r="C96" s="187"/>
      <c r="D96" s="99" t="s">
        <v>345</v>
      </c>
      <c r="E96" s="188"/>
      <c r="F96" s="188"/>
      <c r="G96" s="31"/>
      <c r="H96" s="188"/>
      <c r="I96" s="189"/>
      <c r="J96" s="189"/>
      <c r="K96" s="189"/>
      <c r="L96" s="189"/>
      <c r="M96" s="186"/>
      <c r="N96" s="31"/>
      <c r="O96" s="188"/>
      <c r="P96" s="186"/>
      <c r="Q96" s="186"/>
      <c r="R96" s="31"/>
      <c r="S96" s="31"/>
      <c r="T96" s="31"/>
      <c r="U96" s="31"/>
      <c r="V96" s="187"/>
      <c r="W96" s="187"/>
      <c r="X96" s="31"/>
    </row>
    <row r="97" spans="1:24" s="86" customFormat="1">
      <c r="A97" s="186"/>
      <c r="B97" s="187"/>
      <c r="C97" s="187"/>
      <c r="D97" s="99" t="s">
        <v>276</v>
      </c>
      <c r="E97" s="188"/>
      <c r="F97" s="188"/>
      <c r="G97" s="31"/>
      <c r="H97" s="188"/>
      <c r="I97" s="189"/>
      <c r="J97" s="189"/>
      <c r="K97" s="189"/>
      <c r="L97" s="189"/>
      <c r="M97" s="186"/>
      <c r="N97" s="31"/>
      <c r="O97" s="188"/>
      <c r="P97" s="186"/>
      <c r="Q97" s="186"/>
      <c r="R97" s="31"/>
      <c r="S97" s="31"/>
      <c r="T97" s="31"/>
      <c r="U97" s="31"/>
      <c r="V97" s="187"/>
      <c r="W97" s="187"/>
      <c r="X97" s="31"/>
    </row>
    <row r="98" spans="1:24" s="86" customFormat="1">
      <c r="A98" s="186"/>
      <c r="B98" s="187"/>
      <c r="C98" s="187"/>
      <c r="D98" s="101" t="s">
        <v>346</v>
      </c>
      <c r="E98" s="188"/>
      <c r="F98" s="188"/>
      <c r="G98" s="31"/>
      <c r="H98" s="188"/>
      <c r="I98" s="189"/>
      <c r="J98" s="189"/>
      <c r="K98" s="189"/>
      <c r="L98" s="189"/>
      <c r="M98" s="186"/>
      <c r="N98" s="31"/>
      <c r="O98" s="188"/>
      <c r="P98" s="186"/>
      <c r="Q98" s="186"/>
      <c r="R98" s="31"/>
      <c r="S98" s="31"/>
      <c r="T98" s="31"/>
      <c r="U98" s="31"/>
      <c r="V98" s="187"/>
      <c r="W98" s="187"/>
      <c r="X98" s="31"/>
    </row>
  </sheetData>
  <autoFilter ref="A6:X61" xr:uid="{88A4FE2B-90D3-4E9F-94E6-D6EEEC1B5C8F}"/>
  <mergeCells count="1">
    <mergeCell ref="N61:Q61"/>
  </mergeCells>
  <phoneticPr fontId="2"/>
  <conditionalFormatting sqref="B11:N15">
    <cfRule type="expression" dxfId="41" priority="322" stopIfTrue="1">
      <formula>$W11="消滅"</formula>
    </cfRule>
  </conditionalFormatting>
  <conditionalFormatting sqref="C10 D59 F59:G59 F60">
    <cfRule type="expression" dxfId="40" priority="50" stopIfTrue="1">
      <formula>$V10="消滅"</formula>
    </cfRule>
  </conditionalFormatting>
  <conditionalFormatting sqref="C23">
    <cfRule type="expression" dxfId="39" priority="386" stopIfTrue="1">
      <formula>#REF!="消滅"</formula>
    </cfRule>
  </conditionalFormatting>
  <conditionalFormatting sqref="C31:C44">
    <cfRule type="expression" dxfId="38" priority="28" stopIfTrue="1">
      <formula>#REF!="消滅"</formula>
    </cfRule>
  </conditionalFormatting>
  <conditionalFormatting sqref="C47:C53">
    <cfRule type="expression" dxfId="37" priority="91" stopIfTrue="1">
      <formula>#REF!="消滅"</formula>
    </cfRule>
  </conditionalFormatting>
  <conditionalFormatting sqref="C55:C56">
    <cfRule type="expression" dxfId="36" priority="196" stopIfTrue="1">
      <formula>#REF!="消滅"</formula>
    </cfRule>
  </conditionalFormatting>
  <conditionalFormatting sqref="C58:C60">
    <cfRule type="expression" dxfId="35" priority="4" stopIfTrue="1">
      <formula>#REF!="消滅"</formula>
    </cfRule>
  </conditionalFormatting>
  <conditionalFormatting sqref="C16:D16">
    <cfRule type="expression" dxfId="34" priority="49" stopIfTrue="1">
      <formula>$V16="消滅"</formula>
    </cfRule>
  </conditionalFormatting>
  <conditionalFormatting sqref="C19:D20">
    <cfRule type="expression" dxfId="33" priority="45" stopIfTrue="1">
      <formula>$V19="消滅"</formula>
    </cfRule>
  </conditionalFormatting>
  <conditionalFormatting sqref="D39:D41">
    <cfRule type="expression" dxfId="32" priority="30" stopIfTrue="1">
      <formula>$V39="消滅"</formula>
    </cfRule>
  </conditionalFormatting>
  <conditionalFormatting sqref="D10:N10">
    <cfRule type="expression" dxfId="31" priority="67" stopIfTrue="1">
      <formula>$W10="消滅"</formula>
    </cfRule>
  </conditionalFormatting>
  <conditionalFormatting sqref="F39:F41">
    <cfRule type="expression" dxfId="30" priority="25" stopIfTrue="1">
      <formula>$V39="消滅"</formula>
    </cfRule>
  </conditionalFormatting>
  <conditionalFormatting sqref="F19:G20">
    <cfRule type="expression" dxfId="29" priority="41" stopIfTrue="1">
      <formula>$V19="消滅"</formula>
    </cfRule>
  </conditionalFormatting>
  <conditionalFormatting sqref="G16">
    <cfRule type="expression" dxfId="28" priority="48" stopIfTrue="1">
      <formula>$V16="消滅"</formula>
    </cfRule>
  </conditionalFormatting>
  <conditionalFormatting sqref="G23">
    <cfRule type="expression" dxfId="27" priority="385" stopIfTrue="1">
      <formula>#REF!="消滅"</formula>
    </cfRule>
  </conditionalFormatting>
  <conditionalFormatting sqref="G27">
    <cfRule type="expression" dxfId="26" priority="324" stopIfTrue="1">
      <formula>#REF!="消滅"</formula>
    </cfRule>
  </conditionalFormatting>
  <conditionalFormatting sqref="G31:G44">
    <cfRule type="expression" dxfId="25" priority="19" stopIfTrue="1">
      <formula>#REF!="消滅"</formula>
    </cfRule>
  </conditionalFormatting>
  <conditionalFormatting sqref="G47:G53">
    <cfRule type="expression" dxfId="24" priority="90" stopIfTrue="1">
      <formula>#REF!="消滅"</formula>
    </cfRule>
  </conditionalFormatting>
  <conditionalFormatting sqref="G55:G56">
    <cfRule type="expression" dxfId="23" priority="195" stopIfTrue="1">
      <formula>#REF!="消滅"</formula>
    </cfRule>
  </conditionalFormatting>
  <conditionalFormatting sqref="G58:G60">
    <cfRule type="expression" dxfId="22" priority="131" stopIfTrue="1">
      <formula>#REF!="消滅"</formula>
    </cfRule>
  </conditionalFormatting>
  <conditionalFormatting sqref="G60">
    <cfRule type="expression" dxfId="21" priority="2" stopIfTrue="1">
      <formula>#REF!="消滅"</formula>
    </cfRule>
  </conditionalFormatting>
  <conditionalFormatting sqref="H55:M56">
    <cfRule type="expression" dxfId="20" priority="209" stopIfTrue="1">
      <formula>$W55="消滅"</formula>
    </cfRule>
  </conditionalFormatting>
  <conditionalFormatting sqref="K39:K41">
    <cfRule type="expression" dxfId="19" priority="16" stopIfTrue="1">
      <formula>$V39="消滅"</formula>
    </cfRule>
  </conditionalFormatting>
  <conditionalFormatting sqref="K38:L41 A10:B10 P10:X23 A11:A23 B16 E16:F16 H16:M16 B17:N18 B19:B20 E19:E20 H19:M20 B21:N22 B23 D23:F23 H23:M23 A25:N25 P25:X44 B26:N26 A26:A44 B27:F27 H27:K27 M27 L27:L28 B28:K28 M28:N30 B29:L30 D31:F38 H31:M38 B31:B44 E39:E41 H39:J41 L39:M41 D42:F44 H42:M44 A46:N46 P46:X50 A47:B50 D47:F50 H47:M50 A52:B53 D52:F53 H52:M53 P52:X53 A55:B56 D55:F56 D58:F58 A58:B60 H58:M60 P58:X60 E59 D60:E60">
    <cfRule type="expression" dxfId="18" priority="393" stopIfTrue="1">
      <formula>$W10="消滅"</formula>
    </cfRule>
  </conditionalFormatting>
  <conditionalFormatting sqref="N16">
    <cfRule type="expression" dxfId="17" priority="47" stopIfTrue="1">
      <formula>$V16="消滅"</formula>
    </cfRule>
  </conditionalFormatting>
  <conditionalFormatting sqref="N19:N20">
    <cfRule type="expression" dxfId="16" priority="37" stopIfTrue="1">
      <formula>$V19="消滅"</formula>
    </cfRule>
  </conditionalFormatting>
  <conditionalFormatting sqref="N23">
    <cfRule type="expression" dxfId="15" priority="384" stopIfTrue="1">
      <formula>#REF!="消滅"</formula>
    </cfRule>
  </conditionalFormatting>
  <conditionalFormatting sqref="N27">
    <cfRule type="expression" dxfId="14" priority="323" stopIfTrue="1">
      <formula>#REF!="消滅"</formula>
    </cfRule>
  </conditionalFormatting>
  <conditionalFormatting sqref="N31:N44">
    <cfRule type="expression" dxfId="13" priority="10" stopIfTrue="1">
      <formula>#REF!="消滅"</formula>
    </cfRule>
  </conditionalFormatting>
  <conditionalFormatting sqref="N47:N53">
    <cfRule type="expression" dxfId="12" priority="85" stopIfTrue="1">
      <formula>#REF!="消滅"</formula>
    </cfRule>
  </conditionalFormatting>
  <conditionalFormatting sqref="N55:N56">
    <cfRule type="expression" dxfId="11" priority="194" stopIfTrue="1">
      <formula>#REF!="消滅"</formula>
    </cfRule>
  </conditionalFormatting>
  <conditionalFormatting sqref="N58:N60">
    <cfRule type="expression" dxfId="10" priority="1" stopIfTrue="1">
      <formula>#REF!="消滅"</formula>
    </cfRule>
  </conditionalFormatting>
  <conditionalFormatting sqref="P55:X56">
    <cfRule type="expression" dxfId="9" priority="208" stopIfTrue="1">
      <formula>$W55="消滅"</formula>
    </cfRule>
  </conditionalFormatting>
  <dataValidations count="7">
    <dataValidation type="list" allowBlank="1" showInputMessage="1" showErrorMessage="1" sqref="W55:W56 W46:W53 W10:W23 W58:W60 W25:W44" xr:uid="{AD0EDF73-0C3C-4D92-AD81-11C2612CA3C9}">
      <formula1>"監視継続,顕在化,消滅"</formula1>
    </dataValidation>
    <dataValidation type="list" allowBlank="1" showInputMessage="1" showErrorMessage="1" sqref="K55:K56 K46:K53 K10:K23 K58:K60 K25:K44" xr:uid="{57D4B87F-F404-40F6-AFC7-F7CDCA72E0CE}">
      <formula1>"回避,転嫁,軽減,受容"</formula1>
    </dataValidation>
    <dataValidation type="list" showInputMessage="1" showErrorMessage="1" sqref="D42:D44 D25:D38 D58:D60 D55:D56 D21:D23 D46:D53 D10:D18" xr:uid="{D81BCA12-8993-4714-99DC-01FC7F241EAC}">
      <formula1>$D$73:$D$98</formula1>
    </dataValidation>
    <dataValidation type="list" showInputMessage="1" showErrorMessage="1" sqref="E55:E56 E46:E53 E10:E23 E58:E60 E25:E44" xr:uid="{BDA4B30F-7017-42B7-BBCE-30E4760B1F5C}">
      <formula1>"低:10～19%,中:20～29%,高:30%以上"</formula1>
    </dataValidation>
    <dataValidation type="list" allowBlank="1" showInputMessage="1" showErrorMessage="1" sqref="L55:L56 L46:L53 L10:L23 L58:L60 L25:L44" xr:uid="{3CF1850A-78D4-4DFE-9043-08476A44BFFF}">
      <formula1>"フィジ有/効果高:20～30%,フィジ有/効果低:30～40%,フィジ無/効果高:80～90%,フィジ無/効果低:90～95%"</formula1>
    </dataValidation>
    <dataValidation type="list" showInputMessage="1" showErrorMessage="1" sqref="D19:D20 D39:D41" xr:uid="{721F3549-4F12-445C-A748-66B558B97AF8}">
      <formula1>$D$71:$D$96</formula1>
    </dataValidation>
    <dataValidation type="list" showInputMessage="1" showErrorMessage="1" sqref="D59:D60" xr:uid="{D129C7C1-4FAF-4A52-A689-57F411E7EBC4}">
      <formula1>$D$70:$D$95</formula1>
    </dataValidation>
  </dataValidations>
  <hyperlinks>
    <hyperlink ref="K5" location="リスク管理計画立案手順ガイド!A1" display="▼対応方針についての詳細説明はこちら" xr:uid="{D5A34DAD-05D6-499B-B8C4-A33AB37F8964}"/>
  </hyperlinks>
  <printOptions horizontalCentered="1"/>
  <pageMargins left="0.19685039370078741" right="0.19685039370078741" top="0.82677165354330717" bottom="0.47244094488188981" header="0.51181102362204722" footer="0.19685039370078741"/>
  <pageSetup paperSize="8" scale="60" fitToHeight="0" orientation="landscape" cellComments="asDisplayed" r:id="rId1"/>
  <headerFooter alignWithMargins="0">
    <oddFooter>&amp;L伊藤忠テクノソリューションズ株式会社&amp;C&amp;P/&amp;N&amp;RCQMS-S-102T5 Ver.09.00</oddFooter>
  </headerFooter>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I49"/>
  <sheetViews>
    <sheetView workbookViewId="0">
      <selection sqref="A1:A2"/>
    </sheetView>
  </sheetViews>
  <sheetFormatPr defaultColWidth="9.140625" defaultRowHeight="17.25"/>
  <cols>
    <col min="1" max="1" width="7" style="69" bestFit="1" customWidth="1"/>
    <col min="2" max="2" width="13.42578125" style="70" bestFit="1" customWidth="1"/>
    <col min="3" max="3" width="22.140625" style="50" bestFit="1" customWidth="1"/>
    <col min="4" max="4" width="24.140625" style="50" bestFit="1" customWidth="1"/>
    <col min="5" max="5" width="11.85546875" style="70" bestFit="1" customWidth="1"/>
    <col min="6" max="6" width="52" style="50" customWidth="1"/>
    <col min="7" max="7" width="43.85546875" style="71" customWidth="1"/>
    <col min="8" max="8" width="41.140625" style="50" bestFit="1" customWidth="1"/>
    <col min="9" max="9" width="11.42578125" style="50" customWidth="1"/>
    <col min="10" max="16384" width="9.140625" style="50"/>
  </cols>
  <sheetData>
    <row r="1" spans="1:9">
      <c r="A1" s="551" t="s">
        <v>404</v>
      </c>
      <c r="B1" s="553" t="s">
        <v>405</v>
      </c>
      <c r="C1" s="553" t="s">
        <v>406</v>
      </c>
      <c r="D1" s="553" t="s">
        <v>407</v>
      </c>
      <c r="E1" s="555" t="s">
        <v>408</v>
      </c>
      <c r="F1" s="553" t="s">
        <v>409</v>
      </c>
      <c r="G1" s="557" t="s">
        <v>410</v>
      </c>
      <c r="H1" s="557" t="s">
        <v>411</v>
      </c>
      <c r="I1" s="559" t="s">
        <v>412</v>
      </c>
    </row>
    <row r="2" spans="1:9" ht="24" customHeight="1">
      <c r="A2" s="552"/>
      <c r="B2" s="554"/>
      <c r="C2" s="554"/>
      <c r="D2" s="554"/>
      <c r="E2" s="556"/>
      <c r="F2" s="554"/>
      <c r="G2" s="558"/>
      <c r="H2" s="558"/>
      <c r="I2" s="560"/>
    </row>
    <row r="3" spans="1:9" ht="72">
      <c r="A3" s="51">
        <v>1</v>
      </c>
      <c r="B3" s="561" t="s">
        <v>413</v>
      </c>
      <c r="C3" s="562" t="s">
        <v>414</v>
      </c>
      <c r="D3" s="240" t="s">
        <v>415</v>
      </c>
      <c r="E3" s="53" t="s">
        <v>416</v>
      </c>
      <c r="F3" s="54" t="s">
        <v>417</v>
      </c>
      <c r="G3" s="241" t="s">
        <v>418</v>
      </c>
      <c r="H3" s="54" t="s">
        <v>419</v>
      </c>
      <c r="I3" s="55"/>
    </row>
    <row r="4" spans="1:9" ht="48">
      <c r="A4" s="51">
        <v>2</v>
      </c>
      <c r="B4" s="561"/>
      <c r="C4" s="562"/>
      <c r="D4" s="240" t="s">
        <v>420</v>
      </c>
      <c r="E4" s="53" t="s">
        <v>421</v>
      </c>
      <c r="F4" s="54" t="s">
        <v>422</v>
      </c>
      <c r="G4" s="241" t="s">
        <v>423</v>
      </c>
      <c r="H4" s="54" t="s">
        <v>424</v>
      </c>
      <c r="I4" s="55"/>
    </row>
    <row r="5" spans="1:9" ht="72">
      <c r="A5" s="51">
        <v>3</v>
      </c>
      <c r="B5" s="561"/>
      <c r="C5" s="562" t="s">
        <v>425</v>
      </c>
      <c r="D5" s="240" t="s">
        <v>426</v>
      </c>
      <c r="E5" s="53" t="s">
        <v>427</v>
      </c>
      <c r="F5" s="54" t="s">
        <v>428</v>
      </c>
      <c r="G5" s="241" t="s">
        <v>429</v>
      </c>
      <c r="H5" s="54" t="s">
        <v>430</v>
      </c>
      <c r="I5" s="55"/>
    </row>
    <row r="6" spans="1:9" ht="60">
      <c r="A6" s="51">
        <v>4</v>
      </c>
      <c r="B6" s="561"/>
      <c r="C6" s="562"/>
      <c r="D6" s="240" t="s">
        <v>431</v>
      </c>
      <c r="E6" s="53" t="s">
        <v>432</v>
      </c>
      <c r="F6" s="54" t="s">
        <v>433</v>
      </c>
      <c r="G6" s="241" t="s">
        <v>434</v>
      </c>
      <c r="H6" s="54" t="s">
        <v>435</v>
      </c>
      <c r="I6" s="55"/>
    </row>
    <row r="7" spans="1:9" ht="72">
      <c r="A7" s="51">
        <v>5</v>
      </c>
      <c r="B7" s="561"/>
      <c r="C7" s="562"/>
      <c r="D7" s="240" t="s">
        <v>436</v>
      </c>
      <c r="E7" s="53" t="s">
        <v>437</v>
      </c>
      <c r="F7" s="240" t="s">
        <v>438</v>
      </c>
      <c r="G7" s="56" t="s">
        <v>439</v>
      </c>
      <c r="H7" s="54" t="s">
        <v>440</v>
      </c>
      <c r="I7" s="55"/>
    </row>
    <row r="8" spans="1:9" ht="96">
      <c r="A8" s="51">
        <v>6</v>
      </c>
      <c r="B8" s="561"/>
      <c r="C8" s="562"/>
      <c r="D8" s="240" t="s">
        <v>441</v>
      </c>
      <c r="E8" s="53" t="s">
        <v>442</v>
      </c>
      <c r="F8" s="240" t="s">
        <v>443</v>
      </c>
      <c r="G8" s="56" t="s">
        <v>444</v>
      </c>
      <c r="H8" s="240" t="s">
        <v>445</v>
      </c>
      <c r="I8" s="55"/>
    </row>
    <row r="9" spans="1:9" s="58" customFormat="1" ht="84">
      <c r="A9" s="51">
        <v>7</v>
      </c>
      <c r="B9" s="240" t="s">
        <v>446</v>
      </c>
      <c r="C9" s="240" t="s">
        <v>447</v>
      </c>
      <c r="D9" s="54" t="s">
        <v>448</v>
      </c>
      <c r="E9" s="53" t="s">
        <v>449</v>
      </c>
      <c r="F9" s="240" t="s">
        <v>450</v>
      </c>
      <c r="G9" s="241" t="s">
        <v>451</v>
      </c>
      <c r="H9" s="54" t="s">
        <v>452</v>
      </c>
      <c r="I9" s="57"/>
    </row>
    <row r="10" spans="1:9" ht="84">
      <c r="A10" s="51">
        <v>8</v>
      </c>
      <c r="B10" s="563" t="s">
        <v>453</v>
      </c>
      <c r="C10" s="562" t="s">
        <v>454</v>
      </c>
      <c r="D10" s="54" t="s">
        <v>455</v>
      </c>
      <c r="E10" s="53" t="s">
        <v>456</v>
      </c>
      <c r="F10" s="240" t="s">
        <v>457</v>
      </c>
      <c r="G10" s="56" t="s">
        <v>458</v>
      </c>
      <c r="H10" s="54" t="s">
        <v>459</v>
      </c>
      <c r="I10" s="55"/>
    </row>
    <row r="11" spans="1:9" ht="72">
      <c r="A11" s="51">
        <v>9</v>
      </c>
      <c r="B11" s="563"/>
      <c r="C11" s="562"/>
      <c r="D11" s="54" t="s">
        <v>460</v>
      </c>
      <c r="E11" s="53" t="s">
        <v>461</v>
      </c>
      <c r="F11" s="240" t="s">
        <v>462</v>
      </c>
      <c r="G11" s="56" t="s">
        <v>463</v>
      </c>
      <c r="H11" s="54" t="s">
        <v>464</v>
      </c>
      <c r="I11" s="55"/>
    </row>
    <row r="12" spans="1:9" ht="84">
      <c r="A12" s="51">
        <v>10</v>
      </c>
      <c r="B12" s="563"/>
      <c r="C12" s="562"/>
      <c r="D12" s="240" t="s">
        <v>465</v>
      </c>
      <c r="E12" s="53" t="s">
        <v>466</v>
      </c>
      <c r="F12" s="240" t="s">
        <v>467</v>
      </c>
      <c r="G12" s="56" t="s">
        <v>468</v>
      </c>
      <c r="H12" s="54" t="s">
        <v>469</v>
      </c>
      <c r="I12" s="55"/>
    </row>
    <row r="13" spans="1:9" ht="72">
      <c r="A13" s="51">
        <v>11</v>
      </c>
      <c r="B13" s="563"/>
      <c r="C13" s="562"/>
      <c r="D13" s="240" t="s">
        <v>470</v>
      </c>
      <c r="E13" s="53" t="s">
        <v>471</v>
      </c>
      <c r="F13" s="240" t="s">
        <v>472</v>
      </c>
      <c r="G13" s="56" t="s">
        <v>473</v>
      </c>
      <c r="H13" s="54" t="s">
        <v>474</v>
      </c>
      <c r="I13" s="55"/>
    </row>
    <row r="14" spans="1:9" ht="72">
      <c r="A14" s="51">
        <v>12</v>
      </c>
      <c r="B14" s="563"/>
      <c r="C14" s="562"/>
      <c r="D14" s="52" t="s">
        <v>475</v>
      </c>
      <c r="E14" s="59" t="s">
        <v>476</v>
      </c>
      <c r="F14" s="240" t="s">
        <v>477</v>
      </c>
      <c r="G14" s="56" t="s">
        <v>478</v>
      </c>
      <c r="H14" s="54" t="s">
        <v>479</v>
      </c>
      <c r="I14" s="55"/>
    </row>
    <row r="15" spans="1:9" ht="84">
      <c r="A15" s="51">
        <v>13</v>
      </c>
      <c r="B15" s="563"/>
      <c r="C15" s="562" t="s">
        <v>480</v>
      </c>
      <c r="D15" s="240" t="s">
        <v>481</v>
      </c>
      <c r="E15" s="53" t="s">
        <v>482</v>
      </c>
      <c r="F15" s="54" t="s">
        <v>483</v>
      </c>
      <c r="G15" s="56" t="s">
        <v>484</v>
      </c>
      <c r="H15" s="54" t="s">
        <v>485</v>
      </c>
      <c r="I15" s="55"/>
    </row>
    <row r="16" spans="1:9" ht="96">
      <c r="A16" s="51">
        <v>14</v>
      </c>
      <c r="B16" s="563"/>
      <c r="C16" s="562"/>
      <c r="D16" s="240" t="s">
        <v>486</v>
      </c>
      <c r="E16" s="53" t="s">
        <v>487</v>
      </c>
      <c r="F16" s="240" t="s">
        <v>488</v>
      </c>
      <c r="G16" s="241" t="s">
        <v>489</v>
      </c>
      <c r="H16" s="54" t="s">
        <v>490</v>
      </c>
      <c r="I16" s="55"/>
    </row>
    <row r="17" spans="1:9" ht="96">
      <c r="A17" s="51">
        <v>15</v>
      </c>
      <c r="B17" s="561" t="s">
        <v>491</v>
      </c>
      <c r="C17" s="562" t="s">
        <v>492</v>
      </c>
      <c r="D17" s="240" t="s">
        <v>493</v>
      </c>
      <c r="E17" s="53" t="s">
        <v>494</v>
      </c>
      <c r="F17" s="240" t="s">
        <v>495</v>
      </c>
      <c r="G17" s="241" t="s">
        <v>496</v>
      </c>
      <c r="H17" s="54" t="s">
        <v>497</v>
      </c>
      <c r="I17" s="55"/>
    </row>
    <row r="18" spans="1:9" ht="84">
      <c r="A18" s="51">
        <v>16</v>
      </c>
      <c r="B18" s="561"/>
      <c r="C18" s="562"/>
      <c r="D18" s="240" t="s">
        <v>498</v>
      </c>
      <c r="E18" s="53" t="s">
        <v>499</v>
      </c>
      <c r="F18" s="240" t="s">
        <v>500</v>
      </c>
      <c r="G18" s="241" t="s">
        <v>501</v>
      </c>
      <c r="H18" s="54" t="s">
        <v>502</v>
      </c>
      <c r="I18" s="55"/>
    </row>
    <row r="19" spans="1:9" ht="36">
      <c r="A19" s="51">
        <v>17</v>
      </c>
      <c r="B19" s="561"/>
      <c r="C19" s="562"/>
      <c r="D19" s="54" t="s">
        <v>503</v>
      </c>
      <c r="E19" s="53" t="s">
        <v>504</v>
      </c>
      <c r="F19" s="54" t="s">
        <v>505</v>
      </c>
      <c r="G19" s="241" t="s">
        <v>506</v>
      </c>
      <c r="H19" s="54" t="s">
        <v>507</v>
      </c>
      <c r="I19" s="55"/>
    </row>
    <row r="20" spans="1:9" ht="60">
      <c r="A20" s="51">
        <v>18</v>
      </c>
      <c r="B20" s="561"/>
      <c r="C20" s="240" t="s">
        <v>508</v>
      </c>
      <c r="D20" s="240" t="s">
        <v>509</v>
      </c>
      <c r="E20" s="53" t="s">
        <v>510</v>
      </c>
      <c r="F20" s="240" t="s">
        <v>511</v>
      </c>
      <c r="G20" s="241" t="s">
        <v>512</v>
      </c>
      <c r="H20" s="240" t="s">
        <v>509</v>
      </c>
      <c r="I20" s="55"/>
    </row>
    <row r="21" spans="1:9" ht="36">
      <c r="A21" s="51">
        <v>19</v>
      </c>
      <c r="B21" s="561"/>
      <c r="C21" s="562" t="s">
        <v>513</v>
      </c>
      <c r="D21" s="240" t="s">
        <v>514</v>
      </c>
      <c r="E21" s="53" t="s">
        <v>515</v>
      </c>
      <c r="F21" s="240" t="s">
        <v>516</v>
      </c>
      <c r="G21" s="241" t="s">
        <v>517</v>
      </c>
      <c r="H21" s="240" t="s">
        <v>518</v>
      </c>
      <c r="I21" s="55"/>
    </row>
    <row r="22" spans="1:9" ht="36">
      <c r="A22" s="51">
        <v>20</v>
      </c>
      <c r="B22" s="561"/>
      <c r="C22" s="562"/>
      <c r="D22" s="240" t="s">
        <v>519</v>
      </c>
      <c r="E22" s="53" t="s">
        <v>520</v>
      </c>
      <c r="F22" s="240" t="s">
        <v>521</v>
      </c>
      <c r="G22" s="241" t="s">
        <v>517</v>
      </c>
      <c r="H22" s="240" t="s">
        <v>522</v>
      </c>
      <c r="I22" s="55"/>
    </row>
    <row r="23" spans="1:9" ht="56.25" customHeight="1">
      <c r="A23" s="51">
        <v>21</v>
      </c>
      <c r="B23" s="561"/>
      <c r="C23" s="562"/>
      <c r="D23" s="240" t="s">
        <v>523</v>
      </c>
      <c r="E23" s="53" t="s">
        <v>524</v>
      </c>
      <c r="F23" s="240" t="s">
        <v>525</v>
      </c>
      <c r="G23" s="241" t="s">
        <v>526</v>
      </c>
      <c r="H23" s="54" t="s">
        <v>527</v>
      </c>
      <c r="I23" s="55"/>
    </row>
    <row r="24" spans="1:9" ht="60">
      <c r="A24" s="51">
        <v>22</v>
      </c>
      <c r="B24" s="561"/>
      <c r="C24" s="562"/>
      <c r="D24" s="242" t="s">
        <v>528</v>
      </c>
      <c r="E24" s="53" t="s">
        <v>529</v>
      </c>
      <c r="F24" s="240" t="s">
        <v>530</v>
      </c>
      <c r="G24" s="241" t="s">
        <v>531</v>
      </c>
      <c r="H24" s="54" t="s">
        <v>532</v>
      </c>
      <c r="I24" s="55"/>
    </row>
    <row r="25" spans="1:9" ht="36">
      <c r="A25" s="51">
        <v>23</v>
      </c>
      <c r="B25" s="561"/>
      <c r="C25" s="562"/>
      <c r="D25" s="60" t="s">
        <v>533</v>
      </c>
      <c r="E25" s="53" t="s">
        <v>534</v>
      </c>
      <c r="F25" s="240" t="s">
        <v>535</v>
      </c>
      <c r="G25" s="241" t="s">
        <v>536</v>
      </c>
      <c r="H25" s="54" t="s">
        <v>537</v>
      </c>
      <c r="I25" s="55"/>
    </row>
    <row r="26" spans="1:9" ht="72">
      <c r="A26" s="51">
        <v>24</v>
      </c>
      <c r="B26" s="561"/>
      <c r="C26" s="562" t="s">
        <v>538</v>
      </c>
      <c r="D26" s="240" t="s">
        <v>539</v>
      </c>
      <c r="E26" s="53" t="s">
        <v>540</v>
      </c>
      <c r="F26" s="240" t="s">
        <v>541</v>
      </c>
      <c r="G26" s="241" t="s">
        <v>542</v>
      </c>
      <c r="H26" s="54" t="s">
        <v>543</v>
      </c>
      <c r="I26" s="55"/>
    </row>
    <row r="27" spans="1:9" ht="120">
      <c r="A27" s="51">
        <v>25</v>
      </c>
      <c r="B27" s="561"/>
      <c r="C27" s="562"/>
      <c r="D27" s="240" t="s">
        <v>544</v>
      </c>
      <c r="E27" s="53" t="s">
        <v>545</v>
      </c>
      <c r="F27" s="240" t="s">
        <v>546</v>
      </c>
      <c r="G27" s="56" t="s">
        <v>547</v>
      </c>
      <c r="H27" s="54" t="s">
        <v>548</v>
      </c>
      <c r="I27" s="55"/>
    </row>
    <row r="28" spans="1:9" ht="96">
      <c r="A28" s="51">
        <v>26</v>
      </c>
      <c r="B28" s="561"/>
      <c r="C28" s="562"/>
      <c r="D28" s="240" t="s">
        <v>549</v>
      </c>
      <c r="E28" s="53" t="s">
        <v>550</v>
      </c>
      <c r="F28" s="240" t="s">
        <v>551</v>
      </c>
      <c r="G28" s="241" t="s">
        <v>552</v>
      </c>
      <c r="H28" s="54" t="s">
        <v>553</v>
      </c>
      <c r="I28" s="55"/>
    </row>
    <row r="29" spans="1:9" ht="84">
      <c r="A29" s="51">
        <v>27</v>
      </c>
      <c r="B29" s="561"/>
      <c r="C29" s="562"/>
      <c r="D29" s="54" t="s">
        <v>554</v>
      </c>
      <c r="E29" s="53" t="s">
        <v>555</v>
      </c>
      <c r="F29" s="240" t="s">
        <v>556</v>
      </c>
      <c r="G29" s="241" t="s">
        <v>557</v>
      </c>
      <c r="H29" s="54" t="s">
        <v>558</v>
      </c>
      <c r="I29" s="55"/>
    </row>
    <row r="30" spans="1:9" ht="60">
      <c r="A30" s="51">
        <v>28</v>
      </c>
      <c r="B30" s="561"/>
      <c r="C30" s="562" t="s">
        <v>559</v>
      </c>
      <c r="D30" s="240" t="s">
        <v>560</v>
      </c>
      <c r="E30" s="53" t="s">
        <v>561</v>
      </c>
      <c r="F30" s="240" t="s">
        <v>562</v>
      </c>
      <c r="G30" s="243" t="s">
        <v>563</v>
      </c>
      <c r="H30" s="54" t="s">
        <v>564</v>
      </c>
      <c r="I30" s="55"/>
    </row>
    <row r="31" spans="1:9" ht="105" customHeight="1">
      <c r="A31" s="51">
        <v>29</v>
      </c>
      <c r="B31" s="561"/>
      <c r="C31" s="562"/>
      <c r="D31" s="240" t="s">
        <v>565</v>
      </c>
      <c r="E31" s="53" t="s">
        <v>566</v>
      </c>
      <c r="F31" s="54" t="s">
        <v>567</v>
      </c>
      <c r="G31" s="243" t="s">
        <v>568</v>
      </c>
      <c r="H31" s="54" t="s">
        <v>569</v>
      </c>
      <c r="I31" s="55"/>
    </row>
    <row r="32" spans="1:9" ht="78.75" customHeight="1">
      <c r="A32" s="51">
        <v>30</v>
      </c>
      <c r="B32" s="561" t="s">
        <v>570</v>
      </c>
      <c r="C32" s="562" t="s">
        <v>571</v>
      </c>
      <c r="D32" s="240" t="s">
        <v>572</v>
      </c>
      <c r="E32" s="53" t="s">
        <v>573</v>
      </c>
      <c r="F32" s="240" t="s">
        <v>574</v>
      </c>
      <c r="G32" s="244" t="s">
        <v>575</v>
      </c>
      <c r="H32" s="54" t="s">
        <v>576</v>
      </c>
      <c r="I32" s="55"/>
    </row>
    <row r="33" spans="1:9" ht="66" customHeight="1">
      <c r="A33" s="51">
        <v>31</v>
      </c>
      <c r="B33" s="561"/>
      <c r="C33" s="562"/>
      <c r="D33" s="240" t="s">
        <v>577</v>
      </c>
      <c r="E33" s="53" t="s">
        <v>578</v>
      </c>
      <c r="F33" s="240" t="s">
        <v>579</v>
      </c>
      <c r="G33" s="244" t="s">
        <v>580</v>
      </c>
      <c r="H33" s="54" t="s">
        <v>581</v>
      </c>
      <c r="I33" s="55"/>
    </row>
    <row r="34" spans="1:9" ht="60">
      <c r="A34" s="51">
        <v>32</v>
      </c>
      <c r="B34" s="561"/>
      <c r="C34" s="562"/>
      <c r="D34" s="240" t="s">
        <v>582</v>
      </c>
      <c r="E34" s="53" t="s">
        <v>583</v>
      </c>
      <c r="F34" s="240" t="s">
        <v>584</v>
      </c>
      <c r="G34" s="244" t="s">
        <v>585</v>
      </c>
      <c r="H34" s="54" t="s">
        <v>586</v>
      </c>
      <c r="I34" s="55"/>
    </row>
    <row r="35" spans="1:9" ht="84">
      <c r="A35" s="51">
        <v>33</v>
      </c>
      <c r="B35" s="561"/>
      <c r="C35" s="240" t="s">
        <v>587</v>
      </c>
      <c r="D35" s="240" t="s">
        <v>588</v>
      </c>
      <c r="E35" s="53" t="s">
        <v>589</v>
      </c>
      <c r="F35" s="240" t="s">
        <v>590</v>
      </c>
      <c r="G35" s="244" t="s">
        <v>591</v>
      </c>
      <c r="H35" s="54" t="s">
        <v>592</v>
      </c>
      <c r="I35" s="55"/>
    </row>
    <row r="36" spans="1:9" ht="60">
      <c r="A36" s="51">
        <v>34</v>
      </c>
      <c r="B36" s="561"/>
      <c r="C36" s="240" t="s">
        <v>593</v>
      </c>
      <c r="D36" s="240" t="s">
        <v>594</v>
      </c>
      <c r="E36" s="53" t="s">
        <v>595</v>
      </c>
      <c r="F36" s="240" t="s">
        <v>596</v>
      </c>
      <c r="G36" s="244" t="s">
        <v>580</v>
      </c>
      <c r="H36" s="54" t="s">
        <v>597</v>
      </c>
      <c r="I36" s="55"/>
    </row>
    <row r="37" spans="1:9" ht="36">
      <c r="A37" s="51">
        <v>35</v>
      </c>
      <c r="B37" s="561"/>
      <c r="C37" s="240" t="s">
        <v>598</v>
      </c>
      <c r="D37" s="240" t="s">
        <v>599</v>
      </c>
      <c r="E37" s="53" t="s">
        <v>600</v>
      </c>
      <c r="F37" s="240" t="s">
        <v>601</v>
      </c>
      <c r="G37" s="244" t="s">
        <v>580</v>
      </c>
      <c r="H37" s="54" t="s">
        <v>602</v>
      </c>
      <c r="I37" s="55"/>
    </row>
    <row r="38" spans="1:9" ht="36">
      <c r="A38" s="51">
        <v>36</v>
      </c>
      <c r="B38" s="561"/>
      <c r="C38" s="562" t="s">
        <v>603</v>
      </c>
      <c r="D38" s="240" t="s">
        <v>604</v>
      </c>
      <c r="E38" s="53" t="s">
        <v>605</v>
      </c>
      <c r="F38" s="240" t="s">
        <v>606</v>
      </c>
      <c r="G38" s="244" t="s">
        <v>580</v>
      </c>
      <c r="H38" s="54" t="s">
        <v>607</v>
      </c>
      <c r="I38" s="55"/>
    </row>
    <row r="39" spans="1:9" ht="36">
      <c r="A39" s="51">
        <v>37</v>
      </c>
      <c r="B39" s="561"/>
      <c r="C39" s="562"/>
      <c r="D39" s="242" t="s">
        <v>608</v>
      </c>
      <c r="E39" s="53" t="s">
        <v>609</v>
      </c>
      <c r="F39" s="60" t="s">
        <v>610</v>
      </c>
      <c r="G39" s="244" t="s">
        <v>580</v>
      </c>
      <c r="H39" s="54" t="s">
        <v>611</v>
      </c>
      <c r="I39" s="55"/>
    </row>
    <row r="40" spans="1:9" ht="60">
      <c r="A40" s="51">
        <v>38</v>
      </c>
      <c r="B40" s="561"/>
      <c r="C40" s="562"/>
      <c r="D40" s="240" t="s">
        <v>612</v>
      </c>
      <c r="E40" s="53" t="s">
        <v>613</v>
      </c>
      <c r="F40" s="240" t="s">
        <v>614</v>
      </c>
      <c r="G40" s="61" t="s">
        <v>615</v>
      </c>
      <c r="H40" s="54" t="s">
        <v>616</v>
      </c>
      <c r="I40" s="55"/>
    </row>
    <row r="41" spans="1:9" ht="72">
      <c r="A41" s="51">
        <v>39</v>
      </c>
      <c r="B41" s="562" t="s">
        <v>617</v>
      </c>
      <c r="C41" s="245" t="s">
        <v>618</v>
      </c>
      <c r="D41" s="62" t="s">
        <v>619</v>
      </c>
      <c r="E41" s="63" t="s">
        <v>620</v>
      </c>
      <c r="F41" s="245" t="s">
        <v>621</v>
      </c>
      <c r="G41" s="61" t="s">
        <v>622</v>
      </c>
      <c r="H41" s="62" t="s">
        <v>623</v>
      </c>
      <c r="I41" s="55"/>
    </row>
    <row r="42" spans="1:9" ht="72">
      <c r="A42" s="51">
        <v>40</v>
      </c>
      <c r="B42" s="562"/>
      <c r="C42" s="245" t="s">
        <v>624</v>
      </c>
      <c r="D42" s="52" t="s">
        <v>624</v>
      </c>
      <c r="E42" s="59" t="s">
        <v>625</v>
      </c>
      <c r="F42" s="52" t="s">
        <v>626</v>
      </c>
      <c r="G42" s="61" t="s">
        <v>627</v>
      </c>
      <c r="H42" s="52" t="s">
        <v>628</v>
      </c>
      <c r="I42" s="55"/>
    </row>
    <row r="43" spans="1:9" ht="48">
      <c r="A43" s="51">
        <v>41</v>
      </c>
      <c r="B43" s="562"/>
      <c r="C43" s="565" t="s">
        <v>629</v>
      </c>
      <c r="D43" s="245" t="s">
        <v>630</v>
      </c>
      <c r="E43" s="63" t="s">
        <v>631</v>
      </c>
      <c r="F43" s="245" t="s">
        <v>632</v>
      </c>
      <c r="G43" s="61" t="s">
        <v>633</v>
      </c>
      <c r="H43" s="62" t="s">
        <v>634</v>
      </c>
      <c r="I43" s="55"/>
    </row>
    <row r="44" spans="1:9" ht="36">
      <c r="A44" s="51">
        <v>42</v>
      </c>
      <c r="B44" s="562"/>
      <c r="C44" s="565"/>
      <c r="D44" s="245" t="s">
        <v>635</v>
      </c>
      <c r="E44" s="63" t="s">
        <v>636</v>
      </c>
      <c r="F44" s="245" t="s">
        <v>637</v>
      </c>
      <c r="G44" s="61" t="s">
        <v>638</v>
      </c>
      <c r="H44" s="62" t="s">
        <v>639</v>
      </c>
      <c r="I44" s="55"/>
    </row>
    <row r="45" spans="1:9" ht="48">
      <c r="A45" s="51">
        <v>43</v>
      </c>
      <c r="B45" s="562"/>
      <c r="C45" s="565"/>
      <c r="D45" s="52" t="s">
        <v>640</v>
      </c>
      <c r="E45" s="59" t="s">
        <v>641</v>
      </c>
      <c r="F45" s="52" t="s">
        <v>642</v>
      </c>
      <c r="G45" s="61" t="s">
        <v>643</v>
      </c>
      <c r="H45" s="52" t="s">
        <v>644</v>
      </c>
      <c r="I45" s="55"/>
    </row>
    <row r="46" spans="1:9" ht="72">
      <c r="A46" s="51">
        <v>44</v>
      </c>
      <c r="B46" s="562"/>
      <c r="C46" s="245" t="s">
        <v>645</v>
      </c>
      <c r="D46" s="52" t="s">
        <v>646</v>
      </c>
      <c r="E46" s="59" t="s">
        <v>647</v>
      </c>
      <c r="F46" s="52" t="s">
        <v>648</v>
      </c>
      <c r="G46" s="61" t="s">
        <v>649</v>
      </c>
      <c r="H46" s="52" t="s">
        <v>650</v>
      </c>
      <c r="I46" s="55"/>
    </row>
    <row r="47" spans="1:9" ht="84">
      <c r="A47" s="51">
        <v>45</v>
      </c>
      <c r="B47" s="562"/>
      <c r="C47" s="565" t="s">
        <v>651</v>
      </c>
      <c r="D47" s="52" t="s">
        <v>652</v>
      </c>
      <c r="E47" s="59" t="s">
        <v>653</v>
      </c>
      <c r="F47" s="52" t="s">
        <v>654</v>
      </c>
      <c r="G47" s="61" t="s">
        <v>655</v>
      </c>
      <c r="H47" s="52" t="s">
        <v>656</v>
      </c>
      <c r="I47" s="55"/>
    </row>
    <row r="48" spans="1:9" ht="48">
      <c r="A48" s="51">
        <v>46</v>
      </c>
      <c r="B48" s="562"/>
      <c r="C48" s="565"/>
      <c r="D48" s="52" t="s">
        <v>657</v>
      </c>
      <c r="E48" s="59" t="s">
        <v>658</v>
      </c>
      <c r="F48" s="52" t="s">
        <v>659</v>
      </c>
      <c r="G48" s="61" t="s">
        <v>660</v>
      </c>
      <c r="H48" s="52" t="s">
        <v>661</v>
      </c>
      <c r="I48" s="55"/>
    </row>
    <row r="49" spans="1:9" ht="36.75" thickBot="1">
      <c r="A49" s="64">
        <v>47</v>
      </c>
      <c r="B49" s="564"/>
      <c r="C49" s="65" t="s">
        <v>662</v>
      </c>
      <c r="D49" s="65" t="s">
        <v>663</v>
      </c>
      <c r="E49" s="66" t="s">
        <v>664</v>
      </c>
      <c r="F49" s="65" t="s">
        <v>665</v>
      </c>
      <c r="G49" s="67" t="s">
        <v>649</v>
      </c>
      <c r="H49" s="65" t="s">
        <v>666</v>
      </c>
      <c r="I49" s="68"/>
    </row>
  </sheetData>
  <mergeCells count="26">
    <mergeCell ref="B32:B40"/>
    <mergeCell ref="C32:C34"/>
    <mergeCell ref="C38:C40"/>
    <mergeCell ref="B41:B49"/>
    <mergeCell ref="C43:C45"/>
    <mergeCell ref="C47:C48"/>
    <mergeCell ref="B10:B16"/>
    <mergeCell ref="C10:C14"/>
    <mergeCell ref="C15:C16"/>
    <mergeCell ref="B17:B31"/>
    <mergeCell ref="C17:C19"/>
    <mergeCell ref="C21:C25"/>
    <mergeCell ref="C26:C29"/>
    <mergeCell ref="C30:C31"/>
    <mergeCell ref="F1:F2"/>
    <mergeCell ref="G1:G2"/>
    <mergeCell ref="H1:H2"/>
    <mergeCell ref="I1:I2"/>
    <mergeCell ref="B3:B8"/>
    <mergeCell ref="C3:C4"/>
    <mergeCell ref="C5:C8"/>
    <mergeCell ref="A1:A2"/>
    <mergeCell ref="B1:B2"/>
    <mergeCell ref="C1:C2"/>
    <mergeCell ref="D1:D2"/>
    <mergeCell ref="E1:E2"/>
  </mergeCells>
  <phoneticPr fontId="2"/>
  <printOptions horizontalCentered="1"/>
  <pageMargins left="0" right="0" top="0.51181102362204722" bottom="0.39370078740157483" header="0.23622047244094491" footer="0.19685039370078741"/>
  <pageSetup paperSize="9" scale="49" fitToHeight="2" orientation="portrait" r:id="rId1"/>
  <headerFooter alignWithMargins="0">
    <oddFooter>&amp;L伊藤忠テクノソリューションズ株式会社&amp;C&amp;P/&amp;N&amp;RCQMS-S-102T5 Ver.09.00</oddFooter>
  </headerFooter>
  <rowBreaks count="1" manualBreakCount="1">
    <brk id="25"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H113"/>
  <sheetViews>
    <sheetView workbookViewId="0"/>
  </sheetViews>
  <sheetFormatPr defaultRowHeight="12"/>
  <cols>
    <col min="1" max="1" width="5" customWidth="1"/>
    <col min="2" max="2" width="5.7109375" customWidth="1"/>
    <col min="3" max="3" width="4.7109375" customWidth="1"/>
    <col min="4" max="4" width="8.85546875" customWidth="1"/>
    <col min="5" max="5" width="16.140625" style="12" customWidth="1"/>
    <col min="6" max="6" width="55.85546875" style="1" customWidth="1"/>
    <col min="7" max="7" width="51.42578125" style="1" customWidth="1"/>
  </cols>
  <sheetData>
    <row r="1" spans="1:8" s="20" customFormat="1" ht="18" customHeight="1">
      <c r="A1" s="20" t="s">
        <v>667</v>
      </c>
      <c r="E1" s="20" t="s">
        <v>668</v>
      </c>
      <c r="F1" s="21"/>
      <c r="G1" s="21" t="s">
        <v>669</v>
      </c>
    </row>
    <row r="2" spans="1:8" ht="15.75" customHeight="1">
      <c r="A2" s="566" t="s">
        <v>670</v>
      </c>
      <c r="B2" s="566"/>
      <c r="C2" s="566"/>
      <c r="D2" s="11" t="s">
        <v>671</v>
      </c>
      <c r="E2" s="11" t="s">
        <v>672</v>
      </c>
      <c r="F2" s="11" t="s">
        <v>673</v>
      </c>
      <c r="G2" s="11" t="s">
        <v>674</v>
      </c>
      <c r="H2" s="11" t="s">
        <v>675</v>
      </c>
    </row>
    <row r="3" spans="1:8" ht="80.25" customHeight="1">
      <c r="A3" s="8" t="s">
        <v>676</v>
      </c>
      <c r="B3" s="9">
        <v>1010</v>
      </c>
      <c r="C3" s="13">
        <v>1</v>
      </c>
      <c r="D3" s="9" t="s">
        <v>677</v>
      </c>
      <c r="E3" s="9" t="s">
        <v>677</v>
      </c>
      <c r="F3" s="9" t="s">
        <v>678</v>
      </c>
      <c r="G3" s="9" t="s">
        <v>679</v>
      </c>
      <c r="H3" s="10"/>
    </row>
    <row r="4" spans="1:8" ht="26.25" customHeight="1">
      <c r="A4" s="2" t="s">
        <v>676</v>
      </c>
      <c r="B4" s="3">
        <v>1010</v>
      </c>
      <c r="C4" s="14">
        <v>2</v>
      </c>
      <c r="D4" s="3" t="s">
        <v>677</v>
      </c>
      <c r="E4" s="3" t="s">
        <v>677</v>
      </c>
      <c r="F4" s="3" t="s">
        <v>680</v>
      </c>
      <c r="G4" s="3" t="s">
        <v>681</v>
      </c>
      <c r="H4" s="4"/>
    </row>
    <row r="5" spans="1:8" ht="144" customHeight="1">
      <c r="A5" s="2" t="s">
        <v>676</v>
      </c>
      <c r="B5" s="3">
        <v>1010</v>
      </c>
      <c r="C5" s="14">
        <v>3</v>
      </c>
      <c r="D5" s="3" t="s">
        <v>677</v>
      </c>
      <c r="E5" s="3" t="s">
        <v>677</v>
      </c>
      <c r="F5" s="3" t="s">
        <v>682</v>
      </c>
      <c r="G5" s="3" t="s">
        <v>683</v>
      </c>
      <c r="H5" s="4"/>
    </row>
    <row r="6" spans="1:8" ht="35.25" customHeight="1">
      <c r="A6" s="2" t="s">
        <v>676</v>
      </c>
      <c r="B6" s="3">
        <v>1010</v>
      </c>
      <c r="C6" s="14">
        <v>4</v>
      </c>
      <c r="D6" s="3" t="s">
        <v>677</v>
      </c>
      <c r="E6" s="3" t="s">
        <v>677</v>
      </c>
      <c r="F6" s="3" t="s">
        <v>684</v>
      </c>
      <c r="G6" s="3" t="s">
        <v>685</v>
      </c>
      <c r="H6" s="4"/>
    </row>
    <row r="7" spans="1:8" ht="96.75" customHeight="1">
      <c r="A7" s="2" t="s">
        <v>676</v>
      </c>
      <c r="B7" s="3">
        <v>1010</v>
      </c>
      <c r="C7" s="14">
        <v>5</v>
      </c>
      <c r="D7" s="3" t="s">
        <v>677</v>
      </c>
      <c r="E7" s="3" t="s">
        <v>677</v>
      </c>
      <c r="F7" s="3" t="s">
        <v>686</v>
      </c>
      <c r="G7" s="3" t="s">
        <v>687</v>
      </c>
      <c r="H7" s="4"/>
    </row>
    <row r="8" spans="1:8" ht="57" customHeight="1">
      <c r="A8" s="2" t="s">
        <v>676</v>
      </c>
      <c r="B8" s="3">
        <v>1020</v>
      </c>
      <c r="C8" s="14">
        <v>1</v>
      </c>
      <c r="D8" s="3" t="s">
        <v>677</v>
      </c>
      <c r="E8" s="3" t="s">
        <v>688</v>
      </c>
      <c r="F8" s="3" t="s">
        <v>689</v>
      </c>
      <c r="G8" s="3" t="s">
        <v>690</v>
      </c>
      <c r="H8" s="4"/>
    </row>
    <row r="9" spans="1:8" ht="33" customHeight="1">
      <c r="A9" s="2" t="s">
        <v>676</v>
      </c>
      <c r="B9" s="3">
        <v>1020</v>
      </c>
      <c r="C9" s="14">
        <v>2</v>
      </c>
      <c r="D9" s="3" t="s">
        <v>677</v>
      </c>
      <c r="E9" s="3" t="s">
        <v>688</v>
      </c>
      <c r="F9" s="3" t="s">
        <v>691</v>
      </c>
      <c r="G9" s="3" t="s">
        <v>692</v>
      </c>
      <c r="H9" s="4"/>
    </row>
    <row r="10" spans="1:8" ht="18" customHeight="1">
      <c r="A10" s="2" t="s">
        <v>676</v>
      </c>
      <c r="B10" s="3">
        <v>1020</v>
      </c>
      <c r="C10" s="14">
        <v>3</v>
      </c>
      <c r="D10" s="3" t="s">
        <v>677</v>
      </c>
      <c r="E10" s="3" t="s">
        <v>688</v>
      </c>
      <c r="F10" s="3" t="s">
        <v>693</v>
      </c>
      <c r="G10" s="3" t="s">
        <v>694</v>
      </c>
      <c r="H10" s="4"/>
    </row>
    <row r="11" spans="1:8" ht="72" customHeight="1">
      <c r="A11" s="2" t="s">
        <v>676</v>
      </c>
      <c r="B11" s="3">
        <v>1030</v>
      </c>
      <c r="C11" s="14">
        <v>1</v>
      </c>
      <c r="D11" s="3" t="s">
        <v>677</v>
      </c>
      <c r="E11" s="3" t="s">
        <v>695</v>
      </c>
      <c r="F11" s="3" t="s">
        <v>696</v>
      </c>
      <c r="G11" s="3" t="s">
        <v>697</v>
      </c>
      <c r="H11" s="4"/>
    </row>
    <row r="12" spans="1:8" ht="104.25" customHeight="1">
      <c r="A12" s="2" t="s">
        <v>676</v>
      </c>
      <c r="B12" s="3">
        <v>1030</v>
      </c>
      <c r="C12" s="14">
        <v>2</v>
      </c>
      <c r="D12" s="3" t="s">
        <v>677</v>
      </c>
      <c r="E12" s="3" t="s">
        <v>695</v>
      </c>
      <c r="F12" s="3" t="s">
        <v>698</v>
      </c>
      <c r="G12" s="3" t="s">
        <v>699</v>
      </c>
      <c r="H12" s="4"/>
    </row>
    <row r="13" spans="1:8" ht="90" customHeight="1">
      <c r="A13" s="2" t="s">
        <v>676</v>
      </c>
      <c r="B13" s="3">
        <v>1030</v>
      </c>
      <c r="C13" s="14">
        <v>3</v>
      </c>
      <c r="D13" s="3" t="s">
        <v>677</v>
      </c>
      <c r="E13" s="3" t="s">
        <v>695</v>
      </c>
      <c r="F13" s="3" t="s">
        <v>700</v>
      </c>
      <c r="G13" s="3" t="s">
        <v>701</v>
      </c>
      <c r="H13" s="4"/>
    </row>
    <row r="14" spans="1:8" ht="27.75" customHeight="1">
      <c r="A14" s="2" t="s">
        <v>676</v>
      </c>
      <c r="B14" s="3">
        <v>1030</v>
      </c>
      <c r="C14" s="14">
        <v>4</v>
      </c>
      <c r="D14" s="3" t="s">
        <v>677</v>
      </c>
      <c r="E14" s="3" t="s">
        <v>695</v>
      </c>
      <c r="F14" s="3" t="s">
        <v>702</v>
      </c>
      <c r="G14" s="3" t="s">
        <v>703</v>
      </c>
      <c r="H14" s="4"/>
    </row>
    <row r="15" spans="1:8" ht="34.5" customHeight="1">
      <c r="A15" s="2" t="s">
        <v>676</v>
      </c>
      <c r="B15" s="3">
        <v>1030</v>
      </c>
      <c r="C15" s="14">
        <v>5</v>
      </c>
      <c r="D15" s="3" t="s">
        <v>677</v>
      </c>
      <c r="E15" s="3" t="s">
        <v>695</v>
      </c>
      <c r="F15" s="3" t="s">
        <v>704</v>
      </c>
      <c r="G15" s="3" t="s">
        <v>705</v>
      </c>
      <c r="H15" s="4"/>
    </row>
    <row r="16" spans="1:8" ht="55.5" customHeight="1">
      <c r="A16" s="2" t="s">
        <v>676</v>
      </c>
      <c r="B16" s="3">
        <v>1030</v>
      </c>
      <c r="C16" s="14">
        <v>6</v>
      </c>
      <c r="D16" s="3" t="s">
        <v>677</v>
      </c>
      <c r="E16" s="3" t="s">
        <v>695</v>
      </c>
      <c r="F16" s="3" t="s">
        <v>706</v>
      </c>
      <c r="G16" s="3" t="s">
        <v>707</v>
      </c>
      <c r="H16" s="4"/>
    </row>
    <row r="17" spans="1:8" ht="18" customHeight="1">
      <c r="A17" s="2" t="s">
        <v>676</v>
      </c>
      <c r="B17" s="3">
        <v>1030</v>
      </c>
      <c r="C17" s="14">
        <v>7</v>
      </c>
      <c r="D17" s="3" t="s">
        <v>677</v>
      </c>
      <c r="E17" s="3" t="s">
        <v>695</v>
      </c>
      <c r="F17" s="3" t="s">
        <v>708</v>
      </c>
      <c r="G17" s="3" t="s">
        <v>709</v>
      </c>
      <c r="H17" s="4"/>
    </row>
    <row r="18" spans="1:8" ht="78" customHeight="1">
      <c r="A18" s="2" t="s">
        <v>676</v>
      </c>
      <c r="B18" s="3">
        <v>1030</v>
      </c>
      <c r="C18" s="14">
        <v>8</v>
      </c>
      <c r="D18" s="3" t="s">
        <v>677</v>
      </c>
      <c r="E18" s="3" t="s">
        <v>695</v>
      </c>
      <c r="F18" s="3" t="s">
        <v>710</v>
      </c>
      <c r="G18" s="3" t="s">
        <v>711</v>
      </c>
      <c r="H18" s="4"/>
    </row>
    <row r="19" spans="1:8" ht="18" customHeight="1">
      <c r="A19" s="2" t="s">
        <v>676</v>
      </c>
      <c r="B19" s="3">
        <v>1030</v>
      </c>
      <c r="C19" s="14">
        <v>9</v>
      </c>
      <c r="D19" s="3" t="s">
        <v>677</v>
      </c>
      <c r="E19" s="3" t="s">
        <v>695</v>
      </c>
      <c r="F19" s="3" t="s">
        <v>712</v>
      </c>
      <c r="G19" s="3" t="s">
        <v>713</v>
      </c>
      <c r="H19" s="4"/>
    </row>
    <row r="20" spans="1:8" ht="18" customHeight="1">
      <c r="A20" s="2" t="s">
        <v>676</v>
      </c>
      <c r="B20" s="3">
        <v>1030</v>
      </c>
      <c r="C20" s="14">
        <v>10</v>
      </c>
      <c r="D20" s="3" t="s">
        <v>677</v>
      </c>
      <c r="E20" s="3" t="s">
        <v>695</v>
      </c>
      <c r="F20" s="3" t="s">
        <v>714</v>
      </c>
      <c r="G20" s="3" t="s">
        <v>715</v>
      </c>
      <c r="H20" s="4"/>
    </row>
    <row r="21" spans="1:8" ht="29.25" customHeight="1">
      <c r="A21" s="2" t="s">
        <v>676</v>
      </c>
      <c r="B21" s="3">
        <v>1030</v>
      </c>
      <c r="C21" s="14">
        <v>11</v>
      </c>
      <c r="D21" s="3" t="s">
        <v>677</v>
      </c>
      <c r="E21" s="3" t="s">
        <v>695</v>
      </c>
      <c r="F21" s="3" t="s">
        <v>716</v>
      </c>
      <c r="G21" s="3" t="s">
        <v>717</v>
      </c>
      <c r="H21" s="4"/>
    </row>
    <row r="22" spans="1:8" ht="33" customHeight="1">
      <c r="A22" s="2" t="s">
        <v>676</v>
      </c>
      <c r="B22" s="3">
        <v>1030</v>
      </c>
      <c r="C22" s="14">
        <v>12</v>
      </c>
      <c r="D22" s="3" t="s">
        <v>677</v>
      </c>
      <c r="E22" s="3" t="s">
        <v>695</v>
      </c>
      <c r="F22" s="3" t="s">
        <v>718</v>
      </c>
      <c r="G22" s="3" t="s">
        <v>719</v>
      </c>
      <c r="H22" s="4"/>
    </row>
    <row r="23" spans="1:8" ht="18" customHeight="1">
      <c r="A23" s="2" t="s">
        <v>676</v>
      </c>
      <c r="B23" s="3">
        <v>1040</v>
      </c>
      <c r="C23" s="14">
        <v>1</v>
      </c>
      <c r="D23" s="3" t="s">
        <v>677</v>
      </c>
      <c r="E23" s="3" t="s">
        <v>720</v>
      </c>
      <c r="F23" s="3" t="s">
        <v>721</v>
      </c>
      <c r="G23" s="3" t="s">
        <v>722</v>
      </c>
      <c r="H23" s="4"/>
    </row>
    <row r="24" spans="1:8" ht="54.75" customHeight="1">
      <c r="A24" s="2" t="s">
        <v>676</v>
      </c>
      <c r="B24" s="3">
        <v>1040</v>
      </c>
      <c r="C24" s="14">
        <v>2</v>
      </c>
      <c r="D24" s="3" t="s">
        <v>677</v>
      </c>
      <c r="E24" s="3" t="s">
        <v>720</v>
      </c>
      <c r="F24" s="3" t="s">
        <v>723</v>
      </c>
      <c r="G24" s="3" t="s">
        <v>724</v>
      </c>
      <c r="H24" s="4"/>
    </row>
    <row r="25" spans="1:8" ht="68.25" customHeight="1">
      <c r="A25" s="2" t="s">
        <v>676</v>
      </c>
      <c r="B25" s="3">
        <v>1040</v>
      </c>
      <c r="C25" s="14">
        <v>3</v>
      </c>
      <c r="D25" s="3" t="s">
        <v>677</v>
      </c>
      <c r="E25" s="3" t="s">
        <v>720</v>
      </c>
      <c r="F25" s="3" t="s">
        <v>725</v>
      </c>
      <c r="G25" s="3" t="s">
        <v>726</v>
      </c>
      <c r="H25" s="4"/>
    </row>
    <row r="26" spans="1:8" ht="30" customHeight="1">
      <c r="A26" s="2" t="s">
        <v>676</v>
      </c>
      <c r="B26" s="3">
        <v>1040</v>
      </c>
      <c r="C26" s="14">
        <v>4</v>
      </c>
      <c r="D26" s="3" t="s">
        <v>677</v>
      </c>
      <c r="E26" s="3" t="s">
        <v>720</v>
      </c>
      <c r="F26" s="3" t="s">
        <v>727</v>
      </c>
      <c r="G26" s="3" t="s">
        <v>728</v>
      </c>
      <c r="H26" s="4"/>
    </row>
    <row r="27" spans="1:8" s="31" customFormat="1" ht="52.5" customHeight="1">
      <c r="A27" s="27" t="s">
        <v>676</v>
      </c>
      <c r="B27" s="28">
        <v>1040</v>
      </c>
      <c r="C27" s="14">
        <v>5</v>
      </c>
      <c r="D27" s="28" t="s">
        <v>677</v>
      </c>
      <c r="E27" s="28" t="s">
        <v>720</v>
      </c>
      <c r="F27" s="28" t="s">
        <v>729</v>
      </c>
      <c r="G27" s="28" t="s">
        <v>730</v>
      </c>
      <c r="H27" s="30"/>
    </row>
    <row r="28" spans="1:8" ht="57" customHeight="1">
      <c r="A28" s="2" t="s">
        <v>676</v>
      </c>
      <c r="B28" s="3">
        <v>1040</v>
      </c>
      <c r="C28" s="14">
        <v>6</v>
      </c>
      <c r="D28" s="3" t="s">
        <v>677</v>
      </c>
      <c r="E28" s="3" t="s">
        <v>720</v>
      </c>
      <c r="F28" s="3" t="s">
        <v>731</v>
      </c>
      <c r="G28" s="3" t="s">
        <v>732</v>
      </c>
      <c r="H28" s="4"/>
    </row>
    <row r="29" spans="1:8" ht="27.75" customHeight="1">
      <c r="A29" s="2" t="s">
        <v>676</v>
      </c>
      <c r="B29" s="3">
        <v>1040</v>
      </c>
      <c r="C29" s="14">
        <v>7</v>
      </c>
      <c r="D29" s="3" t="s">
        <v>677</v>
      </c>
      <c r="E29" s="3" t="s">
        <v>720</v>
      </c>
      <c r="F29" s="3" t="s">
        <v>733</v>
      </c>
      <c r="G29" s="3" t="s">
        <v>734</v>
      </c>
      <c r="H29" s="4"/>
    </row>
    <row r="30" spans="1:8" ht="92.25" customHeight="1">
      <c r="A30" s="2" t="s">
        <v>676</v>
      </c>
      <c r="B30" s="3">
        <v>1040</v>
      </c>
      <c r="C30" s="14">
        <v>8</v>
      </c>
      <c r="D30" s="3" t="s">
        <v>677</v>
      </c>
      <c r="E30" s="3" t="s">
        <v>720</v>
      </c>
      <c r="F30" s="3" t="s">
        <v>735</v>
      </c>
      <c r="G30" s="3" t="s">
        <v>736</v>
      </c>
      <c r="H30" s="4"/>
    </row>
    <row r="31" spans="1:8" ht="18" customHeight="1">
      <c r="A31" s="2" t="s">
        <v>676</v>
      </c>
      <c r="B31" s="3">
        <v>1040</v>
      </c>
      <c r="C31" s="14">
        <v>9</v>
      </c>
      <c r="D31" s="3" t="s">
        <v>677</v>
      </c>
      <c r="E31" s="3" t="s">
        <v>720</v>
      </c>
      <c r="F31" s="3" t="s">
        <v>737</v>
      </c>
      <c r="G31" s="3" t="s">
        <v>738</v>
      </c>
      <c r="H31" s="4"/>
    </row>
    <row r="32" spans="1:8" ht="30" customHeight="1">
      <c r="A32" s="2" t="s">
        <v>676</v>
      </c>
      <c r="B32" s="3">
        <v>1040</v>
      </c>
      <c r="C32" s="14">
        <v>10</v>
      </c>
      <c r="D32" s="3" t="s">
        <v>677</v>
      </c>
      <c r="E32" s="3" t="s">
        <v>720</v>
      </c>
      <c r="F32" s="3" t="s">
        <v>739</v>
      </c>
      <c r="G32" s="3" t="s">
        <v>740</v>
      </c>
      <c r="H32" s="4"/>
    </row>
    <row r="33" spans="1:8" ht="18" customHeight="1">
      <c r="A33" s="2" t="s">
        <v>676</v>
      </c>
      <c r="B33" s="3">
        <v>1040</v>
      </c>
      <c r="C33" s="14">
        <v>11</v>
      </c>
      <c r="D33" s="3" t="s">
        <v>677</v>
      </c>
      <c r="E33" s="3" t="s">
        <v>720</v>
      </c>
      <c r="F33" s="3" t="s">
        <v>741</v>
      </c>
      <c r="G33" s="3" t="s">
        <v>742</v>
      </c>
      <c r="H33" s="4"/>
    </row>
    <row r="34" spans="1:8" ht="29.25" customHeight="1">
      <c r="A34" s="2" t="s">
        <v>676</v>
      </c>
      <c r="B34" s="3">
        <v>1040</v>
      </c>
      <c r="C34" s="14">
        <v>12</v>
      </c>
      <c r="D34" s="3" t="s">
        <v>677</v>
      </c>
      <c r="E34" s="3" t="s">
        <v>720</v>
      </c>
      <c r="F34" s="3" t="s">
        <v>743</v>
      </c>
      <c r="G34" s="3" t="s">
        <v>744</v>
      </c>
      <c r="H34" s="4"/>
    </row>
    <row r="35" spans="1:8" ht="18" customHeight="1">
      <c r="A35" s="2" t="s">
        <v>676</v>
      </c>
      <c r="B35" s="3">
        <v>1040</v>
      </c>
      <c r="C35" s="14">
        <v>13</v>
      </c>
      <c r="D35" s="3" t="s">
        <v>677</v>
      </c>
      <c r="E35" s="3" t="s">
        <v>720</v>
      </c>
      <c r="F35" s="3" t="s">
        <v>745</v>
      </c>
      <c r="G35" s="3" t="s">
        <v>746</v>
      </c>
      <c r="H35" s="4"/>
    </row>
    <row r="36" spans="1:8" ht="30" customHeight="1">
      <c r="A36" s="2" t="s">
        <v>676</v>
      </c>
      <c r="B36" s="3">
        <v>1040</v>
      </c>
      <c r="C36" s="14">
        <v>14</v>
      </c>
      <c r="D36" s="3" t="s">
        <v>677</v>
      </c>
      <c r="E36" s="3" t="s">
        <v>720</v>
      </c>
      <c r="F36" s="3" t="s">
        <v>747</v>
      </c>
      <c r="G36" s="3" t="s">
        <v>748</v>
      </c>
      <c r="H36" s="4"/>
    </row>
    <row r="37" spans="1:8" ht="104.25" customHeight="1">
      <c r="A37" s="2" t="s">
        <v>676</v>
      </c>
      <c r="B37" s="3">
        <v>1050</v>
      </c>
      <c r="C37" s="14">
        <v>1</v>
      </c>
      <c r="D37" s="3" t="s">
        <v>677</v>
      </c>
      <c r="E37" s="3" t="s">
        <v>749</v>
      </c>
      <c r="F37" s="3" t="s">
        <v>750</v>
      </c>
      <c r="G37" s="3" t="s">
        <v>751</v>
      </c>
      <c r="H37" s="4"/>
    </row>
    <row r="38" spans="1:8" ht="56.25" customHeight="1">
      <c r="A38" s="2" t="s">
        <v>676</v>
      </c>
      <c r="B38" s="3">
        <v>1050</v>
      </c>
      <c r="C38" s="14">
        <v>2</v>
      </c>
      <c r="D38" s="3" t="s">
        <v>677</v>
      </c>
      <c r="E38" s="3" t="s">
        <v>749</v>
      </c>
      <c r="F38" s="3" t="s">
        <v>752</v>
      </c>
      <c r="G38" s="3" t="s">
        <v>753</v>
      </c>
      <c r="H38" s="4"/>
    </row>
    <row r="39" spans="1:8" ht="30" customHeight="1">
      <c r="A39" s="2" t="s">
        <v>676</v>
      </c>
      <c r="B39" s="3">
        <v>1050</v>
      </c>
      <c r="C39" s="14">
        <v>3</v>
      </c>
      <c r="D39" s="3" t="s">
        <v>677</v>
      </c>
      <c r="E39" s="3" t="s">
        <v>749</v>
      </c>
      <c r="F39" s="3" t="s">
        <v>754</v>
      </c>
      <c r="G39" s="3" t="s">
        <v>755</v>
      </c>
      <c r="H39" s="4"/>
    </row>
    <row r="40" spans="1:8" ht="30" customHeight="1">
      <c r="A40" s="2" t="s">
        <v>676</v>
      </c>
      <c r="B40" s="3">
        <v>1050</v>
      </c>
      <c r="C40" s="14">
        <v>4</v>
      </c>
      <c r="D40" s="3" t="s">
        <v>677</v>
      </c>
      <c r="E40" s="3" t="s">
        <v>749</v>
      </c>
      <c r="F40" s="3" t="s">
        <v>756</v>
      </c>
      <c r="G40" s="3" t="s">
        <v>757</v>
      </c>
      <c r="H40" s="4"/>
    </row>
    <row r="41" spans="1:8" ht="30" customHeight="1">
      <c r="A41" s="2" t="s">
        <v>676</v>
      </c>
      <c r="B41" s="3">
        <v>1050</v>
      </c>
      <c r="C41" s="14">
        <v>5</v>
      </c>
      <c r="D41" s="3" t="s">
        <v>677</v>
      </c>
      <c r="E41" s="3" t="s">
        <v>749</v>
      </c>
      <c r="F41" s="3" t="s">
        <v>758</v>
      </c>
      <c r="G41" s="3" t="s">
        <v>759</v>
      </c>
      <c r="H41" s="4"/>
    </row>
    <row r="42" spans="1:8" ht="18" customHeight="1">
      <c r="A42" s="2" t="s">
        <v>676</v>
      </c>
      <c r="B42" s="3">
        <v>1050</v>
      </c>
      <c r="C42" s="14">
        <v>6</v>
      </c>
      <c r="D42" s="3" t="s">
        <v>677</v>
      </c>
      <c r="E42" s="3" t="s">
        <v>749</v>
      </c>
      <c r="F42" s="3" t="s">
        <v>760</v>
      </c>
      <c r="G42" s="3" t="s">
        <v>761</v>
      </c>
      <c r="H42" s="4"/>
    </row>
    <row r="43" spans="1:8" ht="18" customHeight="1">
      <c r="A43" s="2" t="s">
        <v>676</v>
      </c>
      <c r="B43" s="3">
        <v>1050</v>
      </c>
      <c r="C43" s="14">
        <v>7</v>
      </c>
      <c r="D43" s="3" t="s">
        <v>677</v>
      </c>
      <c r="E43" s="3" t="s">
        <v>749</v>
      </c>
      <c r="F43" s="3" t="s">
        <v>762</v>
      </c>
      <c r="G43" s="3" t="s">
        <v>763</v>
      </c>
      <c r="H43" s="4"/>
    </row>
    <row r="44" spans="1:8" ht="18" customHeight="1">
      <c r="A44" s="2" t="s">
        <v>676</v>
      </c>
      <c r="B44" s="3">
        <v>1050</v>
      </c>
      <c r="C44" s="14">
        <v>8</v>
      </c>
      <c r="D44" s="3" t="s">
        <v>677</v>
      </c>
      <c r="E44" s="3" t="s">
        <v>749</v>
      </c>
      <c r="F44" s="3" t="s">
        <v>764</v>
      </c>
      <c r="G44" s="3" t="s">
        <v>765</v>
      </c>
      <c r="H44" s="4"/>
    </row>
    <row r="45" spans="1:8" ht="54.75" customHeight="1">
      <c r="A45" s="2" t="s">
        <v>676</v>
      </c>
      <c r="B45" s="3">
        <v>1060</v>
      </c>
      <c r="C45" s="14">
        <v>1</v>
      </c>
      <c r="D45" s="3" t="s">
        <v>677</v>
      </c>
      <c r="E45" s="3" t="s">
        <v>766</v>
      </c>
      <c r="F45" s="3" t="s">
        <v>767</v>
      </c>
      <c r="G45" s="3" t="s">
        <v>768</v>
      </c>
      <c r="H45" s="4"/>
    </row>
    <row r="46" spans="1:8" ht="29.25" customHeight="1">
      <c r="A46" s="2" t="s">
        <v>676</v>
      </c>
      <c r="B46" s="3">
        <v>1060</v>
      </c>
      <c r="C46" s="14">
        <v>2</v>
      </c>
      <c r="D46" s="3" t="s">
        <v>677</v>
      </c>
      <c r="E46" s="3" t="s">
        <v>766</v>
      </c>
      <c r="F46" s="3" t="s">
        <v>769</v>
      </c>
      <c r="G46" s="3" t="s">
        <v>770</v>
      </c>
      <c r="H46" s="4"/>
    </row>
    <row r="47" spans="1:8" ht="30" customHeight="1">
      <c r="A47" s="2" t="s">
        <v>676</v>
      </c>
      <c r="B47" s="3">
        <v>1060</v>
      </c>
      <c r="C47" s="14">
        <v>3</v>
      </c>
      <c r="D47" s="3" t="s">
        <v>677</v>
      </c>
      <c r="E47" s="3" t="s">
        <v>766</v>
      </c>
      <c r="F47" s="3" t="s">
        <v>771</v>
      </c>
      <c r="G47" s="3" t="s">
        <v>772</v>
      </c>
      <c r="H47" s="4"/>
    </row>
    <row r="48" spans="1:8" ht="18" customHeight="1">
      <c r="A48" s="2" t="s">
        <v>676</v>
      </c>
      <c r="B48" s="3">
        <v>1070</v>
      </c>
      <c r="C48" s="14">
        <v>1</v>
      </c>
      <c r="D48" s="3" t="s">
        <v>677</v>
      </c>
      <c r="E48" s="3" t="s">
        <v>773</v>
      </c>
      <c r="F48" s="3" t="s">
        <v>774</v>
      </c>
      <c r="G48" s="3" t="s">
        <v>775</v>
      </c>
      <c r="H48" s="4"/>
    </row>
    <row r="49" spans="1:8" ht="30" customHeight="1">
      <c r="A49" s="2" t="s">
        <v>676</v>
      </c>
      <c r="B49" s="3">
        <v>1070</v>
      </c>
      <c r="C49" s="14">
        <v>2</v>
      </c>
      <c r="D49" s="3" t="s">
        <v>677</v>
      </c>
      <c r="E49" s="3" t="s">
        <v>773</v>
      </c>
      <c r="F49" s="3" t="s">
        <v>776</v>
      </c>
      <c r="G49" s="3" t="s">
        <v>777</v>
      </c>
      <c r="H49" s="4"/>
    </row>
    <row r="50" spans="1:8" ht="54.75" customHeight="1">
      <c r="A50" s="2" t="s">
        <v>676</v>
      </c>
      <c r="B50" s="3">
        <v>1070</v>
      </c>
      <c r="C50" s="14">
        <v>3</v>
      </c>
      <c r="D50" s="3" t="s">
        <v>677</v>
      </c>
      <c r="E50" s="3" t="s">
        <v>773</v>
      </c>
      <c r="F50" s="3" t="s">
        <v>778</v>
      </c>
      <c r="G50" s="3" t="s">
        <v>779</v>
      </c>
      <c r="H50" s="4"/>
    </row>
    <row r="51" spans="1:8" ht="18" customHeight="1">
      <c r="A51" s="2" t="s">
        <v>676</v>
      </c>
      <c r="B51" s="3">
        <v>1070</v>
      </c>
      <c r="C51" s="14">
        <v>4</v>
      </c>
      <c r="D51" s="3" t="s">
        <v>677</v>
      </c>
      <c r="E51" s="3" t="s">
        <v>773</v>
      </c>
      <c r="F51" s="3" t="s">
        <v>780</v>
      </c>
      <c r="G51" s="3" t="s">
        <v>781</v>
      </c>
      <c r="H51" s="4"/>
    </row>
    <row r="52" spans="1:8" ht="54" customHeight="1">
      <c r="A52" s="2" t="s">
        <v>676</v>
      </c>
      <c r="B52" s="3">
        <v>1070</v>
      </c>
      <c r="C52" s="14">
        <v>5</v>
      </c>
      <c r="D52" s="3" t="s">
        <v>677</v>
      </c>
      <c r="E52" s="3" t="s">
        <v>773</v>
      </c>
      <c r="F52" s="3" t="s">
        <v>782</v>
      </c>
      <c r="G52" s="3" t="s">
        <v>783</v>
      </c>
      <c r="H52" s="4"/>
    </row>
    <row r="53" spans="1:8" ht="18" customHeight="1">
      <c r="A53" s="2" t="s">
        <v>676</v>
      </c>
      <c r="B53" s="3">
        <v>1070</v>
      </c>
      <c r="C53" s="14">
        <v>6</v>
      </c>
      <c r="D53" s="3" t="s">
        <v>677</v>
      </c>
      <c r="E53" s="3" t="s">
        <v>773</v>
      </c>
      <c r="F53" s="3" t="s">
        <v>784</v>
      </c>
      <c r="G53" s="3" t="s">
        <v>785</v>
      </c>
      <c r="H53" s="4"/>
    </row>
    <row r="54" spans="1:8" ht="31.5" customHeight="1">
      <c r="A54" s="2" t="s">
        <v>676</v>
      </c>
      <c r="B54" s="3">
        <v>1070</v>
      </c>
      <c r="C54" s="14">
        <v>7</v>
      </c>
      <c r="D54" s="3" t="s">
        <v>677</v>
      </c>
      <c r="E54" s="3" t="s">
        <v>773</v>
      </c>
      <c r="F54" s="3" t="s">
        <v>786</v>
      </c>
      <c r="G54" s="3" t="s">
        <v>787</v>
      </c>
      <c r="H54" s="4"/>
    </row>
    <row r="55" spans="1:8" ht="18" customHeight="1">
      <c r="A55" s="2" t="s">
        <v>676</v>
      </c>
      <c r="B55" s="3">
        <v>1070</v>
      </c>
      <c r="C55" s="14">
        <v>8</v>
      </c>
      <c r="D55" s="3" t="s">
        <v>677</v>
      </c>
      <c r="E55" s="3" t="s">
        <v>773</v>
      </c>
      <c r="F55" s="3" t="s">
        <v>788</v>
      </c>
      <c r="G55" s="3" t="s">
        <v>789</v>
      </c>
      <c r="H55" s="4"/>
    </row>
    <row r="56" spans="1:8" ht="30" customHeight="1">
      <c r="A56" s="2" t="s">
        <v>676</v>
      </c>
      <c r="B56" s="3">
        <v>1070</v>
      </c>
      <c r="C56" s="14">
        <v>9</v>
      </c>
      <c r="D56" s="3" t="s">
        <v>677</v>
      </c>
      <c r="E56" s="3" t="s">
        <v>773</v>
      </c>
      <c r="F56" s="3" t="s">
        <v>790</v>
      </c>
      <c r="G56" s="3" t="s">
        <v>791</v>
      </c>
      <c r="H56" s="4"/>
    </row>
    <row r="57" spans="1:8" ht="27.75" customHeight="1">
      <c r="A57" s="2" t="s">
        <v>676</v>
      </c>
      <c r="B57" s="3">
        <v>1070</v>
      </c>
      <c r="C57" s="14">
        <v>10</v>
      </c>
      <c r="D57" s="3" t="s">
        <v>677</v>
      </c>
      <c r="E57" s="3" t="s">
        <v>773</v>
      </c>
      <c r="F57" s="3" t="s">
        <v>792</v>
      </c>
      <c r="G57" s="3" t="s">
        <v>793</v>
      </c>
      <c r="H57" s="4"/>
    </row>
    <row r="58" spans="1:8" ht="18" customHeight="1">
      <c r="A58" s="2" t="s">
        <v>676</v>
      </c>
      <c r="B58" s="3">
        <v>1070</v>
      </c>
      <c r="C58" s="14">
        <v>11</v>
      </c>
      <c r="D58" s="3" t="s">
        <v>677</v>
      </c>
      <c r="E58" s="3" t="s">
        <v>773</v>
      </c>
      <c r="F58" s="3" t="s">
        <v>794</v>
      </c>
      <c r="G58" s="3" t="s">
        <v>795</v>
      </c>
      <c r="H58" s="4"/>
    </row>
    <row r="59" spans="1:8" ht="18" customHeight="1">
      <c r="A59" s="2" t="s">
        <v>676</v>
      </c>
      <c r="B59" s="3">
        <v>1070</v>
      </c>
      <c r="C59" s="14">
        <v>12</v>
      </c>
      <c r="D59" s="3" t="s">
        <v>677</v>
      </c>
      <c r="E59" s="3" t="s">
        <v>773</v>
      </c>
      <c r="F59" s="3" t="s">
        <v>796</v>
      </c>
      <c r="G59" s="3" t="s">
        <v>797</v>
      </c>
      <c r="H59" s="4"/>
    </row>
    <row r="60" spans="1:8" ht="18" customHeight="1">
      <c r="A60" s="2" t="s">
        <v>676</v>
      </c>
      <c r="B60" s="3">
        <v>1070</v>
      </c>
      <c r="C60" s="14">
        <v>13</v>
      </c>
      <c r="D60" s="3" t="s">
        <v>677</v>
      </c>
      <c r="E60" s="3" t="s">
        <v>773</v>
      </c>
      <c r="F60" s="3" t="s">
        <v>798</v>
      </c>
      <c r="G60" s="3" t="s">
        <v>799</v>
      </c>
      <c r="H60" s="4"/>
    </row>
    <row r="61" spans="1:8" ht="18" customHeight="1">
      <c r="A61" s="2" t="s">
        <v>676</v>
      </c>
      <c r="B61" s="3">
        <v>1070</v>
      </c>
      <c r="C61" s="14">
        <v>14</v>
      </c>
      <c r="D61" s="3" t="s">
        <v>677</v>
      </c>
      <c r="E61" s="3" t="s">
        <v>773</v>
      </c>
      <c r="F61" s="3" t="s">
        <v>800</v>
      </c>
      <c r="G61" s="3" t="s">
        <v>801</v>
      </c>
      <c r="H61" s="4"/>
    </row>
    <row r="62" spans="1:8" ht="46.5" customHeight="1">
      <c r="A62" s="2" t="s">
        <v>676</v>
      </c>
      <c r="B62" s="3">
        <v>2010</v>
      </c>
      <c r="C62" s="14">
        <v>1</v>
      </c>
      <c r="D62" s="3" t="s">
        <v>802</v>
      </c>
      <c r="E62" s="3" t="s">
        <v>803</v>
      </c>
      <c r="F62" s="3" t="s">
        <v>804</v>
      </c>
      <c r="G62" s="3" t="s">
        <v>805</v>
      </c>
      <c r="H62" s="4"/>
    </row>
    <row r="63" spans="1:8" ht="18" customHeight="1">
      <c r="A63" s="2" t="s">
        <v>676</v>
      </c>
      <c r="B63" s="3">
        <v>2010</v>
      </c>
      <c r="C63" s="14">
        <v>2</v>
      </c>
      <c r="D63" s="3" t="s">
        <v>802</v>
      </c>
      <c r="E63" s="3" t="s">
        <v>803</v>
      </c>
      <c r="F63" s="3" t="s">
        <v>806</v>
      </c>
      <c r="G63" s="3" t="s">
        <v>807</v>
      </c>
      <c r="H63" s="4"/>
    </row>
    <row r="64" spans="1:8" ht="32.25" customHeight="1">
      <c r="A64" s="2" t="s">
        <v>676</v>
      </c>
      <c r="B64" s="3">
        <v>2010</v>
      </c>
      <c r="C64" s="14">
        <v>3</v>
      </c>
      <c r="D64" s="3" t="s">
        <v>802</v>
      </c>
      <c r="E64" s="3" t="s">
        <v>803</v>
      </c>
      <c r="F64" s="3" t="s">
        <v>808</v>
      </c>
      <c r="G64" s="3" t="s">
        <v>809</v>
      </c>
      <c r="H64" s="4"/>
    </row>
    <row r="65" spans="1:8" ht="30.75" customHeight="1">
      <c r="A65" s="2" t="s">
        <v>676</v>
      </c>
      <c r="B65" s="3">
        <v>2010</v>
      </c>
      <c r="C65" s="14">
        <v>4</v>
      </c>
      <c r="D65" s="3" t="s">
        <v>802</v>
      </c>
      <c r="E65" s="3" t="s">
        <v>803</v>
      </c>
      <c r="F65" s="3" t="s">
        <v>810</v>
      </c>
      <c r="G65" s="3" t="s">
        <v>811</v>
      </c>
      <c r="H65" s="4"/>
    </row>
    <row r="66" spans="1:8" ht="18" customHeight="1">
      <c r="A66" s="2" t="s">
        <v>676</v>
      </c>
      <c r="B66" s="3">
        <v>2010</v>
      </c>
      <c r="C66" s="14">
        <v>5</v>
      </c>
      <c r="D66" s="3" t="s">
        <v>802</v>
      </c>
      <c r="E66" s="3" t="s">
        <v>803</v>
      </c>
      <c r="F66" s="3" t="s">
        <v>812</v>
      </c>
      <c r="G66" s="3" t="s">
        <v>813</v>
      </c>
      <c r="H66" s="4"/>
    </row>
    <row r="67" spans="1:8" ht="18" customHeight="1">
      <c r="A67" s="2" t="s">
        <v>676</v>
      </c>
      <c r="B67" s="3">
        <v>2010</v>
      </c>
      <c r="C67" s="14">
        <v>6</v>
      </c>
      <c r="D67" s="3" t="s">
        <v>802</v>
      </c>
      <c r="E67" s="3" t="s">
        <v>803</v>
      </c>
      <c r="F67" s="3" t="s">
        <v>814</v>
      </c>
      <c r="G67" s="3" t="s">
        <v>815</v>
      </c>
      <c r="H67" s="4"/>
    </row>
    <row r="68" spans="1:8" ht="18" customHeight="1">
      <c r="A68" s="2" t="s">
        <v>676</v>
      </c>
      <c r="B68" s="3">
        <v>2010</v>
      </c>
      <c r="C68" s="14">
        <v>7</v>
      </c>
      <c r="D68" s="3" t="s">
        <v>802</v>
      </c>
      <c r="E68" s="3" t="s">
        <v>803</v>
      </c>
      <c r="F68" s="3" t="s">
        <v>816</v>
      </c>
      <c r="G68" s="3" t="s">
        <v>817</v>
      </c>
      <c r="H68" s="4"/>
    </row>
    <row r="69" spans="1:8" ht="32.25" customHeight="1">
      <c r="A69" s="2" t="s">
        <v>676</v>
      </c>
      <c r="B69" s="3">
        <v>2010</v>
      </c>
      <c r="C69" s="14">
        <v>8</v>
      </c>
      <c r="D69" s="3" t="s">
        <v>802</v>
      </c>
      <c r="E69" s="3" t="s">
        <v>803</v>
      </c>
      <c r="F69" s="3" t="s">
        <v>818</v>
      </c>
      <c r="G69" s="3" t="s">
        <v>819</v>
      </c>
      <c r="H69" s="4"/>
    </row>
    <row r="70" spans="1:8" ht="18" customHeight="1">
      <c r="A70" s="2" t="s">
        <v>676</v>
      </c>
      <c r="B70" s="3">
        <v>2010</v>
      </c>
      <c r="C70" s="14">
        <v>9</v>
      </c>
      <c r="D70" s="3" t="s">
        <v>802</v>
      </c>
      <c r="E70" s="3" t="s">
        <v>803</v>
      </c>
      <c r="F70" s="3" t="s">
        <v>820</v>
      </c>
      <c r="G70" s="3" t="s">
        <v>821</v>
      </c>
      <c r="H70" s="4"/>
    </row>
    <row r="71" spans="1:8" ht="18" customHeight="1">
      <c r="A71" s="2" t="s">
        <v>676</v>
      </c>
      <c r="B71" s="3">
        <v>2010</v>
      </c>
      <c r="C71" s="14">
        <v>10</v>
      </c>
      <c r="D71" s="3" t="s">
        <v>802</v>
      </c>
      <c r="E71" s="3" t="s">
        <v>803</v>
      </c>
      <c r="F71" s="3" t="s">
        <v>822</v>
      </c>
      <c r="G71" s="3" t="s">
        <v>823</v>
      </c>
      <c r="H71" s="4"/>
    </row>
    <row r="72" spans="1:8" ht="18" customHeight="1">
      <c r="A72" s="2" t="s">
        <v>676</v>
      </c>
      <c r="B72" s="3">
        <v>2010</v>
      </c>
      <c r="C72" s="14">
        <v>11</v>
      </c>
      <c r="D72" s="3" t="s">
        <v>802</v>
      </c>
      <c r="E72" s="3" t="s">
        <v>803</v>
      </c>
      <c r="F72" s="3" t="s">
        <v>824</v>
      </c>
      <c r="G72" s="3" t="s">
        <v>825</v>
      </c>
      <c r="H72" s="4"/>
    </row>
    <row r="73" spans="1:8" ht="18" customHeight="1">
      <c r="A73" s="2" t="s">
        <v>676</v>
      </c>
      <c r="B73" s="3">
        <v>2010</v>
      </c>
      <c r="C73" s="14">
        <v>12</v>
      </c>
      <c r="D73" s="3" t="s">
        <v>802</v>
      </c>
      <c r="E73" s="3" t="s">
        <v>803</v>
      </c>
      <c r="F73" s="3" t="s">
        <v>826</v>
      </c>
      <c r="G73" s="3" t="s">
        <v>827</v>
      </c>
      <c r="H73" s="4"/>
    </row>
    <row r="74" spans="1:8" ht="47.25" customHeight="1">
      <c r="A74" s="2" t="s">
        <v>676</v>
      </c>
      <c r="B74" s="3">
        <v>2010</v>
      </c>
      <c r="C74" s="14">
        <v>13</v>
      </c>
      <c r="D74" s="3" t="s">
        <v>802</v>
      </c>
      <c r="E74" s="3" t="s">
        <v>803</v>
      </c>
      <c r="F74" s="3" t="s">
        <v>828</v>
      </c>
      <c r="G74" s="3" t="s">
        <v>829</v>
      </c>
      <c r="H74" s="4"/>
    </row>
    <row r="75" spans="1:8" ht="18" customHeight="1">
      <c r="A75" s="2" t="s">
        <v>676</v>
      </c>
      <c r="B75" s="3">
        <v>2010</v>
      </c>
      <c r="C75" s="14">
        <v>14</v>
      </c>
      <c r="D75" s="3" t="s">
        <v>802</v>
      </c>
      <c r="E75" s="3" t="s">
        <v>803</v>
      </c>
      <c r="F75" s="3" t="s">
        <v>830</v>
      </c>
      <c r="G75" s="3" t="s">
        <v>831</v>
      </c>
      <c r="H75" s="4"/>
    </row>
    <row r="76" spans="1:8" ht="18" customHeight="1">
      <c r="A76" s="2" t="s">
        <v>676</v>
      </c>
      <c r="B76" s="3">
        <v>2010</v>
      </c>
      <c r="C76" s="14">
        <v>15</v>
      </c>
      <c r="D76" s="3" t="s">
        <v>802</v>
      </c>
      <c r="E76" s="3" t="s">
        <v>803</v>
      </c>
      <c r="F76" s="3" t="s">
        <v>832</v>
      </c>
      <c r="G76" s="3" t="s">
        <v>833</v>
      </c>
      <c r="H76" s="4"/>
    </row>
    <row r="77" spans="1:8" ht="18" customHeight="1">
      <c r="A77" s="2" t="s">
        <v>676</v>
      </c>
      <c r="B77" s="3">
        <v>2010</v>
      </c>
      <c r="C77" s="14">
        <v>16</v>
      </c>
      <c r="D77" s="3" t="s">
        <v>802</v>
      </c>
      <c r="E77" s="3" t="s">
        <v>803</v>
      </c>
      <c r="F77" s="3" t="s">
        <v>834</v>
      </c>
      <c r="G77" s="3" t="s">
        <v>835</v>
      </c>
      <c r="H77" s="4"/>
    </row>
    <row r="78" spans="1:8" ht="27.75" customHeight="1">
      <c r="A78" s="2" t="s">
        <v>676</v>
      </c>
      <c r="B78" s="3">
        <v>2010</v>
      </c>
      <c r="C78" s="14">
        <v>17</v>
      </c>
      <c r="D78" s="3" t="s">
        <v>802</v>
      </c>
      <c r="E78" s="3" t="s">
        <v>803</v>
      </c>
      <c r="F78" s="3" t="s">
        <v>836</v>
      </c>
      <c r="G78" s="3" t="s">
        <v>837</v>
      </c>
      <c r="H78" s="4"/>
    </row>
    <row r="79" spans="1:8" ht="18" customHeight="1">
      <c r="A79" s="2" t="s">
        <v>676</v>
      </c>
      <c r="B79" s="3">
        <v>2010</v>
      </c>
      <c r="C79" s="14">
        <v>18</v>
      </c>
      <c r="D79" s="3" t="s">
        <v>802</v>
      </c>
      <c r="E79" s="3" t="s">
        <v>803</v>
      </c>
      <c r="F79" s="3" t="s">
        <v>838</v>
      </c>
      <c r="G79" s="3" t="s">
        <v>839</v>
      </c>
      <c r="H79" s="4"/>
    </row>
    <row r="80" spans="1:8" ht="54.75" customHeight="1">
      <c r="A80" s="2" t="s">
        <v>676</v>
      </c>
      <c r="B80" s="3">
        <v>2010</v>
      </c>
      <c r="C80" s="14">
        <v>19</v>
      </c>
      <c r="D80" s="3" t="s">
        <v>802</v>
      </c>
      <c r="E80" s="3" t="s">
        <v>803</v>
      </c>
      <c r="F80" s="3" t="s">
        <v>840</v>
      </c>
      <c r="G80" s="3" t="s">
        <v>841</v>
      </c>
      <c r="H80" s="4"/>
    </row>
    <row r="81" spans="1:8" ht="71.25" customHeight="1">
      <c r="A81" s="2" t="s">
        <v>676</v>
      </c>
      <c r="B81" s="3">
        <v>2020</v>
      </c>
      <c r="C81" s="14">
        <v>1</v>
      </c>
      <c r="D81" s="3" t="s">
        <v>802</v>
      </c>
      <c r="E81" s="3" t="s">
        <v>842</v>
      </c>
      <c r="F81" s="3" t="s">
        <v>843</v>
      </c>
      <c r="G81" s="3" t="s">
        <v>844</v>
      </c>
      <c r="H81" s="4"/>
    </row>
    <row r="82" spans="1:8" ht="54" customHeight="1">
      <c r="A82" s="2" t="s">
        <v>676</v>
      </c>
      <c r="B82" s="3">
        <v>3010</v>
      </c>
      <c r="C82" s="14">
        <v>1</v>
      </c>
      <c r="D82" s="3" t="s">
        <v>845</v>
      </c>
      <c r="E82" s="3" t="s">
        <v>846</v>
      </c>
      <c r="F82" s="3" t="s">
        <v>847</v>
      </c>
      <c r="G82" s="3" t="s">
        <v>848</v>
      </c>
      <c r="H82" s="4"/>
    </row>
    <row r="83" spans="1:8" ht="35.25" customHeight="1">
      <c r="A83" s="2" t="s">
        <v>676</v>
      </c>
      <c r="B83" s="3">
        <v>3010</v>
      </c>
      <c r="C83" s="14">
        <v>2</v>
      </c>
      <c r="D83" s="3" t="s">
        <v>845</v>
      </c>
      <c r="E83" s="3" t="s">
        <v>846</v>
      </c>
      <c r="F83" s="3" t="s">
        <v>849</v>
      </c>
      <c r="G83" s="3" t="s">
        <v>850</v>
      </c>
      <c r="H83" s="4"/>
    </row>
    <row r="84" spans="1:8" ht="45.75" customHeight="1">
      <c r="A84" s="2" t="s">
        <v>676</v>
      </c>
      <c r="B84" s="3">
        <v>3010</v>
      </c>
      <c r="C84" s="14">
        <v>3</v>
      </c>
      <c r="D84" s="3" t="s">
        <v>845</v>
      </c>
      <c r="E84" s="3" t="s">
        <v>846</v>
      </c>
      <c r="F84" s="3" t="s">
        <v>851</v>
      </c>
      <c r="G84" s="3" t="s">
        <v>852</v>
      </c>
      <c r="H84" s="4"/>
    </row>
    <row r="85" spans="1:8" ht="44.25" customHeight="1">
      <c r="A85" s="2" t="s">
        <v>676</v>
      </c>
      <c r="B85" s="3">
        <v>3010</v>
      </c>
      <c r="C85" s="14">
        <v>4</v>
      </c>
      <c r="D85" s="3" t="s">
        <v>845</v>
      </c>
      <c r="E85" s="3" t="s">
        <v>846</v>
      </c>
      <c r="F85" s="3" t="s">
        <v>853</v>
      </c>
      <c r="G85" s="3" t="s">
        <v>854</v>
      </c>
      <c r="H85" s="4"/>
    </row>
    <row r="86" spans="1:8" ht="18" customHeight="1">
      <c r="A86" s="2" t="s">
        <v>676</v>
      </c>
      <c r="B86" s="3">
        <v>3010</v>
      </c>
      <c r="C86" s="14">
        <v>5</v>
      </c>
      <c r="D86" s="3" t="s">
        <v>845</v>
      </c>
      <c r="E86" s="3" t="s">
        <v>846</v>
      </c>
      <c r="F86" s="3" t="s">
        <v>855</v>
      </c>
      <c r="G86" s="3" t="s">
        <v>856</v>
      </c>
      <c r="H86" s="4"/>
    </row>
    <row r="87" spans="1:8" ht="18" customHeight="1">
      <c r="A87" s="2" t="s">
        <v>676</v>
      </c>
      <c r="B87" s="3">
        <v>3020</v>
      </c>
      <c r="C87" s="14">
        <v>1</v>
      </c>
      <c r="D87" s="3" t="s">
        <v>845</v>
      </c>
      <c r="E87" s="32" t="s">
        <v>857</v>
      </c>
      <c r="F87" s="3" t="s">
        <v>858</v>
      </c>
      <c r="G87" s="3" t="s">
        <v>859</v>
      </c>
      <c r="H87" s="4"/>
    </row>
    <row r="88" spans="1:8" ht="119.25" customHeight="1">
      <c r="A88" s="2" t="s">
        <v>676</v>
      </c>
      <c r="B88" s="3">
        <v>3020</v>
      </c>
      <c r="C88" s="14">
        <v>2</v>
      </c>
      <c r="D88" s="3" t="s">
        <v>845</v>
      </c>
      <c r="E88" s="32" t="s">
        <v>857</v>
      </c>
      <c r="F88" s="3" t="s">
        <v>860</v>
      </c>
      <c r="G88" s="3" t="s">
        <v>861</v>
      </c>
      <c r="H88" s="4"/>
    </row>
    <row r="89" spans="1:8" ht="18" customHeight="1">
      <c r="A89" s="2" t="s">
        <v>676</v>
      </c>
      <c r="B89" s="3">
        <v>3020</v>
      </c>
      <c r="C89" s="14">
        <v>3</v>
      </c>
      <c r="D89" s="3" t="s">
        <v>845</v>
      </c>
      <c r="E89" s="32" t="s">
        <v>857</v>
      </c>
      <c r="F89" s="3" t="s">
        <v>862</v>
      </c>
      <c r="G89" s="3" t="s">
        <v>863</v>
      </c>
      <c r="H89" s="4"/>
    </row>
    <row r="90" spans="1:8" ht="18" customHeight="1">
      <c r="A90" s="2" t="s">
        <v>676</v>
      </c>
      <c r="B90" s="3">
        <v>3030</v>
      </c>
      <c r="C90" s="14">
        <v>1</v>
      </c>
      <c r="D90" s="3" t="s">
        <v>845</v>
      </c>
      <c r="E90" s="3" t="s">
        <v>864</v>
      </c>
      <c r="F90" s="3" t="s">
        <v>865</v>
      </c>
      <c r="G90" s="3" t="s">
        <v>866</v>
      </c>
      <c r="H90" s="4"/>
    </row>
    <row r="91" spans="1:8" ht="18" customHeight="1">
      <c r="A91" s="2" t="s">
        <v>676</v>
      </c>
      <c r="B91" s="3">
        <v>3030</v>
      </c>
      <c r="C91" s="14">
        <v>2</v>
      </c>
      <c r="D91" s="3" t="s">
        <v>845</v>
      </c>
      <c r="E91" s="3" t="s">
        <v>864</v>
      </c>
      <c r="F91" s="3" t="s">
        <v>867</v>
      </c>
      <c r="G91" s="3" t="s">
        <v>868</v>
      </c>
      <c r="H91" s="4"/>
    </row>
    <row r="92" spans="1:8" ht="18" customHeight="1">
      <c r="A92" s="2" t="s">
        <v>676</v>
      </c>
      <c r="B92" s="3">
        <v>3030</v>
      </c>
      <c r="C92" s="14">
        <v>2</v>
      </c>
      <c r="D92" s="3" t="s">
        <v>845</v>
      </c>
      <c r="E92" s="3" t="s">
        <v>864</v>
      </c>
      <c r="F92" s="3" t="s">
        <v>869</v>
      </c>
      <c r="G92" s="3" t="s">
        <v>870</v>
      </c>
      <c r="H92" s="4"/>
    </row>
    <row r="93" spans="1:8" ht="18" customHeight="1">
      <c r="A93" s="2" t="s">
        <v>676</v>
      </c>
      <c r="B93" s="3">
        <v>3040</v>
      </c>
      <c r="C93" s="14">
        <v>1</v>
      </c>
      <c r="D93" s="3" t="s">
        <v>845</v>
      </c>
      <c r="E93" s="3" t="s">
        <v>871</v>
      </c>
      <c r="F93" s="3" t="s">
        <v>872</v>
      </c>
      <c r="G93" s="3" t="s">
        <v>873</v>
      </c>
      <c r="H93" s="4"/>
    </row>
    <row r="94" spans="1:8" ht="18" customHeight="1">
      <c r="A94" s="2" t="s">
        <v>676</v>
      </c>
      <c r="B94" s="3">
        <v>3040</v>
      </c>
      <c r="C94" s="14">
        <v>2</v>
      </c>
      <c r="D94" s="3" t="s">
        <v>845</v>
      </c>
      <c r="E94" s="3" t="s">
        <v>871</v>
      </c>
      <c r="F94" s="3" t="s">
        <v>874</v>
      </c>
      <c r="G94" s="3" t="s">
        <v>875</v>
      </c>
      <c r="H94" s="4"/>
    </row>
    <row r="95" spans="1:8" ht="18" customHeight="1">
      <c r="A95" s="2" t="s">
        <v>676</v>
      </c>
      <c r="B95" s="3">
        <v>3040</v>
      </c>
      <c r="C95" s="14">
        <v>3</v>
      </c>
      <c r="D95" s="3" t="s">
        <v>845</v>
      </c>
      <c r="E95" s="3" t="s">
        <v>871</v>
      </c>
      <c r="F95" s="3" t="s">
        <v>876</v>
      </c>
      <c r="G95" s="3" t="s">
        <v>877</v>
      </c>
      <c r="H95" s="4"/>
    </row>
    <row r="96" spans="1:8" ht="30" customHeight="1">
      <c r="A96" s="2" t="s">
        <v>676</v>
      </c>
      <c r="B96" s="3">
        <v>3040</v>
      </c>
      <c r="C96" s="14">
        <v>3</v>
      </c>
      <c r="D96" s="3" t="s">
        <v>845</v>
      </c>
      <c r="E96" s="3" t="s">
        <v>871</v>
      </c>
      <c r="F96" s="3" t="s">
        <v>878</v>
      </c>
      <c r="G96" s="3" t="s">
        <v>879</v>
      </c>
      <c r="H96" s="4"/>
    </row>
    <row r="97" spans="1:8" ht="18" customHeight="1">
      <c r="A97" s="2" t="s">
        <v>676</v>
      </c>
      <c r="B97" s="3">
        <v>3040</v>
      </c>
      <c r="C97" s="14">
        <v>4</v>
      </c>
      <c r="D97" s="3" t="s">
        <v>845</v>
      </c>
      <c r="E97" s="3" t="s">
        <v>871</v>
      </c>
      <c r="F97" s="3" t="s">
        <v>880</v>
      </c>
      <c r="G97" s="3" t="s">
        <v>881</v>
      </c>
      <c r="H97" s="4"/>
    </row>
    <row r="98" spans="1:8" ht="18" customHeight="1">
      <c r="A98" s="2" t="s">
        <v>676</v>
      </c>
      <c r="B98" s="3">
        <v>3040</v>
      </c>
      <c r="C98" s="14">
        <v>5</v>
      </c>
      <c r="D98" s="3" t="s">
        <v>845</v>
      </c>
      <c r="E98" s="3" t="s">
        <v>871</v>
      </c>
      <c r="F98" s="3" t="s">
        <v>882</v>
      </c>
      <c r="G98" s="3" t="s">
        <v>883</v>
      </c>
      <c r="H98" s="4"/>
    </row>
    <row r="99" spans="1:8" ht="18" customHeight="1">
      <c r="A99" s="2" t="s">
        <v>676</v>
      </c>
      <c r="B99" s="3">
        <v>3040</v>
      </c>
      <c r="C99" s="14">
        <v>6</v>
      </c>
      <c r="D99" s="3" t="s">
        <v>845</v>
      </c>
      <c r="E99" s="3" t="s">
        <v>871</v>
      </c>
      <c r="F99" s="3" t="s">
        <v>884</v>
      </c>
      <c r="G99" s="3" t="s">
        <v>885</v>
      </c>
      <c r="H99" s="4"/>
    </row>
    <row r="100" spans="1:8" ht="18" customHeight="1">
      <c r="A100" s="2" t="s">
        <v>676</v>
      </c>
      <c r="B100" s="3">
        <v>3040</v>
      </c>
      <c r="C100" s="14">
        <v>7</v>
      </c>
      <c r="D100" s="3" t="s">
        <v>845</v>
      </c>
      <c r="E100" s="3" t="s">
        <v>871</v>
      </c>
      <c r="F100" s="3" t="s">
        <v>886</v>
      </c>
      <c r="G100" s="3" t="s">
        <v>813</v>
      </c>
      <c r="H100" s="4"/>
    </row>
    <row r="101" spans="1:8" ht="18" customHeight="1">
      <c r="A101" s="2" t="s">
        <v>676</v>
      </c>
      <c r="B101" s="3">
        <v>3040</v>
      </c>
      <c r="C101" s="14">
        <v>8</v>
      </c>
      <c r="D101" s="3" t="s">
        <v>845</v>
      </c>
      <c r="E101" s="3" t="s">
        <v>871</v>
      </c>
      <c r="F101" s="3" t="s">
        <v>887</v>
      </c>
      <c r="G101" s="3" t="s">
        <v>888</v>
      </c>
      <c r="H101" s="4"/>
    </row>
    <row r="102" spans="1:8" ht="18" customHeight="1">
      <c r="A102" s="2" t="s">
        <v>676</v>
      </c>
      <c r="B102" s="3">
        <v>3040</v>
      </c>
      <c r="C102" s="14">
        <v>9</v>
      </c>
      <c r="D102" s="3" t="s">
        <v>845</v>
      </c>
      <c r="E102" s="3" t="s">
        <v>871</v>
      </c>
      <c r="F102" s="3" t="s">
        <v>889</v>
      </c>
      <c r="G102" s="3" t="s">
        <v>890</v>
      </c>
      <c r="H102" s="4"/>
    </row>
    <row r="103" spans="1:8" s="31" customFormat="1" ht="57.75" customHeight="1">
      <c r="A103" s="27" t="s">
        <v>676</v>
      </c>
      <c r="B103" s="28">
        <v>3040</v>
      </c>
      <c r="C103" s="29">
        <v>10</v>
      </c>
      <c r="D103" s="28" t="s">
        <v>845</v>
      </c>
      <c r="E103" s="28" t="s">
        <v>871</v>
      </c>
      <c r="F103" s="28" t="s">
        <v>891</v>
      </c>
      <c r="G103" s="28" t="s">
        <v>892</v>
      </c>
      <c r="H103" s="30"/>
    </row>
    <row r="104" spans="1:8" ht="18" customHeight="1">
      <c r="A104" s="2" t="s">
        <v>676</v>
      </c>
      <c r="B104" s="3">
        <v>4020</v>
      </c>
      <c r="C104" s="14">
        <v>1</v>
      </c>
      <c r="D104" s="3" t="s">
        <v>893</v>
      </c>
      <c r="E104" s="3" t="s">
        <v>894</v>
      </c>
      <c r="F104" s="3" t="s">
        <v>895</v>
      </c>
      <c r="G104" s="3" t="s">
        <v>896</v>
      </c>
      <c r="H104" s="4"/>
    </row>
    <row r="105" spans="1:8" ht="18" customHeight="1">
      <c r="A105" s="2" t="s">
        <v>676</v>
      </c>
      <c r="B105" s="3">
        <v>4020</v>
      </c>
      <c r="C105" s="14">
        <v>2</v>
      </c>
      <c r="D105" s="3" t="s">
        <v>893</v>
      </c>
      <c r="E105" s="3" t="s">
        <v>894</v>
      </c>
      <c r="F105" s="3" t="s">
        <v>897</v>
      </c>
      <c r="G105" s="3" t="s">
        <v>898</v>
      </c>
      <c r="H105" s="4"/>
    </row>
    <row r="106" spans="1:8" ht="41.25" customHeight="1">
      <c r="A106" s="2" t="s">
        <v>676</v>
      </c>
      <c r="B106" s="3">
        <v>4020</v>
      </c>
      <c r="C106" s="14">
        <v>3</v>
      </c>
      <c r="D106" s="3" t="s">
        <v>893</v>
      </c>
      <c r="E106" s="3" t="s">
        <v>894</v>
      </c>
      <c r="F106" s="3" t="s">
        <v>899</v>
      </c>
      <c r="G106" s="3" t="s">
        <v>900</v>
      </c>
      <c r="H106" s="4"/>
    </row>
    <row r="107" spans="1:8" ht="43.5" customHeight="1">
      <c r="A107" s="2" t="s">
        <v>676</v>
      </c>
      <c r="B107" s="3">
        <v>4020</v>
      </c>
      <c r="C107" s="14">
        <v>4</v>
      </c>
      <c r="D107" s="3" t="s">
        <v>893</v>
      </c>
      <c r="E107" s="3" t="s">
        <v>894</v>
      </c>
      <c r="F107" s="3" t="s">
        <v>901</v>
      </c>
      <c r="G107" s="3" t="s">
        <v>902</v>
      </c>
      <c r="H107" s="4"/>
    </row>
    <row r="108" spans="1:8" ht="28.5" customHeight="1">
      <c r="A108" s="2" t="s">
        <v>676</v>
      </c>
      <c r="B108" s="3">
        <v>4020</v>
      </c>
      <c r="C108" s="14">
        <v>5</v>
      </c>
      <c r="D108" s="3" t="s">
        <v>893</v>
      </c>
      <c r="E108" s="3" t="s">
        <v>894</v>
      </c>
      <c r="F108" s="3" t="s">
        <v>903</v>
      </c>
      <c r="G108" s="3" t="s">
        <v>904</v>
      </c>
      <c r="H108" s="4"/>
    </row>
    <row r="109" spans="1:8" ht="30.75" customHeight="1">
      <c r="A109" s="2" t="s">
        <v>676</v>
      </c>
      <c r="B109" s="3">
        <v>4020</v>
      </c>
      <c r="C109" s="14">
        <v>6</v>
      </c>
      <c r="D109" s="3" t="s">
        <v>893</v>
      </c>
      <c r="E109" s="3" t="s">
        <v>894</v>
      </c>
      <c r="F109" s="3" t="s">
        <v>905</v>
      </c>
      <c r="G109" s="3" t="s">
        <v>906</v>
      </c>
      <c r="H109" s="4"/>
    </row>
    <row r="110" spans="1:8" ht="18" customHeight="1">
      <c r="A110" s="2" t="s">
        <v>676</v>
      </c>
      <c r="B110" s="3">
        <v>5010</v>
      </c>
      <c r="C110" s="14">
        <v>1</v>
      </c>
      <c r="D110" s="3" t="s">
        <v>907</v>
      </c>
      <c r="E110" s="3" t="s">
        <v>907</v>
      </c>
      <c r="F110" s="3" t="s">
        <v>908</v>
      </c>
      <c r="G110" s="3" t="s">
        <v>909</v>
      </c>
      <c r="H110" s="4"/>
    </row>
    <row r="111" spans="1:8" ht="18" customHeight="1">
      <c r="A111" s="2" t="s">
        <v>676</v>
      </c>
      <c r="B111" s="3">
        <v>5010</v>
      </c>
      <c r="C111" s="14">
        <v>2</v>
      </c>
      <c r="D111" s="3" t="s">
        <v>907</v>
      </c>
      <c r="E111" s="3" t="s">
        <v>907</v>
      </c>
      <c r="F111" s="3" t="s">
        <v>910</v>
      </c>
      <c r="G111" s="3" t="s">
        <v>911</v>
      </c>
      <c r="H111" s="4"/>
    </row>
    <row r="112" spans="1:8" ht="18" customHeight="1">
      <c r="A112" s="2" t="s">
        <v>676</v>
      </c>
      <c r="B112" s="3">
        <v>5010</v>
      </c>
      <c r="C112" s="14">
        <v>3</v>
      </c>
      <c r="D112" s="3" t="s">
        <v>907</v>
      </c>
      <c r="E112" s="3" t="s">
        <v>907</v>
      </c>
      <c r="F112" s="3" t="s">
        <v>912</v>
      </c>
      <c r="G112" s="3" t="s">
        <v>913</v>
      </c>
      <c r="H112" s="4"/>
    </row>
    <row r="113" spans="1:8">
      <c r="A113" s="5"/>
      <c r="B113" s="6"/>
      <c r="C113" s="15"/>
      <c r="D113" s="6"/>
      <c r="E113" s="6"/>
      <c r="F113" s="6"/>
      <c r="G113" s="6"/>
      <c r="H113" s="7"/>
    </row>
  </sheetData>
  <customSheetViews>
    <customSheetView guid="{948AD6F2-AD99-4F35-BCF6-12F355172F31}" showPageBreaks="1" fitToPage="1" view="pageBreakPreview">
      <pane xSplit="4" ySplit="2" topLeftCell="E3" activePane="bottomRight" state="frozen"/>
      <selection pane="bottomRight"/>
      <pageMargins left="0" right="0" top="0" bottom="0" header="0" footer="0"/>
      <pageSetup paperSize="9" fitToHeight="0" orientation="landscape" verticalDpi="300" r:id="rId1"/>
      <headerFooter alignWithMargins="0">
        <oddHeader>&amp;C&amp;"ＭＳ Ｐゴシック,太字"&amp;16&amp;Uリスク分析シート</oddHeader>
        <oddFooter>&amp;L&amp;11伊藤忠テクノソリューションズ株式会社&amp;C&amp;P/&amp;N&amp;R&amp;11D020T1 Ver.03.00</oddFooter>
      </headerFooter>
    </customSheetView>
  </customSheetViews>
  <mergeCells count="1">
    <mergeCell ref="A2:C2"/>
  </mergeCells>
  <phoneticPr fontId="2"/>
  <pageMargins left="0.35433070866141736" right="0.31496062992125984" top="0.82677165354330717" bottom="0.59055118110236227" header="0.51181102362204722" footer="0.19685039370078741"/>
  <pageSetup paperSize="9" fitToHeight="0" orientation="landscape" verticalDpi="300" r:id="rId2"/>
  <headerFooter alignWithMargins="0">
    <oddFooter>&amp;L伊藤忠テクノソリューションズ株式会社&amp;C&amp;P/&amp;N&amp;RCQMS-S-102T5 Ver.09.00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3E5B6-530B-4241-A097-CC6AB3834ADC}">
  <dimension ref="A2:X31"/>
  <sheetViews>
    <sheetView workbookViewId="0"/>
  </sheetViews>
  <sheetFormatPr defaultRowHeight="12"/>
  <cols>
    <col min="3" max="3" width="67.85546875" customWidth="1"/>
    <col min="4" max="4" width="15.28515625" customWidth="1"/>
    <col min="6" max="6" width="56.85546875" customWidth="1"/>
    <col min="7" max="9" width="0" hidden="1" customWidth="1"/>
    <col min="12" max="12" width="45" customWidth="1"/>
    <col min="13" max="16" width="0" hidden="1" customWidth="1"/>
    <col min="19" max="19" width="38" customWidth="1"/>
  </cols>
  <sheetData>
    <row r="2" spans="1:24" ht="12.75" thickBot="1">
      <c r="A2" t="s">
        <v>914</v>
      </c>
    </row>
    <row r="3" spans="1:24" s="260" customFormat="1" ht="83.25" thickTop="1">
      <c r="A3" s="246" t="s">
        <v>65</v>
      </c>
      <c r="B3" s="247" t="s">
        <v>137</v>
      </c>
      <c r="C3" s="248" t="s">
        <v>915</v>
      </c>
      <c r="D3" s="247" t="s">
        <v>22</v>
      </c>
      <c r="E3" s="249" t="s">
        <v>140</v>
      </c>
      <c r="F3" s="250" t="s">
        <v>141</v>
      </c>
      <c r="G3" s="251" t="s">
        <v>142</v>
      </c>
      <c r="H3" s="252" t="s">
        <v>143</v>
      </c>
      <c r="I3" s="253" t="s">
        <v>144</v>
      </c>
      <c r="J3" s="254" t="s">
        <v>145</v>
      </c>
      <c r="K3" s="255" t="s">
        <v>147</v>
      </c>
      <c r="L3" s="248" t="s">
        <v>148</v>
      </c>
      <c r="M3" s="255" t="s">
        <v>150</v>
      </c>
      <c r="N3" s="255" t="s">
        <v>151</v>
      </c>
      <c r="O3" s="256" t="s">
        <v>369</v>
      </c>
      <c r="P3" s="257" t="s">
        <v>152</v>
      </c>
      <c r="Q3" s="258" t="s">
        <v>153</v>
      </c>
      <c r="R3" s="248" t="s">
        <v>154</v>
      </c>
      <c r="S3" s="259" t="s">
        <v>155</v>
      </c>
    </row>
    <row r="4" spans="1:24" s="260" customFormat="1" ht="77.25" customHeight="1">
      <c r="A4" s="277">
        <v>1</v>
      </c>
      <c r="B4" s="278">
        <v>44736</v>
      </c>
      <c r="C4" s="279" t="s">
        <v>916</v>
      </c>
      <c r="D4" s="280" t="s">
        <v>191</v>
      </c>
      <c r="E4" s="281">
        <v>0.2</v>
      </c>
      <c r="F4" s="282" t="s">
        <v>917</v>
      </c>
      <c r="G4" s="283">
        <f>1*1.1</f>
        <v>1.1000000000000001</v>
      </c>
      <c r="H4" s="284">
        <f t="shared" ref="H4:H11" si="0">G4*E4</f>
        <v>0.22000000000000003</v>
      </c>
      <c r="I4" s="285"/>
      <c r="J4" s="286" t="s">
        <v>187</v>
      </c>
      <c r="K4" s="287" t="s">
        <v>918</v>
      </c>
      <c r="L4" s="279" t="s">
        <v>919</v>
      </c>
      <c r="M4" s="288" t="s">
        <v>920</v>
      </c>
      <c r="N4" s="289"/>
      <c r="O4" s="290">
        <v>0</v>
      </c>
      <c r="P4" s="284"/>
      <c r="Q4" s="291" t="s">
        <v>921</v>
      </c>
      <c r="R4" s="279" t="s">
        <v>922</v>
      </c>
      <c r="S4" s="292" t="s">
        <v>923</v>
      </c>
    </row>
    <row r="5" spans="1:24" s="260" customFormat="1" ht="123.75" customHeight="1">
      <c r="A5" s="293">
        <v>2</v>
      </c>
      <c r="B5" s="278">
        <v>44740</v>
      </c>
      <c r="C5" s="279" t="s">
        <v>924</v>
      </c>
      <c r="D5" s="280" t="s">
        <v>333</v>
      </c>
      <c r="E5" s="281">
        <f>40%*2/3</f>
        <v>0.26666666666666666</v>
      </c>
      <c r="F5" s="282" t="s">
        <v>925</v>
      </c>
      <c r="G5" s="283">
        <v>2.2000000000000002</v>
      </c>
      <c r="H5" s="284">
        <f t="shared" si="0"/>
        <v>0.58666666666666667</v>
      </c>
      <c r="I5" s="285"/>
      <c r="J5" s="286" t="s">
        <v>926</v>
      </c>
      <c r="K5" s="287" t="s">
        <v>918</v>
      </c>
      <c r="L5" s="279" t="s">
        <v>927</v>
      </c>
      <c r="M5" s="288" t="s">
        <v>920</v>
      </c>
      <c r="N5" s="289"/>
      <c r="O5" s="290">
        <f>H5*0.8</f>
        <v>0.46933333333333338</v>
      </c>
      <c r="P5" s="284"/>
      <c r="Q5" s="291" t="s">
        <v>928</v>
      </c>
      <c r="R5" s="279" t="s">
        <v>929</v>
      </c>
      <c r="S5" s="292" t="s">
        <v>930</v>
      </c>
      <c r="W5" s="261"/>
    </row>
    <row r="6" spans="1:24" s="260" customFormat="1" ht="104.25" customHeight="1">
      <c r="A6" s="277">
        <v>3</v>
      </c>
      <c r="B6" s="278">
        <v>44736</v>
      </c>
      <c r="C6" s="279" t="s">
        <v>931</v>
      </c>
      <c r="D6" s="280" t="s">
        <v>333</v>
      </c>
      <c r="E6" s="281">
        <f>40%*3/4</f>
        <v>0.30000000000000004</v>
      </c>
      <c r="F6" s="282" t="s">
        <v>932</v>
      </c>
      <c r="G6" s="283">
        <v>3.3</v>
      </c>
      <c r="H6" s="284">
        <f t="shared" si="0"/>
        <v>0.9900000000000001</v>
      </c>
      <c r="I6" s="285"/>
      <c r="J6" s="286" t="s">
        <v>389</v>
      </c>
      <c r="K6" s="287" t="s">
        <v>933</v>
      </c>
      <c r="L6" s="279" t="s">
        <v>934</v>
      </c>
      <c r="M6" s="288" t="s">
        <v>920</v>
      </c>
      <c r="N6" s="289"/>
      <c r="O6" s="290">
        <v>0</v>
      </c>
      <c r="P6" s="284"/>
      <c r="Q6" s="291" t="s">
        <v>935</v>
      </c>
      <c r="R6" s="279" t="s">
        <v>936</v>
      </c>
      <c r="S6" s="292" t="s">
        <v>930</v>
      </c>
      <c r="X6" s="262"/>
    </row>
    <row r="7" spans="1:24" s="260" customFormat="1" ht="119.25" customHeight="1">
      <c r="A7" s="293">
        <v>4</v>
      </c>
      <c r="B7" s="278">
        <v>44736</v>
      </c>
      <c r="C7" s="279" t="s">
        <v>937</v>
      </c>
      <c r="D7" s="280" t="s">
        <v>335</v>
      </c>
      <c r="E7" s="281">
        <f>30%*3/4</f>
        <v>0.22499999999999998</v>
      </c>
      <c r="F7" s="282" t="s">
        <v>938</v>
      </c>
      <c r="G7" s="283">
        <v>2.2000000000000002</v>
      </c>
      <c r="H7" s="284">
        <f t="shared" si="0"/>
        <v>0.495</v>
      </c>
      <c r="I7" s="285"/>
      <c r="J7" s="286" t="s">
        <v>926</v>
      </c>
      <c r="K7" s="287" t="s">
        <v>918</v>
      </c>
      <c r="L7" s="279" t="s">
        <v>939</v>
      </c>
      <c r="M7" s="288" t="s">
        <v>920</v>
      </c>
      <c r="N7" s="289"/>
      <c r="O7" s="290">
        <f>H7*0.8</f>
        <v>0.39600000000000002</v>
      </c>
      <c r="P7" s="284"/>
      <c r="Q7" s="291" t="s">
        <v>928</v>
      </c>
      <c r="R7" s="279" t="s">
        <v>940</v>
      </c>
      <c r="S7" s="292" t="s">
        <v>941</v>
      </c>
      <c r="W7" s="261"/>
    </row>
    <row r="8" spans="1:24" s="260" customFormat="1" ht="82.5" customHeight="1">
      <c r="A8" s="293">
        <v>5</v>
      </c>
      <c r="B8" s="278">
        <v>44736</v>
      </c>
      <c r="C8" s="279" t="s">
        <v>942</v>
      </c>
      <c r="D8" s="280" t="s">
        <v>333</v>
      </c>
      <c r="E8" s="281">
        <f>30%*3/4</f>
        <v>0.22499999999999998</v>
      </c>
      <c r="F8" s="282" t="s">
        <v>943</v>
      </c>
      <c r="G8" s="283">
        <f>4*1.1</f>
        <v>4.4000000000000004</v>
      </c>
      <c r="H8" s="284">
        <f t="shared" si="0"/>
        <v>0.99</v>
      </c>
      <c r="I8" s="285"/>
      <c r="J8" s="286" t="s">
        <v>926</v>
      </c>
      <c r="K8" s="287" t="s">
        <v>933</v>
      </c>
      <c r="L8" s="279" t="s">
        <v>944</v>
      </c>
      <c r="M8" s="288" t="s">
        <v>920</v>
      </c>
      <c r="N8" s="289"/>
      <c r="O8" s="290">
        <f>H8*0.8</f>
        <v>0.79200000000000004</v>
      </c>
      <c r="P8" s="284"/>
      <c r="Q8" s="291" t="s">
        <v>935</v>
      </c>
      <c r="R8" s="279" t="s">
        <v>945</v>
      </c>
      <c r="S8" s="292" t="s">
        <v>941</v>
      </c>
      <c r="W8" s="261"/>
    </row>
    <row r="9" spans="1:24" s="260" customFormat="1" ht="118.5" customHeight="1">
      <c r="A9" s="293">
        <v>6</v>
      </c>
      <c r="B9" s="278">
        <v>44736</v>
      </c>
      <c r="C9" s="279" t="s">
        <v>946</v>
      </c>
      <c r="D9" s="280" t="s">
        <v>336</v>
      </c>
      <c r="E9" s="281">
        <f>30%*2/3</f>
        <v>0.19999999999999998</v>
      </c>
      <c r="F9" s="282" t="s">
        <v>947</v>
      </c>
      <c r="G9" s="283">
        <v>3.3</v>
      </c>
      <c r="H9" s="284">
        <f t="shared" si="0"/>
        <v>0.65999999999999992</v>
      </c>
      <c r="I9" s="285"/>
      <c r="J9" s="286" t="s">
        <v>926</v>
      </c>
      <c r="K9" s="287" t="s">
        <v>918</v>
      </c>
      <c r="L9" s="279" t="s">
        <v>948</v>
      </c>
      <c r="M9" s="288" t="s">
        <v>920</v>
      </c>
      <c r="N9" s="289"/>
      <c r="O9" s="290">
        <f>H9*0.8</f>
        <v>0.52799999999999991</v>
      </c>
      <c r="P9" s="284"/>
      <c r="Q9" s="291" t="s">
        <v>928</v>
      </c>
      <c r="R9" s="279" t="s">
        <v>940</v>
      </c>
      <c r="S9" s="292" t="s">
        <v>941</v>
      </c>
      <c r="W9" s="261"/>
    </row>
    <row r="10" spans="1:24" s="260" customFormat="1" ht="156" customHeight="1">
      <c r="A10" s="293">
        <v>7</v>
      </c>
      <c r="B10" s="278">
        <v>44736</v>
      </c>
      <c r="C10" s="279" t="s">
        <v>949</v>
      </c>
      <c r="D10" s="280" t="s">
        <v>346</v>
      </c>
      <c r="E10" s="281">
        <f>40%*3/4</f>
        <v>0.30000000000000004</v>
      </c>
      <c r="F10" s="282" t="s">
        <v>943</v>
      </c>
      <c r="G10" s="283">
        <v>4.4000000000000004</v>
      </c>
      <c r="H10" s="284">
        <f t="shared" si="0"/>
        <v>1.3200000000000003</v>
      </c>
      <c r="I10" s="285"/>
      <c r="J10" s="286" t="s">
        <v>926</v>
      </c>
      <c r="K10" s="287" t="s">
        <v>918</v>
      </c>
      <c r="L10" s="279" t="s">
        <v>950</v>
      </c>
      <c r="M10" s="288" t="s">
        <v>920</v>
      </c>
      <c r="N10" s="289"/>
      <c r="O10" s="290">
        <f>H10*0.8</f>
        <v>1.0560000000000003</v>
      </c>
      <c r="P10" s="284"/>
      <c r="Q10" s="291" t="s">
        <v>928</v>
      </c>
      <c r="R10" s="279" t="s">
        <v>940</v>
      </c>
      <c r="S10" s="292" t="s">
        <v>941</v>
      </c>
      <c r="W10" s="261"/>
    </row>
    <row r="11" spans="1:24" s="260" customFormat="1" ht="78.75" customHeight="1">
      <c r="A11" s="293">
        <v>8</v>
      </c>
      <c r="B11" s="278">
        <v>44736</v>
      </c>
      <c r="C11" s="294" t="s">
        <v>951</v>
      </c>
      <c r="D11" s="294" t="s">
        <v>288</v>
      </c>
      <c r="E11" s="295">
        <v>0.2</v>
      </c>
      <c r="F11" s="294" t="s">
        <v>952</v>
      </c>
      <c r="G11" s="290">
        <v>1.1000000000000001</v>
      </c>
      <c r="H11" s="284">
        <f t="shared" si="0"/>
        <v>0.22000000000000003</v>
      </c>
      <c r="I11" s="285"/>
      <c r="J11" s="296" t="s">
        <v>187</v>
      </c>
      <c r="K11" s="280" t="s">
        <v>918</v>
      </c>
      <c r="L11" s="279" t="s">
        <v>953</v>
      </c>
      <c r="M11" s="288" t="s">
        <v>920</v>
      </c>
      <c r="N11" s="289"/>
      <c r="O11" s="290">
        <v>0</v>
      </c>
      <c r="P11" s="284"/>
      <c r="Q11" s="291" t="s">
        <v>928</v>
      </c>
      <c r="R11" s="291" t="s">
        <v>954</v>
      </c>
      <c r="S11" s="292" t="s">
        <v>955</v>
      </c>
      <c r="W11" s="263"/>
    </row>
    <row r="13" spans="1:24">
      <c r="A13" t="s">
        <v>956</v>
      </c>
    </row>
    <row r="14" spans="1:24" s="31" customFormat="1" ht="125.25" customHeight="1">
      <c r="A14" s="184">
        <v>1</v>
      </c>
      <c r="B14" s="168">
        <v>44105</v>
      </c>
      <c r="C14" s="264" t="s">
        <v>957</v>
      </c>
      <c r="D14" s="169" t="s">
        <v>239</v>
      </c>
      <c r="E14" s="170">
        <v>0.25</v>
      </c>
      <c r="F14" s="79" t="s">
        <v>958</v>
      </c>
      <c r="G14" s="198">
        <v>1.32</v>
      </c>
      <c r="H14" s="204">
        <f>G14*E14</f>
        <v>0.33</v>
      </c>
      <c r="I14" s="175">
        <v>1</v>
      </c>
      <c r="J14" s="265" t="s">
        <v>926</v>
      </c>
      <c r="K14" s="3" t="s">
        <v>959</v>
      </c>
      <c r="L14" s="3" t="s">
        <v>960</v>
      </c>
      <c r="M14" s="266" t="s">
        <v>961</v>
      </c>
      <c r="N14" s="183"/>
      <c r="O14" s="198">
        <f>H14</f>
        <v>0.33</v>
      </c>
      <c r="P14" s="211">
        <v>0</v>
      </c>
      <c r="Q14" s="267" t="s">
        <v>962</v>
      </c>
      <c r="R14" s="3" t="s">
        <v>963</v>
      </c>
      <c r="S14" s="79" t="s">
        <v>964</v>
      </c>
      <c r="W14" s="34"/>
    </row>
    <row r="16" spans="1:24">
      <c r="A16" t="s">
        <v>965</v>
      </c>
    </row>
    <row r="17" spans="1:23" s="31" customFormat="1" ht="138" customHeight="1">
      <c r="A17" s="167">
        <v>1</v>
      </c>
      <c r="B17" s="168">
        <v>44328</v>
      </c>
      <c r="C17" s="3" t="s">
        <v>966</v>
      </c>
      <c r="D17" s="169" t="s">
        <v>206</v>
      </c>
      <c r="E17" s="170">
        <v>0.35</v>
      </c>
      <c r="F17" s="79" t="s">
        <v>967</v>
      </c>
      <c r="G17" s="198">
        <v>3</v>
      </c>
      <c r="H17" s="204">
        <f t="shared" ref="H17:H23" si="1">G17*E17</f>
        <v>1.0499999999999998</v>
      </c>
      <c r="I17" s="175">
        <v>2</v>
      </c>
      <c r="J17" s="268" t="s">
        <v>968</v>
      </c>
      <c r="K17" s="104">
        <v>44362</v>
      </c>
      <c r="L17" s="3" t="s">
        <v>969</v>
      </c>
      <c r="M17" s="266" t="s">
        <v>970</v>
      </c>
      <c r="N17" s="183"/>
      <c r="O17" s="198">
        <f>H17</f>
        <v>1.0499999999999998</v>
      </c>
      <c r="P17" s="207">
        <v>0</v>
      </c>
      <c r="Q17" s="112" t="s">
        <v>971</v>
      </c>
      <c r="R17" s="3" t="s">
        <v>972</v>
      </c>
      <c r="S17" s="79" t="s">
        <v>973</v>
      </c>
      <c r="W17" s="34"/>
    </row>
    <row r="18" spans="1:23" s="31" customFormat="1" ht="137.25" customHeight="1">
      <c r="A18" s="269">
        <v>2</v>
      </c>
      <c r="B18" s="168">
        <v>44328</v>
      </c>
      <c r="C18" s="3" t="s">
        <v>974</v>
      </c>
      <c r="D18" s="270" t="s">
        <v>975</v>
      </c>
      <c r="E18" s="170">
        <v>0.3</v>
      </c>
      <c r="F18" s="79" t="s">
        <v>976</v>
      </c>
      <c r="G18" s="198">
        <v>1.8</v>
      </c>
      <c r="H18" s="204">
        <f t="shared" si="1"/>
        <v>0.54</v>
      </c>
      <c r="I18" s="175">
        <v>5</v>
      </c>
      <c r="J18" s="268" t="s">
        <v>968</v>
      </c>
      <c r="K18" s="104">
        <v>44362</v>
      </c>
      <c r="L18" s="3" t="s">
        <v>977</v>
      </c>
      <c r="M18" s="266" t="s">
        <v>970</v>
      </c>
      <c r="N18" s="183"/>
      <c r="O18" s="198">
        <f>H18</f>
        <v>0.54</v>
      </c>
      <c r="P18" s="207">
        <v>0</v>
      </c>
      <c r="Q18" s="112" t="s">
        <v>978</v>
      </c>
      <c r="R18" s="3" t="s">
        <v>979</v>
      </c>
      <c r="S18" s="79" t="s">
        <v>980</v>
      </c>
      <c r="W18" s="33"/>
    </row>
    <row r="19" spans="1:23" s="31" customFormat="1" ht="137.25" customHeight="1">
      <c r="A19" s="174">
        <v>3</v>
      </c>
      <c r="B19" s="168">
        <v>44328</v>
      </c>
      <c r="C19" s="3" t="s">
        <v>981</v>
      </c>
      <c r="D19" s="169" t="s">
        <v>223</v>
      </c>
      <c r="E19" s="170">
        <v>0.2</v>
      </c>
      <c r="F19" s="79" t="s">
        <v>982</v>
      </c>
      <c r="G19" s="198">
        <v>4</v>
      </c>
      <c r="H19" s="204">
        <f t="shared" si="1"/>
        <v>0.8</v>
      </c>
      <c r="I19" s="175">
        <v>3</v>
      </c>
      <c r="J19" s="268" t="s">
        <v>968</v>
      </c>
      <c r="K19" s="104">
        <v>44362</v>
      </c>
      <c r="L19" s="3" t="s">
        <v>983</v>
      </c>
      <c r="M19" s="266" t="s">
        <v>970</v>
      </c>
      <c r="N19" s="183"/>
      <c r="O19" s="198">
        <f>H19</f>
        <v>0.8</v>
      </c>
      <c r="P19" s="207">
        <v>0</v>
      </c>
      <c r="Q19" s="112" t="s">
        <v>971</v>
      </c>
      <c r="R19" s="3" t="s">
        <v>984</v>
      </c>
      <c r="S19" s="79" t="s">
        <v>985</v>
      </c>
      <c r="W19" s="33"/>
    </row>
    <row r="20" spans="1:23" s="31" customFormat="1" ht="137.25" customHeight="1">
      <c r="A20" s="174">
        <v>4</v>
      </c>
      <c r="B20" s="168">
        <v>44328</v>
      </c>
      <c r="C20" s="3" t="s">
        <v>986</v>
      </c>
      <c r="D20" s="169" t="s">
        <v>223</v>
      </c>
      <c r="E20" s="170">
        <v>0.3</v>
      </c>
      <c r="F20" s="79" t="s">
        <v>987</v>
      </c>
      <c r="G20" s="198">
        <v>2.5</v>
      </c>
      <c r="H20" s="204">
        <f t="shared" si="1"/>
        <v>0.75</v>
      </c>
      <c r="I20" s="175">
        <v>4</v>
      </c>
      <c r="J20" s="268" t="s">
        <v>968</v>
      </c>
      <c r="K20" s="104">
        <v>44362</v>
      </c>
      <c r="L20" s="3" t="s">
        <v>983</v>
      </c>
      <c r="M20" s="266" t="s">
        <v>970</v>
      </c>
      <c r="N20" s="183"/>
      <c r="O20" s="198">
        <f>H20</f>
        <v>0.75</v>
      </c>
      <c r="P20" s="207">
        <v>0</v>
      </c>
      <c r="Q20" s="112" t="s">
        <v>971</v>
      </c>
      <c r="R20" s="3" t="s">
        <v>984</v>
      </c>
      <c r="S20" s="79" t="s">
        <v>985</v>
      </c>
      <c r="W20" s="33"/>
    </row>
    <row r="21" spans="1:23" s="31" customFormat="1" ht="109.5" customHeight="1">
      <c r="A21" s="174">
        <v>5</v>
      </c>
      <c r="B21" s="168">
        <v>44328</v>
      </c>
      <c r="C21" s="3" t="s">
        <v>988</v>
      </c>
      <c r="D21" s="169" t="s">
        <v>223</v>
      </c>
      <c r="E21" s="170">
        <v>0.3</v>
      </c>
      <c r="F21" s="79" t="s">
        <v>989</v>
      </c>
      <c r="G21" s="198">
        <v>6</v>
      </c>
      <c r="H21" s="204">
        <f t="shared" si="1"/>
        <v>1.7999999999999998</v>
      </c>
      <c r="I21" s="175">
        <v>1</v>
      </c>
      <c r="J21" s="268" t="s">
        <v>926</v>
      </c>
      <c r="K21" s="104">
        <v>44362</v>
      </c>
      <c r="L21" s="3" t="s">
        <v>983</v>
      </c>
      <c r="M21" s="266" t="s">
        <v>970</v>
      </c>
      <c r="N21" s="183"/>
      <c r="O21" s="198">
        <f>H21</f>
        <v>1.7999999999999998</v>
      </c>
      <c r="P21" s="207">
        <v>0</v>
      </c>
      <c r="Q21" s="112" t="s">
        <v>971</v>
      </c>
      <c r="R21" s="3" t="s">
        <v>984</v>
      </c>
      <c r="S21" s="79" t="s">
        <v>985</v>
      </c>
      <c r="W21" s="34"/>
    </row>
    <row r="22" spans="1:23" s="31" customFormat="1" ht="81" customHeight="1">
      <c r="A22" s="174">
        <v>6</v>
      </c>
      <c r="B22" s="168">
        <v>44328</v>
      </c>
      <c r="C22" s="3" t="s">
        <v>990</v>
      </c>
      <c r="D22" s="169" t="s">
        <v>308</v>
      </c>
      <c r="E22" s="170">
        <v>0.1</v>
      </c>
      <c r="F22" s="79" t="s">
        <v>991</v>
      </c>
      <c r="G22" s="198">
        <v>3</v>
      </c>
      <c r="H22" s="204">
        <f t="shared" si="1"/>
        <v>0.30000000000000004</v>
      </c>
      <c r="I22" s="182">
        <v>7</v>
      </c>
      <c r="J22" s="268" t="s">
        <v>926</v>
      </c>
      <c r="K22" s="104">
        <v>44362</v>
      </c>
      <c r="L22" s="3" t="s">
        <v>992</v>
      </c>
      <c r="M22" s="266" t="s">
        <v>970</v>
      </c>
      <c r="N22" s="183"/>
      <c r="O22" s="198">
        <v>0.2</v>
      </c>
      <c r="P22" s="211">
        <v>0</v>
      </c>
      <c r="Q22" s="112" t="s">
        <v>971</v>
      </c>
      <c r="R22" s="3" t="s">
        <v>993</v>
      </c>
      <c r="S22" s="79" t="s">
        <v>973</v>
      </c>
      <c r="W22" s="34"/>
    </row>
    <row r="23" spans="1:23" s="31" customFormat="1" ht="114" customHeight="1">
      <c r="A23" s="174">
        <v>7</v>
      </c>
      <c r="B23" s="168">
        <v>44328</v>
      </c>
      <c r="C23" s="271" t="s">
        <v>994</v>
      </c>
      <c r="D23" s="169" t="s">
        <v>206</v>
      </c>
      <c r="E23" s="170">
        <v>0.15</v>
      </c>
      <c r="F23" s="79" t="s">
        <v>995</v>
      </c>
      <c r="G23" s="209">
        <v>3</v>
      </c>
      <c r="H23" s="204">
        <f t="shared" si="1"/>
        <v>0.44999999999999996</v>
      </c>
      <c r="I23" s="182">
        <v>6</v>
      </c>
      <c r="J23" s="272" t="s">
        <v>194</v>
      </c>
      <c r="K23" s="104">
        <v>44362</v>
      </c>
      <c r="L23" s="3" t="s">
        <v>996</v>
      </c>
      <c r="M23" s="266" t="s">
        <v>970</v>
      </c>
      <c r="N23" s="183"/>
      <c r="O23" s="198">
        <f>H23*0.8</f>
        <v>0.36</v>
      </c>
      <c r="P23" s="211">
        <v>0</v>
      </c>
      <c r="Q23" s="112" t="s">
        <v>971</v>
      </c>
      <c r="R23" s="3" t="s">
        <v>997</v>
      </c>
      <c r="S23" s="79" t="s">
        <v>998</v>
      </c>
      <c r="W23" s="34"/>
    </row>
    <row r="25" spans="1:23">
      <c r="A25" t="s">
        <v>999</v>
      </c>
    </row>
    <row r="26" spans="1:23" s="31" customFormat="1" ht="138" customHeight="1">
      <c r="A26" s="167">
        <v>1</v>
      </c>
      <c r="B26" s="168">
        <v>44176</v>
      </c>
      <c r="C26" s="3" t="s">
        <v>1000</v>
      </c>
      <c r="D26" s="169" t="s">
        <v>206</v>
      </c>
      <c r="E26" s="170">
        <v>0.3</v>
      </c>
      <c r="F26" s="79" t="s">
        <v>1001</v>
      </c>
      <c r="G26" s="198">
        <v>10</v>
      </c>
      <c r="H26" s="204">
        <f t="shared" ref="H26:H31" si="2">G26*E26</f>
        <v>3</v>
      </c>
      <c r="I26" s="175">
        <v>1</v>
      </c>
      <c r="J26" s="268" t="s">
        <v>400</v>
      </c>
      <c r="K26" s="104">
        <v>43860</v>
      </c>
      <c r="L26" s="3" t="s">
        <v>1002</v>
      </c>
      <c r="M26" s="266" t="s">
        <v>1003</v>
      </c>
      <c r="N26" s="183"/>
      <c r="O26" s="198">
        <v>2.8</v>
      </c>
      <c r="P26" s="207">
        <v>0</v>
      </c>
      <c r="Q26" s="112" t="s">
        <v>1004</v>
      </c>
      <c r="R26" s="3" t="s">
        <v>1005</v>
      </c>
      <c r="S26" s="79" t="s">
        <v>980</v>
      </c>
      <c r="W26" s="34"/>
    </row>
    <row r="27" spans="1:23" s="31" customFormat="1" ht="109.5" customHeight="1">
      <c r="A27" s="174">
        <v>2</v>
      </c>
      <c r="B27" s="168">
        <v>44176</v>
      </c>
      <c r="C27" s="3" t="s">
        <v>1006</v>
      </c>
      <c r="D27" s="169" t="s">
        <v>223</v>
      </c>
      <c r="E27" s="170">
        <v>0.3</v>
      </c>
      <c r="F27" s="79" t="s">
        <v>1007</v>
      </c>
      <c r="G27" s="198">
        <v>14</v>
      </c>
      <c r="H27" s="204">
        <f t="shared" si="2"/>
        <v>4.2</v>
      </c>
      <c r="I27" s="175">
        <v>2</v>
      </c>
      <c r="J27" s="272" t="s">
        <v>386</v>
      </c>
      <c r="K27" s="104">
        <v>43860</v>
      </c>
      <c r="L27" s="3" t="s">
        <v>243</v>
      </c>
      <c r="M27" s="266" t="s">
        <v>1003</v>
      </c>
      <c r="N27" s="183"/>
      <c r="O27" s="198">
        <f>H27</f>
        <v>4.2</v>
      </c>
      <c r="P27" s="207">
        <v>0</v>
      </c>
      <c r="Q27" s="112" t="s">
        <v>1004</v>
      </c>
      <c r="R27" s="3" t="s">
        <v>984</v>
      </c>
      <c r="S27" s="79" t="s">
        <v>1008</v>
      </c>
      <c r="W27" s="34"/>
    </row>
    <row r="28" spans="1:23" s="31" customFormat="1" ht="137.25" customHeight="1">
      <c r="A28" s="174">
        <v>3</v>
      </c>
      <c r="B28" s="168">
        <v>44176</v>
      </c>
      <c r="C28" s="271" t="s">
        <v>1009</v>
      </c>
      <c r="D28" s="169" t="s">
        <v>223</v>
      </c>
      <c r="E28" s="170">
        <v>0.25</v>
      </c>
      <c r="F28" s="79" t="s">
        <v>1010</v>
      </c>
      <c r="G28" s="198">
        <v>4</v>
      </c>
      <c r="H28" s="204">
        <f t="shared" si="2"/>
        <v>1</v>
      </c>
      <c r="I28" s="175">
        <v>3</v>
      </c>
      <c r="J28" s="272" t="s">
        <v>194</v>
      </c>
      <c r="K28" s="104">
        <v>43860</v>
      </c>
      <c r="L28" s="3" t="s">
        <v>243</v>
      </c>
      <c r="M28" s="266" t="s">
        <v>1003</v>
      </c>
      <c r="N28" s="183"/>
      <c r="O28" s="198">
        <v>0.8</v>
      </c>
      <c r="P28" s="207">
        <v>0</v>
      </c>
      <c r="Q28" s="112" t="s">
        <v>1004</v>
      </c>
      <c r="R28" s="3" t="s">
        <v>984</v>
      </c>
      <c r="S28" s="79" t="s">
        <v>1008</v>
      </c>
      <c r="W28" s="33"/>
    </row>
    <row r="29" spans="1:23" s="31" customFormat="1" ht="137.25" customHeight="1">
      <c r="A29" s="174">
        <v>4</v>
      </c>
      <c r="B29" s="168">
        <v>44176</v>
      </c>
      <c r="C29" s="271" t="s">
        <v>1011</v>
      </c>
      <c r="D29" s="169" t="s">
        <v>223</v>
      </c>
      <c r="E29" s="170">
        <v>0.3</v>
      </c>
      <c r="F29" s="79" t="s">
        <v>1012</v>
      </c>
      <c r="G29" s="198">
        <v>7.2</v>
      </c>
      <c r="H29" s="204">
        <f t="shared" si="2"/>
        <v>2.16</v>
      </c>
      <c r="I29" s="175">
        <v>4</v>
      </c>
      <c r="J29" s="272" t="s">
        <v>386</v>
      </c>
      <c r="K29" s="104">
        <v>43860</v>
      </c>
      <c r="L29" s="3" t="s">
        <v>243</v>
      </c>
      <c r="M29" s="266" t="s">
        <v>1003</v>
      </c>
      <c r="N29" s="183"/>
      <c r="O29" s="198">
        <v>2.2000000000000002</v>
      </c>
      <c r="P29" s="207">
        <v>0</v>
      </c>
      <c r="Q29" s="112" t="s">
        <v>1004</v>
      </c>
      <c r="R29" s="3" t="s">
        <v>984</v>
      </c>
      <c r="S29" s="79" t="s">
        <v>1008</v>
      </c>
      <c r="W29" s="33"/>
    </row>
    <row r="30" spans="1:23" s="31" customFormat="1" ht="137.25" customHeight="1">
      <c r="A30" s="174">
        <v>5</v>
      </c>
      <c r="B30" s="168">
        <v>44176</v>
      </c>
      <c r="C30" s="3" t="s">
        <v>1013</v>
      </c>
      <c r="D30" s="270" t="s">
        <v>223</v>
      </c>
      <c r="E30" s="273">
        <v>0.25</v>
      </c>
      <c r="F30" s="79" t="s">
        <v>1014</v>
      </c>
      <c r="G30" s="274">
        <v>12</v>
      </c>
      <c r="H30" s="275">
        <f t="shared" si="2"/>
        <v>3</v>
      </c>
      <c r="I30" s="276">
        <v>5</v>
      </c>
      <c r="J30" s="268" t="s">
        <v>400</v>
      </c>
      <c r="K30" s="104" t="s">
        <v>1015</v>
      </c>
      <c r="L30" s="3" t="s">
        <v>1016</v>
      </c>
      <c r="M30" s="266" t="s">
        <v>1003</v>
      </c>
      <c r="N30" s="183"/>
      <c r="O30" s="198">
        <v>2.4</v>
      </c>
      <c r="P30" s="207">
        <v>0</v>
      </c>
      <c r="Q30" s="112" t="s">
        <v>1004</v>
      </c>
      <c r="R30" s="3" t="s">
        <v>984</v>
      </c>
      <c r="S30" s="79" t="s">
        <v>1008</v>
      </c>
      <c r="W30" s="33"/>
    </row>
    <row r="31" spans="1:23" s="31" customFormat="1" ht="137.25" customHeight="1">
      <c r="A31" s="174">
        <v>6</v>
      </c>
      <c r="B31" s="168">
        <v>44176</v>
      </c>
      <c r="C31" s="271" t="s">
        <v>994</v>
      </c>
      <c r="D31" s="169" t="s">
        <v>206</v>
      </c>
      <c r="E31" s="170">
        <v>0.15</v>
      </c>
      <c r="F31" s="79" t="s">
        <v>1017</v>
      </c>
      <c r="G31" s="198">
        <v>6</v>
      </c>
      <c r="H31" s="204">
        <f t="shared" si="2"/>
        <v>0.89999999999999991</v>
      </c>
      <c r="I31" s="175">
        <v>6</v>
      </c>
      <c r="J31" s="272" t="s">
        <v>194</v>
      </c>
      <c r="K31" s="104">
        <v>43860</v>
      </c>
      <c r="L31" s="3" t="s">
        <v>1018</v>
      </c>
      <c r="M31" s="266" t="s">
        <v>1003</v>
      </c>
      <c r="N31" s="183"/>
      <c r="O31" s="198">
        <v>0.6</v>
      </c>
      <c r="P31" s="207">
        <v>0</v>
      </c>
      <c r="Q31" s="112" t="s">
        <v>1004</v>
      </c>
      <c r="R31" s="3" t="s">
        <v>997</v>
      </c>
      <c r="S31" s="79" t="s">
        <v>998</v>
      </c>
      <c r="W31" s="33"/>
    </row>
  </sheetData>
  <phoneticPr fontId="2"/>
  <conditionalFormatting sqref="A4:S11 A14:S14 A17:S23 L26:S26 I26:K28 A26:H29 L27:M28 N27:S29 I29:M29 A30:S31">
    <cfRule type="expression" dxfId="8" priority="134" stopIfTrue="1">
      <formula>#REF!="消滅"</formula>
    </cfRule>
  </conditionalFormatting>
  <dataValidations count="9">
    <dataValidation type="list" allowBlank="1" showInputMessage="1" showErrorMessage="1" sqref="D9:D11 D7" xr:uid="{CA3D97BF-600B-40A1-8918-75C6B1B29453}">
      <formula1>$D$31:$D$57</formula1>
    </dataValidation>
    <dataValidation type="list" allowBlank="1" showInputMessage="1" showErrorMessage="1" sqref="J4:J7 J17:J23 J26:J31" xr:uid="{5D87F892-329B-4250-812B-CA7825E83DB3}">
      <formula1>"回避,転嫁,軽減,受容"</formula1>
    </dataValidation>
    <dataValidation type="list" allowBlank="1" showInputMessage="1" showErrorMessage="1" sqref="D8" xr:uid="{0A75F3B3-A0FA-4BBD-94AE-9C52AD2D1084}">
      <formula1>$D$30:$D$56</formula1>
    </dataValidation>
    <dataValidation type="list" showInputMessage="1" showErrorMessage="1" sqref="D14" xr:uid="{D30F6FB1-07CE-4193-AD74-7E80E9BBA929}">
      <formula1>$D$24:$D$49</formula1>
    </dataValidation>
    <dataValidation type="list" showInputMessage="1" showErrorMessage="1" sqref="D23" xr:uid="{957D5169-D743-4047-9FEF-4E6FFE014894}">
      <formula1>$D$30:$D$55</formula1>
    </dataValidation>
    <dataValidation type="list" showInputMessage="1" showErrorMessage="1" sqref="D18 D26 D31" xr:uid="{FFAAE2DA-2FC0-4E89-AD2A-B2023B810F46}">
      <formula1>$D$30:$D$54</formula1>
    </dataValidation>
    <dataValidation type="list" showInputMessage="1" showErrorMessage="1" sqref="D22" xr:uid="{992C3C9C-9D20-47EF-BB50-BD5207518030}">
      <formula1>$D$27:$D$52</formula1>
    </dataValidation>
    <dataValidation type="list" showInputMessage="1" showErrorMessage="1" sqref="D19:D22 D27:D30" xr:uid="{1F2EC757-1167-4767-B9F6-4511B45B1703}">
      <formula1>$D$29:$D$54</formula1>
    </dataValidation>
    <dataValidation type="list" showInputMessage="1" showErrorMessage="1" sqref="D23 D17 D19:D20" xr:uid="{FE69AF7D-41F3-4914-9671-E0A1711E0AED}">
      <formula1>$D$31:$D$55</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F4CD0-89B3-44D8-9BC6-CA8F3DE65951}">
  <sheetPr>
    <tabColor rgb="FFFFFF00"/>
    <pageSetUpPr fitToPage="1"/>
  </sheetPr>
  <dimension ref="A1:Z84"/>
  <sheetViews>
    <sheetView workbookViewId="0"/>
  </sheetViews>
  <sheetFormatPr defaultColWidth="8.140625" defaultRowHeight="12"/>
  <cols>
    <col min="1" max="1" width="4" style="84" customWidth="1"/>
    <col min="2" max="2" width="10" style="85" hidden="1" customWidth="1"/>
    <col min="3" max="3" width="41.7109375" style="85" customWidth="1"/>
    <col min="4" max="4" width="32.85546875" style="85" customWidth="1"/>
    <col min="5" max="5" width="14.42578125" style="86" hidden="1" customWidth="1"/>
    <col min="6" max="6" width="53.85546875" style="78" customWidth="1"/>
    <col min="7" max="7" width="12.140625" style="86" hidden="1" customWidth="1"/>
    <col min="8" max="8" width="17.28515625" style="87" hidden="1" customWidth="1"/>
    <col min="9" max="9" width="25" style="87" hidden="1" customWidth="1"/>
    <col min="10" max="10" width="13.42578125" style="87" hidden="1" customWidth="1"/>
    <col min="11" max="11" width="7.85546875" style="84" hidden="1" customWidth="1"/>
    <col min="12" max="12" width="67" style="78" customWidth="1"/>
    <col min="13" max="13" width="9.42578125" style="84" hidden="1" customWidth="1"/>
    <col min="14" max="14" width="9" style="84" hidden="1" customWidth="1"/>
    <col min="15" max="15" width="10.85546875" style="78" hidden="1" customWidth="1"/>
    <col min="16" max="16" width="10.7109375" style="78" hidden="1" customWidth="1"/>
    <col min="17" max="17" width="7" style="78" hidden="1" customWidth="1"/>
    <col min="18" max="19" width="23.7109375" style="78" hidden="1" customWidth="1"/>
    <col min="20" max="20" width="16.5703125" style="85" hidden="1" customWidth="1"/>
    <col min="21" max="21" width="24.28515625" style="85" hidden="1" customWidth="1"/>
    <col min="22" max="22" width="23.7109375" style="78" hidden="1" customWidth="1"/>
    <col min="23" max="23" width="7.42578125" style="78" customWidth="1"/>
    <col min="24" max="25" width="8.140625" style="78"/>
    <col min="26" max="26" width="22.7109375" style="78" bestFit="1" customWidth="1"/>
    <col min="27" max="16384" width="8.140625" style="78"/>
  </cols>
  <sheetData>
    <row r="1" spans="1:26" ht="14.25">
      <c r="A1" s="297" t="s">
        <v>1019</v>
      </c>
      <c r="B1" s="187"/>
      <c r="C1" s="187"/>
      <c r="D1" s="187"/>
      <c r="E1" s="188"/>
      <c r="F1" s="31"/>
      <c r="G1" s="188"/>
      <c r="H1" s="189"/>
      <c r="I1" s="189"/>
      <c r="J1" s="189"/>
      <c r="K1" s="186"/>
      <c r="L1" s="31"/>
      <c r="M1" s="186"/>
      <c r="N1" s="186"/>
      <c r="O1" s="31"/>
      <c r="P1" s="31"/>
      <c r="Q1" s="31"/>
      <c r="R1" s="31"/>
      <c r="S1" s="31"/>
      <c r="T1" s="187"/>
      <c r="U1" s="187"/>
      <c r="V1" s="31"/>
      <c r="W1" s="31"/>
      <c r="X1" s="31"/>
      <c r="Y1" s="31"/>
      <c r="Z1" s="31"/>
    </row>
    <row r="2" spans="1:26" s="16" customFormat="1" ht="18" customHeight="1" thickBot="1">
      <c r="A2" s="17"/>
      <c r="B2" s="23" t="s">
        <v>135</v>
      </c>
      <c r="C2" s="23"/>
      <c r="D2" s="23"/>
      <c r="E2" s="25"/>
      <c r="G2" s="25"/>
      <c r="H2" s="26"/>
      <c r="I2" s="26"/>
      <c r="J2" s="26"/>
      <c r="K2" s="17"/>
      <c r="M2" s="17"/>
      <c r="N2" s="17"/>
      <c r="T2" s="164"/>
      <c r="U2" s="164"/>
      <c r="V2" s="165"/>
    </row>
    <row r="3" spans="1:26" ht="48.75" thickTop="1">
      <c r="A3" s="190" t="s">
        <v>65</v>
      </c>
      <c r="B3" s="191" t="s">
        <v>137</v>
      </c>
      <c r="C3" s="192" t="s">
        <v>138</v>
      </c>
      <c r="D3" s="191" t="s">
        <v>22</v>
      </c>
      <c r="E3" s="193" t="s">
        <v>140</v>
      </c>
      <c r="F3" s="166" t="s">
        <v>141</v>
      </c>
      <c r="G3" s="146" t="s">
        <v>142</v>
      </c>
      <c r="H3" s="194" t="s">
        <v>143</v>
      </c>
      <c r="I3" s="131" t="s">
        <v>144</v>
      </c>
      <c r="J3" s="132" t="s">
        <v>145</v>
      </c>
      <c r="K3" s="133" t="s">
        <v>147</v>
      </c>
      <c r="L3" s="134" t="s">
        <v>148</v>
      </c>
      <c r="M3" s="133" t="s">
        <v>150</v>
      </c>
      <c r="N3" s="133" t="s">
        <v>151</v>
      </c>
      <c r="O3" s="135" t="s">
        <v>369</v>
      </c>
      <c r="P3" s="136" t="s">
        <v>152</v>
      </c>
      <c r="Q3" s="137" t="s">
        <v>153</v>
      </c>
      <c r="R3" s="192" t="s">
        <v>154</v>
      </c>
      <c r="S3" s="138" t="s">
        <v>155</v>
      </c>
      <c r="T3" s="139" t="s">
        <v>156</v>
      </c>
      <c r="U3" s="140" t="s">
        <v>157</v>
      </c>
      <c r="V3" s="141" t="s">
        <v>158</v>
      </c>
      <c r="W3" s="31"/>
      <c r="X3" s="31"/>
      <c r="Y3" s="31"/>
      <c r="Z3" s="31"/>
    </row>
    <row r="4" spans="1:26" ht="120">
      <c r="A4" s="142" t="s">
        <v>159</v>
      </c>
      <c r="B4" s="129" t="s">
        <v>160</v>
      </c>
      <c r="C4" s="122" t="s">
        <v>161</v>
      </c>
      <c r="D4" s="123" t="s">
        <v>162</v>
      </c>
      <c r="E4" s="124" t="s">
        <v>164</v>
      </c>
      <c r="F4" s="195" t="s">
        <v>165</v>
      </c>
      <c r="G4" s="125" t="s">
        <v>166</v>
      </c>
      <c r="H4" s="126" t="s">
        <v>167</v>
      </c>
      <c r="I4" s="128" t="s">
        <v>168</v>
      </c>
      <c r="J4" s="127" t="s">
        <v>370</v>
      </c>
      <c r="K4" s="115" t="s">
        <v>171</v>
      </c>
      <c r="L4" s="116" t="s">
        <v>371</v>
      </c>
      <c r="M4" s="115" t="s">
        <v>174</v>
      </c>
      <c r="N4" s="130" t="s">
        <v>175</v>
      </c>
      <c r="O4" s="196" t="s">
        <v>372</v>
      </c>
      <c r="P4" s="197" t="s">
        <v>176</v>
      </c>
      <c r="Q4" s="117" t="s">
        <v>177</v>
      </c>
      <c r="R4" s="116" t="s">
        <v>178</v>
      </c>
      <c r="S4" s="118" t="s">
        <v>179</v>
      </c>
      <c r="T4" s="119" t="s">
        <v>180</v>
      </c>
      <c r="U4" s="120" t="s">
        <v>181</v>
      </c>
      <c r="V4" s="121" t="s">
        <v>182</v>
      </c>
      <c r="W4" s="31"/>
      <c r="X4" s="31"/>
      <c r="Y4" s="31"/>
      <c r="Z4" s="31"/>
    </row>
    <row r="5" spans="1:26">
      <c r="A5" s="167">
        <v>1</v>
      </c>
      <c r="B5" s="168"/>
      <c r="C5" s="3"/>
      <c r="D5" s="169" t="s">
        <v>185</v>
      </c>
      <c r="E5" s="170"/>
      <c r="F5" s="79"/>
      <c r="G5" s="198"/>
      <c r="H5" s="199">
        <f t="shared" ref="H5:H12" si="0">G5*E5</f>
        <v>0</v>
      </c>
      <c r="I5" s="171"/>
      <c r="J5" s="200"/>
      <c r="K5" s="103"/>
      <c r="L5" s="80"/>
      <c r="M5" s="201"/>
      <c r="N5" s="183"/>
      <c r="O5" s="202"/>
      <c r="P5" s="203"/>
      <c r="Q5" s="110"/>
      <c r="R5" s="80"/>
      <c r="S5" s="81"/>
      <c r="T5" s="172"/>
      <c r="U5" s="173"/>
      <c r="V5" s="88"/>
      <c r="W5" s="31"/>
      <c r="X5" s="31"/>
      <c r="Y5" s="31"/>
      <c r="Z5" s="34"/>
    </row>
    <row r="6" spans="1:26" ht="48">
      <c r="A6" s="174">
        <v>2</v>
      </c>
      <c r="B6" s="168"/>
      <c r="C6" s="3" t="s">
        <v>1020</v>
      </c>
      <c r="D6" s="169" t="s">
        <v>191</v>
      </c>
      <c r="E6" s="170">
        <v>0.2</v>
      </c>
      <c r="F6" s="79" t="s">
        <v>1021</v>
      </c>
      <c r="G6" s="198"/>
      <c r="H6" s="204">
        <f t="shared" si="0"/>
        <v>0</v>
      </c>
      <c r="I6" s="175"/>
      <c r="J6" s="205" t="s">
        <v>187</v>
      </c>
      <c r="K6" s="104"/>
      <c r="L6" s="3" t="s">
        <v>1022</v>
      </c>
      <c r="M6" s="206"/>
      <c r="N6" s="183"/>
      <c r="O6" s="198"/>
      <c r="P6" s="207"/>
      <c r="Q6" s="111"/>
      <c r="R6" s="3"/>
      <c r="S6" s="79"/>
      <c r="T6" s="176"/>
      <c r="U6" s="177"/>
      <c r="V6" s="10"/>
      <c r="W6" s="31"/>
      <c r="X6" s="31"/>
      <c r="Y6" s="31"/>
      <c r="Z6" s="34"/>
    </row>
    <row r="7" spans="1:26" ht="84">
      <c r="A7" s="174">
        <v>3</v>
      </c>
      <c r="B7" s="168"/>
      <c r="C7" s="3" t="s">
        <v>1023</v>
      </c>
      <c r="D7" s="169" t="s">
        <v>206</v>
      </c>
      <c r="E7" s="170"/>
      <c r="F7" s="79" t="s">
        <v>1024</v>
      </c>
      <c r="G7" s="198"/>
      <c r="H7" s="204">
        <f t="shared" si="0"/>
        <v>0</v>
      </c>
      <c r="I7" s="175"/>
      <c r="J7" s="205" t="s">
        <v>386</v>
      </c>
      <c r="K7" s="104"/>
      <c r="L7" s="3" t="s">
        <v>1025</v>
      </c>
      <c r="M7" s="206"/>
      <c r="N7" s="183"/>
      <c r="O7" s="198"/>
      <c r="P7" s="207"/>
      <c r="Q7" s="111"/>
      <c r="R7" s="3"/>
      <c r="S7" s="79"/>
      <c r="T7" s="176"/>
      <c r="U7" s="168"/>
      <c r="V7" s="178"/>
      <c r="W7" s="31"/>
      <c r="X7" s="31"/>
      <c r="Y7" s="31"/>
      <c r="Z7" s="34"/>
    </row>
    <row r="8" spans="1:26" ht="48">
      <c r="A8" s="174">
        <v>4</v>
      </c>
      <c r="B8" s="168"/>
      <c r="C8" s="28" t="s">
        <v>1026</v>
      </c>
      <c r="D8" s="169" t="s">
        <v>206</v>
      </c>
      <c r="E8" s="170"/>
      <c r="F8" s="179" t="s">
        <v>1027</v>
      </c>
      <c r="G8" s="198"/>
      <c r="H8" s="204">
        <f t="shared" si="0"/>
        <v>0</v>
      </c>
      <c r="I8" s="175"/>
      <c r="J8" s="205" t="s">
        <v>194</v>
      </c>
      <c r="K8" s="180"/>
      <c r="L8" s="3" t="s">
        <v>1028</v>
      </c>
      <c r="M8" s="206"/>
      <c r="N8" s="183"/>
      <c r="O8" s="198"/>
      <c r="P8" s="207"/>
      <c r="Q8" s="208"/>
      <c r="R8" s="28"/>
      <c r="S8" s="179"/>
      <c r="T8" s="176"/>
      <c r="U8" s="181"/>
      <c r="V8" s="178"/>
      <c r="W8" s="31"/>
      <c r="X8" s="31"/>
      <c r="Y8" s="31"/>
      <c r="Z8" s="34"/>
    </row>
    <row r="9" spans="1:26" ht="36">
      <c r="A9" s="174">
        <v>5</v>
      </c>
      <c r="B9" s="168"/>
      <c r="C9" s="28" t="s">
        <v>1029</v>
      </c>
      <c r="D9" s="169" t="s">
        <v>206</v>
      </c>
      <c r="E9" s="170"/>
      <c r="F9" s="79" t="s">
        <v>1001</v>
      </c>
      <c r="G9" s="209"/>
      <c r="H9" s="204">
        <f t="shared" si="0"/>
        <v>0</v>
      </c>
      <c r="I9" s="182"/>
      <c r="J9" s="210" t="s">
        <v>386</v>
      </c>
      <c r="K9" s="183"/>
      <c r="L9" s="3" t="s">
        <v>1002</v>
      </c>
      <c r="M9" s="206"/>
      <c r="N9" s="183"/>
      <c r="O9" s="209"/>
      <c r="P9" s="211"/>
      <c r="Q9" s="112"/>
      <c r="R9" s="9"/>
      <c r="S9" s="82"/>
      <c r="T9" s="176"/>
      <c r="U9" s="181"/>
      <c r="V9" s="178"/>
      <c r="W9" s="31"/>
      <c r="X9" s="31"/>
      <c r="Y9" s="31"/>
      <c r="Z9" s="34"/>
    </row>
    <row r="10" spans="1:26" ht="36">
      <c r="A10" s="174">
        <v>6</v>
      </c>
      <c r="B10" s="168"/>
      <c r="C10" s="3" t="s">
        <v>1026</v>
      </c>
      <c r="D10" s="169" t="s">
        <v>206</v>
      </c>
      <c r="E10" s="170"/>
      <c r="F10" s="79" t="s">
        <v>1017</v>
      </c>
      <c r="G10" s="198"/>
      <c r="H10" s="204">
        <f t="shared" si="0"/>
        <v>0</v>
      </c>
      <c r="I10" s="175"/>
      <c r="J10" s="205" t="s">
        <v>194</v>
      </c>
      <c r="K10" s="104"/>
      <c r="L10" s="3" t="s">
        <v>1018</v>
      </c>
      <c r="M10" s="212"/>
      <c r="N10" s="180"/>
      <c r="O10" s="198"/>
      <c r="P10" s="207"/>
      <c r="Q10" s="111"/>
      <c r="R10" s="3"/>
      <c r="S10" s="79"/>
      <c r="T10" s="185"/>
      <c r="U10" s="168"/>
      <c r="V10" s="30"/>
      <c r="W10" s="31"/>
      <c r="X10" s="31"/>
      <c r="Y10" s="31"/>
      <c r="Z10" s="34"/>
    </row>
    <row r="11" spans="1:26">
      <c r="A11" s="174">
        <v>7</v>
      </c>
      <c r="B11" s="168"/>
      <c r="C11" s="28"/>
      <c r="D11" s="169"/>
      <c r="E11" s="170"/>
      <c r="F11" s="179"/>
      <c r="G11" s="198"/>
      <c r="H11" s="204">
        <f t="shared" si="0"/>
        <v>0</v>
      </c>
      <c r="I11" s="175"/>
      <c r="J11" s="205"/>
      <c r="K11" s="180"/>
      <c r="L11" s="28"/>
      <c r="M11" s="212"/>
      <c r="N11" s="180"/>
      <c r="O11" s="198"/>
      <c r="P11" s="207"/>
      <c r="Q11" s="208"/>
      <c r="R11" s="28"/>
      <c r="S11" s="179"/>
      <c r="T11" s="185"/>
      <c r="U11" s="168"/>
      <c r="V11" s="30"/>
      <c r="W11" s="31"/>
      <c r="X11" s="31"/>
      <c r="Y11" s="31"/>
      <c r="Z11" s="34"/>
    </row>
    <row r="12" spans="1:26" ht="115.5">
      <c r="A12" s="174">
        <v>8</v>
      </c>
      <c r="B12" s="168"/>
      <c r="C12" s="279" t="s">
        <v>924</v>
      </c>
      <c r="D12" s="169" t="s">
        <v>239</v>
      </c>
      <c r="E12" s="170"/>
      <c r="F12" s="282" t="s">
        <v>925</v>
      </c>
      <c r="G12" s="198"/>
      <c r="H12" s="204">
        <f t="shared" si="0"/>
        <v>0</v>
      </c>
      <c r="I12" s="175"/>
      <c r="J12" s="205" t="s">
        <v>194</v>
      </c>
      <c r="K12" s="180"/>
      <c r="L12" s="279" t="s">
        <v>927</v>
      </c>
      <c r="M12" s="212"/>
      <c r="N12" s="180"/>
      <c r="O12" s="198"/>
      <c r="P12" s="207"/>
      <c r="Q12" s="208"/>
      <c r="R12" s="28"/>
      <c r="S12" s="179"/>
      <c r="T12" s="185"/>
      <c r="U12" s="168"/>
      <c r="V12" s="30"/>
      <c r="W12" s="31"/>
      <c r="X12" s="31"/>
      <c r="Y12" s="31"/>
      <c r="Z12" s="33"/>
    </row>
    <row r="13" spans="1:26" ht="82.5">
      <c r="A13" s="174">
        <v>9</v>
      </c>
      <c r="B13" s="168"/>
      <c r="C13" s="279" t="s">
        <v>931</v>
      </c>
      <c r="D13" s="169" t="s">
        <v>239</v>
      </c>
      <c r="E13" s="170"/>
      <c r="F13" s="282" t="s">
        <v>932</v>
      </c>
      <c r="G13" s="198"/>
      <c r="H13" s="204"/>
      <c r="I13" s="175"/>
      <c r="J13" s="205" t="s">
        <v>389</v>
      </c>
      <c r="K13" s="180"/>
      <c r="L13" s="279" t="s">
        <v>934</v>
      </c>
      <c r="M13" s="212"/>
      <c r="N13" s="180"/>
      <c r="O13" s="198"/>
      <c r="P13" s="207"/>
      <c r="Q13" s="208"/>
      <c r="R13" s="28"/>
      <c r="S13" s="179"/>
      <c r="T13" s="185"/>
      <c r="U13" s="168"/>
      <c r="V13" s="30"/>
      <c r="W13" s="31"/>
      <c r="X13" s="31"/>
      <c r="Y13" s="31"/>
      <c r="Z13" s="33"/>
    </row>
    <row r="14" spans="1:26" ht="82.5">
      <c r="A14" s="174">
        <v>10</v>
      </c>
      <c r="B14" s="168"/>
      <c r="C14" s="279" t="s">
        <v>942</v>
      </c>
      <c r="D14" s="169" t="s">
        <v>239</v>
      </c>
      <c r="E14" s="170"/>
      <c r="F14" s="282" t="s">
        <v>943</v>
      </c>
      <c r="G14" s="198"/>
      <c r="H14" s="204"/>
      <c r="I14" s="175"/>
      <c r="J14" s="205" t="s">
        <v>194</v>
      </c>
      <c r="K14" s="180"/>
      <c r="L14" s="279" t="s">
        <v>944</v>
      </c>
      <c r="M14" s="212"/>
      <c r="N14" s="180"/>
      <c r="O14" s="198"/>
      <c r="P14" s="207"/>
      <c r="Q14" s="208"/>
      <c r="R14" s="28"/>
      <c r="S14" s="179"/>
      <c r="T14" s="185"/>
      <c r="U14" s="168"/>
      <c r="V14" s="30"/>
      <c r="W14" s="31"/>
      <c r="X14" s="31"/>
      <c r="Y14" s="31"/>
      <c r="Z14" s="33"/>
    </row>
    <row r="15" spans="1:26" ht="60">
      <c r="A15" s="174">
        <v>11</v>
      </c>
      <c r="B15" s="168"/>
      <c r="C15" s="264" t="s">
        <v>957</v>
      </c>
      <c r="D15" s="169" t="s">
        <v>239</v>
      </c>
      <c r="E15" s="170"/>
      <c r="F15" s="79" t="s">
        <v>958</v>
      </c>
      <c r="G15" s="198"/>
      <c r="H15" s="204"/>
      <c r="I15" s="175"/>
      <c r="J15" s="205" t="s">
        <v>194</v>
      </c>
      <c r="K15" s="180"/>
      <c r="L15" s="3" t="s">
        <v>960</v>
      </c>
      <c r="M15" s="212"/>
      <c r="N15" s="180"/>
      <c r="O15" s="198"/>
      <c r="P15" s="207"/>
      <c r="Q15" s="208"/>
      <c r="R15" s="28"/>
      <c r="S15" s="179"/>
      <c r="T15" s="185"/>
      <c r="U15" s="168"/>
      <c r="V15" s="30"/>
      <c r="W15" s="31"/>
      <c r="X15" s="31"/>
      <c r="Y15" s="31"/>
      <c r="Z15" s="33"/>
    </row>
    <row r="16" spans="1:26" ht="36">
      <c r="A16" s="174">
        <v>12</v>
      </c>
      <c r="B16" s="168"/>
      <c r="C16" s="3" t="s">
        <v>981</v>
      </c>
      <c r="D16" s="169" t="s">
        <v>223</v>
      </c>
      <c r="E16" s="170"/>
      <c r="F16" s="79" t="s">
        <v>982</v>
      </c>
      <c r="G16" s="198"/>
      <c r="H16" s="204"/>
      <c r="I16" s="175"/>
      <c r="J16" s="205" t="s">
        <v>386</v>
      </c>
      <c r="K16" s="180"/>
      <c r="L16" s="3" t="s">
        <v>983</v>
      </c>
      <c r="M16" s="212"/>
      <c r="N16" s="180"/>
      <c r="O16" s="198"/>
      <c r="P16" s="207"/>
      <c r="Q16" s="208"/>
      <c r="R16" s="28"/>
      <c r="S16" s="179"/>
      <c r="T16" s="185"/>
      <c r="U16" s="168"/>
      <c r="V16" s="30"/>
      <c r="W16" s="31"/>
      <c r="X16" s="31"/>
      <c r="Y16" s="31"/>
      <c r="Z16" s="33"/>
    </row>
    <row r="17" spans="1:26" ht="36">
      <c r="A17" s="174">
        <v>13</v>
      </c>
      <c r="B17" s="168"/>
      <c r="C17" s="3" t="s">
        <v>986</v>
      </c>
      <c r="D17" s="169" t="s">
        <v>223</v>
      </c>
      <c r="E17" s="170"/>
      <c r="F17" s="79" t="s">
        <v>987</v>
      </c>
      <c r="G17" s="198"/>
      <c r="H17" s="204"/>
      <c r="I17" s="175"/>
      <c r="J17" s="205" t="s">
        <v>386</v>
      </c>
      <c r="K17" s="180"/>
      <c r="L17" s="3" t="s">
        <v>983</v>
      </c>
      <c r="M17" s="212"/>
      <c r="N17" s="180"/>
      <c r="O17" s="198"/>
      <c r="P17" s="207"/>
      <c r="Q17" s="208"/>
      <c r="R17" s="28"/>
      <c r="S17" s="179"/>
      <c r="T17" s="185"/>
      <c r="U17" s="168"/>
      <c r="V17" s="30"/>
      <c r="W17" s="31"/>
      <c r="X17" s="31"/>
      <c r="Y17" s="31"/>
      <c r="Z17" s="33"/>
    </row>
    <row r="18" spans="1:26" ht="48">
      <c r="A18" s="174">
        <v>14</v>
      </c>
      <c r="B18" s="168"/>
      <c r="C18" s="3" t="s">
        <v>988</v>
      </c>
      <c r="D18" s="169" t="s">
        <v>223</v>
      </c>
      <c r="E18" s="170"/>
      <c r="F18" s="79" t="s">
        <v>989</v>
      </c>
      <c r="G18" s="198"/>
      <c r="H18" s="204"/>
      <c r="I18" s="175"/>
      <c r="J18" s="205" t="s">
        <v>194</v>
      </c>
      <c r="K18" s="180"/>
      <c r="L18" s="3" t="s">
        <v>983</v>
      </c>
      <c r="M18" s="212"/>
      <c r="N18" s="180"/>
      <c r="O18" s="198"/>
      <c r="P18" s="207"/>
      <c r="Q18" s="208"/>
      <c r="R18" s="28"/>
      <c r="S18" s="179"/>
      <c r="T18" s="185"/>
      <c r="U18" s="168"/>
      <c r="V18" s="30"/>
      <c r="W18" s="31"/>
      <c r="X18" s="31"/>
      <c r="Y18" s="31"/>
      <c r="Z18" s="33"/>
    </row>
    <row r="19" spans="1:26" ht="60">
      <c r="A19" s="174">
        <v>15</v>
      </c>
      <c r="B19" s="168"/>
      <c r="C19" s="3" t="s">
        <v>1006</v>
      </c>
      <c r="D19" s="169" t="s">
        <v>223</v>
      </c>
      <c r="E19" s="170"/>
      <c r="F19" s="79" t="s">
        <v>1007</v>
      </c>
      <c r="G19" s="198"/>
      <c r="H19" s="204"/>
      <c r="I19" s="175"/>
      <c r="J19" s="205" t="s">
        <v>386</v>
      </c>
      <c r="K19" s="180"/>
      <c r="L19" s="3" t="s">
        <v>243</v>
      </c>
      <c r="M19" s="212"/>
      <c r="N19" s="180"/>
      <c r="O19" s="198"/>
      <c r="P19" s="207"/>
      <c r="Q19" s="208"/>
      <c r="R19" s="28"/>
      <c r="S19" s="179"/>
      <c r="T19" s="185"/>
      <c r="U19" s="168"/>
      <c r="V19" s="30"/>
      <c r="W19" s="31"/>
      <c r="X19" s="31"/>
      <c r="Y19" s="31"/>
      <c r="Z19" s="33"/>
    </row>
    <row r="20" spans="1:26" ht="36">
      <c r="A20" s="174">
        <v>16</v>
      </c>
      <c r="B20" s="168"/>
      <c r="C20" s="271" t="s">
        <v>1009</v>
      </c>
      <c r="D20" s="169" t="s">
        <v>223</v>
      </c>
      <c r="E20" s="170"/>
      <c r="F20" s="79" t="s">
        <v>1010</v>
      </c>
      <c r="G20" s="198"/>
      <c r="H20" s="204"/>
      <c r="I20" s="175"/>
      <c r="J20" s="205" t="s">
        <v>194</v>
      </c>
      <c r="K20" s="180"/>
      <c r="L20" s="3" t="s">
        <v>243</v>
      </c>
      <c r="M20" s="212"/>
      <c r="N20" s="180"/>
      <c r="O20" s="198"/>
      <c r="P20" s="207"/>
      <c r="Q20" s="208"/>
      <c r="R20" s="28"/>
      <c r="S20" s="179"/>
      <c r="T20" s="185"/>
      <c r="U20" s="168"/>
      <c r="V20" s="30"/>
      <c r="W20" s="31"/>
      <c r="X20" s="31"/>
      <c r="Y20" s="31"/>
      <c r="Z20" s="33"/>
    </row>
    <row r="21" spans="1:26" ht="36">
      <c r="A21" s="174">
        <v>17</v>
      </c>
      <c r="B21" s="168"/>
      <c r="C21" s="271" t="s">
        <v>1011</v>
      </c>
      <c r="D21" s="169" t="s">
        <v>223</v>
      </c>
      <c r="E21" s="170"/>
      <c r="F21" s="79" t="s">
        <v>1012</v>
      </c>
      <c r="G21" s="198"/>
      <c r="H21" s="204"/>
      <c r="I21" s="175"/>
      <c r="J21" s="205" t="s">
        <v>386</v>
      </c>
      <c r="K21" s="180"/>
      <c r="L21" s="3" t="s">
        <v>243</v>
      </c>
      <c r="M21" s="212"/>
      <c r="N21" s="180"/>
      <c r="O21" s="198"/>
      <c r="P21" s="207"/>
      <c r="Q21" s="208"/>
      <c r="R21" s="28"/>
      <c r="S21" s="179"/>
      <c r="T21" s="185"/>
      <c r="U21" s="168"/>
      <c r="V21" s="30"/>
      <c r="W21" s="31"/>
      <c r="X21" s="31"/>
      <c r="Y21" s="31"/>
      <c r="Z21" s="33"/>
    </row>
    <row r="22" spans="1:26" ht="48">
      <c r="A22" s="174">
        <v>18</v>
      </c>
      <c r="B22" s="168"/>
      <c r="C22" s="3" t="s">
        <v>1013</v>
      </c>
      <c r="D22" s="169" t="s">
        <v>223</v>
      </c>
      <c r="E22" s="170"/>
      <c r="F22" s="79" t="s">
        <v>1014</v>
      </c>
      <c r="G22" s="198"/>
      <c r="H22" s="204"/>
      <c r="I22" s="175"/>
      <c r="J22" s="205" t="s">
        <v>194</v>
      </c>
      <c r="K22" s="180"/>
      <c r="L22" s="3" t="s">
        <v>1016</v>
      </c>
      <c r="M22" s="212"/>
      <c r="N22" s="180"/>
      <c r="O22" s="198"/>
      <c r="P22" s="207"/>
      <c r="Q22" s="208"/>
      <c r="R22" s="28"/>
      <c r="S22" s="179"/>
      <c r="T22" s="185"/>
      <c r="U22" s="168"/>
      <c r="V22" s="30"/>
      <c r="W22" s="31"/>
      <c r="X22" s="31"/>
      <c r="Y22" s="31"/>
      <c r="Z22" s="33"/>
    </row>
    <row r="23" spans="1:26" ht="115.5">
      <c r="A23" s="174">
        <v>19</v>
      </c>
      <c r="B23" s="168"/>
      <c r="C23" s="279" t="s">
        <v>937</v>
      </c>
      <c r="D23" s="169" t="s">
        <v>245</v>
      </c>
      <c r="E23" s="170"/>
      <c r="F23" s="282" t="s">
        <v>938</v>
      </c>
      <c r="G23" s="198"/>
      <c r="H23" s="204"/>
      <c r="I23" s="175"/>
      <c r="J23" s="205" t="s">
        <v>194</v>
      </c>
      <c r="K23" s="180"/>
      <c r="L23" s="279" t="s">
        <v>939</v>
      </c>
      <c r="M23" s="212"/>
      <c r="N23" s="180"/>
      <c r="O23" s="198"/>
      <c r="P23" s="207"/>
      <c r="Q23" s="208"/>
      <c r="R23" s="28"/>
      <c r="S23" s="179"/>
      <c r="T23" s="185"/>
      <c r="U23" s="168"/>
      <c r="V23" s="30"/>
      <c r="W23" s="31"/>
      <c r="X23" s="31"/>
      <c r="Y23" s="31"/>
      <c r="Z23" s="33"/>
    </row>
    <row r="24" spans="1:26" ht="99">
      <c r="A24" s="174">
        <v>20</v>
      </c>
      <c r="B24" s="168"/>
      <c r="C24" s="279" t="s">
        <v>946</v>
      </c>
      <c r="D24" s="169" t="s">
        <v>249</v>
      </c>
      <c r="E24" s="170"/>
      <c r="F24" s="282" t="s">
        <v>947</v>
      </c>
      <c r="G24" s="198"/>
      <c r="H24" s="204"/>
      <c r="I24" s="175"/>
      <c r="J24" s="205" t="s">
        <v>194</v>
      </c>
      <c r="K24" s="180"/>
      <c r="L24" s="279" t="s">
        <v>948</v>
      </c>
      <c r="M24" s="212"/>
      <c r="N24" s="180"/>
      <c r="O24" s="198"/>
      <c r="P24" s="207"/>
      <c r="Q24" s="208"/>
      <c r="R24" s="28"/>
      <c r="S24" s="179"/>
      <c r="T24" s="185"/>
      <c r="U24" s="168"/>
      <c r="V24" s="30"/>
      <c r="W24" s="31"/>
      <c r="X24" s="31"/>
      <c r="Y24" s="31"/>
      <c r="Z24" s="33"/>
    </row>
    <row r="25" spans="1:26" ht="48">
      <c r="A25" s="174">
        <v>21</v>
      </c>
      <c r="B25" s="168"/>
      <c r="C25" s="3" t="s">
        <v>990</v>
      </c>
      <c r="D25" s="169" t="s">
        <v>308</v>
      </c>
      <c r="E25" s="170"/>
      <c r="F25" s="79" t="s">
        <v>991</v>
      </c>
      <c r="G25" s="198"/>
      <c r="H25" s="204"/>
      <c r="I25" s="175"/>
      <c r="J25" s="205" t="s">
        <v>194</v>
      </c>
      <c r="K25" s="180"/>
      <c r="L25" s="3" t="s">
        <v>992</v>
      </c>
      <c r="M25" s="212"/>
      <c r="N25" s="180"/>
      <c r="O25" s="198"/>
      <c r="P25" s="207"/>
      <c r="Q25" s="208"/>
      <c r="R25" s="28"/>
      <c r="S25" s="179"/>
      <c r="T25" s="185"/>
      <c r="U25" s="168"/>
      <c r="V25" s="30"/>
      <c r="W25" s="31"/>
      <c r="X25" s="31"/>
      <c r="Y25" s="31"/>
      <c r="Z25" s="33"/>
    </row>
    <row r="26" spans="1:26" ht="66">
      <c r="A26" s="174">
        <v>22</v>
      </c>
      <c r="B26" s="168"/>
      <c r="C26" s="294" t="s">
        <v>951</v>
      </c>
      <c r="D26" s="169" t="s">
        <v>288</v>
      </c>
      <c r="E26" s="170"/>
      <c r="F26" s="294" t="s">
        <v>952</v>
      </c>
      <c r="G26" s="198"/>
      <c r="H26" s="204"/>
      <c r="I26" s="175"/>
      <c r="J26" s="205" t="s">
        <v>187</v>
      </c>
      <c r="K26" s="180"/>
      <c r="L26" s="279" t="s">
        <v>953</v>
      </c>
      <c r="M26" s="212"/>
      <c r="N26" s="180"/>
      <c r="O26" s="198"/>
      <c r="P26" s="207"/>
      <c r="Q26" s="208"/>
      <c r="R26" s="28"/>
      <c r="S26" s="179"/>
      <c r="T26" s="185"/>
      <c r="U26" s="168"/>
      <c r="V26" s="30"/>
      <c r="W26" s="31"/>
      <c r="X26" s="31"/>
      <c r="Y26" s="31"/>
      <c r="Z26" s="33"/>
    </row>
    <row r="27" spans="1:26" ht="96">
      <c r="A27" s="174">
        <v>23</v>
      </c>
      <c r="B27" s="168"/>
      <c r="C27" s="3" t="s">
        <v>974</v>
      </c>
      <c r="D27" s="169" t="s">
        <v>295</v>
      </c>
      <c r="E27" s="170"/>
      <c r="F27" s="79" t="s">
        <v>976</v>
      </c>
      <c r="G27" s="198"/>
      <c r="H27" s="204"/>
      <c r="I27" s="175"/>
      <c r="J27" s="205" t="s">
        <v>386</v>
      </c>
      <c r="K27" s="180"/>
      <c r="L27" s="3" t="s">
        <v>977</v>
      </c>
      <c r="M27" s="212"/>
      <c r="N27" s="180"/>
      <c r="O27" s="198"/>
      <c r="P27" s="207"/>
      <c r="Q27" s="208"/>
      <c r="R27" s="28"/>
      <c r="S27" s="179"/>
      <c r="T27" s="185"/>
      <c r="U27" s="168"/>
      <c r="V27" s="30"/>
      <c r="W27" s="31"/>
      <c r="X27" s="31"/>
      <c r="Y27" s="31"/>
      <c r="Z27" s="33"/>
    </row>
    <row r="28" spans="1:26" ht="99">
      <c r="A28" s="174">
        <v>24</v>
      </c>
      <c r="B28" s="168"/>
      <c r="C28" s="279" t="s">
        <v>949</v>
      </c>
      <c r="D28" s="169" t="s">
        <v>280</v>
      </c>
      <c r="E28" s="170"/>
      <c r="F28" s="282" t="s">
        <v>943</v>
      </c>
      <c r="G28" s="198"/>
      <c r="H28" s="204"/>
      <c r="I28" s="175"/>
      <c r="J28" s="205" t="s">
        <v>389</v>
      </c>
      <c r="K28" s="180"/>
      <c r="L28" s="279" t="s">
        <v>950</v>
      </c>
      <c r="M28" s="212"/>
      <c r="N28" s="180"/>
      <c r="O28" s="198"/>
      <c r="P28" s="207"/>
      <c r="Q28" s="208"/>
      <c r="R28" s="28"/>
      <c r="S28" s="179"/>
      <c r="T28" s="185"/>
      <c r="U28" s="168"/>
      <c r="V28" s="30"/>
      <c r="W28" s="31"/>
      <c r="X28" s="31"/>
      <c r="Y28" s="31"/>
      <c r="Z28" s="33"/>
    </row>
    <row r="29" spans="1:26" ht="16.5">
      <c r="A29" s="213"/>
      <c r="B29" s="168"/>
      <c r="C29" s="279"/>
      <c r="D29" s="169"/>
      <c r="E29" s="170"/>
      <c r="F29" s="282"/>
      <c r="G29" s="198"/>
      <c r="H29" s="204"/>
      <c r="I29" s="175"/>
      <c r="J29" s="205"/>
      <c r="K29" s="180"/>
      <c r="L29" s="279"/>
      <c r="M29" s="212"/>
      <c r="N29" s="180"/>
      <c r="O29" s="198"/>
      <c r="P29" s="207"/>
      <c r="Q29" s="208"/>
      <c r="R29" s="28"/>
      <c r="S29" s="179"/>
      <c r="T29" s="185"/>
      <c r="U29" s="168"/>
      <c r="V29" s="30"/>
      <c r="W29" s="31"/>
      <c r="X29" s="31"/>
      <c r="Y29" s="31"/>
      <c r="Z29" s="33"/>
    </row>
    <row r="30" spans="1:26" ht="16.5">
      <c r="A30" s="213"/>
      <c r="B30" s="168"/>
      <c r="C30" s="279"/>
      <c r="D30" s="169"/>
      <c r="E30" s="170"/>
      <c r="F30" s="282"/>
      <c r="G30" s="198"/>
      <c r="H30" s="204"/>
      <c r="I30" s="175"/>
      <c r="J30" s="205"/>
      <c r="K30" s="180"/>
      <c r="L30" s="279"/>
      <c r="M30" s="212"/>
      <c r="N30" s="180"/>
      <c r="O30" s="198"/>
      <c r="P30" s="207"/>
      <c r="Q30" s="208"/>
      <c r="R30" s="28"/>
      <c r="S30" s="179"/>
      <c r="T30" s="185"/>
      <c r="U30" s="168"/>
      <c r="V30" s="30"/>
      <c r="W30" s="31"/>
      <c r="X30" s="31"/>
      <c r="Y30" s="31"/>
      <c r="Z30" s="33"/>
    </row>
    <row r="31" spans="1:26" ht="16.5">
      <c r="A31" s="213"/>
      <c r="B31" s="168"/>
      <c r="C31" s="279"/>
      <c r="D31" s="169"/>
      <c r="E31" s="170"/>
      <c r="F31" s="282"/>
      <c r="G31" s="198"/>
      <c r="H31" s="204"/>
      <c r="I31" s="175"/>
      <c r="J31" s="205"/>
      <c r="K31" s="180"/>
      <c r="L31" s="279"/>
      <c r="M31" s="212"/>
      <c r="N31" s="180"/>
      <c r="O31" s="198"/>
      <c r="P31" s="207"/>
      <c r="Q31" s="208"/>
      <c r="R31" s="28"/>
      <c r="S31" s="179"/>
      <c r="T31" s="185"/>
      <c r="U31" s="168"/>
      <c r="V31" s="30"/>
      <c r="W31" s="31"/>
      <c r="X31" s="31"/>
      <c r="Y31" s="31"/>
      <c r="Z31" s="33"/>
    </row>
    <row r="32" spans="1:26">
      <c r="A32" s="184">
        <v>9</v>
      </c>
      <c r="B32" s="168"/>
      <c r="C32" s="3"/>
      <c r="D32" s="169"/>
      <c r="E32" s="170"/>
      <c r="F32" s="79"/>
      <c r="G32" s="198"/>
      <c r="H32" s="204">
        <f t="shared" ref="H32:H46" si="1">G32*E32</f>
        <v>0</v>
      </c>
      <c r="I32" s="175"/>
      <c r="J32" s="205"/>
      <c r="K32" s="104"/>
      <c r="L32" s="3"/>
      <c r="M32" s="212"/>
      <c r="N32" s="180"/>
      <c r="O32" s="198"/>
      <c r="P32" s="207"/>
      <c r="Q32" s="111"/>
      <c r="R32" s="3"/>
      <c r="S32" s="79"/>
      <c r="T32" s="185"/>
      <c r="U32" s="168"/>
      <c r="V32" s="30"/>
      <c r="W32" s="31"/>
      <c r="X32" s="31"/>
      <c r="Y32" s="31"/>
      <c r="Z32" s="34"/>
    </row>
    <row r="33" spans="1:26">
      <c r="A33" s="174">
        <v>10</v>
      </c>
      <c r="B33" s="168"/>
      <c r="C33" s="28"/>
      <c r="D33" s="169"/>
      <c r="E33" s="170"/>
      <c r="F33" s="179"/>
      <c r="G33" s="198"/>
      <c r="H33" s="204">
        <f t="shared" si="1"/>
        <v>0</v>
      </c>
      <c r="I33" s="175"/>
      <c r="J33" s="205"/>
      <c r="K33" s="180"/>
      <c r="L33" s="28"/>
      <c r="M33" s="212"/>
      <c r="N33" s="180"/>
      <c r="O33" s="198"/>
      <c r="P33" s="207"/>
      <c r="Q33" s="208"/>
      <c r="R33" s="28"/>
      <c r="S33" s="179"/>
      <c r="T33" s="185"/>
      <c r="U33" s="168"/>
      <c r="V33" s="30"/>
      <c r="W33" s="31"/>
      <c r="X33" s="31"/>
      <c r="Y33" s="31"/>
      <c r="Z33" s="34"/>
    </row>
    <row r="34" spans="1:26">
      <c r="A34" s="174">
        <v>11</v>
      </c>
      <c r="B34" s="168"/>
      <c r="C34" s="28"/>
      <c r="D34" s="169"/>
      <c r="E34" s="170"/>
      <c r="F34" s="179"/>
      <c r="G34" s="198"/>
      <c r="H34" s="204">
        <f t="shared" si="1"/>
        <v>0</v>
      </c>
      <c r="I34" s="175"/>
      <c r="J34" s="205"/>
      <c r="K34" s="180"/>
      <c r="L34" s="28"/>
      <c r="M34" s="212"/>
      <c r="N34" s="180"/>
      <c r="O34" s="198"/>
      <c r="P34" s="207"/>
      <c r="Q34" s="208"/>
      <c r="R34" s="28"/>
      <c r="S34" s="179"/>
      <c r="T34" s="185"/>
      <c r="U34" s="168"/>
      <c r="V34" s="30"/>
      <c r="W34" s="31"/>
      <c r="X34" s="31"/>
      <c r="Y34" s="31"/>
      <c r="Z34" s="33"/>
    </row>
    <row r="35" spans="1:26">
      <c r="A35" s="174">
        <v>12</v>
      </c>
      <c r="B35" s="168"/>
      <c r="C35" s="28"/>
      <c r="D35" s="169"/>
      <c r="E35" s="170"/>
      <c r="F35" s="179"/>
      <c r="G35" s="198"/>
      <c r="H35" s="204">
        <f t="shared" si="1"/>
        <v>0</v>
      </c>
      <c r="I35" s="175"/>
      <c r="J35" s="205"/>
      <c r="K35" s="180"/>
      <c r="L35" s="28"/>
      <c r="M35" s="212"/>
      <c r="N35" s="180"/>
      <c r="O35" s="198"/>
      <c r="P35" s="207"/>
      <c r="Q35" s="208"/>
      <c r="R35" s="28"/>
      <c r="S35" s="179"/>
      <c r="T35" s="185"/>
      <c r="U35" s="168"/>
      <c r="V35" s="30"/>
      <c r="W35" s="31"/>
      <c r="X35" s="31"/>
      <c r="Y35" s="31"/>
      <c r="Z35" s="33"/>
    </row>
    <row r="36" spans="1:26">
      <c r="A36" s="174">
        <v>13</v>
      </c>
      <c r="B36" s="168"/>
      <c r="C36" s="28"/>
      <c r="D36" s="169"/>
      <c r="E36" s="170"/>
      <c r="F36" s="179"/>
      <c r="G36" s="198"/>
      <c r="H36" s="204">
        <f t="shared" si="1"/>
        <v>0</v>
      </c>
      <c r="I36" s="175"/>
      <c r="J36" s="205"/>
      <c r="K36" s="180"/>
      <c r="L36" s="28"/>
      <c r="M36" s="212"/>
      <c r="N36" s="180"/>
      <c r="O36" s="198"/>
      <c r="P36" s="207"/>
      <c r="Q36" s="208"/>
      <c r="R36" s="28"/>
      <c r="S36" s="179"/>
      <c r="T36" s="185"/>
      <c r="U36" s="168"/>
      <c r="V36" s="30"/>
      <c r="W36" s="31"/>
      <c r="X36" s="31"/>
      <c r="Y36" s="31"/>
      <c r="Z36" s="33"/>
    </row>
    <row r="37" spans="1:26">
      <c r="A37" s="184">
        <v>14</v>
      </c>
      <c r="B37" s="168"/>
      <c r="C37" s="28"/>
      <c r="D37" s="169"/>
      <c r="E37" s="170"/>
      <c r="F37" s="179"/>
      <c r="G37" s="198"/>
      <c r="H37" s="204">
        <f t="shared" si="1"/>
        <v>0</v>
      </c>
      <c r="I37" s="175"/>
      <c r="J37" s="205"/>
      <c r="K37" s="180"/>
      <c r="L37" s="28"/>
      <c r="M37" s="212"/>
      <c r="N37" s="180"/>
      <c r="O37" s="198"/>
      <c r="P37" s="207"/>
      <c r="Q37" s="208"/>
      <c r="R37" s="28"/>
      <c r="S37" s="179"/>
      <c r="T37" s="185"/>
      <c r="U37" s="168"/>
      <c r="V37" s="30"/>
      <c r="W37" s="31"/>
      <c r="X37" s="31"/>
      <c r="Y37" s="31"/>
      <c r="Z37" s="33"/>
    </row>
    <row r="38" spans="1:26">
      <c r="A38" s="184">
        <v>15</v>
      </c>
      <c r="B38" s="168"/>
      <c r="C38" s="28"/>
      <c r="D38" s="169"/>
      <c r="E38" s="170"/>
      <c r="F38" s="179"/>
      <c r="G38" s="198"/>
      <c r="H38" s="204">
        <f t="shared" si="1"/>
        <v>0</v>
      </c>
      <c r="I38" s="175"/>
      <c r="J38" s="205"/>
      <c r="K38" s="180"/>
      <c r="L38" s="28"/>
      <c r="M38" s="212"/>
      <c r="N38" s="180"/>
      <c r="O38" s="198"/>
      <c r="P38" s="207"/>
      <c r="Q38" s="208"/>
      <c r="R38" s="28"/>
      <c r="S38" s="179"/>
      <c r="T38" s="185"/>
      <c r="U38" s="168"/>
      <c r="V38" s="30"/>
      <c r="W38" s="31"/>
      <c r="X38" s="31"/>
      <c r="Y38" s="31"/>
      <c r="Z38" s="33"/>
    </row>
    <row r="39" spans="1:26">
      <c r="A39" s="213">
        <v>16</v>
      </c>
      <c r="B39" s="168"/>
      <c r="C39" s="28"/>
      <c r="D39" s="169"/>
      <c r="E39" s="170"/>
      <c r="F39" s="179"/>
      <c r="G39" s="198"/>
      <c r="H39" s="204">
        <f t="shared" si="1"/>
        <v>0</v>
      </c>
      <c r="I39" s="175"/>
      <c r="J39" s="205"/>
      <c r="K39" s="180"/>
      <c r="L39" s="28"/>
      <c r="M39" s="212"/>
      <c r="N39" s="180"/>
      <c r="O39" s="198"/>
      <c r="P39" s="207"/>
      <c r="Q39" s="208"/>
      <c r="R39" s="28"/>
      <c r="S39" s="179"/>
      <c r="T39" s="185"/>
      <c r="U39" s="168"/>
      <c r="V39" s="30"/>
      <c r="W39" s="31"/>
      <c r="X39" s="31"/>
      <c r="Y39" s="31"/>
      <c r="Z39" s="33"/>
    </row>
    <row r="40" spans="1:26">
      <c r="A40" s="174">
        <v>17</v>
      </c>
      <c r="B40" s="168"/>
      <c r="C40" s="28"/>
      <c r="D40" s="169"/>
      <c r="E40" s="170"/>
      <c r="F40" s="179"/>
      <c r="G40" s="198"/>
      <c r="H40" s="204">
        <f t="shared" si="1"/>
        <v>0</v>
      </c>
      <c r="I40" s="175"/>
      <c r="J40" s="205"/>
      <c r="K40" s="180"/>
      <c r="L40" s="28"/>
      <c r="M40" s="212"/>
      <c r="N40" s="180"/>
      <c r="O40" s="198"/>
      <c r="P40" s="207"/>
      <c r="Q40" s="208"/>
      <c r="R40" s="28"/>
      <c r="S40" s="179"/>
      <c r="T40" s="185"/>
      <c r="U40" s="168"/>
      <c r="V40" s="30"/>
      <c r="W40" s="31"/>
      <c r="X40" s="31"/>
      <c r="Y40" s="31"/>
      <c r="Z40" s="33"/>
    </row>
    <row r="41" spans="1:26">
      <c r="A41" s="174">
        <v>18</v>
      </c>
      <c r="B41" s="168"/>
      <c r="C41" s="28"/>
      <c r="D41" s="169"/>
      <c r="E41" s="170"/>
      <c r="F41" s="179"/>
      <c r="G41" s="198"/>
      <c r="H41" s="204">
        <f t="shared" si="1"/>
        <v>0</v>
      </c>
      <c r="I41" s="175"/>
      <c r="J41" s="205"/>
      <c r="K41" s="180"/>
      <c r="L41" s="28"/>
      <c r="M41" s="212"/>
      <c r="N41" s="180"/>
      <c r="O41" s="198"/>
      <c r="P41" s="207"/>
      <c r="Q41" s="208"/>
      <c r="R41" s="28"/>
      <c r="S41" s="179"/>
      <c r="T41" s="185"/>
      <c r="U41" s="168"/>
      <c r="V41" s="30"/>
      <c r="W41" s="31"/>
      <c r="X41" s="31"/>
      <c r="Y41" s="31"/>
      <c r="Z41" s="33"/>
    </row>
    <row r="42" spans="1:26">
      <c r="A42" s="174">
        <v>19</v>
      </c>
      <c r="B42" s="168"/>
      <c r="C42" s="28"/>
      <c r="D42" s="169"/>
      <c r="E42" s="170"/>
      <c r="F42" s="179"/>
      <c r="G42" s="198"/>
      <c r="H42" s="204">
        <f t="shared" si="1"/>
        <v>0</v>
      </c>
      <c r="I42" s="175"/>
      <c r="J42" s="205"/>
      <c r="K42" s="180"/>
      <c r="L42" s="28"/>
      <c r="M42" s="212"/>
      <c r="N42" s="180"/>
      <c r="O42" s="198"/>
      <c r="P42" s="207"/>
      <c r="Q42" s="208"/>
      <c r="R42" s="28"/>
      <c r="S42" s="179"/>
      <c r="T42" s="185"/>
      <c r="U42" s="168"/>
      <c r="V42" s="30"/>
      <c r="W42" s="31"/>
      <c r="X42" s="31"/>
      <c r="Y42" s="31"/>
      <c r="Z42" s="33"/>
    </row>
    <row r="43" spans="1:26">
      <c r="A43" s="174">
        <v>20</v>
      </c>
      <c r="B43" s="168"/>
      <c r="C43" s="28"/>
      <c r="D43" s="169"/>
      <c r="E43" s="170"/>
      <c r="F43" s="179"/>
      <c r="G43" s="198"/>
      <c r="H43" s="204">
        <f t="shared" si="1"/>
        <v>0</v>
      </c>
      <c r="I43" s="175"/>
      <c r="J43" s="205"/>
      <c r="K43" s="180"/>
      <c r="L43" s="28"/>
      <c r="M43" s="212"/>
      <c r="N43" s="180"/>
      <c r="O43" s="198"/>
      <c r="P43" s="207"/>
      <c r="Q43" s="208"/>
      <c r="R43" s="28"/>
      <c r="S43" s="179"/>
      <c r="T43" s="185"/>
      <c r="U43" s="168"/>
      <c r="V43" s="30"/>
      <c r="W43" s="31"/>
      <c r="X43" s="31"/>
      <c r="Y43" s="31"/>
      <c r="Z43" s="33"/>
    </row>
    <row r="44" spans="1:26">
      <c r="A44" s="174">
        <v>21</v>
      </c>
      <c r="B44" s="168"/>
      <c r="C44" s="28"/>
      <c r="D44" s="169"/>
      <c r="E44" s="170"/>
      <c r="F44" s="179"/>
      <c r="G44" s="198"/>
      <c r="H44" s="204">
        <f t="shared" si="1"/>
        <v>0</v>
      </c>
      <c r="I44" s="175"/>
      <c r="J44" s="205"/>
      <c r="K44" s="180"/>
      <c r="L44" s="28"/>
      <c r="M44" s="212"/>
      <c r="N44" s="180"/>
      <c r="O44" s="198"/>
      <c r="P44" s="207"/>
      <c r="Q44" s="208"/>
      <c r="R44" s="28"/>
      <c r="S44" s="179"/>
      <c r="T44" s="185"/>
      <c r="U44" s="168"/>
      <c r="V44" s="30"/>
      <c r="W44" s="31"/>
      <c r="X44" s="31"/>
      <c r="Y44" s="31"/>
      <c r="Z44" s="33"/>
    </row>
    <row r="45" spans="1:26">
      <c r="A45" s="184">
        <v>22</v>
      </c>
      <c r="B45" s="168"/>
      <c r="C45" s="28"/>
      <c r="D45" s="169"/>
      <c r="E45" s="170"/>
      <c r="F45" s="179"/>
      <c r="G45" s="198"/>
      <c r="H45" s="204">
        <f t="shared" si="1"/>
        <v>0</v>
      </c>
      <c r="I45" s="175"/>
      <c r="J45" s="205"/>
      <c r="K45" s="180"/>
      <c r="L45" s="28"/>
      <c r="M45" s="212"/>
      <c r="N45" s="180"/>
      <c r="O45" s="198"/>
      <c r="P45" s="207"/>
      <c r="Q45" s="208"/>
      <c r="R45" s="28"/>
      <c r="S45" s="179"/>
      <c r="T45" s="185"/>
      <c r="U45" s="168"/>
      <c r="V45" s="30"/>
      <c r="W45" s="31"/>
      <c r="X45" s="31"/>
      <c r="Y45" s="31"/>
      <c r="Z45" s="33"/>
    </row>
    <row r="46" spans="1:26" s="83" customFormat="1" ht="12.75" thickBot="1">
      <c r="A46" s="184">
        <v>23</v>
      </c>
      <c r="B46" s="214"/>
      <c r="C46" s="215"/>
      <c r="D46" s="216"/>
      <c r="E46" s="217"/>
      <c r="F46" s="218"/>
      <c r="G46" s="219"/>
      <c r="H46" s="220">
        <f t="shared" si="1"/>
        <v>0</v>
      </c>
      <c r="I46" s="221"/>
      <c r="J46" s="205"/>
      <c r="K46" s="222"/>
      <c r="L46" s="223"/>
      <c r="M46" s="224"/>
      <c r="N46" s="222"/>
      <c r="O46" s="219"/>
      <c r="P46" s="225"/>
      <c r="Q46" s="226"/>
      <c r="R46" s="215"/>
      <c r="S46" s="218"/>
      <c r="T46" s="227"/>
      <c r="U46" s="214"/>
      <c r="V46" s="228"/>
      <c r="W46" s="229"/>
      <c r="X46" s="229"/>
      <c r="Y46" s="229"/>
      <c r="Z46"/>
    </row>
    <row r="47" spans="1:26" ht="23.25" customHeight="1" thickTop="1" thickBot="1">
      <c r="A47" s="230"/>
      <c r="B47" s="231"/>
      <c r="C47" s="231"/>
      <c r="D47" s="231"/>
      <c r="E47" s="232"/>
      <c r="F47" s="106" t="s">
        <v>325</v>
      </c>
      <c r="G47" s="233">
        <f>SUM(G5:G46)</f>
        <v>0</v>
      </c>
      <c r="H47" s="234">
        <f>SUM(H5:H46)</f>
        <v>0</v>
      </c>
      <c r="I47" s="235"/>
      <c r="J47" s="235"/>
      <c r="K47" s="236"/>
      <c r="L47" s="543" t="s">
        <v>326</v>
      </c>
      <c r="M47" s="544"/>
      <c r="N47" s="544"/>
      <c r="O47" s="233">
        <f>SUM(O5:O46)</f>
        <v>0</v>
      </c>
      <c r="P47" s="234">
        <f>SUM(P5:P46)</f>
        <v>0</v>
      </c>
      <c r="Q47" s="237"/>
      <c r="R47" s="237"/>
      <c r="S47" s="237"/>
      <c r="T47" s="231"/>
      <c r="U47" s="231"/>
      <c r="V47" s="238"/>
      <c r="W47" s="31"/>
      <c r="X47" s="31"/>
      <c r="Y47" s="31"/>
      <c r="Z47" s="33"/>
    </row>
    <row r="48" spans="1:26" ht="12.75" thickTop="1">
      <c r="A48" s="186"/>
      <c r="B48" s="187"/>
      <c r="C48" s="187"/>
      <c r="D48" s="187"/>
      <c r="E48" s="188"/>
      <c r="F48" s="31"/>
      <c r="G48" s="188"/>
      <c r="H48" s="189"/>
      <c r="I48" s="189"/>
      <c r="J48" s="189"/>
      <c r="K48" s="186"/>
      <c r="L48" s="31"/>
      <c r="M48" s="186"/>
      <c r="N48" s="186"/>
      <c r="O48" s="31"/>
      <c r="P48" s="31"/>
      <c r="Q48" s="31"/>
      <c r="R48" s="31"/>
      <c r="S48" s="31"/>
      <c r="T48" s="187"/>
      <c r="U48" s="187"/>
      <c r="V48" s="31"/>
      <c r="W48" s="31"/>
      <c r="X48" s="31"/>
      <c r="Y48" s="31"/>
      <c r="Z48" s="33"/>
    </row>
    <row r="49" spans="1:26">
      <c r="A49" s="186"/>
      <c r="B49" s="187"/>
      <c r="C49" s="107" t="s">
        <v>327</v>
      </c>
      <c r="D49" s="108"/>
      <c r="E49" s="188"/>
      <c r="F49" s="31"/>
      <c r="G49" s="188"/>
      <c r="H49" s="189"/>
      <c r="I49" s="189"/>
      <c r="J49" s="189"/>
      <c r="K49" s="186"/>
      <c r="L49" s="31"/>
      <c r="M49" s="186"/>
      <c r="N49" s="186"/>
      <c r="O49" s="31"/>
      <c r="P49" s="31"/>
      <c r="Q49" s="31"/>
      <c r="R49" s="31"/>
      <c r="S49" s="31"/>
      <c r="T49" s="187"/>
      <c r="U49" s="187"/>
      <c r="V49" s="31"/>
      <c r="W49" s="31"/>
      <c r="X49" s="31"/>
      <c r="Y49" s="31"/>
      <c r="Z49" s="31"/>
    </row>
    <row r="53" spans="1:26">
      <c r="A53" s="186"/>
      <c r="B53" s="187"/>
      <c r="C53" s="187"/>
      <c r="D53" s="187"/>
      <c r="E53" s="188"/>
      <c r="F53" s="31"/>
      <c r="G53" s="188"/>
      <c r="H53" s="189"/>
      <c r="I53" s="189"/>
      <c r="J53" s="189"/>
      <c r="K53" s="186"/>
      <c r="L53" s="239"/>
      <c r="M53" s="186"/>
      <c r="N53" s="186"/>
      <c r="O53" s="31"/>
      <c r="P53" s="31"/>
      <c r="Q53" s="31"/>
      <c r="R53" s="31"/>
      <c r="S53" s="31"/>
      <c r="T53" s="187"/>
      <c r="U53" s="187"/>
      <c r="V53" s="31"/>
      <c r="W53" s="31"/>
      <c r="X53" s="31"/>
      <c r="Y53" s="31"/>
      <c r="Z53" s="31"/>
    </row>
    <row r="58" spans="1:26">
      <c r="A58" s="186"/>
      <c r="B58" s="187"/>
      <c r="C58" s="187"/>
      <c r="D58" s="102" t="s">
        <v>328</v>
      </c>
      <c r="E58" s="188"/>
      <c r="F58" s="31"/>
      <c r="G58" s="188"/>
      <c r="H58" s="189"/>
      <c r="I58" s="189"/>
      <c r="J58" s="189"/>
      <c r="K58" s="186"/>
      <c r="L58" s="31"/>
      <c r="M58" s="186"/>
      <c r="N58" s="186"/>
      <c r="O58" s="31"/>
      <c r="P58" s="31"/>
      <c r="Q58" s="31"/>
      <c r="R58" s="31"/>
      <c r="S58" s="31"/>
      <c r="T58" s="187"/>
      <c r="U58" s="187"/>
      <c r="V58" s="31"/>
      <c r="W58" s="31"/>
      <c r="X58" s="31"/>
      <c r="Y58" s="31"/>
      <c r="Z58" s="31"/>
    </row>
    <row r="59" spans="1:26">
      <c r="A59" s="186"/>
      <c r="B59" s="187"/>
      <c r="C59" s="187"/>
      <c r="D59" s="98" t="s">
        <v>329</v>
      </c>
      <c r="E59" s="188"/>
      <c r="F59" s="31"/>
      <c r="G59" s="188"/>
      <c r="H59" s="189"/>
      <c r="I59" s="189"/>
      <c r="J59" s="189"/>
      <c r="K59" s="186"/>
      <c r="L59" s="31"/>
      <c r="M59" s="186"/>
      <c r="N59" s="186"/>
      <c r="O59" s="31"/>
      <c r="P59" s="31"/>
      <c r="Q59" s="31"/>
      <c r="R59" s="31"/>
      <c r="S59" s="31"/>
      <c r="T59" s="187"/>
      <c r="U59" s="187"/>
      <c r="V59" s="31"/>
      <c r="W59" s="31"/>
      <c r="X59" s="31"/>
      <c r="Y59" s="31"/>
      <c r="Z59" s="31"/>
    </row>
    <row r="60" spans="1:26">
      <c r="A60" s="186"/>
      <c r="B60" s="187"/>
      <c r="C60" s="187"/>
      <c r="D60" s="99" t="s">
        <v>330</v>
      </c>
      <c r="E60" s="188"/>
      <c r="F60" s="31"/>
      <c r="G60" s="188"/>
      <c r="H60" s="189"/>
      <c r="I60" s="189"/>
      <c r="J60" s="189"/>
      <c r="K60" s="186"/>
      <c r="L60" s="31"/>
      <c r="M60" s="186"/>
      <c r="N60" s="186"/>
      <c r="O60" s="31"/>
      <c r="P60" s="31"/>
      <c r="Q60" s="31"/>
      <c r="R60" s="31"/>
      <c r="S60" s="31"/>
      <c r="T60" s="187"/>
      <c r="U60" s="187"/>
      <c r="V60" s="31"/>
      <c r="W60" s="31"/>
      <c r="X60" s="31"/>
      <c r="Y60" s="31"/>
      <c r="Z60" s="31"/>
    </row>
    <row r="61" spans="1:26">
      <c r="A61" s="186"/>
      <c r="B61" s="187"/>
      <c r="C61" s="187"/>
      <c r="D61" s="100" t="s">
        <v>185</v>
      </c>
      <c r="E61" s="188"/>
      <c r="F61" s="31"/>
      <c r="G61" s="188"/>
      <c r="H61" s="189"/>
      <c r="I61" s="189"/>
      <c r="J61" s="189"/>
      <c r="K61" s="186"/>
      <c r="L61" s="31"/>
      <c r="M61" s="186"/>
      <c r="N61" s="186"/>
      <c r="O61" s="31"/>
      <c r="P61" s="31"/>
      <c r="Q61" s="31"/>
      <c r="R61" s="31"/>
      <c r="S61" s="31"/>
      <c r="T61" s="187"/>
      <c r="U61" s="187"/>
      <c r="V61" s="31"/>
      <c r="W61" s="31"/>
      <c r="X61" s="31"/>
      <c r="Y61" s="31"/>
      <c r="Z61" s="31"/>
    </row>
    <row r="62" spans="1:26" s="86" customFormat="1">
      <c r="A62" s="186"/>
      <c r="B62" s="187"/>
      <c r="C62" s="187"/>
      <c r="D62" s="100" t="s">
        <v>191</v>
      </c>
      <c r="E62" s="188"/>
      <c r="F62" s="31"/>
      <c r="G62" s="188"/>
      <c r="H62" s="189"/>
      <c r="I62" s="189"/>
      <c r="J62" s="189"/>
      <c r="K62" s="186"/>
      <c r="L62" s="31"/>
      <c r="M62" s="186"/>
      <c r="N62" s="186"/>
      <c r="O62" s="31"/>
      <c r="P62" s="31"/>
      <c r="Q62" s="31"/>
      <c r="R62" s="31"/>
      <c r="S62" s="31"/>
      <c r="T62" s="187"/>
      <c r="U62" s="187"/>
      <c r="V62" s="31"/>
      <c r="W62" s="31"/>
      <c r="X62" s="31"/>
      <c r="Y62" s="31"/>
      <c r="Z62" s="31"/>
    </row>
    <row r="63" spans="1:26" s="86" customFormat="1">
      <c r="A63" s="186"/>
      <c r="B63" s="187"/>
      <c r="C63" s="187"/>
      <c r="D63" s="100" t="s">
        <v>197</v>
      </c>
      <c r="E63" s="188"/>
      <c r="F63" s="31"/>
      <c r="G63" s="188"/>
      <c r="H63" s="189"/>
      <c r="I63" s="189"/>
      <c r="J63" s="189"/>
      <c r="K63" s="186"/>
      <c r="L63" s="31"/>
      <c r="M63" s="186"/>
      <c r="N63" s="186"/>
      <c r="O63" s="31"/>
      <c r="P63" s="31"/>
      <c r="Q63" s="31"/>
      <c r="R63" s="31"/>
      <c r="S63" s="31"/>
      <c r="T63" s="187"/>
      <c r="U63" s="187"/>
      <c r="V63" s="31"/>
      <c r="W63" s="31"/>
      <c r="X63" s="31"/>
      <c r="Y63" s="31"/>
      <c r="Z63" s="31"/>
    </row>
    <row r="64" spans="1:26" s="86" customFormat="1">
      <c r="A64" s="186"/>
      <c r="B64" s="187"/>
      <c r="C64" s="187"/>
      <c r="D64" s="100" t="s">
        <v>213</v>
      </c>
      <c r="E64" s="188"/>
      <c r="F64" s="31"/>
      <c r="G64" s="188"/>
      <c r="H64" s="189"/>
      <c r="I64" s="189"/>
      <c r="J64" s="189"/>
      <c r="K64" s="186"/>
      <c r="L64" s="31"/>
      <c r="M64" s="186"/>
      <c r="N64" s="186"/>
      <c r="O64" s="31"/>
      <c r="P64" s="31"/>
      <c r="Q64" s="31"/>
      <c r="R64" s="31"/>
      <c r="S64" s="31"/>
      <c r="T64" s="187"/>
      <c r="U64" s="187"/>
      <c r="V64" s="31"/>
      <c r="W64" s="31"/>
      <c r="X64" s="31"/>
      <c r="Y64" s="31"/>
      <c r="Z64" s="31"/>
    </row>
    <row r="65" spans="1:26" s="86" customFormat="1">
      <c r="A65" s="186"/>
      <c r="B65" s="187"/>
      <c r="C65" s="187"/>
      <c r="D65" s="100" t="s">
        <v>206</v>
      </c>
      <c r="E65" s="188"/>
      <c r="F65" s="31"/>
      <c r="G65" s="188"/>
      <c r="H65" s="189"/>
      <c r="I65" s="189"/>
      <c r="J65" s="189"/>
      <c r="K65" s="186"/>
      <c r="L65" s="31"/>
      <c r="M65" s="186"/>
      <c r="N65" s="186"/>
      <c r="O65" s="31"/>
      <c r="P65" s="31"/>
      <c r="Q65" s="31"/>
      <c r="R65" s="31"/>
      <c r="S65" s="31"/>
      <c r="T65" s="187"/>
      <c r="U65" s="187"/>
      <c r="V65" s="31"/>
      <c r="W65" s="31"/>
      <c r="X65" s="31"/>
      <c r="Y65" s="31"/>
      <c r="Z65" s="31"/>
    </row>
    <row r="66" spans="1:26" s="86" customFormat="1">
      <c r="A66" s="186"/>
      <c r="B66" s="187"/>
      <c r="C66" s="187"/>
      <c r="D66" s="99" t="s">
        <v>331</v>
      </c>
      <c r="E66" s="188"/>
      <c r="F66" s="31"/>
      <c r="G66" s="188"/>
      <c r="H66" s="189"/>
      <c r="I66" s="189"/>
      <c r="J66" s="189"/>
      <c r="K66" s="186"/>
      <c r="L66" s="31"/>
      <c r="M66" s="186"/>
      <c r="N66" s="186"/>
      <c r="O66" s="31"/>
      <c r="P66" s="31"/>
      <c r="Q66" s="31"/>
      <c r="R66" s="31"/>
      <c r="S66" s="31"/>
      <c r="T66" s="187"/>
      <c r="U66" s="187"/>
      <c r="V66" s="31"/>
      <c r="W66" s="31"/>
      <c r="X66" s="31"/>
      <c r="Y66" s="31"/>
      <c r="Z66" s="31"/>
    </row>
    <row r="67" spans="1:26" s="86" customFormat="1">
      <c r="A67" s="186"/>
      <c r="B67" s="187"/>
      <c r="C67" s="187"/>
      <c r="D67" s="99" t="s">
        <v>332</v>
      </c>
      <c r="E67" s="188"/>
      <c r="F67" s="31"/>
      <c r="G67" s="188"/>
      <c r="H67" s="189"/>
      <c r="I67" s="189"/>
      <c r="J67" s="189"/>
      <c r="K67" s="186"/>
      <c r="L67" s="31"/>
      <c r="M67" s="186"/>
      <c r="N67" s="186"/>
      <c r="O67" s="31"/>
      <c r="P67" s="31"/>
      <c r="Q67" s="31"/>
      <c r="R67" s="31"/>
      <c r="S67" s="31"/>
      <c r="T67" s="187"/>
      <c r="U67" s="187"/>
      <c r="V67" s="31"/>
      <c r="W67" s="31"/>
      <c r="X67" s="31"/>
      <c r="Y67" s="31"/>
      <c r="Z67" s="31"/>
    </row>
    <row r="68" spans="1:26" s="86" customFormat="1">
      <c r="A68" s="186"/>
      <c r="B68" s="187"/>
      <c r="C68" s="187"/>
      <c r="D68" s="99" t="s">
        <v>333</v>
      </c>
      <c r="E68" s="188"/>
      <c r="F68" s="31"/>
      <c r="G68" s="188"/>
      <c r="H68" s="189"/>
      <c r="I68" s="189"/>
      <c r="J68" s="189"/>
      <c r="K68" s="186"/>
      <c r="L68" s="31"/>
      <c r="M68" s="186"/>
      <c r="N68" s="186"/>
      <c r="O68" s="31"/>
      <c r="P68" s="31"/>
      <c r="Q68" s="31"/>
      <c r="R68" s="31"/>
      <c r="S68" s="31"/>
      <c r="T68" s="187"/>
      <c r="U68" s="187"/>
      <c r="V68" s="31"/>
      <c r="W68" s="31"/>
      <c r="X68" s="31"/>
      <c r="Y68" s="31"/>
      <c r="Z68" s="31"/>
    </row>
    <row r="69" spans="1:26" s="86" customFormat="1">
      <c r="A69" s="186"/>
      <c r="B69" s="187"/>
      <c r="C69" s="187"/>
      <c r="D69" s="99" t="s">
        <v>334</v>
      </c>
      <c r="E69" s="188"/>
      <c r="F69" s="31"/>
      <c r="G69" s="188"/>
      <c r="H69" s="189"/>
      <c r="I69" s="189"/>
      <c r="J69" s="189"/>
      <c r="K69" s="186"/>
      <c r="L69" s="31"/>
      <c r="M69" s="186"/>
      <c r="N69" s="186"/>
      <c r="O69" s="31"/>
      <c r="P69" s="31"/>
      <c r="Q69" s="31"/>
      <c r="R69" s="31"/>
      <c r="S69" s="31"/>
      <c r="T69" s="187"/>
      <c r="U69" s="187"/>
      <c r="V69" s="31"/>
      <c r="W69" s="31"/>
      <c r="X69" s="31"/>
      <c r="Y69" s="31"/>
      <c r="Z69" s="31"/>
    </row>
    <row r="70" spans="1:26" s="86" customFormat="1">
      <c r="A70" s="186"/>
      <c r="B70" s="187"/>
      <c r="C70" s="187"/>
      <c r="D70" s="99" t="s">
        <v>335</v>
      </c>
      <c r="E70" s="188"/>
      <c r="F70" s="31"/>
      <c r="G70" s="188"/>
      <c r="H70" s="189"/>
      <c r="I70" s="189"/>
      <c r="J70" s="189"/>
      <c r="K70" s="186"/>
      <c r="L70" s="31"/>
      <c r="M70" s="186"/>
      <c r="N70" s="186"/>
      <c r="O70" s="31"/>
      <c r="P70" s="31"/>
      <c r="Q70" s="31"/>
      <c r="R70" s="31"/>
      <c r="S70" s="31"/>
      <c r="T70" s="187"/>
      <c r="U70" s="187"/>
      <c r="V70" s="31"/>
      <c r="W70" s="31"/>
      <c r="X70" s="31"/>
      <c r="Y70" s="31"/>
      <c r="Z70" s="31"/>
    </row>
    <row r="71" spans="1:26" s="86" customFormat="1">
      <c r="A71" s="186"/>
      <c r="B71" s="187"/>
      <c r="C71" s="187"/>
      <c r="D71" s="99" t="s">
        <v>336</v>
      </c>
      <c r="E71" s="188"/>
      <c r="F71" s="31"/>
      <c r="G71" s="188"/>
      <c r="H71" s="189"/>
      <c r="I71" s="189"/>
      <c r="J71" s="189"/>
      <c r="K71" s="186"/>
      <c r="L71" s="31"/>
      <c r="M71" s="186"/>
      <c r="N71" s="186"/>
      <c r="O71" s="31"/>
      <c r="P71" s="31"/>
      <c r="Q71" s="31"/>
      <c r="R71" s="31"/>
      <c r="S71" s="31"/>
      <c r="T71" s="187"/>
      <c r="U71" s="187"/>
      <c r="V71" s="31"/>
      <c r="W71" s="31"/>
      <c r="X71" s="31"/>
      <c r="Y71" s="31"/>
      <c r="Z71" s="31"/>
    </row>
    <row r="72" spans="1:26" s="86" customFormat="1">
      <c r="A72" s="186"/>
      <c r="B72" s="187"/>
      <c r="C72" s="187"/>
      <c r="D72" s="99" t="s">
        <v>337</v>
      </c>
      <c r="E72" s="188"/>
      <c r="F72" s="31"/>
      <c r="G72" s="188"/>
      <c r="H72" s="189"/>
      <c r="I72" s="189"/>
      <c r="J72" s="189"/>
      <c r="K72" s="186"/>
      <c r="L72" s="31"/>
      <c r="M72" s="186"/>
      <c r="N72" s="186"/>
      <c r="O72" s="31"/>
      <c r="P72" s="31"/>
      <c r="Q72" s="31"/>
      <c r="R72" s="31"/>
      <c r="S72" s="31"/>
      <c r="T72" s="187"/>
      <c r="U72" s="187"/>
      <c r="V72" s="31"/>
      <c r="W72" s="31"/>
      <c r="X72" s="31"/>
      <c r="Y72" s="31"/>
      <c r="Z72" s="31"/>
    </row>
    <row r="73" spans="1:26" s="86" customFormat="1">
      <c r="A73" s="186"/>
      <c r="B73" s="187"/>
      <c r="C73" s="187"/>
      <c r="D73" s="99" t="s">
        <v>304</v>
      </c>
      <c r="E73" s="188"/>
      <c r="F73" s="31"/>
      <c r="G73" s="188"/>
      <c r="H73" s="189"/>
      <c r="I73" s="189"/>
      <c r="J73" s="189"/>
      <c r="K73" s="186"/>
      <c r="L73" s="31"/>
      <c r="M73" s="186"/>
      <c r="N73" s="186"/>
      <c r="O73" s="31"/>
      <c r="P73" s="31"/>
      <c r="Q73" s="31"/>
      <c r="R73" s="31"/>
      <c r="S73" s="31"/>
      <c r="T73" s="187"/>
      <c r="U73" s="187"/>
      <c r="V73" s="31"/>
      <c r="W73" s="31"/>
      <c r="X73" s="31"/>
      <c r="Y73" s="31"/>
      <c r="Z73" s="31"/>
    </row>
    <row r="74" spans="1:26" s="86" customFormat="1">
      <c r="A74" s="186"/>
      <c r="B74" s="187"/>
      <c r="C74" s="187"/>
      <c r="D74" s="99" t="s">
        <v>338</v>
      </c>
      <c r="E74" s="188"/>
      <c r="F74" s="31"/>
      <c r="G74" s="188"/>
      <c r="H74" s="189"/>
      <c r="I74" s="189"/>
      <c r="J74" s="189"/>
      <c r="K74" s="186"/>
      <c r="L74" s="31"/>
      <c r="M74" s="186"/>
      <c r="N74" s="186"/>
      <c r="O74" s="31"/>
      <c r="P74" s="31"/>
      <c r="Q74" s="31"/>
      <c r="R74" s="31"/>
      <c r="S74" s="31"/>
      <c r="T74" s="187"/>
      <c r="U74" s="187"/>
      <c r="V74" s="31"/>
      <c r="W74" s="31"/>
      <c r="X74" s="31"/>
      <c r="Y74" s="31"/>
      <c r="Z74" s="31"/>
    </row>
    <row r="75" spans="1:26" s="86" customFormat="1">
      <c r="A75" s="186"/>
      <c r="B75" s="187"/>
      <c r="C75" s="187"/>
      <c r="D75" s="99" t="s">
        <v>308</v>
      </c>
      <c r="E75" s="188"/>
      <c r="F75" s="31"/>
      <c r="G75" s="188"/>
      <c r="H75" s="189"/>
      <c r="I75" s="189"/>
      <c r="J75" s="189"/>
      <c r="K75" s="186"/>
      <c r="L75" s="31"/>
      <c r="M75" s="186"/>
      <c r="N75" s="186"/>
      <c r="O75" s="31"/>
      <c r="P75" s="31"/>
      <c r="Q75" s="31"/>
      <c r="R75" s="31"/>
      <c r="S75" s="31"/>
      <c r="T75" s="187"/>
      <c r="U75" s="187"/>
      <c r="V75" s="31"/>
      <c r="W75" s="31"/>
      <c r="X75" s="31"/>
      <c r="Y75" s="31"/>
      <c r="Z75" s="31"/>
    </row>
    <row r="76" spans="1:26" s="86" customFormat="1">
      <c r="A76" s="186"/>
      <c r="B76" s="187"/>
      <c r="C76" s="187"/>
      <c r="D76" s="99" t="s">
        <v>339</v>
      </c>
      <c r="E76" s="188"/>
      <c r="F76" s="31"/>
      <c r="G76" s="188"/>
      <c r="H76" s="189"/>
      <c r="I76" s="189"/>
      <c r="J76" s="189"/>
      <c r="K76" s="186"/>
      <c r="L76" s="31"/>
      <c r="M76" s="186"/>
      <c r="N76" s="186"/>
      <c r="O76" s="31"/>
      <c r="P76" s="31"/>
      <c r="Q76" s="31"/>
      <c r="R76" s="31"/>
      <c r="S76" s="31"/>
      <c r="T76" s="187"/>
      <c r="U76" s="187"/>
      <c r="V76" s="31"/>
      <c r="W76" s="31"/>
      <c r="X76" s="31"/>
      <c r="Y76" s="31"/>
      <c r="Z76" s="31"/>
    </row>
    <row r="77" spans="1:26" s="86" customFormat="1">
      <c r="A77" s="186"/>
      <c r="B77" s="187"/>
      <c r="C77" s="187"/>
      <c r="D77" s="99" t="s">
        <v>340</v>
      </c>
      <c r="E77" s="188"/>
      <c r="F77" s="31"/>
      <c r="G77" s="188"/>
      <c r="H77" s="189"/>
      <c r="I77" s="189"/>
      <c r="J77" s="189"/>
      <c r="K77" s="186"/>
      <c r="L77" s="31"/>
      <c r="M77" s="186"/>
      <c r="N77" s="186"/>
      <c r="O77" s="31"/>
      <c r="P77" s="31"/>
      <c r="Q77" s="31"/>
      <c r="R77" s="31"/>
      <c r="S77" s="31"/>
      <c r="T77" s="187"/>
      <c r="U77" s="187"/>
      <c r="V77" s="31"/>
      <c r="W77" s="31"/>
      <c r="X77" s="31"/>
      <c r="Y77" s="31"/>
      <c r="Z77" s="31"/>
    </row>
    <row r="78" spans="1:26" s="86" customFormat="1">
      <c r="A78" s="186"/>
      <c r="B78" s="187"/>
      <c r="C78" s="187"/>
      <c r="D78" s="99" t="s">
        <v>341</v>
      </c>
      <c r="E78" s="188"/>
      <c r="F78" s="31"/>
      <c r="G78" s="188"/>
      <c r="H78" s="189"/>
      <c r="I78" s="189"/>
      <c r="J78" s="189"/>
      <c r="K78" s="186"/>
      <c r="L78" s="31"/>
      <c r="M78" s="186"/>
      <c r="N78" s="186"/>
      <c r="O78" s="31"/>
      <c r="P78" s="31"/>
      <c r="Q78" s="31"/>
      <c r="R78" s="31"/>
      <c r="S78" s="31"/>
      <c r="T78" s="187"/>
      <c r="U78" s="187"/>
      <c r="V78" s="31"/>
      <c r="W78" s="31"/>
      <c r="X78" s="31"/>
      <c r="Y78" s="31"/>
      <c r="Z78" s="31"/>
    </row>
    <row r="79" spans="1:26" s="86" customFormat="1">
      <c r="A79" s="186"/>
      <c r="B79" s="187"/>
      <c r="C79" s="187"/>
      <c r="D79" s="99" t="s">
        <v>342</v>
      </c>
      <c r="E79" s="188"/>
      <c r="F79" s="31"/>
      <c r="G79" s="188"/>
      <c r="H79" s="189"/>
      <c r="I79" s="189"/>
      <c r="J79" s="189"/>
      <c r="K79" s="186"/>
      <c r="L79" s="31"/>
      <c r="M79" s="186"/>
      <c r="N79" s="186"/>
      <c r="O79" s="31"/>
      <c r="P79" s="31"/>
      <c r="Q79" s="31"/>
      <c r="R79" s="31"/>
      <c r="S79" s="31"/>
      <c r="T79" s="187"/>
      <c r="U79" s="187"/>
      <c r="V79" s="31"/>
      <c r="W79" s="31"/>
      <c r="X79" s="31"/>
      <c r="Y79" s="31"/>
      <c r="Z79" s="31"/>
    </row>
    <row r="80" spans="1:26" s="86" customFormat="1">
      <c r="A80" s="186"/>
      <c r="B80" s="187"/>
      <c r="C80" s="187"/>
      <c r="D80" s="99" t="s">
        <v>343</v>
      </c>
      <c r="E80" s="188"/>
      <c r="F80" s="31"/>
      <c r="G80" s="188"/>
      <c r="H80" s="189"/>
      <c r="I80" s="189"/>
      <c r="J80" s="189"/>
      <c r="K80" s="186"/>
      <c r="L80" s="31"/>
      <c r="M80" s="186"/>
      <c r="N80" s="186"/>
      <c r="O80" s="31"/>
      <c r="P80" s="31"/>
      <c r="Q80" s="31"/>
      <c r="R80" s="31"/>
      <c r="S80" s="31"/>
      <c r="T80" s="187"/>
      <c r="U80" s="187"/>
      <c r="V80" s="31"/>
      <c r="W80" s="31"/>
      <c r="X80" s="31"/>
      <c r="Y80" s="31"/>
      <c r="Z80" s="31"/>
    </row>
    <row r="81" spans="1:26" s="86" customFormat="1">
      <c r="A81" s="186"/>
      <c r="B81" s="187"/>
      <c r="C81" s="187"/>
      <c r="D81" s="99" t="s">
        <v>344</v>
      </c>
      <c r="E81" s="188"/>
      <c r="F81" s="31"/>
      <c r="G81" s="188"/>
      <c r="H81" s="189"/>
      <c r="I81" s="189"/>
      <c r="J81" s="189"/>
      <c r="K81" s="186"/>
      <c r="L81" s="31"/>
      <c r="M81" s="186"/>
      <c r="N81" s="186"/>
      <c r="O81" s="31"/>
      <c r="P81" s="31"/>
      <c r="Q81" s="31"/>
      <c r="R81" s="31"/>
      <c r="S81" s="31"/>
      <c r="T81" s="187"/>
      <c r="U81" s="187"/>
      <c r="V81" s="31"/>
      <c r="W81" s="31"/>
      <c r="X81" s="31"/>
      <c r="Y81" s="31"/>
      <c r="Z81" s="31"/>
    </row>
    <row r="82" spans="1:26" s="86" customFormat="1">
      <c r="A82" s="186"/>
      <c r="B82" s="187"/>
      <c r="C82" s="187"/>
      <c r="D82" s="99" t="s">
        <v>345</v>
      </c>
      <c r="E82" s="188"/>
      <c r="F82" s="31"/>
      <c r="G82" s="188"/>
      <c r="H82" s="189"/>
      <c r="I82" s="189"/>
      <c r="J82" s="189"/>
      <c r="K82" s="186"/>
      <c r="L82" s="31"/>
      <c r="M82" s="186"/>
      <c r="N82" s="186"/>
      <c r="O82" s="31"/>
      <c r="P82" s="31"/>
      <c r="Q82" s="31"/>
      <c r="R82" s="31"/>
      <c r="S82" s="31"/>
      <c r="T82" s="187"/>
      <c r="U82" s="187"/>
      <c r="V82" s="31"/>
      <c r="W82" s="31"/>
      <c r="X82" s="31"/>
      <c r="Y82" s="31"/>
      <c r="Z82" s="31"/>
    </row>
    <row r="83" spans="1:26" s="86" customFormat="1">
      <c r="A83" s="186"/>
      <c r="B83" s="187"/>
      <c r="C83" s="187"/>
      <c r="D83" s="99" t="s">
        <v>276</v>
      </c>
      <c r="E83" s="188"/>
      <c r="F83" s="31"/>
      <c r="G83" s="188"/>
      <c r="H83" s="189"/>
      <c r="I83" s="189"/>
      <c r="J83" s="189"/>
      <c r="K83" s="186"/>
      <c r="L83" s="31"/>
      <c r="M83" s="186"/>
      <c r="N83" s="186"/>
      <c r="O83" s="31"/>
      <c r="P83" s="31"/>
      <c r="Q83" s="31"/>
      <c r="R83" s="31"/>
      <c r="S83" s="31"/>
      <c r="T83" s="187"/>
      <c r="U83" s="187"/>
      <c r="V83" s="31"/>
      <c r="W83" s="31"/>
      <c r="X83" s="31"/>
      <c r="Y83" s="31"/>
      <c r="Z83" s="31"/>
    </row>
    <row r="84" spans="1:26" s="86" customFormat="1">
      <c r="A84" s="186"/>
      <c r="B84" s="187"/>
      <c r="C84" s="187"/>
      <c r="D84" s="101" t="s">
        <v>346</v>
      </c>
      <c r="E84" s="188"/>
      <c r="F84" s="31"/>
      <c r="G84" s="188"/>
      <c r="H84" s="189"/>
      <c r="I84" s="189"/>
      <c r="J84" s="189"/>
      <c r="K84" s="186"/>
      <c r="L84" s="31"/>
      <c r="M84" s="186"/>
      <c r="N84" s="186"/>
      <c r="O84" s="31"/>
      <c r="P84" s="31"/>
      <c r="Q84" s="31"/>
      <c r="R84" s="31"/>
      <c r="S84" s="31"/>
      <c r="T84" s="187"/>
      <c r="U84" s="187"/>
      <c r="V84" s="31"/>
      <c r="W84" s="31"/>
      <c r="X84" s="31"/>
      <c r="Y84" s="31"/>
      <c r="Z84" s="31"/>
    </row>
  </sheetData>
  <autoFilter ref="A3:V3" xr:uid="{00000000-0009-0000-0000-000003000000}"/>
  <mergeCells count="1">
    <mergeCell ref="L47:N47"/>
  </mergeCells>
  <phoneticPr fontId="2"/>
  <conditionalFormatting sqref="A5:L7 B8:L8 A8:A28 B9:E10 G9:K10 B11:L11 A29:B31 A32:L46">
    <cfRule type="expression" dxfId="7" priority="109" stopIfTrue="1">
      <formula>$U5="消滅"</formula>
    </cfRule>
  </conditionalFormatting>
  <conditionalFormatting sqref="B12:B28 D12:E31 G12:K31">
    <cfRule type="expression" dxfId="6" priority="18" stopIfTrue="1">
      <formula>$U12="消滅"</formula>
    </cfRule>
  </conditionalFormatting>
  <conditionalFormatting sqref="C12:C31">
    <cfRule type="expression" dxfId="5" priority="5" stopIfTrue="1">
      <formula>#REF!="消滅"</formula>
    </cfRule>
  </conditionalFormatting>
  <conditionalFormatting sqref="F9:F10">
    <cfRule type="expression" dxfId="4" priority="2" stopIfTrue="1">
      <formula>#REF!="消滅"</formula>
    </cfRule>
  </conditionalFormatting>
  <conditionalFormatting sqref="F12:F31">
    <cfRule type="expression" dxfId="3" priority="4" stopIfTrue="1">
      <formula>#REF!="消滅"</formula>
    </cfRule>
  </conditionalFormatting>
  <conditionalFormatting sqref="L9:L10">
    <cfRule type="expression" dxfId="2" priority="1" stopIfTrue="1">
      <formula>#REF!="消滅"</formula>
    </cfRule>
  </conditionalFormatting>
  <conditionalFormatting sqref="L12:L31">
    <cfRule type="expression" dxfId="1" priority="3" stopIfTrue="1">
      <formula>#REF!="消滅"</formula>
    </cfRule>
  </conditionalFormatting>
  <conditionalFormatting sqref="M5:V46">
    <cfRule type="expression" dxfId="0" priority="17" stopIfTrue="1">
      <formula>$U5="消滅"</formula>
    </cfRule>
  </conditionalFormatting>
  <dataValidations count="3">
    <dataValidation type="list" allowBlank="1" showInputMessage="1" showErrorMessage="1" sqref="J5:J46" xr:uid="{F3700AA5-4E30-4691-96FA-49C1D90D5A91}">
      <formula1>"回避,転嫁,軽減,受容"</formula1>
    </dataValidation>
    <dataValidation type="list" showInputMessage="1" showErrorMessage="1" sqref="D5:D46" xr:uid="{81FCD128-448B-45C5-86A4-D86B413D06AA}">
      <formula1>$D$59:$D$84</formula1>
    </dataValidation>
    <dataValidation type="list" allowBlank="1" showInputMessage="1" showErrorMessage="1" sqref="U5:U46" xr:uid="{8183D70E-254B-4CAB-AC73-5F6BB504078B}">
      <formula1>"監視継続,顕在化,消滅"</formula1>
    </dataValidation>
  </dataValidations>
  <printOptions horizontalCentered="1"/>
  <pageMargins left="0.19685039370078741" right="0.19685039370078741" top="0.82677165354330717" bottom="0.47244094488188981" header="0.51181102362204722" footer="0.19685039370078741"/>
  <pageSetup paperSize="8" scale="60" fitToHeight="0" orientation="landscape" cellComments="asDisplayed" r:id="rId1"/>
  <headerFooter alignWithMargins="0">
    <oddFooter>&amp;L伊藤忠テクノソリューションズ株式会社&amp;C&amp;P/&amp;N&amp;RCQMS-S-102T5 Ver.09.00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pageSetUpPr fitToPage="1"/>
  </sheetPr>
  <dimension ref="A1:E54"/>
  <sheetViews>
    <sheetView workbookViewId="0">
      <selection sqref="A1:E1"/>
    </sheetView>
  </sheetViews>
  <sheetFormatPr defaultRowHeight="12"/>
  <cols>
    <col min="1" max="1" width="7" style="158" customWidth="1"/>
    <col min="2" max="2" width="11.28515625" style="158" customWidth="1"/>
    <col min="3" max="3" width="50.7109375" style="156" customWidth="1"/>
    <col min="4" max="5" width="16.7109375" customWidth="1"/>
  </cols>
  <sheetData>
    <row r="1" spans="1:5" ht="28.5" customHeight="1">
      <c r="A1" s="578" t="s">
        <v>1030</v>
      </c>
      <c r="B1" s="578"/>
      <c r="C1" s="578"/>
      <c r="D1" s="578"/>
      <c r="E1" s="578"/>
    </row>
    <row r="2" spans="1:5">
      <c r="A2" s="160" t="s">
        <v>1031</v>
      </c>
    </row>
    <row r="3" spans="1:5" s="150" customFormat="1" ht="18" customHeight="1">
      <c r="A3" s="148" t="s">
        <v>1032</v>
      </c>
      <c r="B3" s="149" t="s">
        <v>1033</v>
      </c>
      <c r="C3" s="157" t="s">
        <v>1034</v>
      </c>
      <c r="D3" s="149" t="s">
        <v>1035</v>
      </c>
      <c r="E3" s="149" t="s">
        <v>1036</v>
      </c>
    </row>
    <row r="4" spans="1:5" ht="18" customHeight="1">
      <c r="A4" s="147">
        <v>1</v>
      </c>
      <c r="B4" s="159">
        <v>41092</v>
      </c>
      <c r="C4" s="49" t="s">
        <v>1037</v>
      </c>
      <c r="D4" s="574" t="s">
        <v>1038</v>
      </c>
      <c r="E4" s="571" t="s">
        <v>573</v>
      </c>
    </row>
    <row r="5" spans="1:5" ht="33.75" customHeight="1">
      <c r="A5" s="574">
        <v>1.1000000000000001</v>
      </c>
      <c r="B5" s="575">
        <v>41123</v>
      </c>
      <c r="C5" s="162" t="s">
        <v>1039</v>
      </c>
      <c r="D5" s="572"/>
      <c r="E5" s="579"/>
    </row>
    <row r="6" spans="1:5" ht="41.25" customHeight="1">
      <c r="A6" s="572"/>
      <c r="B6" s="576"/>
      <c r="C6" s="161" t="s">
        <v>1040</v>
      </c>
      <c r="D6" s="572"/>
      <c r="E6" s="579"/>
    </row>
    <row r="7" spans="1:5" ht="27" customHeight="1">
      <c r="A7" s="572"/>
      <c r="B7" s="576"/>
      <c r="C7" s="49" t="s">
        <v>1041</v>
      </c>
      <c r="D7" s="572"/>
      <c r="E7" s="579"/>
    </row>
    <row r="8" spans="1:5" ht="18" customHeight="1">
      <c r="A8" s="573"/>
      <c r="B8" s="577"/>
      <c r="C8" s="49" t="s">
        <v>1042</v>
      </c>
      <c r="D8" s="572"/>
      <c r="E8" s="579"/>
    </row>
    <row r="9" spans="1:5" ht="27" customHeight="1">
      <c r="A9" s="574">
        <v>1.2</v>
      </c>
      <c r="B9" s="575">
        <v>41219</v>
      </c>
      <c r="C9" s="49" t="s">
        <v>1043</v>
      </c>
      <c r="D9" s="572"/>
      <c r="E9" s="579"/>
    </row>
    <row r="10" spans="1:5" ht="27" customHeight="1">
      <c r="A10" s="572"/>
      <c r="B10" s="576"/>
      <c r="C10" s="49" t="s">
        <v>1044</v>
      </c>
      <c r="D10" s="572"/>
      <c r="E10" s="579"/>
    </row>
    <row r="11" spans="1:5" ht="27" customHeight="1">
      <c r="A11" s="572"/>
      <c r="B11" s="576"/>
      <c r="C11" s="49" t="s">
        <v>1045</v>
      </c>
      <c r="D11" s="572"/>
      <c r="E11" s="579"/>
    </row>
    <row r="12" spans="1:5" ht="27" customHeight="1">
      <c r="A12" s="573"/>
      <c r="B12" s="577"/>
      <c r="C12" s="49" t="s">
        <v>1046</v>
      </c>
      <c r="D12" s="573"/>
      <c r="E12" s="580"/>
    </row>
    <row r="13" spans="1:5" ht="27" customHeight="1">
      <c r="A13" s="567" t="s">
        <v>1047</v>
      </c>
      <c r="B13" s="575">
        <v>41432</v>
      </c>
      <c r="C13" s="49" t="s">
        <v>1048</v>
      </c>
      <c r="D13" s="571" t="s">
        <v>1038</v>
      </c>
      <c r="E13" s="571" t="s">
        <v>573</v>
      </c>
    </row>
    <row r="14" spans="1:5" ht="27" customHeight="1">
      <c r="A14" s="568"/>
      <c r="B14" s="576"/>
      <c r="C14" s="49" t="s">
        <v>1049</v>
      </c>
      <c r="D14" s="579"/>
      <c r="E14" s="579"/>
    </row>
    <row r="15" spans="1:5" ht="27" customHeight="1">
      <c r="A15" s="568"/>
      <c r="B15" s="576"/>
      <c r="C15" s="49" t="s">
        <v>1050</v>
      </c>
      <c r="D15" s="579"/>
      <c r="E15" s="579"/>
    </row>
    <row r="16" spans="1:5" ht="18" customHeight="1">
      <c r="A16" s="568"/>
      <c r="B16" s="576"/>
      <c r="C16" s="49" t="s">
        <v>1051</v>
      </c>
      <c r="D16" s="579"/>
      <c r="E16" s="579"/>
    </row>
    <row r="17" spans="1:5" ht="27" customHeight="1">
      <c r="A17" s="568"/>
      <c r="B17" s="576"/>
      <c r="C17" s="49" t="s">
        <v>1052</v>
      </c>
      <c r="D17" s="579"/>
      <c r="E17" s="579"/>
    </row>
    <row r="18" spans="1:5" ht="18" customHeight="1">
      <c r="A18" s="569"/>
      <c r="B18" s="577"/>
      <c r="C18" s="49" t="s">
        <v>1053</v>
      </c>
      <c r="D18" s="580"/>
      <c r="E18" s="580"/>
    </row>
    <row r="19" spans="1:5" ht="27" customHeight="1">
      <c r="A19" s="109" t="s">
        <v>1054</v>
      </c>
      <c r="B19" s="159">
        <v>41791</v>
      </c>
      <c r="C19" s="49" t="s">
        <v>1055</v>
      </c>
      <c r="D19" s="147" t="s">
        <v>1038</v>
      </c>
      <c r="E19" s="147" t="s">
        <v>573</v>
      </c>
    </row>
    <row r="20" spans="1:5" ht="18" customHeight="1">
      <c r="A20" s="109" t="s">
        <v>1056</v>
      </c>
      <c r="B20" s="159">
        <v>42156</v>
      </c>
      <c r="C20" s="49" t="s">
        <v>1057</v>
      </c>
      <c r="D20" s="147" t="s">
        <v>1038</v>
      </c>
      <c r="E20" s="147" t="s">
        <v>573</v>
      </c>
    </row>
    <row r="21" spans="1:5" ht="105" customHeight="1">
      <c r="A21" s="109" t="s">
        <v>1058</v>
      </c>
      <c r="B21" s="159">
        <v>42887</v>
      </c>
      <c r="C21" s="49" t="s">
        <v>1059</v>
      </c>
      <c r="D21" s="147" t="s">
        <v>1060</v>
      </c>
      <c r="E21" s="147" t="s">
        <v>573</v>
      </c>
    </row>
    <row r="22" spans="1:5" ht="18" customHeight="1">
      <c r="A22" s="109" t="s">
        <v>1061</v>
      </c>
      <c r="B22" s="159">
        <v>43192</v>
      </c>
      <c r="C22" s="49" t="s">
        <v>1062</v>
      </c>
      <c r="D22" s="147" t="s">
        <v>1060</v>
      </c>
      <c r="E22" s="147" t="s">
        <v>573</v>
      </c>
    </row>
    <row r="23" spans="1:5" ht="18" customHeight="1">
      <c r="A23" s="109"/>
      <c r="B23" s="159"/>
      <c r="C23" s="49"/>
      <c r="D23" s="147"/>
      <c r="E23" s="147"/>
    </row>
    <row r="24" spans="1:5" ht="18" customHeight="1">
      <c r="A24" s="109"/>
      <c r="B24" s="159"/>
      <c r="C24" s="49"/>
      <c r="D24" s="147"/>
      <c r="E24" s="147"/>
    </row>
    <row r="25" spans="1:5" ht="25.5" customHeight="1">
      <c r="D25" s="158"/>
      <c r="E25" s="158"/>
    </row>
    <row r="26" spans="1:5">
      <c r="A26" s="160" t="s">
        <v>1063</v>
      </c>
      <c r="D26" s="158"/>
      <c r="E26" s="158"/>
    </row>
    <row r="27" spans="1:5" s="150" customFormat="1" ht="18" customHeight="1">
      <c r="A27" s="148" t="s">
        <v>1032</v>
      </c>
      <c r="B27" s="149" t="s">
        <v>1033</v>
      </c>
      <c r="C27" s="157" t="s">
        <v>1034</v>
      </c>
      <c r="D27" s="149" t="s">
        <v>1035</v>
      </c>
      <c r="E27" s="149" t="s">
        <v>1036</v>
      </c>
    </row>
    <row r="28" spans="1:5" ht="27" customHeight="1">
      <c r="A28" s="567" t="s">
        <v>1047</v>
      </c>
      <c r="B28" s="575">
        <v>41432</v>
      </c>
      <c r="C28" s="49" t="s">
        <v>1064</v>
      </c>
      <c r="D28" s="574" t="s">
        <v>1038</v>
      </c>
      <c r="E28" s="574" t="s">
        <v>573</v>
      </c>
    </row>
    <row r="29" spans="1:5" ht="27" customHeight="1">
      <c r="A29" s="568"/>
      <c r="B29" s="576"/>
      <c r="C29" s="49" t="s">
        <v>1065</v>
      </c>
      <c r="D29" s="572"/>
      <c r="E29" s="572"/>
    </row>
    <row r="30" spans="1:5" ht="27" customHeight="1">
      <c r="A30" s="568"/>
      <c r="B30" s="576"/>
      <c r="C30" s="49" t="s">
        <v>1066</v>
      </c>
      <c r="D30" s="572"/>
      <c r="E30" s="572"/>
    </row>
    <row r="31" spans="1:5" ht="18" customHeight="1">
      <c r="A31" s="568"/>
      <c r="B31" s="576"/>
      <c r="C31" s="49" t="s">
        <v>1067</v>
      </c>
      <c r="D31" s="572"/>
      <c r="E31" s="572"/>
    </row>
    <row r="32" spans="1:5" ht="18" customHeight="1">
      <c r="A32" s="568"/>
      <c r="B32" s="576"/>
      <c r="C32" s="49" t="s">
        <v>1068</v>
      </c>
      <c r="D32" s="572"/>
      <c r="E32" s="572"/>
    </row>
    <row r="33" spans="1:5" ht="27" customHeight="1">
      <c r="A33" s="568"/>
      <c r="B33" s="576"/>
      <c r="C33" s="49" t="s">
        <v>1069</v>
      </c>
      <c r="D33" s="572"/>
      <c r="E33" s="572"/>
    </row>
    <row r="34" spans="1:5" ht="18" customHeight="1">
      <c r="A34" s="569"/>
      <c r="B34" s="577"/>
      <c r="C34" s="49" t="s">
        <v>1070</v>
      </c>
      <c r="D34" s="573"/>
      <c r="E34" s="573"/>
    </row>
    <row r="35" spans="1:5" ht="18" customHeight="1">
      <c r="A35" s="567" t="s">
        <v>1054</v>
      </c>
      <c r="B35" s="570">
        <v>41791</v>
      </c>
      <c r="C35" s="49" t="s">
        <v>1071</v>
      </c>
      <c r="D35" s="574" t="s">
        <v>1038</v>
      </c>
      <c r="E35" s="574" t="s">
        <v>573</v>
      </c>
    </row>
    <row r="36" spans="1:5" ht="27" customHeight="1">
      <c r="A36" s="568"/>
      <c r="B36" s="570"/>
      <c r="C36" s="49" t="s">
        <v>1072</v>
      </c>
      <c r="D36" s="572"/>
      <c r="E36" s="572"/>
    </row>
    <row r="37" spans="1:5" ht="27" customHeight="1">
      <c r="A37" s="568"/>
      <c r="B37" s="570"/>
      <c r="C37" s="49" t="s">
        <v>1073</v>
      </c>
      <c r="D37" s="572"/>
      <c r="E37" s="572"/>
    </row>
    <row r="38" spans="1:5" ht="27" customHeight="1">
      <c r="A38" s="568"/>
      <c r="B38" s="570"/>
      <c r="C38" s="49" t="s">
        <v>1074</v>
      </c>
      <c r="D38" s="572"/>
      <c r="E38" s="572"/>
    </row>
    <row r="39" spans="1:5" ht="27" customHeight="1">
      <c r="A39" s="568"/>
      <c r="B39" s="570"/>
      <c r="C39" s="49" t="s">
        <v>1075</v>
      </c>
      <c r="D39" s="572"/>
      <c r="E39" s="572"/>
    </row>
    <row r="40" spans="1:5" ht="27" customHeight="1">
      <c r="A40" s="568"/>
      <c r="B40" s="570"/>
      <c r="C40" s="49" t="s">
        <v>1076</v>
      </c>
      <c r="D40" s="572"/>
      <c r="E40" s="572"/>
    </row>
    <row r="41" spans="1:5" ht="27" customHeight="1">
      <c r="A41" s="569"/>
      <c r="B41" s="570"/>
      <c r="C41" s="49" t="s">
        <v>1077</v>
      </c>
      <c r="D41" s="573"/>
      <c r="E41" s="573"/>
    </row>
    <row r="42" spans="1:5" ht="27" customHeight="1">
      <c r="A42" s="567" t="s">
        <v>1078</v>
      </c>
      <c r="B42" s="570">
        <v>41913</v>
      </c>
      <c r="C42" s="49" t="s">
        <v>1079</v>
      </c>
      <c r="D42" s="574" t="s">
        <v>1038</v>
      </c>
      <c r="E42" s="571" t="s">
        <v>1080</v>
      </c>
    </row>
    <row r="43" spans="1:5" ht="48">
      <c r="A43" s="568"/>
      <c r="B43" s="570"/>
      <c r="C43" s="49" t="s">
        <v>1081</v>
      </c>
      <c r="D43" s="572"/>
      <c r="E43" s="572"/>
    </row>
    <row r="44" spans="1:5" ht="84">
      <c r="A44" s="568"/>
      <c r="B44" s="570"/>
      <c r="C44" s="49" t="s">
        <v>1082</v>
      </c>
      <c r="D44" s="572"/>
      <c r="E44" s="572"/>
    </row>
    <row r="45" spans="1:5" ht="36">
      <c r="A45" s="568"/>
      <c r="B45" s="570"/>
      <c r="C45" s="49" t="s">
        <v>1083</v>
      </c>
      <c r="D45" s="572"/>
      <c r="E45" s="572"/>
    </row>
    <row r="46" spans="1:5" ht="27" customHeight="1">
      <c r="A46" s="568"/>
      <c r="B46" s="570"/>
      <c r="C46" s="49" t="s">
        <v>1084</v>
      </c>
      <c r="D46" s="572"/>
      <c r="E46" s="572"/>
    </row>
    <row r="47" spans="1:5" ht="18" customHeight="1">
      <c r="A47" s="568"/>
      <c r="B47" s="570"/>
      <c r="C47" s="49" t="s">
        <v>1085</v>
      </c>
      <c r="D47" s="572"/>
      <c r="E47" s="572"/>
    </row>
    <row r="48" spans="1:5" ht="18" customHeight="1">
      <c r="A48" s="569"/>
      <c r="B48" s="570"/>
      <c r="C48" s="49" t="s">
        <v>1086</v>
      </c>
      <c r="D48" s="573"/>
      <c r="E48" s="573"/>
    </row>
    <row r="49" spans="1:5" ht="18" customHeight="1">
      <c r="A49" s="109" t="s">
        <v>1056</v>
      </c>
      <c r="B49" s="159">
        <v>42156</v>
      </c>
      <c r="C49" s="49" t="s">
        <v>1057</v>
      </c>
      <c r="D49" s="147" t="s">
        <v>1038</v>
      </c>
      <c r="E49" s="147" t="s">
        <v>573</v>
      </c>
    </row>
    <row r="50" spans="1:5" ht="144.75" customHeight="1">
      <c r="A50" s="109" t="s">
        <v>1058</v>
      </c>
      <c r="B50" s="159">
        <v>42887</v>
      </c>
      <c r="C50" s="49" t="s">
        <v>1087</v>
      </c>
      <c r="D50" s="163" t="s">
        <v>1060</v>
      </c>
      <c r="E50" s="147" t="s">
        <v>573</v>
      </c>
    </row>
    <row r="51" spans="1:5" ht="18" customHeight="1">
      <c r="A51" s="109" t="s">
        <v>1061</v>
      </c>
      <c r="B51" s="159">
        <v>43192</v>
      </c>
      <c r="C51" s="49" t="s">
        <v>1062</v>
      </c>
      <c r="D51" s="147" t="s">
        <v>1060</v>
      </c>
      <c r="E51" s="147" t="s">
        <v>573</v>
      </c>
    </row>
    <row r="52" spans="1:5" ht="18" customHeight="1">
      <c r="A52" s="109"/>
      <c r="B52" s="159"/>
      <c r="C52" s="49"/>
      <c r="D52" s="147"/>
      <c r="E52" s="147"/>
    </row>
    <row r="53" spans="1:5" ht="18" customHeight="1">
      <c r="A53" s="109"/>
      <c r="B53" s="159"/>
      <c r="C53" s="49"/>
      <c r="D53" s="147"/>
      <c r="E53" s="147"/>
    </row>
    <row r="54" spans="1:5">
      <c r="C54" s="21"/>
      <c r="D54" s="20"/>
    </row>
  </sheetData>
  <mergeCells count="23">
    <mergeCell ref="A13:A18"/>
    <mergeCell ref="B5:B8"/>
    <mergeCell ref="B9:B12"/>
    <mergeCell ref="A1:E1"/>
    <mergeCell ref="E4:E12"/>
    <mergeCell ref="E13:E18"/>
    <mergeCell ref="A9:A12"/>
    <mergeCell ref="A5:A8"/>
    <mergeCell ref="B13:B18"/>
    <mergeCell ref="D4:D12"/>
    <mergeCell ref="D13:D18"/>
    <mergeCell ref="A42:A48"/>
    <mergeCell ref="B42:B48"/>
    <mergeCell ref="E42:E48"/>
    <mergeCell ref="E35:E41"/>
    <mergeCell ref="D28:D34"/>
    <mergeCell ref="D35:D41"/>
    <mergeCell ref="D42:D48"/>
    <mergeCell ref="A28:A34"/>
    <mergeCell ref="B28:B34"/>
    <mergeCell ref="E28:E34"/>
    <mergeCell ref="A35:A41"/>
    <mergeCell ref="B35:B41"/>
  </mergeCells>
  <phoneticPr fontId="2"/>
  <pageMargins left="0.74803149606299213" right="0.74803149606299213" top="0.98425196850393704" bottom="0.98425196850393704" header="0.51181102362204722" footer="0.51181102362204722"/>
  <pageSetup paperSize="9" scale="94" fitToHeight="0" orientation="portrait" r:id="rId1"/>
  <headerFooter alignWithMargins="0">
    <oddFooter>&amp;L伊藤忠テクノソリューションズ株式会社&amp;C&amp;P/&amp;N&amp;RCQMS-S-102T5 Ver.09.00</oddFooter>
  </headerFooter>
  <rowBreaks count="1" manualBreakCount="1">
    <brk id="25" max="16383" man="1"/>
  </rowBreaks>
  <colBreaks count="1" manualBreakCount="1">
    <brk id="5"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8"/>
  <sheetViews>
    <sheetView workbookViewId="0"/>
  </sheetViews>
  <sheetFormatPr defaultRowHeight="12"/>
  <cols>
    <col min="1" max="1" width="19.5703125" bestFit="1" customWidth="1"/>
    <col min="2" max="2" width="14.85546875" bestFit="1" customWidth="1"/>
    <col min="3" max="3" width="16.5703125" bestFit="1" customWidth="1"/>
    <col min="4" max="4" width="11.140625" bestFit="1" customWidth="1"/>
    <col min="5" max="6" width="11.5703125" bestFit="1" customWidth="1"/>
    <col min="7" max="7" width="13.5703125" bestFit="1" customWidth="1"/>
    <col min="8" max="8" width="22.7109375" bestFit="1" customWidth="1"/>
    <col min="9" max="9" width="21.28515625" bestFit="1" customWidth="1"/>
  </cols>
  <sheetData>
    <row r="1" spans="1:10">
      <c r="A1" s="33" t="s">
        <v>1088</v>
      </c>
      <c r="B1" s="34" t="s">
        <v>1089</v>
      </c>
      <c r="C1" s="34" t="s">
        <v>1090</v>
      </c>
      <c r="D1" s="34" t="s">
        <v>1091</v>
      </c>
      <c r="E1" s="34" t="s">
        <v>1092</v>
      </c>
      <c r="F1" s="34" t="s">
        <v>1093</v>
      </c>
      <c r="G1" s="34" t="s">
        <v>1094</v>
      </c>
      <c r="J1" t="str">
        <f>CONCATENATE("|",B1,"|",C1,"|",D1,"|",E1,"|",F1,"|",G1,"|",)</f>
        <v>|1.顧客|2.顧客・体制|3.顧客・契約|4.顧客・予算|5.社内・体制|6.工期・納期|</v>
      </c>
    </row>
    <row r="2" spans="1:10">
      <c r="A2" s="33" t="s">
        <v>1095</v>
      </c>
      <c r="B2" s="33" t="s">
        <v>1096</v>
      </c>
      <c r="C2" s="33" t="s">
        <v>1097</v>
      </c>
      <c r="D2" s="33" t="s">
        <v>1098</v>
      </c>
      <c r="E2" s="33" t="s">
        <v>1099</v>
      </c>
      <c r="F2" s="33" t="s">
        <v>1100</v>
      </c>
      <c r="G2" s="33" t="s">
        <v>1101</v>
      </c>
      <c r="H2" t="s">
        <v>1102</v>
      </c>
      <c r="I2" t="s">
        <v>1103</v>
      </c>
      <c r="J2" t="str">
        <f>CONCATENATE("|",B2,"|",C2,"|",D2,"|",E2,"|",F2,"|",G2,"|",H2,"|",I2,"|")</f>
        <v>|7.役割・責任|8.コミュニケーション|9.要求・要件|10.要求・要件|11.要求・要件|12.要件・難易度|13.要件・コンプライアンス|14.パッケージ・スコープ|</v>
      </c>
    </row>
    <row r="3" spans="1:10">
      <c r="A3" s="33" t="s">
        <v>1104</v>
      </c>
      <c r="B3" s="33" t="s">
        <v>1105</v>
      </c>
      <c r="C3" s="33" t="s">
        <v>1106</v>
      </c>
      <c r="D3" s="33" t="s">
        <v>1107</v>
      </c>
      <c r="E3" s="33"/>
      <c r="F3" s="33"/>
      <c r="G3" s="33"/>
      <c r="J3" t="str">
        <f t="shared" ref="J3:J8" si="0">CONCATENATE("|",B3,"|",C3,"|",D3,"|",E3,"|",F3,"|",G3,"|",)</f>
        <v>|15.成果物、タスク|16.パッケージ|17.オフショア||||</v>
      </c>
    </row>
    <row r="4" spans="1:10">
      <c r="A4" s="33" t="s">
        <v>1108</v>
      </c>
      <c r="B4" s="33" t="s">
        <v>573</v>
      </c>
      <c r="C4" s="33"/>
      <c r="D4" s="33"/>
      <c r="E4" s="33"/>
      <c r="F4" s="33"/>
      <c r="G4" s="33"/>
      <c r="J4" t="str">
        <f t="shared" si="0"/>
        <v>|-||||||</v>
      </c>
    </row>
    <row r="5" spans="1:10">
      <c r="A5" s="33" t="s">
        <v>1109</v>
      </c>
      <c r="B5" s="33" t="s">
        <v>1110</v>
      </c>
      <c r="C5" s="33" t="s">
        <v>1111</v>
      </c>
      <c r="D5" s="33" t="s">
        <v>1112</v>
      </c>
      <c r="E5" s="33" t="s">
        <v>1113</v>
      </c>
      <c r="F5" s="33" t="s">
        <v>1114</v>
      </c>
      <c r="G5" s="33" t="s">
        <v>1115</v>
      </c>
      <c r="J5" t="str">
        <f t="shared" si="0"/>
        <v>|18.社内・体制|19.社内・組織支援|20.委託先・見積|21.委託先・動員力|22.委託先・経営状況|23.パッケージ|</v>
      </c>
    </row>
    <row r="6" spans="1:10">
      <c r="A6" s="33" t="s">
        <v>1116</v>
      </c>
      <c r="B6" s="33" t="s">
        <v>1117</v>
      </c>
      <c r="C6" s="33"/>
      <c r="D6" s="33"/>
      <c r="E6" s="33"/>
      <c r="F6" s="33"/>
      <c r="G6" s="33"/>
      <c r="J6" t="str">
        <f t="shared" si="0"/>
        <v>|24.成果物、タスク||||||</v>
      </c>
    </row>
    <row r="7" spans="1:10">
      <c r="A7" s="33" t="s">
        <v>1118</v>
      </c>
      <c r="B7" s="33" t="s">
        <v>1119</v>
      </c>
      <c r="C7" s="33"/>
      <c r="D7" s="33"/>
      <c r="E7" s="33"/>
      <c r="F7" s="33"/>
      <c r="G7" s="33"/>
      <c r="J7" t="str">
        <f t="shared" si="0"/>
        <v>|25.その他費用||||||</v>
      </c>
    </row>
    <row r="8" spans="1:10">
      <c r="A8" s="33" t="s">
        <v>1120</v>
      </c>
      <c r="B8" s="33" t="s">
        <v>573</v>
      </c>
      <c r="J8" t="str">
        <f t="shared" si="0"/>
        <v>|-||||||</v>
      </c>
    </row>
  </sheetData>
  <phoneticPr fontId="2"/>
  <pageMargins left="0.75" right="0.75" top="1" bottom="1" header="0.51200000000000001" footer="0.51200000000000001"/>
  <pageSetup paperSize="9"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1A3424606A615478EAC718D252E4E17" ma:contentTypeVersion="15" ma:contentTypeDescription="新しいドキュメントを作成します。" ma:contentTypeScope="" ma:versionID="c1b06b141403b0bfe388b61020d369d1">
  <xsd:schema xmlns:xsd="http://www.w3.org/2001/XMLSchema" xmlns:xs="http://www.w3.org/2001/XMLSchema" xmlns:p="http://schemas.microsoft.com/office/2006/metadata/properties" xmlns:ns2="1c07930f-9a65-4e8e-a9ee-3323c11bd589" xmlns:ns3="dcfcef33-8a7e-49fa-a6a9-e6acaf5031ad" targetNamespace="http://schemas.microsoft.com/office/2006/metadata/properties" ma:root="true" ma:fieldsID="b2ff8d1cc6683d579df5389308ab8002" ns2:_="" ns3:_="">
    <xsd:import namespace="1c07930f-9a65-4e8e-a9ee-3323c11bd589"/>
    <xsd:import namespace="dcfcef33-8a7e-49fa-a6a9-e6acaf5031a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07930f-9a65-4e8e-a9ee-3323c11bd5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6bc6290a-8cd6-4a27-9e67-61465016fcd5"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fcef33-8a7e-49fa-a6a9-e6acaf5031ad" elementFormDefault="qualified">
    <xsd:import namespace="http://schemas.microsoft.com/office/2006/documentManagement/types"/>
    <xsd:import namespace="http://schemas.microsoft.com/office/infopath/2007/PartnerControls"/>
    <xsd:element name="SharedWithUsers" ma:index="12"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5234498f-4407-4c7e-801b-effe08f2d3f1}" ma:internalName="TaxCatchAll" ma:showField="CatchAllData" ma:web="dcfcef33-8a7e-49fa-a6a9-e6acaf5031a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c07930f-9a65-4e8e-a9ee-3323c11bd589">
      <Terms xmlns="http://schemas.microsoft.com/office/infopath/2007/PartnerControls"/>
    </lcf76f155ced4ddcb4097134ff3c332f>
    <TaxCatchAll xmlns="dcfcef33-8a7e-49fa-a6a9-e6acaf5031ad"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9A1746-FA13-4C57-A602-5041983157F8}">
  <ds:schemaRefs>
    <ds:schemaRef ds:uri="http://schemas.microsoft.com/office/2006/metadata/longProperties"/>
  </ds:schemaRefs>
</ds:datastoreItem>
</file>

<file path=customXml/itemProps2.xml><?xml version="1.0" encoding="utf-8"?>
<ds:datastoreItem xmlns:ds="http://schemas.openxmlformats.org/officeDocument/2006/customXml" ds:itemID="{E1BEC8A5-4271-47F8-A7F2-A3FCF4DD81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07930f-9a65-4e8e-a9ee-3323c11bd589"/>
    <ds:schemaRef ds:uri="dcfcef33-8a7e-49fa-a6a9-e6acaf5031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B6E38E-F13F-4032-94EC-1C6AC7F26640}">
  <ds:schemaRefs>
    <ds:schemaRef ds:uri="http://schemas.microsoft.com/office/2006/metadata/properties"/>
    <ds:schemaRef ds:uri="http://schemas.microsoft.com/office/infopath/2007/PartnerControls"/>
    <ds:schemaRef ds:uri="1c07930f-9a65-4e8e-a9ee-3323c11bd589"/>
    <ds:schemaRef ds:uri="dcfcef33-8a7e-49fa-a6a9-e6acaf5031ad"/>
  </ds:schemaRefs>
</ds:datastoreItem>
</file>

<file path=customXml/itemProps4.xml><?xml version="1.0" encoding="utf-8"?>
<ds:datastoreItem xmlns:ds="http://schemas.openxmlformats.org/officeDocument/2006/customXml" ds:itemID="{FF81249C-43E4-4167-AFFD-316C4404977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32</vt:i4>
      </vt:variant>
    </vt:vector>
  </HeadingPairs>
  <TitlesOfParts>
    <vt:vector size="44" baseType="lpstr">
      <vt:lpstr>案件チェックリスト運用説明 </vt:lpstr>
      <vt:lpstr>案件チェックリスト</vt:lpstr>
      <vt:lpstr>リスク管理計画シート</vt:lpstr>
      <vt:lpstr>リスク管理計画立案手順ガイド</vt:lpstr>
      <vt:lpstr>リスク管理計画シート（原本）</vt:lpstr>
      <vt:lpstr>リスク管理計画シート (ワークグループ) 成果物</vt:lpstr>
      <vt:lpstr>【参考】非機能一覧(開発見積用）</vt:lpstr>
      <vt:lpstr>【参考】リスク分析シート</vt:lpstr>
      <vt:lpstr>ワークシート（他案件のリスクを集約）</vt:lpstr>
      <vt:lpstr>リスク管理計画シート (ワークグループバックアップ)</vt:lpstr>
      <vt:lpstr>改訂履歴</vt:lpstr>
      <vt:lpstr>分類</vt:lpstr>
      <vt:lpstr>①スコープ定義</vt:lpstr>
      <vt:lpstr>②要件洗い出し</vt:lpstr>
      <vt:lpstr>③作業洗い出し</vt:lpstr>
      <vt:lpstr>④工数見積</vt:lpstr>
      <vt:lpstr>⑤要員計画</vt:lpstr>
      <vt:lpstr>⑥作業計画</vt:lpstr>
      <vt:lpstr>⑦全体コスト見積</vt:lpstr>
      <vt:lpstr>リスク管理計画シート!all</vt:lpstr>
      <vt:lpstr>'リスク管理計画シート (ワークグループ) 成果物'!all</vt:lpstr>
      <vt:lpstr>'リスク管理計画シート (ワークグループバックアップ)'!all</vt:lpstr>
      <vt:lpstr>'リスク管理計画シート（原本）'!all</vt:lpstr>
      <vt:lpstr>リスク管理計画立案手順ガイド!all</vt:lpstr>
      <vt:lpstr>'【参考】非機能一覧(開発見積用）'!Print_Area</vt:lpstr>
      <vt:lpstr>リスク管理計画シート!Print_Area</vt:lpstr>
      <vt:lpstr>'リスク管理計画シート (ワークグループ) 成果物'!Print_Area</vt:lpstr>
      <vt:lpstr>'リスク管理計画シート (ワークグループバックアップ)'!Print_Area</vt:lpstr>
      <vt:lpstr>'リスク管理計画シート（原本）'!Print_Area</vt:lpstr>
      <vt:lpstr>リスク管理計画立案手順ガイド!Print_Area</vt:lpstr>
      <vt:lpstr>案件チェックリスト!Print_Area</vt:lpstr>
      <vt:lpstr>'案件チェックリスト運用説明 '!Print_Area</vt:lpstr>
      <vt:lpstr>【参考】リスク分析シート!Print_Titles</vt:lpstr>
      <vt:lpstr>'【参考】非機能一覧(開発見積用）'!Print_Titles</vt:lpstr>
      <vt:lpstr>リスク管理計画シート!Print_Titles</vt:lpstr>
      <vt:lpstr>'リスク管理計画シート (ワークグループ) 成果物'!Print_Titles</vt:lpstr>
      <vt:lpstr>'リスク管理計画シート (ワークグループバックアップ)'!Print_Titles</vt:lpstr>
      <vt:lpstr>'リスク管理計画シート（原本）'!Print_Titles</vt:lpstr>
      <vt:lpstr>リスク管理計画立案手順ガイド!Print_Titles</vt:lpstr>
      <vt:lpstr>案件チェックリスト!Print_Titles</vt:lpstr>
      <vt:lpstr>その他</vt:lpstr>
      <vt:lpstr>対応方針の説明</vt:lpstr>
      <vt:lpstr>大項目</vt:lpstr>
      <vt:lpstr>分類一覧</vt:lpstr>
    </vt:vector>
  </TitlesOfParts>
  <Manager/>
  <Company>伊藤忠テクノソリューションズ株式会社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伊藤忠テクノソリューションズ株式会社</dc:creator>
  <cp:keywords/>
  <dc:description/>
  <cp:lastModifiedBy>鈴木　晴勝</cp:lastModifiedBy>
  <cp:revision/>
  <dcterms:created xsi:type="dcterms:W3CDTF">2002-01-30T10:22:17Z</dcterms:created>
  <dcterms:modified xsi:type="dcterms:W3CDTF">2026-01-08T00:48:56Z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作成者">
    <vt:lpwstr>伊藤忠テクノソリューションズ株式会社</vt:lpwstr>
  </property>
  <property fmtid="{D5CDD505-2E9C-101B-9397-08002B2CF9AE}" pid="3" name="会社名">
    <vt:lpwstr>伊藤忠テクノソリューションズ株式会社</vt:lpwstr>
  </property>
  <property fmtid="{D5CDD505-2E9C-101B-9397-08002B2CF9AE}" pid="4" name="_dlc_DocIdUrl">
    <vt:lpwstr>http://cwe-portal.ctc-g.co.jp/cwe/info/business/div00002/_layouts/DocIdRedir.aspx?ID=MTTVHX53KRV6-329-35794, MTTVHX53KRV6-329-35794</vt:lpwstr>
  </property>
  <property fmtid="{D5CDD505-2E9C-101B-9397-08002B2CF9AE}" pid="5" name="_dlc_DocIdItemGuid">
    <vt:lpwstr>3f538eb8-8d48-442a-9cbf-bc550e403eb2</vt:lpwstr>
  </property>
  <property fmtid="{D5CDD505-2E9C-101B-9397-08002B2CF9AE}" pid="6" name="_dlc_DocId">
    <vt:lpwstr>MTTVHX53KRV6-329-35794</vt:lpwstr>
  </property>
  <property fmtid="{D5CDD505-2E9C-101B-9397-08002B2CF9AE}" pid="7" name="MediaServiceImageTags">
    <vt:lpwstr/>
  </property>
  <property fmtid="{D5CDD505-2E9C-101B-9397-08002B2CF9AE}" pid="8" name="ContentTypeId">
    <vt:lpwstr>0x01010081A3424606A615478EAC718D252E4E17</vt:lpwstr>
  </property>
  <property fmtid="{D5CDD505-2E9C-101B-9397-08002B2CF9AE}" pid="9" name="MSIP_Label_babb27ca-7868-470c-8d5b-74df37759162_Enabled">
    <vt:lpwstr>true</vt:lpwstr>
  </property>
  <property fmtid="{D5CDD505-2E9C-101B-9397-08002B2CF9AE}" pid="10" name="MSIP_Label_babb27ca-7868-470c-8d5b-74df37759162_SetDate">
    <vt:lpwstr>2026-01-08T00:48:54Z</vt:lpwstr>
  </property>
  <property fmtid="{D5CDD505-2E9C-101B-9397-08002B2CF9AE}" pid="11" name="MSIP_Label_babb27ca-7868-470c-8d5b-74df37759162_Method">
    <vt:lpwstr>Privileged</vt:lpwstr>
  </property>
  <property fmtid="{D5CDD505-2E9C-101B-9397-08002B2CF9AE}" pid="12" name="MSIP_Label_babb27ca-7868-470c-8d5b-74df37759162_Name">
    <vt:lpwstr>babb27ca-7868-470c-8d5b-74df37759162</vt:lpwstr>
  </property>
  <property fmtid="{D5CDD505-2E9C-101B-9397-08002B2CF9AE}" pid="13" name="MSIP_Label_babb27ca-7868-470c-8d5b-74df37759162_SiteId">
    <vt:lpwstr>bdda4ca5-4ffd-4f47-9e0d-ce56ad194b37</vt:lpwstr>
  </property>
  <property fmtid="{D5CDD505-2E9C-101B-9397-08002B2CF9AE}" pid="14" name="MSIP_Label_babb27ca-7868-470c-8d5b-74df37759162_ActionId">
    <vt:lpwstr>83e9619c-6024-4dc6-976b-17a5e6d0e318</vt:lpwstr>
  </property>
  <property fmtid="{D5CDD505-2E9C-101B-9397-08002B2CF9AE}" pid="15" name="MSIP_Label_babb27ca-7868-470c-8d5b-74df37759162_ContentBits">
    <vt:lpwstr>0</vt:lpwstr>
  </property>
  <property fmtid="{D5CDD505-2E9C-101B-9397-08002B2CF9AE}" pid="16" name="MSIP_Label_babb27ca-7868-470c-8d5b-74df37759162_Tag">
    <vt:lpwstr>10, 0, 1, 1</vt:lpwstr>
  </property>
</Properties>
</file>